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toral\Penulisan Disertasi\Data\"/>
    </mc:Choice>
  </mc:AlternateContent>
  <xr:revisionPtr revIDLastSave="0" documentId="13_ncr:1_{E12024CC-7321-457B-AD41-714D1BCED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definedNames>
    <definedName name="_xlnm._FilterDatabase" localSheetId="0" hidden="1">Sheet2!$A$1:$S$6058</definedName>
  </definedNames>
  <calcPr calcId="191029"/>
</workbook>
</file>

<file path=xl/calcChain.xml><?xml version="1.0" encoding="utf-8"?>
<calcChain xmlns="http://schemas.openxmlformats.org/spreadsheetml/2006/main">
  <c r="S6057" i="3" l="1"/>
  <c r="S6056" i="3"/>
  <c r="S6055" i="3"/>
  <c r="S6054" i="3"/>
  <c r="S6053" i="3"/>
  <c r="S6052" i="3"/>
  <c r="S6051" i="3"/>
  <c r="S6050" i="3"/>
  <c r="S6049" i="3"/>
  <c r="S6048" i="3"/>
  <c r="S6047" i="3"/>
  <c r="S6046" i="3"/>
  <c r="S6045" i="3"/>
  <c r="S6044" i="3"/>
  <c r="S6043" i="3"/>
  <c r="S6042" i="3"/>
  <c r="S6041" i="3"/>
  <c r="S6040" i="3"/>
  <c r="S6039" i="3"/>
  <c r="S6038" i="3"/>
  <c r="S6037" i="3"/>
  <c r="S6036" i="3"/>
  <c r="S6035" i="3"/>
  <c r="S6034" i="3"/>
  <c r="S6033" i="3"/>
  <c r="S6032" i="3"/>
  <c r="S6031" i="3"/>
  <c r="S6026" i="3"/>
  <c r="S6025" i="3"/>
  <c r="S6024" i="3"/>
  <c r="S6023" i="3"/>
  <c r="S6022" i="3"/>
  <c r="S6021" i="3"/>
  <c r="S6020" i="3"/>
  <c r="S6019" i="3"/>
  <c r="S6018" i="3"/>
  <c r="S6017" i="3"/>
  <c r="S6016" i="3"/>
  <c r="S6012" i="3"/>
  <c r="S6011" i="3"/>
  <c r="S6010" i="3"/>
  <c r="S6009" i="3"/>
  <c r="S6008" i="3"/>
  <c r="S6007" i="3"/>
  <c r="S6006" i="3"/>
  <c r="S6005" i="3"/>
  <c r="S6004" i="3"/>
  <c r="S6003" i="3"/>
  <c r="S6002" i="3"/>
  <c r="S6001" i="3"/>
  <c r="S6000" i="3"/>
  <c r="S5999" i="3"/>
  <c r="S5998" i="3"/>
  <c r="S5997" i="3"/>
  <c r="S5996" i="3"/>
  <c r="S5995" i="3"/>
  <c r="S5994" i="3"/>
  <c r="S5993" i="3"/>
  <c r="S5992" i="3"/>
  <c r="S5991" i="3"/>
  <c r="S5990" i="3"/>
  <c r="S5989" i="3"/>
  <c r="S5988" i="3"/>
  <c r="S5987" i="3"/>
  <c r="S5986" i="3"/>
  <c r="S5985" i="3"/>
  <c r="S5984" i="3"/>
  <c r="S5983" i="3"/>
  <c r="S5982" i="3"/>
  <c r="S5981" i="3"/>
  <c r="S5980" i="3"/>
  <c r="S5979" i="3"/>
  <c r="S5978" i="3"/>
  <c r="S5977" i="3"/>
  <c r="S5976" i="3"/>
  <c r="S5975" i="3"/>
  <c r="S5974" i="3"/>
  <c r="S5973" i="3"/>
  <c r="S5972" i="3"/>
  <c r="S5971" i="3"/>
  <c r="S5970" i="3"/>
  <c r="S5969" i="3"/>
  <c r="S5968" i="3"/>
  <c r="S5967" i="3"/>
  <c r="S5966" i="3"/>
  <c r="S5965" i="3"/>
  <c r="S5964" i="3"/>
  <c r="S5963" i="3"/>
  <c r="S5962" i="3"/>
  <c r="S5961" i="3"/>
  <c r="S5960" i="3"/>
  <c r="S5959" i="3"/>
  <c r="S5958" i="3"/>
  <c r="S5957" i="3"/>
  <c r="S5951" i="3"/>
  <c r="S5950" i="3"/>
  <c r="S5944" i="3"/>
  <c r="S5943" i="3"/>
  <c r="S5942" i="3"/>
  <c r="S5941" i="3"/>
  <c r="S5940" i="3"/>
  <c r="S5939" i="3"/>
  <c r="S5938" i="3"/>
  <c r="S5937" i="3"/>
  <c r="S5936" i="3"/>
  <c r="S5935" i="3"/>
  <c r="S5934" i="3"/>
  <c r="S5933" i="3"/>
  <c r="S5932" i="3"/>
  <c r="S5931" i="3"/>
  <c r="S5930" i="3"/>
  <c r="S5929" i="3"/>
  <c r="S5928" i="3"/>
  <c r="S5927" i="3"/>
  <c r="S5926" i="3"/>
  <c r="S5925" i="3"/>
  <c r="S5924" i="3"/>
  <c r="S5923" i="3"/>
  <c r="S5922" i="3"/>
  <c r="S5921" i="3"/>
  <c r="S5920" i="3"/>
  <c r="S5919" i="3"/>
  <c r="S5918" i="3"/>
  <c r="S5917" i="3"/>
  <c r="S5916" i="3"/>
  <c r="S5915" i="3"/>
  <c r="S5914" i="3"/>
  <c r="S5913" i="3"/>
  <c r="S5912" i="3"/>
  <c r="S5911" i="3"/>
  <c r="S5910" i="3"/>
  <c r="S5909" i="3"/>
  <c r="S5908" i="3"/>
  <c r="S5907" i="3"/>
  <c r="S5906" i="3"/>
  <c r="S5905" i="3"/>
  <c r="S5904" i="3"/>
  <c r="S5903" i="3"/>
  <c r="S5902" i="3"/>
  <c r="S5901" i="3"/>
  <c r="S5900" i="3"/>
  <c r="S5899" i="3"/>
  <c r="S5898" i="3"/>
  <c r="S5897" i="3"/>
  <c r="S5896" i="3"/>
  <c r="S5895" i="3"/>
  <c r="S5894" i="3"/>
  <c r="S5893" i="3"/>
  <c r="S5892" i="3"/>
  <c r="S5891" i="3"/>
  <c r="S5890" i="3"/>
  <c r="S5889" i="3"/>
  <c r="S5888" i="3"/>
  <c r="S5887" i="3"/>
  <c r="S5886" i="3"/>
  <c r="S5885" i="3"/>
  <c r="S5884" i="3"/>
  <c r="S5883" i="3"/>
  <c r="S5882" i="3"/>
  <c r="S5881" i="3"/>
  <c r="S5880" i="3"/>
  <c r="S5879" i="3"/>
  <c r="S5878" i="3"/>
  <c r="S5877" i="3"/>
  <c r="S5876" i="3"/>
  <c r="S5875" i="3"/>
  <c r="S5874" i="3"/>
  <c r="S5873" i="3"/>
  <c r="S5872" i="3"/>
  <c r="S5871" i="3"/>
  <c r="S5870" i="3"/>
  <c r="S5869" i="3"/>
  <c r="S5868" i="3"/>
  <c r="S5867" i="3"/>
  <c r="S5866" i="3"/>
  <c r="S5865" i="3"/>
  <c r="S5864" i="3"/>
  <c r="S5863" i="3"/>
  <c r="S5862" i="3"/>
  <c r="S5861" i="3"/>
  <c r="S5860" i="3"/>
  <c r="S5859" i="3"/>
  <c r="S5858" i="3"/>
  <c r="S5857" i="3"/>
  <c r="S5856" i="3"/>
  <c r="S5855" i="3"/>
  <c r="S5854" i="3"/>
  <c r="S5853" i="3"/>
  <c r="S5852" i="3"/>
  <c r="S5851" i="3"/>
  <c r="S5850" i="3"/>
  <c r="S5849" i="3"/>
  <c r="S5848" i="3"/>
  <c r="S5847" i="3"/>
  <c r="S5846" i="3"/>
  <c r="S5845" i="3"/>
  <c r="S5844" i="3"/>
  <c r="S5843" i="3"/>
  <c r="S5842" i="3"/>
  <c r="S5841" i="3"/>
  <c r="S5840" i="3"/>
  <c r="S5839" i="3"/>
  <c r="S5838" i="3"/>
  <c r="S5837" i="3"/>
  <c r="S5836" i="3"/>
  <c r="S5835" i="3"/>
  <c r="S5834" i="3"/>
  <c r="S5833" i="3"/>
  <c r="S5832" i="3"/>
  <c r="S5831" i="3"/>
  <c r="S5830" i="3"/>
  <c r="S5829" i="3"/>
  <c r="S5828" i="3"/>
  <c r="S5827" i="3"/>
  <c r="S5826" i="3"/>
  <c r="S5825" i="3"/>
  <c r="S5824" i="3"/>
  <c r="S5823" i="3"/>
  <c r="S5822" i="3"/>
  <c r="S5821" i="3"/>
  <c r="S5820" i="3"/>
  <c r="S5819" i="3"/>
  <c r="S5818" i="3"/>
  <c r="S5817" i="3"/>
  <c r="S5816" i="3"/>
  <c r="S5815" i="3"/>
  <c r="S5814" i="3"/>
  <c r="S5813" i="3"/>
  <c r="S5812" i="3"/>
  <c r="S5811" i="3"/>
  <c r="S5810" i="3"/>
  <c r="S5809" i="3"/>
  <c r="S5808" i="3"/>
  <c r="S5807" i="3"/>
  <c r="S5806" i="3"/>
  <c r="S5805" i="3"/>
  <c r="S5804" i="3"/>
  <c r="S5803" i="3"/>
  <c r="S5802" i="3"/>
  <c r="S5801" i="3"/>
  <c r="S5800" i="3"/>
  <c r="S5799" i="3"/>
  <c r="S5798" i="3"/>
  <c r="S5797" i="3"/>
  <c r="S5796" i="3"/>
  <c r="S5795" i="3"/>
  <c r="S5794" i="3"/>
  <c r="S5793" i="3"/>
  <c r="S5792" i="3"/>
  <c r="S5791" i="3"/>
  <c r="S5790" i="3"/>
  <c r="S5789" i="3"/>
  <c r="S5788" i="3"/>
  <c r="S5787" i="3"/>
  <c r="S5786" i="3"/>
  <c r="S5785" i="3"/>
  <c r="S5784" i="3"/>
  <c r="S5783" i="3"/>
  <c r="S5782" i="3"/>
  <c r="S5781" i="3"/>
  <c r="S5780" i="3"/>
  <c r="S5779" i="3"/>
  <c r="S5778" i="3"/>
  <c r="S5777" i="3"/>
  <c r="S5776" i="3"/>
  <c r="S5775" i="3"/>
  <c r="S5774" i="3"/>
  <c r="S5773" i="3"/>
  <c r="S5772" i="3"/>
  <c r="S5771" i="3"/>
  <c r="S5770" i="3"/>
  <c r="S5769" i="3"/>
  <c r="S5768" i="3"/>
  <c r="S5767" i="3"/>
  <c r="S5766" i="3"/>
  <c r="S5765" i="3"/>
  <c r="S5764" i="3"/>
  <c r="S5763" i="3"/>
  <c r="S5762" i="3"/>
  <c r="S5761" i="3"/>
  <c r="S5760" i="3"/>
  <c r="S5759" i="3"/>
  <c r="S5758" i="3"/>
  <c r="S5757" i="3"/>
  <c r="S5756" i="3"/>
  <c r="S5755" i="3"/>
  <c r="S5754" i="3"/>
  <c r="S5753" i="3"/>
  <c r="S5752" i="3"/>
  <c r="S5751" i="3"/>
  <c r="S5750" i="3"/>
  <c r="S5749" i="3"/>
  <c r="S5748" i="3"/>
  <c r="S5747" i="3"/>
  <c r="S5746" i="3"/>
  <c r="S5745" i="3"/>
  <c r="S5744" i="3"/>
  <c r="S5743" i="3"/>
  <c r="S5742" i="3"/>
  <c r="S5741" i="3"/>
  <c r="S5740" i="3"/>
  <c r="S5739" i="3"/>
  <c r="S5738" i="3"/>
  <c r="S5737" i="3"/>
  <c r="S5736" i="3"/>
  <c r="S5735" i="3"/>
  <c r="S5734" i="3"/>
  <c r="S5733" i="3"/>
  <c r="S5732" i="3"/>
  <c r="S5731" i="3"/>
  <c r="S5730" i="3"/>
  <c r="S5729" i="3"/>
  <c r="S5728" i="3"/>
  <c r="S5727" i="3"/>
  <c r="S5726" i="3"/>
  <c r="S5725" i="3"/>
  <c r="S5724" i="3"/>
  <c r="S5723" i="3"/>
  <c r="S5722" i="3"/>
  <c r="S5721" i="3"/>
  <c r="S5716" i="3"/>
  <c r="S5713" i="3"/>
  <c r="S5712" i="3"/>
  <c r="S5706" i="3"/>
  <c r="S5705" i="3"/>
  <c r="S5704" i="3"/>
  <c r="S5703" i="3"/>
  <c r="S5702" i="3"/>
  <c r="S5701" i="3"/>
  <c r="S5700" i="3"/>
  <c r="S5699" i="3"/>
  <c r="S5698" i="3"/>
  <c r="S5697" i="3"/>
  <c r="S5696" i="3"/>
  <c r="S5695" i="3"/>
  <c r="S5694" i="3"/>
  <c r="S5693" i="3"/>
  <c r="S5692" i="3"/>
  <c r="S5691" i="3"/>
  <c r="S5690" i="3"/>
  <c r="S5689" i="3"/>
  <c r="S5688" i="3"/>
  <c r="S5687" i="3"/>
  <c r="S5686" i="3"/>
  <c r="S5685" i="3"/>
  <c r="S5684" i="3"/>
  <c r="S5683" i="3"/>
  <c r="S5682" i="3"/>
  <c r="S5681" i="3"/>
  <c r="S5680" i="3"/>
  <c r="S5679" i="3"/>
  <c r="S5678" i="3"/>
  <c r="S5677" i="3"/>
  <c r="S5676" i="3"/>
  <c r="S5675" i="3"/>
  <c r="S5674" i="3"/>
  <c r="S5673" i="3"/>
  <c r="S5672" i="3"/>
  <c r="S5671" i="3"/>
  <c r="S5670" i="3"/>
  <c r="S5669" i="3"/>
  <c r="S5666" i="3"/>
  <c r="S5665" i="3"/>
  <c r="S5664" i="3"/>
  <c r="S5663" i="3"/>
  <c r="S5662" i="3"/>
  <c r="S5661" i="3"/>
  <c r="S5660" i="3"/>
  <c r="S5659" i="3"/>
  <c r="S5658" i="3"/>
  <c r="S5657" i="3"/>
  <c r="S5656" i="3"/>
  <c r="S5655" i="3"/>
  <c r="S5654" i="3"/>
  <c r="S5653" i="3"/>
  <c r="S5652" i="3"/>
  <c r="S5651" i="3"/>
  <c r="S5650" i="3"/>
  <c r="S5649" i="3"/>
  <c r="S5648" i="3"/>
  <c r="S5647" i="3"/>
  <c r="S5646" i="3"/>
  <c r="S5645" i="3"/>
  <c r="S5644" i="3"/>
  <c r="S5643" i="3"/>
  <c r="S5642" i="3"/>
  <c r="S5641" i="3"/>
  <c r="S5640" i="3"/>
  <c r="S5639" i="3"/>
  <c r="S5638" i="3"/>
  <c r="S5637" i="3"/>
  <c r="S5636" i="3"/>
  <c r="S5635" i="3"/>
  <c r="S5634" i="3"/>
  <c r="S5633" i="3"/>
  <c r="S5632" i="3"/>
  <c r="S5631" i="3"/>
  <c r="S5630" i="3"/>
  <c r="S5629" i="3"/>
  <c r="S5628" i="3"/>
  <c r="S5627" i="3"/>
  <c r="S5626" i="3"/>
  <c r="S5625" i="3"/>
  <c r="S5624" i="3"/>
  <c r="S5623" i="3"/>
  <c r="S5622" i="3"/>
  <c r="S5621" i="3"/>
  <c r="S5620" i="3"/>
  <c r="S5619" i="3"/>
  <c r="S5618" i="3"/>
  <c r="S5617" i="3"/>
  <c r="S5616" i="3"/>
  <c r="S5615" i="3"/>
  <c r="S5614" i="3"/>
  <c r="S5613" i="3"/>
  <c r="S5612" i="3"/>
  <c r="S5611" i="3"/>
  <c r="S5610" i="3"/>
  <c r="S5609" i="3"/>
  <c r="S5608" i="3"/>
  <c r="S5607" i="3"/>
  <c r="S5606" i="3"/>
  <c r="S5605" i="3"/>
  <c r="S5604" i="3"/>
  <c r="S5603" i="3"/>
  <c r="S5602" i="3"/>
  <c r="S5601" i="3"/>
  <c r="S5600" i="3"/>
  <c r="S5599" i="3"/>
  <c r="S5598" i="3"/>
  <c r="S5597" i="3"/>
  <c r="S5596" i="3"/>
  <c r="S5595" i="3"/>
  <c r="S5594" i="3"/>
  <c r="S5593" i="3"/>
  <c r="S5592" i="3"/>
  <c r="S5591" i="3"/>
  <c r="S5590" i="3"/>
  <c r="S5589" i="3"/>
  <c r="S5588" i="3"/>
  <c r="S5587" i="3"/>
  <c r="S5586" i="3"/>
  <c r="S5585" i="3"/>
  <c r="S5584" i="3"/>
  <c r="S5583" i="3"/>
  <c r="S5582" i="3"/>
  <c r="S5581" i="3"/>
  <c r="S5580" i="3"/>
  <c r="S5579" i="3"/>
  <c r="S5578" i="3"/>
  <c r="S5577" i="3"/>
  <c r="S5576" i="3"/>
  <c r="S5574" i="3"/>
  <c r="S5573" i="3"/>
  <c r="S5572" i="3"/>
  <c r="S5571" i="3"/>
  <c r="S5570" i="3"/>
  <c r="S5569" i="3"/>
  <c r="S5568" i="3"/>
  <c r="S5567" i="3"/>
  <c r="S5566" i="3"/>
  <c r="S5565" i="3"/>
  <c r="S5564" i="3"/>
  <c r="S5563" i="3"/>
  <c r="S5562" i="3"/>
  <c r="S5561" i="3"/>
  <c r="S5560" i="3"/>
  <c r="S5559" i="3"/>
  <c r="S5558" i="3"/>
  <c r="S5557" i="3"/>
  <c r="S5556" i="3"/>
  <c r="S5555" i="3"/>
  <c r="S5554" i="3"/>
  <c r="S5552" i="3"/>
  <c r="S5551" i="3"/>
  <c r="S5550" i="3"/>
  <c r="S5549" i="3"/>
  <c r="S5548" i="3"/>
  <c r="S5547" i="3"/>
  <c r="S5546" i="3"/>
  <c r="S5544" i="3"/>
  <c r="S5542" i="3"/>
  <c r="S5540" i="3"/>
  <c r="S5538" i="3"/>
  <c r="S5536" i="3"/>
  <c r="S5071" i="3" l="1"/>
  <c r="S5534" i="3"/>
  <c r="S5533" i="3"/>
  <c r="S5532" i="3"/>
  <c r="S5531" i="3"/>
  <c r="S5530" i="3"/>
  <c r="S5529" i="3"/>
  <c r="S5528" i="3"/>
  <c r="S5527" i="3"/>
  <c r="S5526" i="3"/>
  <c r="S5525" i="3"/>
  <c r="S5524" i="3"/>
  <c r="S5523" i="3"/>
  <c r="S5522" i="3"/>
  <c r="S5521" i="3"/>
  <c r="S5520" i="3"/>
  <c r="S5519" i="3"/>
  <c r="S5518" i="3"/>
  <c r="S5517" i="3"/>
  <c r="S5516" i="3"/>
  <c r="S5515" i="3"/>
  <c r="S5514" i="3"/>
  <c r="S5513" i="3"/>
  <c r="S5512" i="3"/>
  <c r="S5511" i="3"/>
  <c r="S5510" i="3"/>
  <c r="S5509" i="3"/>
  <c r="S5508" i="3"/>
  <c r="S5507" i="3"/>
  <c r="S5506" i="3"/>
  <c r="S5505" i="3"/>
  <c r="S5504" i="3"/>
  <c r="S5503" i="3"/>
  <c r="S5502" i="3"/>
  <c r="S5501" i="3"/>
  <c r="S5500" i="3"/>
  <c r="S5499" i="3"/>
  <c r="S5498" i="3"/>
  <c r="S5497" i="3"/>
  <c r="S5496" i="3"/>
  <c r="S5495" i="3"/>
  <c r="S5494" i="3"/>
  <c r="S5493" i="3"/>
  <c r="S5492" i="3"/>
  <c r="S5491" i="3"/>
  <c r="S5490" i="3"/>
  <c r="S5489" i="3"/>
  <c r="S5488" i="3"/>
  <c r="S5487" i="3"/>
  <c r="S5486" i="3"/>
  <c r="S5485" i="3"/>
  <c r="S5484" i="3"/>
  <c r="S5483" i="3"/>
  <c r="S5482" i="3"/>
  <c r="S5481" i="3"/>
  <c r="S5480" i="3"/>
  <c r="S5479" i="3"/>
  <c r="S5478" i="3"/>
  <c r="S5477" i="3"/>
  <c r="S5476" i="3"/>
  <c r="S5475" i="3"/>
  <c r="S5474" i="3"/>
  <c r="S5473" i="3"/>
  <c r="S5472" i="3"/>
  <c r="S5471" i="3"/>
  <c r="S5470" i="3"/>
  <c r="S5469" i="3"/>
  <c r="S5468" i="3"/>
  <c r="S5467" i="3"/>
  <c r="S5466" i="3"/>
  <c r="S5465" i="3"/>
  <c r="S5464" i="3"/>
  <c r="S5463" i="3"/>
  <c r="S5462" i="3"/>
  <c r="S5461" i="3"/>
  <c r="S5460" i="3"/>
  <c r="S5459" i="3"/>
  <c r="S5458" i="3"/>
  <c r="S5457" i="3"/>
  <c r="S5456" i="3"/>
  <c r="S5455" i="3"/>
  <c r="S5454" i="3"/>
  <c r="S5453" i="3"/>
  <c r="S5452" i="3"/>
  <c r="S5451" i="3"/>
  <c r="S5450" i="3"/>
  <c r="S5449" i="3"/>
  <c r="S5448" i="3"/>
  <c r="S5447" i="3"/>
  <c r="S5446" i="3"/>
  <c r="S5445" i="3"/>
  <c r="S5444" i="3"/>
  <c r="S5443" i="3"/>
  <c r="S5442" i="3"/>
  <c r="S5441" i="3"/>
  <c r="S5440" i="3"/>
  <c r="S5439" i="3"/>
  <c r="S5438" i="3"/>
  <c r="S5437" i="3"/>
  <c r="S5436" i="3"/>
  <c r="S5435" i="3"/>
  <c r="S5434" i="3"/>
  <c r="S5433" i="3"/>
  <c r="S5432" i="3"/>
  <c r="S5431" i="3"/>
  <c r="S5430" i="3"/>
  <c r="S5429" i="3"/>
  <c r="S5428" i="3"/>
  <c r="S5427" i="3"/>
  <c r="S5426" i="3"/>
  <c r="S5425" i="3"/>
  <c r="S5424" i="3"/>
  <c r="S5423" i="3"/>
  <c r="S5422" i="3"/>
  <c r="S5421" i="3"/>
  <c r="S5420" i="3"/>
  <c r="S5419" i="3"/>
  <c r="S5418" i="3"/>
  <c r="S5417" i="3"/>
  <c r="S5416" i="3"/>
  <c r="S5415" i="3"/>
  <c r="S5414" i="3"/>
  <c r="S5413" i="3"/>
  <c r="S5412" i="3"/>
  <c r="S5411" i="3"/>
  <c r="S5410" i="3"/>
  <c r="S5409" i="3"/>
  <c r="S5408" i="3"/>
  <c r="S5407" i="3"/>
  <c r="S5406" i="3"/>
  <c r="S5405" i="3"/>
  <c r="S5404" i="3"/>
  <c r="S5403" i="3"/>
  <c r="S5402" i="3"/>
  <c r="S5401" i="3"/>
  <c r="S5400" i="3"/>
  <c r="S5399" i="3"/>
  <c r="S5398" i="3"/>
  <c r="S5397" i="3"/>
  <c r="S5396" i="3"/>
  <c r="S5395" i="3"/>
  <c r="S5394" i="3"/>
  <c r="S5393" i="3"/>
  <c r="S5392" i="3"/>
  <c r="S5391" i="3"/>
  <c r="S5390" i="3"/>
  <c r="S5389" i="3"/>
  <c r="S5388" i="3"/>
  <c r="S5387" i="3"/>
  <c r="S5386" i="3"/>
  <c r="S5385" i="3"/>
  <c r="S5384" i="3"/>
  <c r="S5383" i="3"/>
  <c r="S5382" i="3"/>
  <c r="S5381" i="3"/>
  <c r="S5380" i="3"/>
  <c r="S5379" i="3"/>
  <c r="S5378" i="3"/>
  <c r="S5377" i="3"/>
  <c r="S5376" i="3"/>
  <c r="S5375" i="3"/>
  <c r="S5374" i="3"/>
  <c r="S5373" i="3"/>
  <c r="S5372" i="3"/>
  <c r="S5371" i="3"/>
  <c r="S5370" i="3"/>
  <c r="S5369" i="3"/>
  <c r="S5368" i="3"/>
  <c r="S5367" i="3"/>
  <c r="S5366" i="3"/>
  <c r="S5365" i="3"/>
  <c r="S5364" i="3"/>
  <c r="S5363" i="3"/>
  <c r="S5362" i="3"/>
  <c r="S5361" i="3"/>
  <c r="S5360" i="3"/>
  <c r="S5359" i="3"/>
  <c r="S5358" i="3"/>
  <c r="S5357" i="3"/>
  <c r="S5356" i="3"/>
  <c r="S5355" i="3"/>
  <c r="S5354" i="3"/>
  <c r="S5353" i="3"/>
  <c r="S5352" i="3"/>
  <c r="S5351" i="3"/>
  <c r="S5350" i="3"/>
  <c r="S5349" i="3"/>
  <c r="S5348" i="3"/>
  <c r="S5347" i="3"/>
  <c r="S5346" i="3"/>
  <c r="S5345" i="3"/>
  <c r="S5344" i="3"/>
  <c r="S5343" i="3"/>
  <c r="S5342" i="3"/>
  <c r="S5341" i="3"/>
  <c r="S5340" i="3"/>
  <c r="S5339" i="3"/>
  <c r="S5338" i="3"/>
  <c r="S5337" i="3"/>
  <c r="S5336" i="3"/>
  <c r="S5335" i="3"/>
  <c r="S5334" i="3"/>
  <c r="S5333" i="3"/>
  <c r="S5332" i="3"/>
  <c r="S5331" i="3"/>
  <c r="S5330" i="3"/>
  <c r="S5329" i="3"/>
  <c r="S5328" i="3"/>
  <c r="S5327" i="3"/>
  <c r="S5326" i="3"/>
  <c r="S5325" i="3"/>
  <c r="S5324" i="3"/>
  <c r="S5323" i="3"/>
  <c r="S5322" i="3"/>
  <c r="S5321" i="3"/>
  <c r="S5320" i="3"/>
  <c r="S5319" i="3"/>
  <c r="S5318" i="3"/>
  <c r="S5317" i="3"/>
  <c r="S5316" i="3"/>
  <c r="S5315" i="3"/>
  <c r="S5314" i="3"/>
  <c r="S5313" i="3"/>
  <c r="S5312" i="3"/>
  <c r="S5311" i="3"/>
  <c r="S5310" i="3"/>
  <c r="S5309" i="3"/>
  <c r="S5308" i="3"/>
  <c r="S5307" i="3"/>
  <c r="S5306" i="3"/>
  <c r="S5305" i="3"/>
  <c r="S5304" i="3"/>
  <c r="S5303" i="3"/>
  <c r="S5302" i="3"/>
  <c r="S5301" i="3"/>
  <c r="S5300" i="3"/>
  <c r="S5299" i="3"/>
  <c r="S5298" i="3"/>
  <c r="S5297" i="3"/>
  <c r="S5296" i="3"/>
  <c r="S5295" i="3"/>
  <c r="S5294" i="3"/>
  <c r="S5293" i="3"/>
  <c r="S5292" i="3"/>
  <c r="S5291" i="3"/>
  <c r="S5290" i="3"/>
  <c r="S5289" i="3"/>
  <c r="S5288" i="3"/>
  <c r="S5287" i="3"/>
  <c r="S5286" i="3"/>
  <c r="S5285" i="3"/>
  <c r="S5284" i="3"/>
  <c r="S5283" i="3"/>
  <c r="S5282" i="3"/>
  <c r="S5281" i="3"/>
  <c r="S5280" i="3"/>
  <c r="S5279" i="3"/>
  <c r="S5278" i="3"/>
  <c r="S5277" i="3"/>
  <c r="S5276" i="3"/>
  <c r="S5275" i="3"/>
  <c r="S5274" i="3"/>
  <c r="S5273" i="3"/>
  <c r="S5272" i="3"/>
  <c r="S5271" i="3"/>
  <c r="S5270" i="3"/>
  <c r="S5269" i="3"/>
  <c r="S5268" i="3"/>
  <c r="S5267" i="3"/>
  <c r="S5266" i="3"/>
  <c r="S5265" i="3"/>
  <c r="S5264" i="3"/>
  <c r="S5263" i="3"/>
  <c r="S5262" i="3"/>
  <c r="S5261" i="3"/>
  <c r="S5260" i="3"/>
  <c r="S5259" i="3"/>
  <c r="S5258" i="3"/>
  <c r="S5257" i="3"/>
  <c r="S5256" i="3"/>
  <c r="S5255" i="3"/>
  <c r="S5254" i="3"/>
  <c r="S5253" i="3"/>
  <c r="S5252" i="3"/>
  <c r="S5251" i="3"/>
  <c r="S5250" i="3"/>
  <c r="S5249" i="3"/>
  <c r="S5248" i="3"/>
  <c r="S5247" i="3"/>
  <c r="S5246" i="3"/>
  <c r="S5245" i="3"/>
  <c r="S5244" i="3"/>
  <c r="S5243" i="3"/>
  <c r="S5242" i="3"/>
  <c r="S5241" i="3"/>
  <c r="S5240" i="3"/>
  <c r="S5239" i="3"/>
  <c r="S5238" i="3"/>
  <c r="S5237" i="3"/>
  <c r="S5236" i="3"/>
  <c r="S5235" i="3"/>
  <c r="S5234" i="3"/>
  <c r="S5232" i="3"/>
  <c r="S5230" i="3"/>
  <c r="S5228" i="3"/>
  <c r="S5226" i="3"/>
  <c r="S5224" i="3"/>
  <c r="S5221" i="3"/>
  <c r="S5220" i="3"/>
  <c r="S5219" i="3"/>
  <c r="S5218" i="3"/>
  <c r="S5217" i="3"/>
  <c r="S5216" i="3"/>
  <c r="S5215" i="3"/>
  <c r="S5214" i="3"/>
  <c r="S5213" i="3"/>
  <c r="S5212" i="3"/>
  <c r="S5211" i="3"/>
  <c r="S5210" i="3"/>
  <c r="S5209" i="3"/>
  <c r="S5208" i="3"/>
  <c r="S5207" i="3"/>
  <c r="S5206" i="3"/>
  <c r="S5205" i="3"/>
  <c r="S5204" i="3"/>
  <c r="S5203" i="3"/>
  <c r="S5202" i="3"/>
  <c r="S5201" i="3"/>
  <c r="S5200" i="3"/>
  <c r="S5199" i="3"/>
  <c r="S5198" i="3"/>
  <c r="S5197" i="3"/>
  <c r="S5196" i="3"/>
  <c r="S5195" i="3"/>
  <c r="S5194" i="3"/>
  <c r="S5193" i="3"/>
  <c r="S5192" i="3"/>
  <c r="S5191" i="3"/>
  <c r="S5190" i="3"/>
  <c r="S5189" i="3"/>
  <c r="S5188" i="3"/>
  <c r="S5187" i="3"/>
  <c r="S5186" i="3"/>
  <c r="S5185" i="3"/>
  <c r="S5184" i="3"/>
  <c r="S5183" i="3"/>
  <c r="S5182" i="3"/>
  <c r="S5181" i="3"/>
  <c r="S5180" i="3"/>
  <c r="S5179" i="3"/>
  <c r="S5178" i="3"/>
  <c r="S5177" i="3"/>
  <c r="S5176" i="3"/>
  <c r="S5175" i="3"/>
  <c r="S5174" i="3"/>
  <c r="S5173" i="3"/>
  <c r="S5172" i="3"/>
  <c r="S5171" i="3"/>
  <c r="S5170" i="3"/>
  <c r="S5169" i="3"/>
  <c r="S5168" i="3"/>
  <c r="S5167" i="3"/>
  <c r="S5166" i="3"/>
  <c r="S5165" i="3"/>
  <c r="S5164" i="3"/>
  <c r="S5163" i="3"/>
  <c r="S5162" i="3"/>
  <c r="S5161" i="3"/>
  <c r="S5160" i="3"/>
  <c r="S5159" i="3"/>
  <c r="S5158" i="3"/>
  <c r="S5157" i="3"/>
  <c r="S5156" i="3"/>
  <c r="S5155" i="3"/>
  <c r="S5154" i="3"/>
  <c r="S5153" i="3"/>
  <c r="S5152" i="3"/>
  <c r="S5151" i="3"/>
  <c r="S5150" i="3"/>
  <c r="S5149" i="3"/>
  <c r="S5148" i="3"/>
  <c r="S5147" i="3"/>
  <c r="S5146" i="3"/>
  <c r="S5145" i="3"/>
  <c r="S5144" i="3"/>
  <c r="S5143" i="3"/>
  <c r="S5142" i="3"/>
  <c r="S5141" i="3"/>
  <c r="S5140" i="3"/>
  <c r="S5139" i="3"/>
  <c r="S5138" i="3"/>
  <c r="S5137" i="3"/>
  <c r="S5136" i="3"/>
  <c r="S5135" i="3"/>
  <c r="S5134" i="3"/>
  <c r="S5133" i="3"/>
  <c r="S5132" i="3"/>
  <c r="S5131" i="3"/>
  <c r="S5130" i="3"/>
  <c r="S5129" i="3"/>
  <c r="S5128" i="3"/>
  <c r="S5127" i="3"/>
  <c r="S5126" i="3"/>
  <c r="S5125" i="3"/>
  <c r="S5124" i="3"/>
  <c r="S5123" i="3"/>
  <c r="S5122" i="3"/>
  <c r="S5121" i="3"/>
  <c r="S5120" i="3"/>
  <c r="S5119" i="3"/>
  <c r="S5118" i="3"/>
  <c r="S5117" i="3"/>
  <c r="S5116" i="3"/>
  <c r="S5115" i="3"/>
  <c r="S5114" i="3"/>
  <c r="S5113" i="3"/>
  <c r="S5112" i="3"/>
  <c r="S5111" i="3"/>
  <c r="S5110" i="3"/>
  <c r="S5109" i="3"/>
  <c r="S5108" i="3"/>
  <c r="S5107" i="3"/>
  <c r="S5106" i="3"/>
  <c r="S5105" i="3"/>
  <c r="S5104" i="3"/>
  <c r="S5103" i="3"/>
  <c r="S5102" i="3"/>
  <c r="S5101" i="3"/>
  <c r="S5099" i="3"/>
  <c r="S5097" i="3"/>
  <c r="S5095" i="3"/>
  <c r="S5094" i="3"/>
  <c r="S5092" i="3"/>
  <c r="S5090" i="3"/>
  <c r="S5089" i="3"/>
  <c r="S5088" i="3"/>
  <c r="S5087" i="3"/>
  <c r="S5086" i="3"/>
  <c r="S5085" i="3"/>
  <c r="S5084" i="3"/>
  <c r="S5083" i="3"/>
  <c r="S5082" i="3"/>
  <c r="S5081" i="3"/>
  <c r="S5080" i="3"/>
  <c r="S5079" i="3"/>
  <c r="S5078" i="3"/>
  <c r="S5077" i="3"/>
  <c r="S5076" i="3"/>
  <c r="S5075" i="3"/>
  <c r="S5074" i="3"/>
  <c r="S5073" i="3"/>
  <c r="S5072" i="3"/>
  <c r="S5070" i="3"/>
  <c r="S5069" i="3"/>
  <c r="S5065" i="3"/>
  <c r="S5057" i="3"/>
  <c r="S5056" i="3"/>
  <c r="S5055" i="3"/>
  <c r="S5054" i="3"/>
  <c r="S5053" i="3"/>
  <c r="S5052" i="3"/>
  <c r="S5051" i="3"/>
  <c r="S5050" i="3"/>
  <c r="S5049" i="3"/>
  <c r="S5048" i="3"/>
  <c r="S5047" i="3"/>
  <c r="S5046" i="3"/>
  <c r="S5045" i="3"/>
  <c r="S5044" i="3"/>
  <c r="S5043" i="3"/>
  <c r="S5042" i="3"/>
  <c r="S5041" i="3"/>
  <c r="S5040" i="3"/>
  <c r="S5039" i="3"/>
  <c r="S5038" i="3"/>
  <c r="S5037" i="3"/>
  <c r="S5036" i="3"/>
  <c r="S5035" i="3"/>
  <c r="S5034" i="3"/>
  <c r="S5033" i="3"/>
  <c r="S5032" i="3"/>
  <c r="S5031" i="3"/>
  <c r="S5030" i="3"/>
  <c r="S5029" i="3"/>
  <c r="S5028" i="3"/>
  <c r="S5027" i="3"/>
  <c r="S5026" i="3"/>
  <c r="S5025" i="3"/>
  <c r="S5024" i="3"/>
  <c r="S5023" i="3"/>
  <c r="S5022" i="3"/>
  <c r="S5021" i="3"/>
  <c r="S5020" i="3"/>
  <c r="S5019" i="3"/>
  <c r="S5018" i="3"/>
  <c r="S5017" i="3"/>
  <c r="S5016" i="3"/>
  <c r="S5015" i="3"/>
  <c r="S5014" i="3"/>
  <c r="S5013" i="3"/>
  <c r="S5012" i="3"/>
  <c r="S5011" i="3"/>
  <c r="S5010" i="3"/>
  <c r="S5009" i="3"/>
  <c r="S5008" i="3"/>
  <c r="S5007" i="3"/>
  <c r="S5006" i="3"/>
  <c r="S5005" i="3"/>
  <c r="S5004" i="3"/>
  <c r="S5003" i="3"/>
  <c r="S5002" i="3"/>
  <c r="S5001" i="3"/>
  <c r="S5000" i="3"/>
  <c r="S4999" i="3"/>
  <c r="S4998" i="3"/>
  <c r="S4997" i="3"/>
  <c r="S4994" i="3"/>
  <c r="S4993" i="3"/>
  <c r="S4992" i="3"/>
  <c r="S4991" i="3"/>
  <c r="S4990" i="3"/>
  <c r="S4989" i="3"/>
  <c r="S4988" i="3"/>
  <c r="S4987" i="3"/>
  <c r="S4986" i="3"/>
  <c r="S4985" i="3"/>
  <c r="S4984" i="3"/>
  <c r="S4983" i="3"/>
  <c r="S4982" i="3"/>
  <c r="S4981" i="3"/>
  <c r="S4980" i="3"/>
  <c r="S4979" i="3"/>
  <c r="S4978" i="3"/>
  <c r="S4977" i="3"/>
  <c r="S4976" i="3"/>
  <c r="S4975" i="3"/>
  <c r="S4974" i="3"/>
  <c r="S4973" i="3"/>
  <c r="S4972" i="3"/>
  <c r="S4971" i="3"/>
  <c r="S4970" i="3"/>
  <c r="S4969" i="3"/>
  <c r="S4968" i="3"/>
  <c r="S4967" i="3"/>
  <c r="S4966" i="3"/>
  <c r="S4965" i="3"/>
  <c r="S4964" i="3"/>
  <c r="S4963" i="3"/>
  <c r="S4962" i="3"/>
  <c r="S4961" i="3"/>
  <c r="S4960" i="3"/>
  <c r="S4959" i="3"/>
  <c r="S4958" i="3"/>
  <c r="S4957" i="3"/>
  <c r="S4956" i="3"/>
  <c r="S4955" i="3"/>
  <c r="S4954" i="3"/>
  <c r="S4953" i="3"/>
  <c r="S4952" i="3"/>
  <c r="S4951" i="3"/>
  <c r="S4950" i="3"/>
  <c r="S4949" i="3"/>
  <c r="S4948" i="3"/>
  <c r="S4947" i="3"/>
  <c r="S4946" i="3"/>
  <c r="S4945" i="3"/>
  <c r="S4944" i="3"/>
  <c r="S4943" i="3"/>
  <c r="S4942" i="3"/>
  <c r="S4941" i="3"/>
  <c r="S4940" i="3"/>
  <c r="S4939" i="3"/>
  <c r="S4933" i="3"/>
  <c r="S4932" i="3"/>
  <c r="S4931" i="3"/>
  <c r="S4930" i="3"/>
  <c r="S4929" i="3"/>
  <c r="S4928" i="3"/>
  <c r="S4927" i="3"/>
  <c r="S4926" i="3"/>
  <c r="S4925" i="3"/>
  <c r="S4924" i="3"/>
  <c r="S4923" i="3"/>
  <c r="S4922" i="3"/>
  <c r="S4921" i="3"/>
  <c r="S4920" i="3"/>
  <c r="S4919" i="3"/>
  <c r="S4918" i="3"/>
  <c r="S4917" i="3"/>
  <c r="S4916" i="3"/>
  <c r="S4915" i="3"/>
  <c r="S4914" i="3"/>
  <c r="S4913" i="3"/>
  <c r="S4912" i="3"/>
  <c r="S4911" i="3"/>
  <c r="S4910" i="3"/>
  <c r="S4909" i="3"/>
  <c r="S4908" i="3"/>
  <c r="S4907" i="3"/>
  <c r="S4906" i="3"/>
  <c r="S4905" i="3"/>
  <c r="S4904" i="3"/>
  <c r="S4903" i="3"/>
  <c r="S4902" i="3"/>
  <c r="S4901" i="3"/>
  <c r="S4900" i="3"/>
  <c r="S4899" i="3"/>
  <c r="S4898" i="3"/>
  <c r="S4897" i="3"/>
  <c r="S4896" i="3"/>
  <c r="S4895" i="3"/>
  <c r="S4894" i="3"/>
  <c r="S4893" i="3"/>
  <c r="S4892" i="3"/>
  <c r="S4891" i="3"/>
  <c r="S4890" i="3"/>
  <c r="S4889" i="3"/>
  <c r="S4888" i="3"/>
  <c r="S4887" i="3"/>
  <c r="S4886" i="3"/>
  <c r="S4885" i="3"/>
  <c r="S4884" i="3"/>
  <c r="S4883" i="3"/>
  <c r="S4882" i="3"/>
  <c r="S4881" i="3"/>
  <c r="S4880" i="3"/>
  <c r="S4879" i="3"/>
  <c r="S4878" i="3"/>
  <c r="S4877" i="3"/>
  <c r="S4876" i="3"/>
  <c r="S4875" i="3"/>
  <c r="S4874" i="3"/>
  <c r="S4873" i="3"/>
  <c r="S4872" i="3"/>
  <c r="S4871" i="3"/>
  <c r="S4870" i="3"/>
  <c r="S4869" i="3"/>
  <c r="S4868" i="3"/>
  <c r="S4867" i="3"/>
  <c r="S4866" i="3"/>
  <c r="S4865" i="3"/>
  <c r="S4864" i="3"/>
  <c r="S4863" i="3"/>
  <c r="S4862" i="3"/>
  <c r="S4861" i="3"/>
  <c r="S4860" i="3"/>
  <c r="S4859" i="3"/>
  <c r="S4858" i="3"/>
  <c r="S4857" i="3"/>
  <c r="S4856" i="3"/>
  <c r="S4855" i="3"/>
  <c r="S4854" i="3"/>
  <c r="S4853" i="3"/>
  <c r="S4852" i="3"/>
  <c r="S4851" i="3"/>
  <c r="S4850" i="3"/>
  <c r="S4849" i="3"/>
  <c r="S4848" i="3"/>
  <c r="S4847" i="3"/>
  <c r="S4846" i="3"/>
  <c r="S4845" i="3"/>
  <c r="S4844" i="3"/>
  <c r="S4843" i="3"/>
  <c r="S4842" i="3"/>
  <c r="S4841" i="3"/>
  <c r="S4840" i="3"/>
  <c r="S4839" i="3"/>
  <c r="S4838" i="3"/>
  <c r="S4837" i="3"/>
  <c r="S4836" i="3"/>
  <c r="S4835" i="3"/>
  <c r="S4834" i="3"/>
  <c r="S4833" i="3"/>
  <c r="S4832" i="3"/>
  <c r="S4831" i="3"/>
  <c r="S4830" i="3"/>
  <c r="S4829" i="3"/>
  <c r="S4828" i="3"/>
  <c r="S4827" i="3"/>
  <c r="S4826" i="3"/>
  <c r="S4825" i="3"/>
  <c r="S4824" i="3"/>
  <c r="S4823" i="3"/>
  <c r="S4822" i="3"/>
  <c r="S4821" i="3"/>
  <c r="S4820" i="3"/>
  <c r="S4819" i="3"/>
  <c r="S4818" i="3"/>
  <c r="S4817" i="3"/>
  <c r="S4816" i="3"/>
  <c r="S4815" i="3"/>
  <c r="S4814" i="3"/>
  <c r="S4813" i="3"/>
  <c r="S4812" i="3"/>
  <c r="S4811" i="3"/>
  <c r="S4810" i="3"/>
  <c r="S4809" i="3"/>
  <c r="S4808" i="3"/>
  <c r="S4807" i="3"/>
  <c r="S4806" i="3"/>
  <c r="S4805" i="3"/>
  <c r="S4804" i="3"/>
  <c r="S4803" i="3"/>
  <c r="S4802" i="3"/>
  <c r="S4801" i="3"/>
  <c r="S4800" i="3"/>
  <c r="S4799" i="3"/>
  <c r="S4798" i="3"/>
  <c r="S4797" i="3"/>
  <c r="S4796" i="3"/>
  <c r="S4795" i="3"/>
  <c r="S4794" i="3"/>
  <c r="S4793" i="3"/>
  <c r="S4792" i="3"/>
  <c r="S4791" i="3"/>
  <c r="S4790" i="3"/>
  <c r="S4789" i="3"/>
  <c r="S4788" i="3"/>
  <c r="S4787" i="3"/>
  <c r="S4786" i="3"/>
  <c r="S4785" i="3"/>
  <c r="S4784" i="3"/>
  <c r="S4783" i="3"/>
  <c r="S4782" i="3"/>
  <c r="S4781" i="3"/>
  <c r="S4780" i="3"/>
  <c r="S4779" i="3"/>
  <c r="S4778" i="3"/>
  <c r="S4777" i="3"/>
  <c r="S4776" i="3"/>
  <c r="S4775" i="3"/>
  <c r="S4774" i="3"/>
  <c r="S4773" i="3"/>
  <c r="S4772" i="3"/>
  <c r="S4771" i="3"/>
  <c r="S4770" i="3"/>
  <c r="S4769" i="3"/>
  <c r="S4768" i="3"/>
  <c r="S4767" i="3"/>
  <c r="S4766" i="3"/>
  <c r="S4765" i="3"/>
  <c r="S4764" i="3"/>
  <c r="S4763" i="3"/>
  <c r="S4762" i="3"/>
  <c r="S4761" i="3"/>
  <c r="S4760" i="3"/>
  <c r="S4759" i="3"/>
  <c r="S4754" i="3"/>
  <c r="S4753" i="3"/>
  <c r="S4747" i="3"/>
  <c r="S4746" i="3"/>
  <c r="S4745" i="3"/>
  <c r="S4744" i="3"/>
  <c r="S4743" i="3"/>
  <c r="S4741" i="3"/>
  <c r="S4740" i="3"/>
  <c r="S4739" i="3"/>
  <c r="S4738" i="3"/>
  <c r="S4737" i="3"/>
  <c r="S4736" i="3"/>
  <c r="S4735" i="3"/>
  <c r="S4734" i="3"/>
  <c r="S4733" i="3"/>
  <c r="S4732" i="3"/>
  <c r="S4731" i="3"/>
  <c r="S4730" i="3"/>
  <c r="S4729" i="3"/>
  <c r="S4728" i="3"/>
  <c r="S4727" i="3"/>
  <c r="S4726" i="3"/>
  <c r="S4725" i="3"/>
  <c r="S4724" i="3"/>
  <c r="S4723" i="3"/>
  <c r="S4722" i="3"/>
  <c r="S4721" i="3"/>
  <c r="S4711" i="3"/>
  <c r="S4710" i="3"/>
  <c r="S4709" i="3"/>
  <c r="S4708" i="3"/>
  <c r="S4707" i="3"/>
  <c r="S4706" i="3"/>
  <c r="S4705" i="3"/>
  <c r="S4704" i="3"/>
  <c r="S4703" i="3"/>
  <c r="S4702" i="3"/>
  <c r="S4701" i="3"/>
  <c r="S4700" i="3"/>
  <c r="S4699" i="3"/>
  <c r="S4698" i="3"/>
  <c r="S4697" i="3"/>
  <c r="S4696" i="3"/>
  <c r="S4695" i="3"/>
  <c r="S4694" i="3"/>
  <c r="S4693" i="3"/>
  <c r="S4692" i="3"/>
  <c r="S4691" i="3"/>
  <c r="S4690" i="3"/>
  <c r="S4689" i="3"/>
  <c r="S4688" i="3"/>
  <c r="S4687" i="3"/>
  <c r="S4686" i="3"/>
  <c r="S4685" i="3"/>
  <c r="S4684" i="3"/>
  <c r="S4683" i="3"/>
  <c r="S4682" i="3"/>
  <c r="S4681" i="3"/>
  <c r="S4680" i="3"/>
  <c r="S4679" i="3"/>
  <c r="S4678" i="3"/>
  <c r="S4677" i="3"/>
  <c r="S4676" i="3"/>
  <c r="S4675" i="3"/>
  <c r="S4674" i="3"/>
  <c r="S4673" i="3"/>
  <c r="S4672" i="3"/>
  <c r="S4671" i="3"/>
  <c r="S4670" i="3"/>
  <c r="S4669" i="3"/>
  <c r="S4668" i="3"/>
  <c r="S4667" i="3"/>
  <c r="S4666" i="3"/>
  <c r="S4665" i="3"/>
  <c r="S4664" i="3"/>
  <c r="S4663" i="3"/>
  <c r="S4662" i="3"/>
  <c r="S4661" i="3"/>
  <c r="S4660" i="3"/>
  <c r="S4659" i="3"/>
  <c r="S4658" i="3"/>
  <c r="S4657" i="3"/>
  <c r="S4656" i="3"/>
  <c r="S4655" i="3"/>
  <c r="S4654" i="3"/>
  <c r="S4652" i="3"/>
  <c r="S4650" i="3"/>
  <c r="S4649" i="3"/>
  <c r="S4648" i="3"/>
  <c r="S4647" i="3"/>
  <c r="S4646" i="3"/>
  <c r="S4645" i="3"/>
  <c r="S4644" i="3"/>
  <c r="S4643" i="3"/>
  <c r="S4642" i="3"/>
  <c r="S4641" i="3"/>
  <c r="S4640" i="3"/>
  <c r="S4639" i="3"/>
  <c r="S4638" i="3"/>
  <c r="S4637" i="3"/>
  <c r="S4636" i="3"/>
  <c r="S4635" i="3"/>
  <c r="S4634" i="3"/>
  <c r="S4633" i="3"/>
  <c r="S4632" i="3"/>
  <c r="S4631" i="3"/>
  <c r="S4630" i="3"/>
  <c r="S4629" i="3"/>
  <c r="S4628" i="3"/>
  <c r="S4627" i="3"/>
  <c r="S4626" i="3"/>
  <c r="S4625" i="3"/>
  <c r="S4624" i="3"/>
  <c r="S4623" i="3"/>
  <c r="S4622" i="3"/>
  <c r="S4621" i="3"/>
  <c r="S4620" i="3"/>
  <c r="S4619" i="3"/>
  <c r="S4618" i="3"/>
  <c r="S4617" i="3"/>
  <c r="S4616" i="3"/>
  <c r="S4615" i="3"/>
  <c r="S4614" i="3"/>
  <c r="S4613" i="3"/>
  <c r="S4612" i="3"/>
  <c r="S4611" i="3"/>
  <c r="S4610" i="3"/>
  <c r="S4609" i="3"/>
  <c r="S4608" i="3"/>
  <c r="S4607" i="3"/>
  <c r="S4606" i="3"/>
  <c r="S4605" i="3"/>
  <c r="S4604" i="3"/>
  <c r="S4603" i="3"/>
  <c r="S4602" i="3"/>
  <c r="S4601" i="3"/>
  <c r="S4600" i="3"/>
  <c r="S4599" i="3"/>
  <c r="S4598" i="3"/>
  <c r="S4596" i="3"/>
  <c r="S4595" i="3"/>
  <c r="S4594" i="3"/>
  <c r="S4593" i="3"/>
  <c r="S4592" i="3"/>
  <c r="S4591" i="3"/>
  <c r="S4590" i="3"/>
  <c r="S4589" i="3"/>
  <c r="S4588" i="3"/>
  <c r="S4587" i="3"/>
  <c r="S4586" i="3"/>
  <c r="S4585" i="3"/>
  <c r="S4584" i="3"/>
  <c r="S4583" i="3"/>
  <c r="S4582" i="3"/>
  <c r="S4580" i="3"/>
  <c r="S4579" i="3"/>
  <c r="S4578" i="3"/>
  <c r="S4577" i="3"/>
  <c r="S4576" i="3"/>
  <c r="S4575" i="3"/>
  <c r="S4574" i="3"/>
  <c r="S4573" i="3"/>
  <c r="S4572" i="3"/>
  <c r="S4571" i="3"/>
  <c r="S4570" i="3"/>
  <c r="S4569" i="3"/>
  <c r="S4568" i="3"/>
  <c r="S4565" i="3"/>
  <c r="S4564" i="3"/>
  <c r="S4563" i="3"/>
  <c r="S4562" i="3"/>
  <c r="S4561" i="3"/>
  <c r="S4560" i="3"/>
  <c r="S4559" i="3"/>
  <c r="S4558" i="3"/>
  <c r="S4557" i="3"/>
  <c r="S4556" i="3"/>
  <c r="S4555" i="3"/>
  <c r="S4554" i="3"/>
  <c r="S4553" i="3"/>
  <c r="S4552" i="3"/>
  <c r="S4551" i="3"/>
  <c r="S4550" i="3"/>
  <c r="S4549" i="3"/>
  <c r="S4548" i="3"/>
  <c r="S4547" i="3"/>
  <c r="S4546" i="3"/>
  <c r="S4545" i="3"/>
  <c r="S4544" i="3"/>
  <c r="S4543" i="3"/>
  <c r="S4542" i="3"/>
  <c r="S4541" i="3"/>
  <c r="S4540" i="3"/>
  <c r="S4539" i="3"/>
  <c r="S4538" i="3"/>
  <c r="S4537" i="3"/>
  <c r="S4536" i="3"/>
  <c r="S4535" i="3"/>
  <c r="S4534" i="3"/>
  <c r="S4533" i="3"/>
  <c r="S4532" i="3"/>
  <c r="S4531" i="3"/>
  <c r="S4530" i="3"/>
  <c r="S4529" i="3"/>
  <c r="S4528" i="3"/>
  <c r="S4527" i="3"/>
  <c r="S4526" i="3"/>
  <c r="S4525" i="3"/>
  <c r="S4524" i="3"/>
  <c r="S4523" i="3"/>
  <c r="S4522" i="3"/>
  <c r="S4521" i="3"/>
  <c r="S4520" i="3"/>
  <c r="S4519" i="3"/>
  <c r="S4518" i="3"/>
  <c r="S4517" i="3"/>
  <c r="S4516" i="3"/>
  <c r="S4515" i="3"/>
  <c r="S4514" i="3"/>
  <c r="S4513" i="3"/>
  <c r="S4512" i="3"/>
  <c r="S4511" i="3"/>
  <c r="S4510" i="3"/>
  <c r="S4509" i="3"/>
  <c r="S4508" i="3"/>
  <c r="S4506" i="3"/>
  <c r="S4505" i="3"/>
  <c r="S4504" i="3"/>
  <c r="S4503" i="3"/>
  <c r="S4502" i="3"/>
  <c r="S4501" i="3"/>
  <c r="S4500" i="3"/>
  <c r="S4499" i="3"/>
  <c r="S4498" i="3"/>
  <c r="S4497" i="3"/>
  <c r="S4496" i="3"/>
  <c r="S4495" i="3"/>
  <c r="S4494" i="3"/>
  <c r="S4493" i="3"/>
  <c r="S4492" i="3"/>
  <c r="S4491" i="3"/>
  <c r="S4490" i="3"/>
  <c r="S4489" i="3"/>
  <c r="S4488" i="3"/>
  <c r="S4487" i="3"/>
  <c r="S4486" i="3"/>
  <c r="S4485" i="3"/>
  <c r="S4484" i="3"/>
  <c r="S4483" i="3"/>
  <c r="S4482" i="3"/>
  <c r="S4481" i="3"/>
  <c r="S4480" i="3"/>
  <c r="S4479" i="3"/>
  <c r="S4478" i="3"/>
  <c r="S4477" i="3"/>
  <c r="S4476" i="3"/>
  <c r="S4475" i="3"/>
  <c r="S4474" i="3"/>
  <c r="S4473" i="3"/>
  <c r="S4472" i="3"/>
  <c r="S4471" i="3"/>
  <c r="S4470" i="3"/>
  <c r="S4469" i="3"/>
  <c r="S4468" i="3"/>
  <c r="S4467" i="3"/>
  <c r="S4466" i="3"/>
  <c r="S4465" i="3"/>
  <c r="S4464" i="3"/>
  <c r="S4463" i="3"/>
  <c r="S4462" i="3"/>
  <c r="S4461" i="3"/>
  <c r="S4460" i="3"/>
  <c r="S4459" i="3"/>
  <c r="S4458" i="3"/>
  <c r="S4457" i="3"/>
  <c r="S4456" i="3"/>
  <c r="S4455" i="3"/>
  <c r="S4454" i="3"/>
  <c r="S4453" i="3"/>
  <c r="S4452" i="3"/>
  <c r="S4451" i="3"/>
  <c r="S4450" i="3"/>
  <c r="S4449" i="3"/>
  <c r="S4448" i="3"/>
  <c r="S4447" i="3"/>
  <c r="S4446" i="3"/>
  <c r="S4445" i="3"/>
  <c r="S4441" i="3"/>
  <c r="S4440" i="3"/>
  <c r="S4439" i="3"/>
  <c r="S4438" i="3"/>
  <c r="S4437" i="3"/>
  <c r="S4436" i="3"/>
  <c r="S4435" i="3"/>
  <c r="S4434" i="3"/>
  <c r="S4433" i="3"/>
  <c r="S4432" i="3"/>
  <c r="S4431" i="3"/>
  <c r="S4430" i="3"/>
  <c r="S4429" i="3"/>
  <c r="S4428" i="3"/>
  <c r="S4427" i="3"/>
  <c r="S4426" i="3"/>
  <c r="S4425" i="3"/>
  <c r="S4424" i="3"/>
  <c r="S4423" i="3"/>
  <c r="S4422" i="3"/>
  <c r="S4421" i="3"/>
  <c r="S4420" i="3"/>
  <c r="S4419" i="3"/>
  <c r="S4418" i="3"/>
  <c r="S4417" i="3"/>
  <c r="S4416" i="3"/>
  <c r="S4415" i="3"/>
  <c r="S4414" i="3"/>
  <c r="S4413" i="3"/>
  <c r="S4412" i="3"/>
  <c r="S4411" i="3"/>
  <c r="S4410" i="3"/>
  <c r="S4409" i="3"/>
  <c r="S4408" i="3"/>
  <c r="S4407" i="3"/>
  <c r="S4406" i="3"/>
  <c r="S4405" i="3"/>
  <c r="S4404" i="3"/>
  <c r="S4403" i="3"/>
  <c r="S4402" i="3"/>
  <c r="S4401" i="3"/>
  <c r="S4400" i="3"/>
  <c r="S4399" i="3"/>
  <c r="S4398" i="3"/>
  <c r="S4397" i="3"/>
  <c r="S4396" i="3"/>
  <c r="S4395" i="3"/>
  <c r="S4394" i="3"/>
  <c r="S4393" i="3"/>
  <c r="S4392" i="3"/>
  <c r="S4391" i="3"/>
  <c r="S4390" i="3"/>
  <c r="S4389" i="3"/>
  <c r="S4388" i="3"/>
  <c r="S4386" i="3"/>
  <c r="S4384" i="3"/>
  <c r="S4383" i="3"/>
  <c r="S4382" i="3"/>
  <c r="S4381" i="3"/>
  <c r="S4380" i="3"/>
  <c r="S4379" i="3"/>
  <c r="S4378" i="3"/>
  <c r="S4377" i="3"/>
  <c r="S4376" i="3"/>
  <c r="S4375" i="3"/>
  <c r="S4374" i="3"/>
  <c r="S4373" i="3"/>
  <c r="S4372" i="3"/>
  <c r="S4371" i="3"/>
  <c r="S4370" i="3"/>
  <c r="S4369" i="3"/>
  <c r="S4368" i="3"/>
  <c r="S4367" i="3"/>
  <c r="S4366" i="3"/>
  <c r="S4365" i="3"/>
  <c r="S4364" i="3"/>
  <c r="S4363" i="3"/>
  <c r="S4362" i="3"/>
  <c r="S4361" i="3"/>
  <c r="S4360" i="3"/>
  <c r="S4358" i="3"/>
  <c r="S4357" i="3"/>
  <c r="S4356" i="3"/>
  <c r="S4355" i="3"/>
  <c r="S4354" i="3"/>
  <c r="S4353" i="3"/>
  <c r="S4352" i="3"/>
  <c r="S4351" i="3"/>
  <c r="S4350" i="3"/>
  <c r="S4349" i="3"/>
  <c r="S4348" i="3"/>
  <c r="S4347" i="3"/>
  <c r="S4346" i="3"/>
  <c r="S4345" i="3"/>
  <c r="S4344" i="3"/>
  <c r="S4343" i="3"/>
  <c r="S4342" i="3"/>
  <c r="S4341" i="3"/>
  <c r="S4340" i="3"/>
  <c r="S4339" i="3"/>
  <c r="S4338" i="3"/>
  <c r="S4337" i="3"/>
  <c r="S4336" i="3"/>
  <c r="S4335" i="3"/>
  <c r="S4334" i="3"/>
  <c r="S4333" i="3"/>
  <c r="S4332" i="3"/>
  <c r="S4331" i="3"/>
  <c r="S4330" i="3"/>
  <c r="S4329" i="3"/>
  <c r="S4328" i="3"/>
  <c r="S4327" i="3"/>
  <c r="S4326" i="3"/>
  <c r="S4325" i="3"/>
  <c r="S4324" i="3"/>
  <c r="S4323" i="3"/>
  <c r="S4322" i="3"/>
  <c r="S4321" i="3"/>
  <c r="S4320" i="3"/>
  <c r="S4319" i="3"/>
  <c r="S4318" i="3"/>
  <c r="S4317" i="3"/>
  <c r="S4316" i="3"/>
  <c r="S4315" i="3"/>
  <c r="S4314" i="3"/>
  <c r="S4313" i="3"/>
  <c r="S4312" i="3"/>
  <c r="S4311" i="3"/>
  <c r="S4310" i="3"/>
  <c r="S4309" i="3"/>
  <c r="S4308" i="3"/>
  <c r="S4307" i="3"/>
  <c r="S4306" i="3"/>
  <c r="S4305" i="3"/>
  <c r="S4304" i="3"/>
  <c r="S4303" i="3"/>
  <c r="S4302" i="3"/>
  <c r="S4301" i="3"/>
  <c r="S4300" i="3"/>
  <c r="S4297" i="3"/>
  <c r="S4293" i="3"/>
  <c r="S4292" i="3"/>
  <c r="S4291" i="3"/>
  <c r="S4290" i="3"/>
  <c r="S4289" i="3"/>
  <c r="S4288" i="3"/>
  <c r="S4287" i="3"/>
  <c r="S4286" i="3"/>
  <c r="S4285" i="3"/>
  <c r="S4284" i="3"/>
  <c r="S4283" i="3"/>
  <c r="S4282" i="3"/>
  <c r="S4281" i="3"/>
  <c r="S4280" i="3"/>
  <c r="S4279" i="3"/>
  <c r="S4278" i="3"/>
  <c r="S4277" i="3"/>
  <c r="S4276" i="3"/>
  <c r="S4275" i="3"/>
  <c r="S4274" i="3"/>
  <c r="S4273" i="3"/>
  <c r="S4272" i="3"/>
  <c r="S4271" i="3"/>
  <c r="S4270" i="3"/>
  <c r="S4269" i="3"/>
  <c r="S4268" i="3"/>
  <c r="S4267" i="3"/>
  <c r="S4266" i="3"/>
  <c r="S4265" i="3"/>
  <c r="S4264" i="3"/>
  <c r="S4263" i="3"/>
  <c r="S4262" i="3"/>
  <c r="S4261" i="3"/>
  <c r="S4260" i="3"/>
  <c r="S4259" i="3"/>
  <c r="S4258" i="3"/>
  <c r="S4257" i="3"/>
  <c r="S4256" i="3"/>
  <c r="S4255" i="3"/>
  <c r="S4254" i="3"/>
  <c r="S4253" i="3"/>
  <c r="S4252" i="3"/>
  <c r="S4251" i="3"/>
  <c r="S4250" i="3"/>
  <c r="S4249" i="3"/>
  <c r="S4248" i="3"/>
  <c r="S4247" i="3"/>
  <c r="S4246" i="3"/>
  <c r="S4245" i="3"/>
  <c r="S4244" i="3"/>
  <c r="S4243" i="3"/>
  <c r="S4242" i="3"/>
  <c r="S4241" i="3"/>
  <c r="S4240" i="3"/>
  <c r="S4239" i="3"/>
  <c r="S4238" i="3"/>
  <c r="S4237" i="3"/>
  <c r="S4236" i="3"/>
  <c r="S4235" i="3"/>
  <c r="S4234" i="3"/>
  <c r="S4233" i="3"/>
  <c r="S4232" i="3"/>
  <c r="S4231" i="3"/>
  <c r="S4230" i="3"/>
  <c r="S4229" i="3"/>
  <c r="S4228" i="3"/>
  <c r="S4227" i="3"/>
  <c r="S4226" i="3"/>
  <c r="S4225" i="3"/>
  <c r="S4224" i="3"/>
  <c r="S4223" i="3"/>
  <c r="S4222" i="3"/>
  <c r="S4221" i="3"/>
  <c r="S4220" i="3"/>
  <c r="S4219" i="3"/>
  <c r="S4218" i="3"/>
  <c r="S4217" i="3"/>
  <c r="S4216" i="3"/>
  <c r="S4215" i="3"/>
  <c r="S4214" i="3"/>
  <c r="S4213" i="3"/>
  <c r="S4212" i="3"/>
  <c r="S4211" i="3"/>
  <c r="S4210" i="3"/>
  <c r="S4209" i="3"/>
  <c r="S4208" i="3"/>
  <c r="S4207" i="3"/>
  <c r="S4206" i="3"/>
  <c r="S4205" i="3"/>
  <c r="S4204" i="3"/>
  <c r="S4203" i="3"/>
  <c r="S4202" i="3"/>
  <c r="S4201" i="3"/>
  <c r="S4200" i="3"/>
  <c r="S4199" i="3"/>
  <c r="S4198" i="3"/>
  <c r="S4197" i="3"/>
  <c r="S4196" i="3"/>
  <c r="S4195" i="3"/>
  <c r="S4194" i="3"/>
  <c r="S4193" i="3"/>
  <c r="S4192" i="3"/>
  <c r="S4191" i="3"/>
  <c r="S4190" i="3"/>
  <c r="S4189" i="3"/>
  <c r="S4188" i="3"/>
  <c r="S4187" i="3"/>
  <c r="S4186" i="3"/>
  <c r="S4185" i="3"/>
  <c r="S4184" i="3"/>
  <c r="S4182" i="3"/>
  <c r="S4181" i="3"/>
  <c r="S4179" i="3"/>
  <c r="S4178" i="3"/>
  <c r="S4176" i="3"/>
  <c r="S4175" i="3"/>
  <c r="S4174" i="3"/>
  <c r="S4173" i="3"/>
  <c r="S4172" i="3"/>
  <c r="S4171" i="3"/>
  <c r="S4170" i="3"/>
  <c r="S4169" i="3"/>
  <c r="S4168" i="3"/>
  <c r="S4167" i="3"/>
  <c r="S4166" i="3"/>
  <c r="S4165" i="3"/>
  <c r="S4164" i="3"/>
  <c r="S4163" i="3"/>
  <c r="S4162" i="3"/>
  <c r="S4161" i="3"/>
  <c r="S4160" i="3"/>
  <c r="S4159" i="3"/>
  <c r="S4158" i="3"/>
  <c r="S4157" i="3"/>
  <c r="S4156" i="3"/>
  <c r="S4155" i="3"/>
  <c r="S4154" i="3"/>
  <c r="S4153" i="3"/>
  <c r="S4152" i="3"/>
  <c r="S4151" i="3"/>
  <c r="S4150" i="3"/>
  <c r="S4149" i="3"/>
  <c r="S4148" i="3"/>
  <c r="S4147" i="3"/>
  <c r="S4146" i="3"/>
  <c r="S4145" i="3"/>
  <c r="S4144" i="3"/>
  <c r="S4143" i="3"/>
  <c r="S4142" i="3"/>
  <c r="S4141" i="3"/>
  <c r="S4140" i="3"/>
  <c r="S4139" i="3"/>
  <c r="S4138" i="3"/>
  <c r="S4137" i="3"/>
  <c r="S4136" i="3"/>
  <c r="S4135" i="3"/>
  <c r="S4134" i="3"/>
  <c r="S4133" i="3"/>
  <c r="S4132" i="3"/>
  <c r="S4131" i="3"/>
  <c r="S4130" i="3"/>
  <c r="S4129" i="3"/>
  <c r="S4128" i="3"/>
  <c r="S4127" i="3"/>
  <c r="S4126" i="3"/>
  <c r="S4125" i="3"/>
  <c r="S4124" i="3"/>
  <c r="S4123" i="3"/>
  <c r="S4122" i="3"/>
  <c r="S4121" i="3"/>
  <c r="S4118" i="3"/>
  <c r="S4117" i="3"/>
  <c r="S4116" i="3"/>
  <c r="S4113" i="3"/>
  <c r="S4112" i="3"/>
  <c r="S4110" i="3"/>
  <c r="S4108" i="3"/>
  <c r="S4106" i="3"/>
  <c r="S4104" i="3"/>
  <c r="S4103" i="3"/>
  <c r="S4100" i="3"/>
  <c r="S4098" i="3"/>
  <c r="S4096" i="3"/>
  <c r="S4095" i="3"/>
  <c r="S4094" i="3"/>
  <c r="S4093" i="3"/>
  <c r="S4092" i="3"/>
  <c r="S4091" i="3"/>
  <c r="S4090" i="3"/>
  <c r="S4089" i="3"/>
  <c r="S4088" i="3"/>
  <c r="S4087" i="3"/>
  <c r="S4086" i="3"/>
  <c r="S4085" i="3"/>
  <c r="S4084" i="3"/>
  <c r="S4083" i="3"/>
  <c r="S4082" i="3"/>
  <c r="S4081" i="3"/>
  <c r="S4080" i="3"/>
  <c r="S4079" i="3"/>
  <c r="S4078" i="3"/>
  <c r="S4077" i="3"/>
  <c r="S4076" i="3"/>
  <c r="S4075" i="3"/>
  <c r="S4074" i="3"/>
  <c r="S4073" i="3"/>
  <c r="S4072" i="3"/>
  <c r="S4071" i="3"/>
  <c r="S4070" i="3"/>
  <c r="S4069" i="3"/>
  <c r="S4068" i="3"/>
  <c r="S4067" i="3"/>
  <c r="S4066" i="3"/>
  <c r="S4065" i="3"/>
  <c r="S4064" i="3"/>
  <c r="S4063" i="3"/>
  <c r="S4062" i="3"/>
  <c r="S4061" i="3"/>
  <c r="S4060" i="3"/>
  <c r="S4059" i="3"/>
  <c r="S4058" i="3"/>
  <c r="S4057" i="3"/>
  <c r="S4056" i="3"/>
  <c r="S4055" i="3"/>
  <c r="S4054" i="3"/>
  <c r="S4053" i="3"/>
  <c r="S4052" i="3"/>
  <c r="S4051" i="3"/>
  <c r="S4050" i="3"/>
  <c r="S4049" i="3"/>
  <c r="S4048" i="3"/>
  <c r="S4047" i="3"/>
  <c r="S4046" i="3"/>
  <c r="S4045" i="3"/>
  <c r="S4044" i="3"/>
  <c r="S4043" i="3"/>
  <c r="S4042" i="3"/>
  <c r="S4041" i="3"/>
  <c r="S4040" i="3"/>
  <c r="S4039" i="3"/>
  <c r="S4038" i="3"/>
  <c r="S4037" i="3"/>
  <c r="S4036" i="3"/>
  <c r="S4035" i="3"/>
  <c r="S4033" i="3"/>
  <c r="S4031" i="3"/>
  <c r="S4030" i="3"/>
  <c r="S4029" i="3"/>
  <c r="S4028" i="3"/>
  <c r="S4027" i="3"/>
  <c r="S4026" i="3"/>
  <c r="S4025" i="3"/>
  <c r="S4024" i="3"/>
  <c r="S4023" i="3"/>
  <c r="S4022" i="3"/>
  <c r="S4021" i="3"/>
  <c r="S4020" i="3"/>
  <c r="S4019" i="3"/>
  <c r="S4018" i="3"/>
  <c r="S4011" i="3"/>
  <c r="S4010" i="3"/>
  <c r="S4009" i="3"/>
  <c r="S4008" i="3"/>
  <c r="S4007" i="3"/>
  <c r="S4006" i="3"/>
  <c r="S4005" i="3"/>
  <c r="S4004" i="3"/>
  <c r="S4003" i="3"/>
  <c r="S4002" i="3"/>
  <c r="S4001" i="3"/>
  <c r="S4000" i="3"/>
  <c r="S3999" i="3"/>
  <c r="S3998" i="3"/>
  <c r="S3997" i="3"/>
  <c r="S3996" i="3"/>
  <c r="S3995" i="3"/>
  <c r="S3991" i="3"/>
  <c r="S3990" i="3"/>
  <c r="S3989" i="3"/>
  <c r="S3988" i="3"/>
  <c r="S3987" i="3"/>
  <c r="S3986" i="3"/>
  <c r="S3985" i="3"/>
  <c r="S3984" i="3"/>
  <c r="S3983" i="3"/>
  <c r="S3982" i="3"/>
  <c r="S3981" i="3"/>
  <c r="S3980" i="3"/>
  <c r="S3979" i="3"/>
  <c r="S3978" i="3"/>
  <c r="S3977" i="3"/>
  <c r="S3976" i="3"/>
  <c r="S3975" i="3"/>
  <c r="S3974" i="3"/>
  <c r="S3973" i="3"/>
  <c r="S3972" i="3"/>
  <c r="S3971" i="3"/>
  <c r="S3970" i="3"/>
  <c r="S3969" i="3"/>
  <c r="S3968" i="3"/>
  <c r="S3967" i="3"/>
  <c r="S3966" i="3"/>
  <c r="S3965" i="3"/>
  <c r="S3964" i="3"/>
  <c r="S3963" i="3"/>
  <c r="S3962" i="3"/>
  <c r="S3961" i="3"/>
  <c r="S3960" i="3"/>
  <c r="S3959" i="3"/>
  <c r="S3958" i="3"/>
  <c r="S3957" i="3"/>
  <c r="S3956" i="3"/>
  <c r="S3955" i="3"/>
  <c r="S3954" i="3"/>
  <c r="S3953" i="3"/>
  <c r="S3952" i="3"/>
  <c r="S3951" i="3"/>
  <c r="S3950" i="3"/>
  <c r="S3949" i="3"/>
  <c r="S3948" i="3"/>
  <c r="S3947" i="3"/>
  <c r="S3946" i="3"/>
  <c r="S3945" i="3"/>
  <c r="S3944" i="3"/>
  <c r="S3943" i="3"/>
  <c r="S3942" i="3"/>
  <c r="S3941" i="3"/>
  <c r="S3940" i="3"/>
  <c r="S3939" i="3"/>
  <c r="S3936" i="3"/>
  <c r="S3935" i="3"/>
  <c r="S3934" i="3"/>
  <c r="S3933" i="3"/>
  <c r="S3932" i="3"/>
  <c r="S3931" i="3"/>
  <c r="S3930" i="3"/>
  <c r="S3929" i="3"/>
  <c r="S3928" i="3"/>
  <c r="S3927" i="3"/>
  <c r="S3926" i="3"/>
  <c r="S3925" i="3"/>
  <c r="S3924" i="3"/>
  <c r="S3923" i="3"/>
  <c r="S3922" i="3"/>
  <c r="S3921" i="3"/>
  <c r="S3920" i="3"/>
  <c r="S3919" i="3"/>
  <c r="S3918" i="3"/>
  <c r="S3917" i="3"/>
  <c r="S3916" i="3"/>
  <c r="S3915" i="3"/>
  <c r="S3914" i="3"/>
  <c r="S3913" i="3"/>
  <c r="S3912" i="3"/>
  <c r="S3911" i="3"/>
  <c r="S3910" i="3"/>
  <c r="S3909" i="3"/>
  <c r="S3908" i="3"/>
  <c r="S3907" i="3"/>
  <c r="S3906" i="3"/>
  <c r="S3905" i="3"/>
  <c r="S3904" i="3"/>
  <c r="S3903" i="3"/>
  <c r="S3902" i="3"/>
  <c r="S3901" i="3"/>
  <c r="S3900" i="3"/>
  <c r="S3899" i="3"/>
  <c r="S3898" i="3"/>
  <c r="S3897" i="3"/>
  <c r="S3896" i="3"/>
  <c r="S3895" i="3"/>
  <c r="S3894" i="3"/>
  <c r="S3893" i="3"/>
  <c r="S3892" i="3"/>
  <c r="S3891" i="3"/>
  <c r="S3890" i="3"/>
  <c r="S3882" i="3"/>
  <c r="S3879" i="3"/>
  <c r="S3878" i="3"/>
  <c r="S3877" i="3"/>
  <c r="S3876" i="3"/>
  <c r="S3875" i="3"/>
  <c r="S3874" i="3"/>
  <c r="S3872" i="3"/>
  <c r="S3870" i="3"/>
  <c r="S3869" i="3"/>
  <c r="S3868" i="3"/>
  <c r="S3867" i="3"/>
  <c r="S3866" i="3"/>
  <c r="S3865" i="3"/>
  <c r="S3864" i="3"/>
  <c r="S3863" i="3"/>
  <c r="S3862" i="3"/>
  <c r="S3861" i="3"/>
  <c r="S3860" i="3"/>
  <c r="S3859" i="3"/>
  <c r="S3858" i="3"/>
  <c r="S3857" i="3"/>
  <c r="S3856" i="3"/>
  <c r="S3855" i="3"/>
  <c r="S3854" i="3"/>
  <c r="S3853" i="3"/>
  <c r="S3852" i="3"/>
  <c r="S3851" i="3"/>
  <c r="S3850" i="3"/>
  <c r="S3849" i="3"/>
  <c r="S3848" i="3"/>
  <c r="S3847" i="3"/>
  <c r="S3846" i="3"/>
  <c r="S3845" i="3"/>
  <c r="S3844" i="3"/>
  <c r="S3843" i="3"/>
  <c r="S3842" i="3"/>
  <c r="S3841" i="3"/>
  <c r="S3840" i="3"/>
  <c r="S3839" i="3"/>
  <c r="S3838" i="3"/>
  <c r="S3837" i="3"/>
  <c r="S3836" i="3"/>
  <c r="S3835" i="3"/>
  <c r="S3834" i="3"/>
  <c r="S3833" i="3"/>
  <c r="S3832" i="3"/>
  <c r="S3831" i="3"/>
  <c r="S3830" i="3"/>
  <c r="S3829" i="3"/>
  <c r="S3828" i="3"/>
  <c r="S3827" i="3"/>
  <c r="S3826" i="3"/>
  <c r="S3825" i="3"/>
  <c r="S3824" i="3"/>
  <c r="S3823" i="3"/>
  <c r="S3822" i="3"/>
  <c r="S3821" i="3"/>
  <c r="S3820" i="3"/>
  <c r="S3819" i="3"/>
  <c r="S3818" i="3"/>
  <c r="S3817" i="3"/>
  <c r="S3816" i="3"/>
  <c r="S3815" i="3"/>
  <c r="S3814" i="3"/>
  <c r="S3813" i="3"/>
  <c r="S3812" i="3"/>
  <c r="S3811" i="3"/>
  <c r="S3810" i="3"/>
  <c r="S3808" i="3"/>
  <c r="S3806" i="3"/>
  <c r="S3804" i="3"/>
  <c r="S3803" i="3"/>
  <c r="S3800" i="3"/>
  <c r="S3799" i="3"/>
  <c r="S3798" i="3"/>
  <c r="S3797" i="3"/>
  <c r="S3796" i="3"/>
  <c r="S3795" i="3"/>
  <c r="S3794" i="3"/>
  <c r="S3793" i="3"/>
  <c r="S3792" i="3"/>
  <c r="S3791" i="3"/>
  <c r="S3790" i="3"/>
  <c r="S3789" i="3"/>
  <c r="S3788" i="3"/>
  <c r="S3786" i="3"/>
  <c r="S3785" i="3"/>
  <c r="S3784" i="3"/>
  <c r="S3783" i="3"/>
  <c r="S3782" i="3"/>
  <c r="S3781" i="3"/>
  <c r="S3780" i="3"/>
  <c r="S3779" i="3"/>
  <c r="S3778" i="3"/>
  <c r="S3777" i="3"/>
  <c r="S3776" i="3"/>
  <c r="S3775" i="3"/>
  <c r="S3774" i="3"/>
  <c r="S3773" i="3"/>
  <c r="S3772" i="3"/>
  <c r="S3771" i="3"/>
  <c r="S3770" i="3"/>
  <c r="S3769" i="3"/>
  <c r="S3768" i="3"/>
  <c r="S3767" i="3"/>
  <c r="S3766" i="3"/>
  <c r="S3765" i="3"/>
  <c r="S3764" i="3"/>
  <c r="S3763" i="3"/>
  <c r="S3762" i="3"/>
  <c r="S3761" i="3"/>
  <c r="S3760" i="3"/>
  <c r="S3759" i="3"/>
  <c r="S3758" i="3"/>
  <c r="S3757" i="3"/>
  <c r="S3756" i="3"/>
  <c r="S3755" i="3"/>
  <c r="S3754" i="3"/>
  <c r="S3753" i="3"/>
  <c r="S3752" i="3"/>
  <c r="S3751" i="3"/>
  <c r="S3750" i="3"/>
  <c r="S3749" i="3"/>
  <c r="S3748" i="3"/>
  <c r="S3747" i="3"/>
  <c r="S3746" i="3"/>
  <c r="S3745" i="3"/>
  <c r="S3744" i="3"/>
  <c r="S3743" i="3"/>
  <c r="S3742" i="3"/>
  <c r="S3741" i="3"/>
  <c r="S3740" i="3"/>
  <c r="S3739" i="3"/>
  <c r="S3738" i="3"/>
  <c r="S3737" i="3"/>
  <c r="S3736" i="3"/>
  <c r="S3735" i="3"/>
  <c r="S3734" i="3"/>
  <c r="S3733" i="3"/>
  <c r="S3732" i="3"/>
  <c r="S3731" i="3"/>
  <c r="S3730" i="3"/>
  <c r="S3729" i="3"/>
  <c r="S3728" i="3"/>
  <c r="S3727" i="3"/>
  <c r="S3726" i="3"/>
  <c r="S3725" i="3"/>
  <c r="S3724" i="3"/>
  <c r="S3723" i="3"/>
  <c r="S3722" i="3"/>
  <c r="S3721" i="3"/>
  <c r="S3720" i="3"/>
  <c r="S3719" i="3"/>
  <c r="S3718" i="3"/>
  <c r="S3717" i="3"/>
  <c r="S3716" i="3"/>
  <c r="S3715" i="3"/>
  <c r="S3714" i="3"/>
  <c r="S3713" i="3"/>
  <c r="S3712" i="3"/>
  <c r="S3711" i="3"/>
  <c r="S3710" i="3"/>
  <c r="S3709" i="3"/>
  <c r="S3708" i="3"/>
  <c r="S3707" i="3"/>
  <c r="S3706" i="3"/>
  <c r="S3705" i="3"/>
  <c r="S3704" i="3"/>
  <c r="S3703" i="3"/>
  <c r="S3702" i="3"/>
  <c r="S3701" i="3"/>
  <c r="S3700" i="3"/>
  <c r="S3699" i="3"/>
  <c r="S3698" i="3"/>
  <c r="S3697" i="3"/>
  <c r="S3696" i="3"/>
  <c r="S3695" i="3"/>
  <c r="S3694" i="3"/>
  <c r="S3693" i="3"/>
  <c r="S3692" i="3"/>
  <c r="S3691" i="3"/>
  <c r="S3690" i="3"/>
  <c r="S3689" i="3"/>
  <c r="S3688" i="3"/>
  <c r="S3687" i="3"/>
  <c r="S3686" i="3"/>
  <c r="S3685" i="3"/>
  <c r="S3684" i="3"/>
  <c r="S3683" i="3"/>
  <c r="S3682" i="3"/>
  <c r="S3681" i="3"/>
  <c r="S3680" i="3"/>
  <c r="S3679" i="3"/>
  <c r="S3678" i="3"/>
  <c r="S3677" i="3"/>
  <c r="S3676" i="3"/>
  <c r="S3675" i="3"/>
  <c r="S3674" i="3"/>
  <c r="S3673" i="3"/>
  <c r="S3667" i="3"/>
  <c r="S3662" i="3"/>
  <c r="S3660" i="3"/>
  <c r="S3658" i="3"/>
  <c r="S3654" i="3"/>
  <c r="S3653" i="3"/>
  <c r="S3652" i="3"/>
  <c r="S3651" i="3"/>
  <c r="S3650" i="3"/>
  <c r="S3649" i="3"/>
  <c r="S3648" i="3"/>
  <c r="S3647" i="3"/>
  <c r="S3646" i="3"/>
  <c r="S3645" i="3"/>
  <c r="S3644" i="3"/>
  <c r="S3643" i="3"/>
  <c r="S3642" i="3"/>
  <c r="S3641" i="3"/>
  <c r="S3640" i="3"/>
  <c r="S3639" i="3"/>
  <c r="S3638" i="3"/>
  <c r="S3637" i="3"/>
  <c r="S3636" i="3"/>
  <c r="S3635" i="3"/>
  <c r="S3634" i="3"/>
  <c r="S3633" i="3"/>
  <c r="S3632" i="3"/>
  <c r="S3631" i="3"/>
  <c r="S3630" i="3"/>
  <c r="S3629" i="3"/>
  <c r="S3628" i="3"/>
  <c r="S3627" i="3"/>
  <c r="S3626" i="3"/>
  <c r="S3625" i="3"/>
  <c r="S3624" i="3"/>
  <c r="S3623" i="3"/>
  <c r="S3622" i="3"/>
  <c r="S3621" i="3"/>
  <c r="S3620" i="3"/>
  <c r="S3619" i="3"/>
  <c r="S3618" i="3"/>
  <c r="S3617" i="3"/>
  <c r="S3616" i="3"/>
  <c r="S3615" i="3"/>
  <c r="S3614" i="3"/>
  <c r="S3613" i="3"/>
  <c r="S3612" i="3"/>
  <c r="S3611" i="3"/>
  <c r="S3610" i="3"/>
  <c r="S3609" i="3"/>
  <c r="S3608" i="3"/>
  <c r="S3607" i="3"/>
  <c r="S3606" i="3"/>
  <c r="S3605" i="3"/>
  <c r="S3604" i="3"/>
  <c r="S3603" i="3"/>
  <c r="S3602" i="3"/>
  <c r="S3601" i="3"/>
  <c r="S3600" i="3"/>
  <c r="S3599" i="3"/>
  <c r="S3598" i="3"/>
  <c r="S3597" i="3"/>
  <c r="S3596" i="3"/>
  <c r="S3595" i="3"/>
  <c r="S3594" i="3"/>
  <c r="S3593" i="3"/>
  <c r="S3592" i="3"/>
  <c r="S3591" i="3"/>
  <c r="S3590" i="3"/>
  <c r="S3589" i="3"/>
  <c r="S3588" i="3"/>
  <c r="S3587" i="3"/>
  <c r="S3586" i="3"/>
  <c r="S3585" i="3"/>
  <c r="S3584" i="3"/>
  <c r="S3583" i="3"/>
  <c r="S3582" i="3"/>
  <c r="S3581" i="3"/>
  <c r="S3580" i="3"/>
  <c r="S3579" i="3"/>
  <c r="S3578" i="3"/>
  <c r="S3577" i="3"/>
  <c r="S3576" i="3"/>
  <c r="S3570" i="3"/>
  <c r="S3569" i="3"/>
  <c r="S3568" i="3"/>
  <c r="S3567" i="3"/>
  <c r="S3566" i="3"/>
  <c r="S3565" i="3"/>
  <c r="S3564" i="3"/>
  <c r="S3563" i="3"/>
  <c r="S3562" i="3"/>
  <c r="S3561" i="3"/>
  <c r="S3560" i="3"/>
  <c r="S3559" i="3"/>
  <c r="S3558" i="3"/>
  <c r="S3557" i="3"/>
  <c r="S3556" i="3"/>
  <c r="S3555" i="3"/>
  <c r="S3554" i="3"/>
  <c r="S3553" i="3"/>
  <c r="S3552" i="3"/>
  <c r="S3551" i="3"/>
  <c r="S3550" i="3"/>
  <c r="S3549" i="3"/>
  <c r="S3548" i="3"/>
  <c r="S3547" i="3"/>
  <c r="S3546" i="3"/>
  <c r="S3545" i="3"/>
  <c r="S3544" i="3"/>
  <c r="S3543" i="3"/>
  <c r="S3542" i="3"/>
  <c r="S3541" i="3"/>
  <c r="S3540" i="3"/>
  <c r="S3539" i="3"/>
  <c r="S3538" i="3"/>
  <c r="S3537" i="3"/>
  <c r="S3536" i="3"/>
  <c r="S3535" i="3"/>
  <c r="S3534" i="3"/>
  <c r="S3533" i="3"/>
  <c r="S3532" i="3"/>
  <c r="S3531" i="3"/>
  <c r="S3530" i="3"/>
  <c r="S3529" i="3"/>
  <c r="S3528" i="3"/>
  <c r="S3527" i="3"/>
  <c r="S3526" i="3"/>
  <c r="S3525" i="3"/>
  <c r="S3524" i="3"/>
  <c r="S3523" i="3"/>
  <c r="S3522" i="3"/>
  <c r="S3521" i="3"/>
  <c r="S3520" i="3"/>
  <c r="S3519" i="3"/>
  <c r="S3518" i="3"/>
  <c r="S3517" i="3"/>
  <c r="S3516" i="3"/>
  <c r="S3515" i="3"/>
  <c r="S3514" i="3"/>
  <c r="S3513" i="3"/>
  <c r="S3512" i="3"/>
  <c r="S3511" i="3"/>
  <c r="S3510" i="3"/>
  <c r="S3509" i="3"/>
  <c r="S3508" i="3"/>
  <c r="S3507" i="3"/>
  <c r="S3506" i="3"/>
  <c r="S3505" i="3"/>
  <c r="S3504" i="3"/>
  <c r="S3503" i="3"/>
  <c r="S3502" i="3"/>
  <c r="S3501" i="3"/>
  <c r="S3500" i="3"/>
  <c r="S3499" i="3"/>
  <c r="S3498" i="3"/>
  <c r="S3497" i="3"/>
  <c r="S3496" i="3"/>
  <c r="S3495" i="3"/>
  <c r="S3494" i="3"/>
  <c r="S3493" i="3"/>
  <c r="S3492" i="3"/>
  <c r="S3491" i="3"/>
  <c r="S3490" i="3"/>
  <c r="S3489" i="3"/>
  <c r="S3488" i="3"/>
  <c r="S3487" i="3"/>
  <c r="S3486" i="3"/>
  <c r="S3485" i="3"/>
  <c r="S3484" i="3"/>
  <c r="S3483" i="3"/>
  <c r="S3482" i="3"/>
  <c r="S3481" i="3"/>
  <c r="S3480" i="3"/>
  <c r="S3479" i="3"/>
  <c r="S3478" i="3"/>
  <c r="S3477" i="3"/>
  <c r="S3476" i="3"/>
  <c r="S3475" i="3"/>
  <c r="S3474" i="3"/>
  <c r="S3473" i="3"/>
  <c r="S3472" i="3"/>
  <c r="S3471" i="3"/>
  <c r="S3470" i="3"/>
  <c r="S3469" i="3"/>
  <c r="S3468" i="3"/>
  <c r="S3467" i="3"/>
  <c r="S3466" i="3"/>
  <c r="S3465" i="3"/>
  <c r="S3464" i="3"/>
  <c r="S3463" i="3"/>
  <c r="S3462" i="3"/>
  <c r="S3461" i="3"/>
  <c r="S3460" i="3"/>
  <c r="S3459" i="3"/>
  <c r="S3458" i="3"/>
  <c r="S3457" i="3"/>
  <c r="S3456" i="3"/>
  <c r="S3455" i="3"/>
  <c r="S3454" i="3"/>
  <c r="S3453" i="3"/>
  <c r="S3452" i="3"/>
  <c r="S3451" i="3"/>
  <c r="S3450" i="3"/>
  <c r="S3449" i="3"/>
  <c r="S3445" i="3"/>
  <c r="S3444" i="3"/>
  <c r="S3443" i="3"/>
  <c r="S3442" i="3"/>
  <c r="S3441" i="3"/>
  <c r="S3440" i="3"/>
  <c r="S3439" i="3"/>
  <c r="S3438" i="3"/>
  <c r="S3437" i="3"/>
  <c r="S3436" i="3"/>
  <c r="S3435" i="3"/>
  <c r="S3434" i="3"/>
  <c r="S3433" i="3"/>
  <c r="S3432" i="3"/>
  <c r="S3431" i="3"/>
  <c r="S3430" i="3"/>
  <c r="S3429" i="3"/>
  <c r="S3426" i="3"/>
  <c r="S3425" i="3"/>
  <c r="S3424" i="3"/>
  <c r="S3423" i="3"/>
  <c r="S3422" i="3"/>
  <c r="S3421" i="3"/>
  <c r="S3420" i="3"/>
  <c r="S3419" i="3"/>
  <c r="S3418" i="3"/>
  <c r="S3417" i="3"/>
  <c r="S3416" i="3"/>
  <c r="S3415" i="3"/>
  <c r="S3414" i="3"/>
  <c r="S3413" i="3"/>
  <c r="S3412" i="3"/>
  <c r="S3411" i="3"/>
  <c r="S3410" i="3"/>
  <c r="S3409" i="3"/>
  <c r="S3408" i="3"/>
  <c r="S3407" i="3"/>
  <c r="S3406" i="3"/>
  <c r="S3405" i="3"/>
  <c r="S3404" i="3"/>
  <c r="S3403" i="3"/>
  <c r="S3402" i="3"/>
  <c r="S3401" i="3"/>
  <c r="S3400" i="3"/>
  <c r="S3393" i="3"/>
  <c r="S3392" i="3"/>
  <c r="S3391" i="3"/>
  <c r="S3390" i="3"/>
  <c r="S3389" i="3"/>
  <c r="S3388" i="3"/>
  <c r="S3387" i="3"/>
  <c r="S3386" i="3"/>
  <c r="S3385" i="3"/>
  <c r="S3384" i="3"/>
  <c r="S3383" i="3"/>
  <c r="S3382" i="3"/>
  <c r="S3381" i="3"/>
  <c r="S3380" i="3"/>
  <c r="S3379" i="3"/>
  <c r="S3378" i="3"/>
  <c r="S3377" i="3"/>
  <c r="S3376" i="3"/>
  <c r="S3375" i="3"/>
  <c r="S3374" i="3"/>
  <c r="S3373" i="3"/>
  <c r="S3372" i="3"/>
  <c r="S3371" i="3"/>
  <c r="S3370" i="3"/>
  <c r="S3369" i="3"/>
  <c r="S3368" i="3"/>
  <c r="S3367" i="3"/>
  <c r="S3366" i="3"/>
  <c r="S3365" i="3"/>
  <c r="S3364" i="3"/>
  <c r="S3363" i="3"/>
  <c r="S3362" i="3"/>
  <c r="S3361" i="3"/>
  <c r="S3360" i="3"/>
  <c r="S3359" i="3"/>
  <c r="S3358" i="3"/>
  <c r="S3357" i="3"/>
  <c r="S3356" i="3"/>
  <c r="S3355" i="3"/>
  <c r="S3354" i="3"/>
  <c r="S3353" i="3"/>
  <c r="S3352" i="3"/>
  <c r="S3351" i="3"/>
  <c r="S3350" i="3"/>
  <c r="S3349" i="3"/>
  <c r="S3348" i="3"/>
  <c r="S3347" i="3"/>
  <c r="S3346" i="3"/>
  <c r="S3345" i="3"/>
  <c r="S3344" i="3"/>
  <c r="S3343" i="3"/>
  <c r="S3342" i="3"/>
  <c r="S3341" i="3"/>
  <c r="S3340" i="3"/>
  <c r="S3339" i="3"/>
  <c r="S3338" i="3"/>
  <c r="S3336" i="3"/>
  <c r="S3335" i="3"/>
  <c r="S3334" i="3"/>
  <c r="S3333" i="3"/>
  <c r="S3332" i="3"/>
  <c r="S3331" i="3"/>
  <c r="S3330" i="3"/>
  <c r="S3329" i="3"/>
  <c r="S3328" i="3"/>
  <c r="S3327" i="3"/>
  <c r="S3326" i="3"/>
  <c r="S3325" i="3"/>
  <c r="S3324" i="3"/>
  <c r="S3323" i="3"/>
  <c r="S3322" i="3"/>
  <c r="S3321" i="3"/>
  <c r="S3320" i="3"/>
  <c r="S3319" i="3"/>
  <c r="S3318" i="3"/>
  <c r="S3317" i="3"/>
  <c r="S3316" i="3"/>
  <c r="S3315" i="3"/>
  <c r="S3314" i="3"/>
  <c r="S3313" i="3"/>
  <c r="S3312" i="3"/>
  <c r="S3311" i="3"/>
  <c r="S3310" i="3"/>
  <c r="S3309" i="3"/>
  <c r="S3308" i="3"/>
  <c r="S3307" i="3"/>
  <c r="S3306" i="3"/>
  <c r="S3305" i="3"/>
  <c r="S3304" i="3"/>
  <c r="S3303" i="3"/>
  <c r="S3302" i="3"/>
  <c r="S3301" i="3"/>
  <c r="S3300" i="3"/>
  <c r="S3299" i="3"/>
  <c r="S3298" i="3"/>
  <c r="S3297" i="3"/>
  <c r="S3296" i="3"/>
  <c r="S3295" i="3"/>
  <c r="S3294" i="3"/>
  <c r="S3293" i="3"/>
  <c r="S3292" i="3"/>
  <c r="S3291" i="3"/>
  <c r="S3290" i="3"/>
  <c r="S3289" i="3"/>
  <c r="S3288" i="3"/>
  <c r="S3287" i="3"/>
  <c r="S3286" i="3"/>
  <c r="S3285" i="3"/>
  <c r="S3284" i="3"/>
  <c r="S3282" i="3"/>
  <c r="S3281" i="3"/>
  <c r="S3279" i="3"/>
  <c r="S3278" i="3"/>
  <c r="S3277" i="3"/>
  <c r="S3276" i="3"/>
  <c r="S3274" i="3"/>
  <c r="S3273" i="3"/>
  <c r="S3272" i="3"/>
  <c r="S3271" i="3"/>
  <c r="S3270" i="3"/>
  <c r="S3269" i="3"/>
  <c r="S3268" i="3"/>
  <c r="S3267" i="3"/>
  <c r="S3266" i="3"/>
  <c r="S3265" i="3"/>
  <c r="S3264" i="3"/>
  <c r="S3263" i="3"/>
  <c r="S3262" i="3"/>
  <c r="S3261" i="3"/>
  <c r="S3260" i="3"/>
  <c r="S3259" i="3"/>
  <c r="S3258" i="3"/>
  <c r="S3257" i="3"/>
  <c r="S3256" i="3"/>
  <c r="S3255" i="3"/>
  <c r="S3254" i="3"/>
  <c r="S3253" i="3"/>
  <c r="S3252" i="3"/>
  <c r="S3251" i="3"/>
  <c r="S3250" i="3"/>
  <c r="S3249" i="3"/>
  <c r="S3248" i="3"/>
  <c r="S3247" i="3"/>
  <c r="S3246" i="3"/>
  <c r="S3245" i="3"/>
  <c r="S3244" i="3"/>
  <c r="S3243" i="3"/>
  <c r="S3242" i="3"/>
  <c r="S3241" i="3"/>
  <c r="S3240" i="3"/>
  <c r="S3239" i="3"/>
  <c r="S3238" i="3"/>
  <c r="S3237" i="3"/>
  <c r="S3236" i="3"/>
  <c r="S3235" i="3"/>
  <c r="S3234" i="3"/>
  <c r="S3233" i="3"/>
  <c r="S3232" i="3"/>
  <c r="S3231" i="3"/>
  <c r="S3230" i="3"/>
  <c r="S3229" i="3"/>
  <c r="S3228" i="3"/>
  <c r="S3227" i="3"/>
  <c r="S3226" i="3"/>
  <c r="S3225" i="3"/>
  <c r="S3224" i="3"/>
  <c r="S3223" i="3"/>
  <c r="S3222" i="3"/>
  <c r="S3221" i="3"/>
  <c r="S3220" i="3"/>
  <c r="S3219" i="3"/>
  <c r="S3218" i="3"/>
  <c r="S3217" i="3"/>
  <c r="S3216" i="3"/>
  <c r="S3215" i="3"/>
  <c r="S3212" i="3"/>
  <c r="S3211" i="3"/>
  <c r="S3209" i="3"/>
  <c r="S3207" i="3"/>
  <c r="S3204" i="3"/>
  <c r="S3201" i="3"/>
  <c r="S3200" i="3"/>
  <c r="S3199" i="3"/>
  <c r="S3198" i="3"/>
  <c r="S3197" i="3"/>
  <c r="S3196" i="3"/>
  <c r="S3195" i="3"/>
  <c r="S3194" i="3"/>
  <c r="S3193" i="3"/>
  <c r="S3192" i="3"/>
  <c r="S3191" i="3"/>
  <c r="S3190" i="3"/>
  <c r="S3189" i="3"/>
  <c r="S3188" i="3"/>
  <c r="S3187" i="3"/>
  <c r="S3186" i="3"/>
  <c r="S3185" i="3"/>
  <c r="S3184" i="3"/>
  <c r="S3183" i="3"/>
  <c r="S3182" i="3"/>
  <c r="S3181" i="3"/>
  <c r="S3180" i="3"/>
  <c r="S3179" i="3"/>
  <c r="S3178" i="3"/>
  <c r="S3177" i="3"/>
  <c r="S3176" i="3"/>
  <c r="S3175" i="3"/>
  <c r="S3174" i="3"/>
  <c r="S3173" i="3"/>
  <c r="S3172" i="3"/>
  <c r="S3171" i="3"/>
  <c r="S3170" i="3"/>
  <c r="S3169" i="3"/>
  <c r="S3168" i="3"/>
  <c r="S3167" i="3"/>
  <c r="S3166" i="3"/>
  <c r="S3165" i="3"/>
  <c r="S3164" i="3"/>
  <c r="S3163" i="3"/>
  <c r="S3162" i="3"/>
  <c r="S3161" i="3"/>
  <c r="S3160" i="3"/>
  <c r="S3159" i="3"/>
  <c r="S3158" i="3"/>
  <c r="S3157" i="3"/>
  <c r="S3156" i="3"/>
  <c r="S3155" i="3"/>
  <c r="S3154" i="3"/>
  <c r="S3153" i="3"/>
  <c r="S3152" i="3"/>
  <c r="S3151" i="3"/>
  <c r="S3150" i="3"/>
  <c r="S3149" i="3"/>
  <c r="S3148" i="3"/>
  <c r="S3147" i="3"/>
  <c r="S3146" i="3"/>
  <c r="S3145" i="3"/>
  <c r="S3144" i="3"/>
  <c r="S3143" i="3"/>
  <c r="S3142" i="3"/>
  <c r="S3139" i="3"/>
  <c r="S3138" i="3"/>
  <c r="S3135" i="3"/>
  <c r="S3134" i="3"/>
  <c r="S3132" i="3"/>
  <c r="S3131" i="3"/>
  <c r="S3130" i="3"/>
  <c r="S3129" i="3"/>
  <c r="S3128" i="3"/>
  <c r="S3127" i="3"/>
  <c r="S3126" i="3"/>
  <c r="S3125" i="3"/>
  <c r="S3124" i="3"/>
  <c r="S3123" i="3"/>
  <c r="S3122" i="3"/>
  <c r="S3121" i="3"/>
  <c r="S3120" i="3"/>
  <c r="S3119" i="3"/>
  <c r="S3118" i="3"/>
  <c r="S3117" i="3"/>
  <c r="S3116" i="3"/>
  <c r="S3115" i="3"/>
  <c r="S3114" i="3"/>
  <c r="S3113" i="3"/>
  <c r="S3112" i="3"/>
  <c r="S3111" i="3"/>
  <c r="S3110" i="3"/>
  <c r="S3109" i="3"/>
  <c r="S3108" i="3"/>
  <c r="S3107" i="3"/>
  <c r="S3106" i="3"/>
  <c r="S3105" i="3"/>
  <c r="S3104" i="3"/>
  <c r="S3103" i="3"/>
  <c r="S3102" i="3"/>
  <c r="S3101" i="3"/>
  <c r="S3100" i="3"/>
  <c r="S3099" i="3"/>
  <c r="S3098" i="3"/>
  <c r="S3097" i="3"/>
  <c r="S3096" i="3"/>
  <c r="S3095" i="3"/>
  <c r="S3094" i="3"/>
  <c r="S3093" i="3"/>
  <c r="S3092" i="3"/>
  <c r="S3091" i="3"/>
  <c r="S3090" i="3"/>
  <c r="S3089" i="3"/>
  <c r="S3088" i="3"/>
  <c r="S3087" i="3"/>
  <c r="S3086" i="3"/>
  <c r="S3085" i="3"/>
  <c r="S3084" i="3"/>
  <c r="S3083" i="3"/>
  <c r="S3082" i="3"/>
  <c r="S3081" i="3"/>
  <c r="S3080" i="3"/>
  <c r="S3079" i="3"/>
  <c r="S3078" i="3"/>
  <c r="S3077" i="3"/>
  <c r="S3076" i="3"/>
  <c r="S3075" i="3"/>
  <c r="S3074" i="3"/>
  <c r="S3073" i="3"/>
  <c r="S3072" i="3"/>
  <c r="S3071" i="3"/>
  <c r="S3070" i="3"/>
  <c r="S3067" i="3"/>
  <c r="S3066" i="3"/>
  <c r="S3065" i="3"/>
  <c r="S3064" i="3"/>
  <c r="S3063" i="3"/>
  <c r="S3062" i="3"/>
  <c r="S3061" i="3"/>
  <c r="S3060" i="3"/>
  <c r="S3059" i="3"/>
  <c r="S3058" i="3"/>
  <c r="S3057" i="3"/>
  <c r="S3056" i="3"/>
  <c r="S3055" i="3"/>
  <c r="S3054" i="3"/>
  <c r="S3053" i="3"/>
  <c r="S3052" i="3"/>
  <c r="S3051" i="3"/>
  <c r="S3050" i="3"/>
  <c r="S3049" i="3"/>
  <c r="S3048" i="3"/>
  <c r="S3047" i="3"/>
  <c r="S3046" i="3"/>
  <c r="S3045" i="3"/>
  <c r="S3044" i="3"/>
  <c r="S3043" i="3"/>
  <c r="S3042" i="3"/>
  <c r="S3041" i="3"/>
  <c r="S3040" i="3"/>
  <c r="S3039" i="3"/>
  <c r="S3038" i="3"/>
  <c r="S3037" i="3"/>
  <c r="S3036" i="3"/>
  <c r="S3035" i="3"/>
  <c r="S3034" i="3"/>
  <c r="S3033" i="3"/>
  <c r="S3032" i="3"/>
  <c r="S3031" i="3"/>
  <c r="S3030" i="3"/>
  <c r="S3029" i="3"/>
  <c r="S3028" i="3"/>
  <c r="S3027" i="3"/>
  <c r="S3026" i="3"/>
  <c r="S3025" i="3"/>
  <c r="S3024" i="3"/>
  <c r="S3023" i="3"/>
  <c r="S3022" i="3"/>
  <c r="S3021" i="3"/>
  <c r="S3020" i="3"/>
  <c r="S3019" i="3"/>
  <c r="S3018" i="3"/>
  <c r="S3017" i="3"/>
  <c r="S3016" i="3"/>
  <c r="S3015" i="3"/>
  <c r="S3014" i="3"/>
  <c r="S3013" i="3"/>
  <c r="S3011" i="3"/>
  <c r="S3010" i="3"/>
  <c r="S3009" i="3"/>
  <c r="S3004" i="3"/>
  <c r="S3003" i="3"/>
  <c r="S3002" i="3"/>
  <c r="S3001" i="3"/>
  <c r="S3000" i="3"/>
  <c r="S2999" i="3"/>
  <c r="S2998" i="3"/>
  <c r="S2997" i="3"/>
  <c r="S2996" i="3"/>
  <c r="S2995" i="3"/>
  <c r="S2994" i="3"/>
  <c r="S2993" i="3"/>
  <c r="S2992" i="3"/>
  <c r="S2991" i="3"/>
  <c r="S2990" i="3"/>
  <c r="S2989" i="3"/>
  <c r="S2988" i="3"/>
  <c r="S2987" i="3"/>
  <c r="S2986" i="3"/>
  <c r="S2985" i="3"/>
  <c r="S2984" i="3"/>
  <c r="S2983" i="3"/>
  <c r="S2982" i="3"/>
  <c r="S2981" i="3"/>
  <c r="S2980" i="3"/>
  <c r="S2979" i="3"/>
  <c r="S2978" i="3"/>
  <c r="S2977" i="3"/>
  <c r="S2976" i="3"/>
  <c r="S2975" i="3"/>
  <c r="S2974" i="3"/>
  <c r="S2973" i="3"/>
  <c r="S2972" i="3"/>
  <c r="S2971" i="3"/>
  <c r="S2970" i="3"/>
  <c r="S2969" i="3"/>
  <c r="S2968" i="3"/>
  <c r="S2967" i="3"/>
  <c r="S2966" i="3"/>
  <c r="S2965" i="3"/>
  <c r="S2964" i="3"/>
  <c r="S2963" i="3"/>
  <c r="S2962" i="3"/>
  <c r="S2961" i="3"/>
  <c r="S2960" i="3"/>
  <c r="S2959" i="3"/>
  <c r="S2958" i="3"/>
  <c r="S2957" i="3"/>
  <c r="S2956" i="3"/>
  <c r="S2955" i="3"/>
  <c r="S2954" i="3"/>
  <c r="S2953" i="3"/>
  <c r="S2952" i="3"/>
  <c r="S2951" i="3"/>
  <c r="S2950" i="3"/>
  <c r="S2949" i="3"/>
  <c r="S2948" i="3"/>
  <c r="S2947" i="3"/>
  <c r="S2946" i="3"/>
  <c r="S2945" i="3"/>
  <c r="S2943" i="3"/>
  <c r="S2942" i="3"/>
  <c r="S2941" i="3"/>
  <c r="S2940" i="3"/>
  <c r="S2939" i="3"/>
  <c r="S2938" i="3"/>
  <c r="S2937" i="3"/>
  <c r="S2936" i="3"/>
  <c r="S2935" i="3"/>
  <c r="S2934" i="3"/>
  <c r="S2933" i="3"/>
  <c r="S2932" i="3"/>
  <c r="S2931" i="3"/>
  <c r="S2930" i="3"/>
  <c r="S2929" i="3"/>
  <c r="S2928" i="3"/>
  <c r="S2927" i="3"/>
  <c r="S2926" i="3"/>
  <c r="S2925" i="3"/>
  <c r="S2924" i="3"/>
  <c r="S2923" i="3"/>
  <c r="S2922" i="3"/>
  <c r="S2921" i="3"/>
  <c r="S2920" i="3"/>
  <c r="S2919" i="3"/>
  <c r="S2918" i="3"/>
  <c r="S2917" i="3"/>
  <c r="S2915" i="3"/>
  <c r="S2914" i="3"/>
  <c r="S2913" i="3"/>
  <c r="S2912" i="3"/>
  <c r="S2911" i="3"/>
  <c r="S2910" i="3"/>
  <c r="S2909" i="3"/>
  <c r="S2908" i="3"/>
  <c r="S2907" i="3"/>
  <c r="S2906" i="3"/>
  <c r="S2905" i="3"/>
  <c r="S2904" i="3"/>
  <c r="S2903" i="3"/>
  <c r="S2902" i="3"/>
  <c r="S2901" i="3"/>
  <c r="S2900" i="3"/>
  <c r="S2899" i="3"/>
  <c r="S2898" i="3"/>
  <c r="S2897" i="3"/>
  <c r="S2896" i="3"/>
  <c r="S2895" i="3"/>
  <c r="S2894" i="3"/>
  <c r="S2893" i="3"/>
  <c r="S2892" i="3"/>
  <c r="S2891" i="3"/>
  <c r="S2890" i="3"/>
  <c r="S2889" i="3"/>
  <c r="S2887" i="3"/>
  <c r="S2885" i="3"/>
  <c r="S2884" i="3"/>
  <c r="S2883" i="3"/>
  <c r="S2881" i="3"/>
  <c r="S2879" i="3"/>
  <c r="S2878" i="3"/>
  <c r="S2875" i="3"/>
  <c r="S2874" i="3"/>
  <c r="S2873" i="3"/>
  <c r="S2871" i="3"/>
  <c r="S2869" i="3"/>
  <c r="S2867" i="3"/>
  <c r="S2865" i="3"/>
  <c r="S2862" i="3"/>
  <c r="S2861" i="3"/>
  <c r="S2860" i="3"/>
  <c r="S2855" i="3"/>
  <c r="S2854" i="3"/>
  <c r="S2853" i="3"/>
  <c r="S2852" i="3"/>
  <c r="S2851" i="3"/>
  <c r="S2850" i="3"/>
  <c r="S2849" i="3"/>
  <c r="S2848" i="3"/>
  <c r="S2847" i="3"/>
  <c r="S2846" i="3"/>
  <c r="S2845" i="3"/>
  <c r="S2844" i="3"/>
  <c r="S2843" i="3"/>
  <c r="S2842" i="3"/>
  <c r="S2841" i="3"/>
  <c r="S2840" i="3"/>
  <c r="S2839" i="3"/>
  <c r="S2838" i="3"/>
  <c r="S2837" i="3"/>
  <c r="S2836" i="3"/>
  <c r="S2835" i="3"/>
  <c r="S2834" i="3"/>
  <c r="S2833" i="3"/>
  <c r="Q4827" i="3" l="1"/>
  <c r="Q3640" i="3"/>
  <c r="S2774" i="3"/>
  <c r="S2773" i="3"/>
  <c r="S2772" i="3"/>
  <c r="S2771" i="3"/>
  <c r="S2770" i="3"/>
  <c r="S2769" i="3"/>
  <c r="S2768" i="3"/>
  <c r="S2767" i="3"/>
  <c r="S2766" i="3"/>
  <c r="S2765" i="3"/>
  <c r="S2764" i="3"/>
  <c r="S2763" i="3"/>
  <c r="S2762" i="3"/>
  <c r="S2761" i="3"/>
  <c r="S2760" i="3"/>
  <c r="S2759" i="3"/>
  <c r="S2758" i="3"/>
  <c r="S2757" i="3"/>
  <c r="S2756" i="3"/>
  <c r="S2755" i="3"/>
  <c r="S2754" i="3"/>
  <c r="S2753" i="3"/>
  <c r="S2752" i="3"/>
  <c r="S2751" i="3"/>
  <c r="S2750" i="3"/>
  <c r="S2749" i="3"/>
  <c r="S2748" i="3"/>
  <c r="S2747" i="3"/>
  <c r="S2746" i="3"/>
  <c r="S2745" i="3"/>
  <c r="S2744" i="3"/>
  <c r="S2743" i="3"/>
  <c r="S2742" i="3"/>
  <c r="S2741" i="3"/>
  <c r="S2740" i="3"/>
  <c r="S2739" i="3"/>
  <c r="S2738" i="3"/>
  <c r="S2737" i="3"/>
  <c r="S2736" i="3"/>
  <c r="S2735" i="3"/>
  <c r="S2734" i="3"/>
  <c r="S2733" i="3"/>
  <c r="S2732" i="3"/>
  <c r="S2731" i="3"/>
  <c r="S2730" i="3"/>
  <c r="S2729" i="3"/>
  <c r="S2728" i="3"/>
  <c r="S2727" i="3"/>
  <c r="S2726" i="3"/>
  <c r="S2725" i="3"/>
  <c r="S2724" i="3"/>
  <c r="S2723" i="3"/>
  <c r="S2722" i="3"/>
  <c r="S2721" i="3"/>
  <c r="S2720" i="3"/>
  <c r="S2719" i="3"/>
  <c r="S2718" i="3"/>
  <c r="S2717" i="3"/>
  <c r="S2716" i="3"/>
  <c r="S2715" i="3"/>
  <c r="S2714" i="3"/>
  <c r="S2713" i="3"/>
  <c r="S2712" i="3"/>
  <c r="S2711" i="3"/>
  <c r="S2710" i="3"/>
  <c r="S2709" i="3"/>
  <c r="S2708" i="3"/>
  <c r="S2707" i="3"/>
  <c r="S2706" i="3"/>
  <c r="S2705" i="3"/>
  <c r="S2704" i="3"/>
  <c r="S2703" i="3"/>
  <c r="S2702" i="3"/>
  <c r="S2701" i="3"/>
  <c r="S2700" i="3"/>
  <c r="S2699" i="3"/>
  <c r="S2698" i="3"/>
  <c r="S2697" i="3"/>
  <c r="S2696" i="3"/>
  <c r="S2695" i="3"/>
  <c r="S2694" i="3"/>
  <c r="S2693" i="3"/>
  <c r="S2692" i="3"/>
  <c r="S2691" i="3"/>
  <c r="S2689" i="3"/>
  <c r="S2688" i="3"/>
  <c r="S2687" i="3"/>
  <c r="S2686" i="3"/>
  <c r="S2685" i="3"/>
  <c r="S2684" i="3"/>
  <c r="S2683" i="3"/>
  <c r="S2682" i="3"/>
  <c r="S2681" i="3"/>
  <c r="S2680" i="3"/>
  <c r="S2679" i="3"/>
  <c r="S2678" i="3"/>
  <c r="S2677" i="3"/>
  <c r="S2676" i="3"/>
  <c r="S2675" i="3"/>
  <c r="S2674" i="3"/>
  <c r="S2673" i="3"/>
  <c r="S2672" i="3"/>
  <c r="S2671" i="3"/>
  <c r="S2670" i="3"/>
  <c r="S2669" i="3"/>
  <c r="S2668" i="3"/>
  <c r="S2667" i="3"/>
  <c r="S2666" i="3"/>
  <c r="S2665" i="3"/>
  <c r="S2664" i="3"/>
  <c r="S2663" i="3"/>
  <c r="S2662" i="3"/>
  <c r="S2661" i="3"/>
  <c r="S2656" i="3"/>
  <c r="S2655" i="3"/>
  <c r="S2654" i="3"/>
  <c r="S2653" i="3"/>
  <c r="S2652" i="3"/>
  <c r="S2651" i="3"/>
  <c r="S2650" i="3"/>
  <c r="S2649" i="3"/>
  <c r="S2648" i="3"/>
  <c r="S2647" i="3"/>
  <c r="S2646" i="3"/>
  <c r="S2645" i="3"/>
  <c r="S2644" i="3"/>
  <c r="S2643" i="3"/>
  <c r="S2642" i="3"/>
  <c r="S2641" i="3"/>
  <c r="S2640" i="3"/>
  <c r="S2639" i="3"/>
  <c r="S2638" i="3"/>
  <c r="S2637" i="3"/>
  <c r="S2636" i="3"/>
  <c r="S2635" i="3"/>
  <c r="S2628" i="3"/>
  <c r="S2627" i="3"/>
  <c r="S2626" i="3"/>
  <c r="S2625" i="3"/>
  <c r="S2624" i="3"/>
  <c r="S2623" i="3"/>
  <c r="S2622" i="3"/>
  <c r="S2621" i="3"/>
  <c r="S2620" i="3"/>
  <c r="S2619" i="3"/>
  <c r="S2618" i="3"/>
  <c r="S2617" i="3"/>
  <c r="S2616" i="3"/>
  <c r="S2615" i="3"/>
  <c r="S2614" i="3"/>
  <c r="S2613" i="3"/>
  <c r="S2612" i="3"/>
  <c r="S2611" i="3"/>
  <c r="S2610" i="3"/>
  <c r="S2609" i="3"/>
  <c r="S2608" i="3"/>
  <c r="S2607" i="3"/>
  <c r="S2606" i="3"/>
  <c r="S2605" i="3"/>
  <c r="S2604" i="3"/>
  <c r="S2603" i="3"/>
  <c r="S2602" i="3"/>
  <c r="S2601" i="3"/>
  <c r="S2600" i="3"/>
  <c r="S2599" i="3"/>
  <c r="S2598" i="3"/>
  <c r="S2597" i="3"/>
  <c r="S2596" i="3"/>
  <c r="S2595" i="3"/>
  <c r="S2594" i="3"/>
  <c r="S2593" i="3"/>
  <c r="S2592" i="3"/>
  <c r="S2591" i="3"/>
  <c r="S2590" i="3"/>
  <c r="S2589" i="3"/>
  <c r="S2588" i="3"/>
  <c r="S2587" i="3"/>
  <c r="S2586" i="3"/>
  <c r="S2585" i="3"/>
  <c r="S2584" i="3"/>
  <c r="S2583" i="3"/>
  <c r="S2582" i="3"/>
  <c r="S2581" i="3"/>
  <c r="S2580" i="3"/>
  <c r="S2579" i="3"/>
  <c r="S2578" i="3"/>
  <c r="S2577" i="3"/>
  <c r="S2576" i="3"/>
  <c r="S2574" i="3"/>
  <c r="S2573" i="3"/>
  <c r="S2572" i="3"/>
  <c r="S2571" i="3"/>
  <c r="S2570" i="3"/>
  <c r="S2569" i="3"/>
  <c r="S2568" i="3"/>
  <c r="S2567" i="3"/>
  <c r="S2566" i="3"/>
  <c r="S2565" i="3"/>
  <c r="S2564" i="3"/>
  <c r="S2563" i="3"/>
  <c r="S2562" i="3"/>
  <c r="S2561" i="3"/>
  <c r="S2560" i="3"/>
  <c r="S2559" i="3"/>
  <c r="S2558" i="3"/>
  <c r="S2557" i="3"/>
  <c r="S2556" i="3"/>
  <c r="S2555" i="3"/>
  <c r="S2554" i="3"/>
  <c r="S2553" i="3"/>
  <c r="S2552" i="3"/>
  <c r="S2551" i="3"/>
  <c r="S2550" i="3"/>
  <c r="S2549" i="3"/>
  <c r="S2548" i="3"/>
  <c r="S2547" i="3"/>
  <c r="S2546" i="3"/>
  <c r="S2545" i="3"/>
  <c r="S2544" i="3"/>
  <c r="S2543" i="3"/>
  <c r="S2542" i="3"/>
  <c r="S2541" i="3"/>
  <c r="S2540" i="3"/>
  <c r="S2539" i="3"/>
  <c r="S2538" i="3"/>
  <c r="S2537" i="3"/>
  <c r="S2536" i="3"/>
  <c r="S2535" i="3"/>
  <c r="S2534" i="3"/>
  <c r="S2533" i="3"/>
  <c r="S2532" i="3"/>
  <c r="S2531" i="3"/>
  <c r="S2530" i="3"/>
  <c r="S2529" i="3"/>
  <c r="S2528" i="3"/>
  <c r="S2527" i="3"/>
  <c r="S2526" i="3"/>
  <c r="S2525" i="3"/>
  <c r="S2524" i="3"/>
  <c r="S2523" i="3"/>
  <c r="S2522" i="3"/>
  <c r="S2521" i="3"/>
  <c r="S2520" i="3"/>
  <c r="S2519" i="3"/>
  <c r="S2518" i="3"/>
  <c r="S2517" i="3"/>
  <c r="S2516" i="3"/>
  <c r="S2515" i="3"/>
  <c r="S2514" i="3"/>
  <c r="S2513" i="3"/>
  <c r="S2512" i="3"/>
  <c r="S2511" i="3"/>
  <c r="S2510" i="3"/>
  <c r="S2509" i="3"/>
  <c r="S2508" i="3"/>
  <c r="S2507" i="3"/>
  <c r="S2506" i="3"/>
  <c r="S2505" i="3"/>
  <c r="S2504" i="3"/>
  <c r="S2503" i="3"/>
  <c r="S2502" i="3"/>
  <c r="S2501" i="3"/>
  <c r="S2500" i="3"/>
  <c r="S2499" i="3"/>
  <c r="S2498" i="3"/>
  <c r="S2497" i="3"/>
  <c r="S2496" i="3"/>
  <c r="S2495" i="3"/>
  <c r="S2494" i="3"/>
  <c r="S2493" i="3"/>
  <c r="S2492" i="3"/>
  <c r="S2491" i="3"/>
  <c r="S2490" i="3"/>
  <c r="S2489" i="3"/>
  <c r="S2488" i="3"/>
  <c r="S2487" i="3"/>
  <c r="S2486" i="3"/>
  <c r="S2485" i="3"/>
  <c r="S2484" i="3"/>
  <c r="S2483" i="3"/>
  <c r="S2482" i="3"/>
  <c r="S2481" i="3"/>
  <c r="S2480" i="3"/>
  <c r="S2479" i="3"/>
  <c r="S2478" i="3"/>
  <c r="S2477" i="3"/>
  <c r="S2476" i="3"/>
  <c r="S2475" i="3"/>
  <c r="S2474" i="3"/>
  <c r="S2473" i="3"/>
  <c r="S2472" i="3"/>
  <c r="S2471" i="3"/>
  <c r="S2470" i="3"/>
  <c r="S2469" i="3"/>
  <c r="S2468" i="3"/>
  <c r="S2467" i="3"/>
  <c r="S2466" i="3"/>
  <c r="S2465" i="3"/>
  <c r="S2464" i="3"/>
  <c r="S2463" i="3"/>
  <c r="S2462" i="3"/>
  <c r="S2461" i="3"/>
  <c r="S2460" i="3"/>
  <c r="S2459" i="3"/>
  <c r="S2458" i="3"/>
  <c r="S2457" i="3"/>
  <c r="S2456" i="3"/>
  <c r="S2455" i="3"/>
  <c r="S2454" i="3"/>
  <c r="S2453" i="3"/>
  <c r="S2452" i="3"/>
  <c r="S2451" i="3"/>
  <c r="S2450" i="3"/>
  <c r="S2449" i="3"/>
  <c r="S2448" i="3"/>
  <c r="S2447" i="3"/>
  <c r="S2446" i="3"/>
  <c r="S2445" i="3"/>
  <c r="S2444" i="3"/>
  <c r="S2443" i="3"/>
  <c r="S2442" i="3"/>
  <c r="S2441" i="3"/>
  <c r="S2440" i="3"/>
  <c r="S2439" i="3"/>
  <c r="S2438" i="3"/>
  <c r="S2437" i="3"/>
  <c r="S2436" i="3"/>
  <c r="S2435" i="3"/>
  <c r="S2434" i="3"/>
  <c r="S2433" i="3"/>
  <c r="S2432" i="3"/>
  <c r="S2431" i="3"/>
  <c r="S2430" i="3"/>
  <c r="S2429" i="3"/>
  <c r="S2428" i="3"/>
  <c r="S2427" i="3"/>
  <c r="S2426" i="3"/>
  <c r="S2425" i="3"/>
  <c r="S2424" i="3"/>
  <c r="S2423" i="3"/>
  <c r="S2422" i="3"/>
  <c r="S2419" i="3"/>
  <c r="S2415" i="3"/>
  <c r="S2414" i="3"/>
  <c r="S2413" i="3"/>
  <c r="S2412" i="3"/>
  <c r="S2411" i="3"/>
  <c r="S2410" i="3"/>
  <c r="S2409" i="3"/>
  <c r="S2408" i="3"/>
  <c r="S2407" i="3"/>
  <c r="S2406" i="3"/>
  <c r="S2405" i="3"/>
  <c r="S2404" i="3"/>
  <c r="S2403" i="3"/>
  <c r="S2402" i="3"/>
  <c r="S2401" i="3"/>
  <c r="S2400" i="3"/>
  <c r="S2399" i="3"/>
  <c r="S2398" i="3"/>
  <c r="S2397" i="3"/>
  <c r="S2396" i="3"/>
  <c r="S2395" i="3"/>
  <c r="S2394" i="3"/>
  <c r="S2393" i="3"/>
  <c r="S2392" i="3"/>
  <c r="S2391" i="3"/>
  <c r="S2390" i="3"/>
  <c r="S2389" i="3"/>
  <c r="S2388" i="3"/>
  <c r="S2387" i="3"/>
  <c r="S2386" i="3"/>
  <c r="S2385" i="3"/>
  <c r="S2384" i="3"/>
  <c r="S2383" i="3"/>
  <c r="S2382" i="3"/>
  <c r="S2381" i="3"/>
  <c r="S2380" i="3"/>
  <c r="S2379" i="3"/>
  <c r="S2378" i="3"/>
  <c r="S2377" i="3"/>
  <c r="S2376" i="3"/>
  <c r="S2375" i="3"/>
  <c r="S2374" i="3"/>
  <c r="S2373" i="3"/>
  <c r="S2372" i="3"/>
  <c r="S2371" i="3"/>
  <c r="S2370" i="3"/>
  <c r="S2369" i="3"/>
  <c r="S2368" i="3"/>
  <c r="S2367" i="3"/>
  <c r="S2366" i="3"/>
  <c r="S2365" i="3"/>
  <c r="S2364" i="3"/>
  <c r="S2363" i="3"/>
  <c r="S2361" i="3"/>
  <c r="S2360" i="3"/>
  <c r="S2359" i="3"/>
  <c r="S2358" i="3"/>
  <c r="S2357" i="3"/>
  <c r="S2356" i="3"/>
  <c r="S2355" i="3"/>
  <c r="S2354" i="3"/>
  <c r="S2353" i="3"/>
  <c r="S2352" i="3"/>
  <c r="S2351" i="3"/>
  <c r="S2350" i="3"/>
  <c r="S2349" i="3"/>
  <c r="S2348" i="3"/>
  <c r="S2347" i="3"/>
  <c r="S2346" i="3"/>
  <c r="S2345" i="3"/>
  <c r="S2344" i="3"/>
  <c r="S2343" i="3"/>
  <c r="S2342" i="3"/>
  <c r="S2341" i="3"/>
  <c r="S2340" i="3"/>
  <c r="S2339" i="3"/>
  <c r="S2338" i="3"/>
  <c r="S2337" i="3"/>
  <c r="S2336" i="3"/>
  <c r="S2335" i="3"/>
  <c r="S2334" i="3"/>
  <c r="S2333" i="3"/>
  <c r="S2332" i="3"/>
  <c r="S2331" i="3"/>
  <c r="S2330" i="3"/>
  <c r="S2329" i="3"/>
  <c r="S2328" i="3"/>
  <c r="S2327" i="3"/>
  <c r="S2326" i="3"/>
  <c r="S2325" i="3"/>
  <c r="S2324" i="3"/>
  <c r="S2323" i="3"/>
  <c r="S2322" i="3"/>
  <c r="S2321" i="3"/>
  <c r="S2320" i="3"/>
  <c r="S2319" i="3"/>
  <c r="S2318" i="3"/>
  <c r="S2317" i="3"/>
  <c r="S2316" i="3"/>
  <c r="S2315" i="3"/>
  <c r="S2314" i="3"/>
  <c r="S2313" i="3"/>
  <c r="S2312" i="3"/>
  <c r="S2311" i="3"/>
  <c r="S2310" i="3"/>
  <c r="S2309" i="3"/>
  <c r="S2308" i="3"/>
  <c r="S2307" i="3"/>
  <c r="S2306" i="3"/>
  <c r="S2305" i="3"/>
  <c r="S2304" i="3"/>
  <c r="S2303" i="3"/>
  <c r="S2302" i="3"/>
  <c r="S2301" i="3"/>
  <c r="S2300" i="3"/>
  <c r="S2299" i="3"/>
  <c r="S2298" i="3"/>
  <c r="S2297" i="3"/>
  <c r="S2296" i="3"/>
  <c r="S2295" i="3"/>
  <c r="S2294" i="3"/>
  <c r="S2293" i="3"/>
  <c r="S2292" i="3"/>
  <c r="S2291" i="3"/>
  <c r="S2290" i="3"/>
  <c r="S2289" i="3"/>
  <c r="S2288" i="3"/>
  <c r="S2287" i="3"/>
  <c r="S2286" i="3"/>
  <c r="S2285" i="3"/>
  <c r="S2284" i="3"/>
  <c r="S2283" i="3"/>
  <c r="S2282" i="3"/>
  <c r="S2281" i="3"/>
  <c r="S2280" i="3"/>
  <c r="S2279" i="3"/>
  <c r="S2278" i="3"/>
  <c r="S2277" i="3"/>
  <c r="S2276" i="3"/>
  <c r="S2275" i="3"/>
  <c r="S2274" i="3"/>
  <c r="S2273" i="3"/>
  <c r="S2272" i="3"/>
  <c r="S2271" i="3"/>
  <c r="S2270" i="3"/>
  <c r="S2269" i="3"/>
  <c r="S2268" i="3"/>
  <c r="S2267" i="3"/>
  <c r="S2266" i="3"/>
  <c r="S2265" i="3"/>
  <c r="S2264" i="3"/>
  <c r="S2263" i="3"/>
  <c r="S2262" i="3"/>
  <c r="S2261" i="3"/>
  <c r="S2260" i="3"/>
  <c r="S2259" i="3"/>
  <c r="S2258" i="3"/>
  <c r="S2257" i="3"/>
  <c r="S2256" i="3"/>
  <c r="S2255" i="3"/>
  <c r="S2254" i="3"/>
  <c r="S2253" i="3"/>
  <c r="S2252" i="3"/>
  <c r="S2251" i="3"/>
  <c r="S2250" i="3"/>
  <c r="S2249" i="3"/>
  <c r="S2248" i="3"/>
  <c r="S2247" i="3"/>
  <c r="S2246" i="3"/>
  <c r="S2245" i="3"/>
  <c r="S2244" i="3"/>
  <c r="S2243" i="3"/>
  <c r="S2242" i="3"/>
  <c r="S2241" i="3"/>
  <c r="S2240" i="3"/>
  <c r="S2239" i="3"/>
  <c r="S2238" i="3"/>
  <c r="S2237" i="3"/>
  <c r="S2236" i="3"/>
  <c r="S2235" i="3"/>
  <c r="S2234" i="3"/>
  <c r="S2233" i="3"/>
  <c r="S2232" i="3"/>
  <c r="S2231" i="3"/>
  <c r="S2230" i="3"/>
  <c r="S2229" i="3"/>
  <c r="S2228" i="3"/>
  <c r="S2227" i="3"/>
  <c r="S2226" i="3"/>
  <c r="S2225" i="3"/>
  <c r="S2224" i="3"/>
  <c r="S2223" i="3"/>
  <c r="S2222" i="3"/>
  <c r="S2220" i="3"/>
  <c r="S2219" i="3"/>
  <c r="S2218" i="3"/>
  <c r="S2217" i="3"/>
  <c r="S2216" i="3"/>
  <c r="S2215" i="3"/>
  <c r="S2214" i="3"/>
  <c r="S2213" i="3"/>
  <c r="S2212" i="3"/>
  <c r="S2211" i="3"/>
  <c r="S2209" i="3"/>
  <c r="S2208" i="3"/>
  <c r="S2206" i="3"/>
  <c r="S2205" i="3"/>
  <c r="S2204" i="3"/>
  <c r="S2203" i="3"/>
  <c r="S2202" i="3"/>
  <c r="S2201" i="3"/>
  <c r="S2200" i="3"/>
  <c r="S2199" i="3"/>
  <c r="S2197" i="3"/>
  <c r="S2196" i="3"/>
  <c r="S2195" i="3"/>
  <c r="S2194" i="3"/>
  <c r="S2193" i="3"/>
  <c r="S2192" i="3"/>
  <c r="S2191" i="3"/>
  <c r="S2190" i="3"/>
  <c r="S2189" i="3"/>
  <c r="S2188" i="3"/>
  <c r="S2187" i="3"/>
  <c r="S2186" i="3"/>
  <c r="S2185" i="3"/>
  <c r="S2184" i="3"/>
  <c r="S2183" i="3"/>
  <c r="S2182" i="3"/>
  <c r="S2181" i="3"/>
  <c r="S2180" i="3"/>
  <c r="S2179" i="3"/>
  <c r="S2178" i="3"/>
  <c r="S2177" i="3"/>
  <c r="S2176" i="3"/>
  <c r="S2175" i="3"/>
  <c r="S2174" i="3"/>
  <c r="S2173" i="3"/>
  <c r="S2172" i="3"/>
  <c r="S2171" i="3"/>
  <c r="S2170" i="3"/>
  <c r="S2169" i="3"/>
  <c r="S2168" i="3"/>
  <c r="S2167" i="3"/>
  <c r="S2166" i="3"/>
  <c r="S2165" i="3"/>
  <c r="S2164" i="3"/>
  <c r="S2163" i="3"/>
  <c r="S2162" i="3"/>
  <c r="S2161" i="3"/>
  <c r="S2160" i="3"/>
  <c r="S2159" i="3"/>
  <c r="S2158" i="3"/>
  <c r="S2157" i="3"/>
  <c r="S2156" i="3"/>
  <c r="S2155" i="3"/>
  <c r="S2153" i="3"/>
  <c r="S2150" i="3"/>
  <c r="S2149" i="3"/>
  <c r="S2148" i="3"/>
  <c r="S2147" i="3"/>
  <c r="S2146" i="3"/>
  <c r="S2145" i="3"/>
  <c r="S2144" i="3"/>
  <c r="S2143" i="3"/>
  <c r="S2142" i="3"/>
  <c r="S2141" i="3"/>
  <c r="S2140" i="3"/>
  <c r="S2139" i="3"/>
  <c r="S2138" i="3"/>
  <c r="S2137" i="3"/>
  <c r="S2136" i="3"/>
  <c r="S2135" i="3"/>
  <c r="S2134" i="3"/>
  <c r="S2133" i="3"/>
  <c r="S2132" i="3"/>
  <c r="S2131" i="3"/>
  <c r="S2130" i="3"/>
  <c r="S2129" i="3"/>
  <c r="S2128" i="3"/>
  <c r="S2127" i="3"/>
  <c r="S2126" i="3"/>
  <c r="S2125" i="3"/>
  <c r="S2124" i="3"/>
  <c r="S2123" i="3"/>
  <c r="S2122" i="3"/>
  <c r="S2121" i="3"/>
  <c r="S2120" i="3"/>
  <c r="S2119" i="3"/>
  <c r="S2118" i="3"/>
  <c r="S2117" i="3"/>
  <c r="S2116" i="3"/>
  <c r="S2115" i="3"/>
  <c r="S2114" i="3"/>
  <c r="S2113" i="3"/>
  <c r="S2112" i="3"/>
  <c r="S2111" i="3"/>
  <c r="S2110" i="3"/>
  <c r="S2109" i="3"/>
  <c r="S2108" i="3"/>
  <c r="S2107" i="3"/>
  <c r="S2106" i="3"/>
  <c r="S2105" i="3"/>
  <c r="S2104" i="3"/>
  <c r="S2103" i="3"/>
  <c r="S2102" i="3"/>
  <c r="S2101" i="3"/>
  <c r="S2100" i="3"/>
  <c r="S2099" i="3"/>
  <c r="S2098" i="3"/>
  <c r="S2097" i="3"/>
  <c r="S2096" i="3"/>
  <c r="S2095" i="3"/>
  <c r="S2094" i="3"/>
  <c r="S2093" i="3"/>
  <c r="S2092" i="3"/>
  <c r="S2091" i="3"/>
  <c r="S2090" i="3"/>
  <c r="S2089" i="3"/>
  <c r="S2088" i="3"/>
  <c r="S2087" i="3"/>
  <c r="S2086" i="3"/>
  <c r="S2085" i="3"/>
  <c r="S2084" i="3"/>
  <c r="S2083" i="3"/>
  <c r="S2082" i="3"/>
  <c r="S2081" i="3"/>
  <c r="S2080" i="3"/>
  <c r="S2079" i="3"/>
  <c r="S2078" i="3"/>
  <c r="S2077" i="3"/>
  <c r="S2076" i="3"/>
  <c r="S2075" i="3"/>
  <c r="S2074" i="3"/>
  <c r="S2073" i="3"/>
  <c r="S2072" i="3"/>
  <c r="S2071" i="3"/>
  <c r="S2070" i="3"/>
  <c r="S2069" i="3"/>
  <c r="S2068" i="3"/>
  <c r="S2067" i="3"/>
  <c r="S2066" i="3"/>
  <c r="S2065" i="3"/>
  <c r="S2064" i="3"/>
  <c r="S2063" i="3"/>
  <c r="S2062" i="3"/>
  <c r="S2061" i="3"/>
  <c r="S2060" i="3"/>
  <c r="S2059" i="3"/>
  <c r="S2058" i="3"/>
  <c r="S2057" i="3"/>
  <c r="S2056" i="3"/>
  <c r="S2055" i="3"/>
  <c r="S2054" i="3"/>
  <c r="S2053" i="3"/>
  <c r="S2052" i="3"/>
  <c r="S2051" i="3"/>
  <c r="S2050" i="3"/>
  <c r="S2049" i="3"/>
  <c r="S2048" i="3"/>
  <c r="S2047" i="3"/>
  <c r="S2046" i="3"/>
  <c r="S2045" i="3"/>
  <c r="S2044" i="3"/>
  <c r="S2043" i="3"/>
  <c r="S2042" i="3"/>
  <c r="S2041" i="3"/>
  <c r="S2040" i="3"/>
  <c r="S2039" i="3"/>
  <c r="S2038" i="3"/>
  <c r="S2037" i="3"/>
  <c r="S2036" i="3"/>
  <c r="S2035" i="3"/>
  <c r="S2034" i="3"/>
  <c r="S2033" i="3"/>
  <c r="S2032" i="3"/>
  <c r="S2031" i="3"/>
  <c r="S2030" i="3"/>
  <c r="S2029" i="3"/>
  <c r="S2027" i="3"/>
  <c r="S2026" i="3"/>
  <c r="S2025" i="3"/>
  <c r="S2024" i="3"/>
  <c r="S2023" i="3"/>
  <c r="S2022" i="3"/>
  <c r="S2021" i="3"/>
  <c r="S2020" i="3"/>
  <c r="S2019" i="3"/>
  <c r="S2018" i="3"/>
  <c r="S2017" i="3"/>
  <c r="S2016" i="3"/>
  <c r="S2015" i="3"/>
  <c r="S2014" i="3"/>
  <c r="S2013" i="3"/>
  <c r="S2012" i="3"/>
  <c r="S2011" i="3"/>
  <c r="S2010" i="3"/>
  <c r="S2008" i="3"/>
  <c r="S2007" i="3"/>
  <c r="S1999" i="3"/>
  <c r="S1998" i="3"/>
  <c r="S1997" i="3"/>
  <c r="S1996" i="3"/>
  <c r="S1995" i="3"/>
  <c r="S1994" i="3"/>
  <c r="S1993" i="3"/>
  <c r="S1992" i="3"/>
  <c r="S1991" i="3"/>
  <c r="S1990" i="3"/>
  <c r="S1989" i="3"/>
  <c r="S1988" i="3"/>
  <c r="S1987" i="3"/>
  <c r="S1986" i="3"/>
  <c r="S1985" i="3"/>
  <c r="S1984" i="3"/>
  <c r="S1983" i="3"/>
  <c r="S1982" i="3"/>
  <c r="S1981" i="3"/>
  <c r="S1980" i="3"/>
  <c r="S1979" i="3"/>
  <c r="S1978" i="3"/>
  <c r="S1977" i="3"/>
  <c r="S1976" i="3"/>
  <c r="S1975" i="3"/>
  <c r="S1974" i="3"/>
  <c r="S1973" i="3"/>
  <c r="S1972" i="3"/>
  <c r="S1971" i="3"/>
  <c r="S1970" i="3"/>
  <c r="S1969" i="3"/>
  <c r="S1968" i="3"/>
  <c r="S1967" i="3"/>
  <c r="S1966" i="3"/>
  <c r="S1965" i="3"/>
  <c r="S1964" i="3"/>
  <c r="S1963" i="3"/>
  <c r="S1962" i="3"/>
  <c r="S1961" i="3"/>
  <c r="S1960" i="3"/>
  <c r="S1959" i="3"/>
  <c r="S1958" i="3"/>
  <c r="S1957" i="3"/>
  <c r="S1956" i="3"/>
  <c r="S1955" i="3"/>
  <c r="S1954" i="3"/>
  <c r="S1953" i="3"/>
  <c r="S1952" i="3"/>
  <c r="S1951" i="3"/>
  <c r="S1950" i="3"/>
  <c r="S1949" i="3"/>
  <c r="S1948" i="3"/>
  <c r="S1947" i="3"/>
  <c r="S1946" i="3"/>
  <c r="S1945" i="3"/>
  <c r="S1942" i="3"/>
  <c r="S1941" i="3"/>
  <c r="S1939" i="3"/>
  <c r="S1938" i="3"/>
  <c r="S1937" i="3"/>
  <c r="S1936" i="3"/>
  <c r="S1935" i="3"/>
  <c r="S1934" i="3"/>
  <c r="S1933" i="3"/>
  <c r="S1932" i="3"/>
  <c r="S1931" i="3"/>
  <c r="S1930" i="3"/>
  <c r="S1929" i="3"/>
  <c r="S1928" i="3"/>
  <c r="S1927" i="3"/>
  <c r="S1926" i="3"/>
  <c r="S1925" i="3"/>
  <c r="S1924" i="3"/>
  <c r="S1923" i="3"/>
  <c r="S1922" i="3"/>
  <c r="S1921" i="3"/>
  <c r="S1920" i="3"/>
  <c r="S1919" i="3"/>
  <c r="S1918" i="3"/>
  <c r="S1917" i="3"/>
  <c r="S1916" i="3"/>
  <c r="S1915" i="3"/>
  <c r="S1914" i="3"/>
  <c r="S1913" i="3"/>
  <c r="S1912" i="3"/>
  <c r="S1911" i="3"/>
  <c r="S1910" i="3"/>
  <c r="S1909" i="3"/>
  <c r="S1908" i="3"/>
  <c r="S1907" i="3"/>
  <c r="S1906" i="3"/>
  <c r="S1905" i="3"/>
  <c r="S1904" i="3"/>
  <c r="S1903" i="3"/>
  <c r="S1902" i="3"/>
  <c r="S1901" i="3"/>
  <c r="S1900" i="3"/>
  <c r="S1899" i="3"/>
  <c r="S1898" i="3"/>
  <c r="S1897" i="3"/>
  <c r="S1896" i="3"/>
  <c r="S1895" i="3"/>
  <c r="S1894" i="3"/>
  <c r="S1893" i="3"/>
  <c r="S1892" i="3"/>
  <c r="S1891" i="3"/>
  <c r="S1890" i="3"/>
  <c r="S1889" i="3"/>
  <c r="S1888" i="3"/>
  <c r="S1887" i="3"/>
  <c r="S1886" i="3"/>
  <c r="S1885" i="3"/>
  <c r="S1884" i="3"/>
  <c r="S1883" i="3"/>
  <c r="S1882" i="3"/>
  <c r="S1881" i="3"/>
  <c r="S1880" i="3"/>
  <c r="S1879" i="3"/>
  <c r="S1878" i="3"/>
  <c r="S1877" i="3"/>
  <c r="S1870" i="3"/>
  <c r="S1869" i="3"/>
  <c r="S1868" i="3"/>
  <c r="S1867" i="3"/>
  <c r="S1866" i="3"/>
  <c r="S1865" i="3"/>
  <c r="S1864" i="3"/>
  <c r="S1863" i="3"/>
  <c r="S1862" i="3"/>
  <c r="S1861" i="3"/>
  <c r="S1860" i="3"/>
  <c r="S1859" i="3"/>
  <c r="S1856" i="3"/>
  <c r="S1855" i="3"/>
  <c r="S1854" i="3"/>
  <c r="S1853" i="3"/>
  <c r="S1852" i="3"/>
  <c r="S1851" i="3"/>
  <c r="S1850" i="3"/>
  <c r="S1848" i="3"/>
  <c r="S1847" i="3"/>
  <c r="S1846" i="3"/>
  <c r="S1845" i="3"/>
  <c r="S1844" i="3"/>
  <c r="S1843" i="3"/>
  <c r="S1842" i="3"/>
  <c r="S1841" i="3"/>
  <c r="S1840" i="3"/>
  <c r="S1839" i="3"/>
  <c r="S1835" i="3"/>
  <c r="S1833" i="3"/>
  <c r="S1832" i="3"/>
  <c r="S1831" i="3"/>
  <c r="S1830" i="3"/>
  <c r="S1829" i="3"/>
  <c r="S1828" i="3"/>
  <c r="S1827" i="3"/>
  <c r="S1826" i="3"/>
  <c r="S1825" i="3"/>
  <c r="S1824" i="3"/>
  <c r="S1823" i="3"/>
  <c r="S1822" i="3"/>
  <c r="S1821" i="3"/>
  <c r="S1820" i="3"/>
  <c r="S1819" i="3"/>
  <c r="S1818" i="3"/>
  <c r="S1817" i="3"/>
  <c r="S1816" i="3"/>
  <c r="S1815" i="3"/>
  <c r="S1814" i="3"/>
  <c r="S1813" i="3"/>
  <c r="S1812" i="3"/>
  <c r="S1811" i="3"/>
  <c r="S1810" i="3"/>
  <c r="S1808" i="3"/>
  <c r="S1807" i="3"/>
  <c r="S1806" i="3"/>
  <c r="S1805" i="3"/>
  <c r="S1804" i="3"/>
  <c r="S1803" i="3"/>
  <c r="S1802" i="3"/>
  <c r="S1801" i="3"/>
  <c r="S1800" i="3"/>
  <c r="S1799" i="3"/>
  <c r="S1798" i="3"/>
  <c r="S1797" i="3"/>
  <c r="S1796" i="3"/>
  <c r="S1795" i="3"/>
  <c r="S1794" i="3"/>
  <c r="S1793" i="3"/>
  <c r="S1792" i="3"/>
  <c r="S1790" i="3"/>
  <c r="S1789" i="3"/>
  <c r="S1788" i="3"/>
  <c r="S1787" i="3"/>
  <c r="S1786" i="3"/>
  <c r="S1785" i="3"/>
  <c r="S1784" i="3"/>
  <c r="S1783" i="3"/>
  <c r="S1782" i="3"/>
  <c r="S1781" i="3"/>
  <c r="S1780" i="3"/>
  <c r="S1779" i="3"/>
  <c r="S1778" i="3"/>
  <c r="S1777" i="3"/>
  <c r="S1776" i="3"/>
  <c r="S1773" i="3"/>
  <c r="S1772" i="3"/>
  <c r="S1771" i="3"/>
  <c r="S1770" i="3"/>
  <c r="S1769" i="3"/>
  <c r="S1768" i="3"/>
  <c r="S1767" i="3"/>
  <c r="S1766" i="3"/>
  <c r="S1765" i="3"/>
  <c r="S1764" i="3"/>
  <c r="S1763" i="3"/>
  <c r="S1762" i="3"/>
  <c r="S1761" i="3"/>
  <c r="S1760" i="3"/>
  <c r="S1759" i="3"/>
  <c r="S1758" i="3"/>
  <c r="S1757" i="3"/>
  <c r="S1756" i="3"/>
  <c r="S1755" i="3"/>
  <c r="S1754" i="3"/>
  <c r="S1753" i="3"/>
  <c r="S1752" i="3"/>
  <c r="S1751" i="3"/>
  <c r="S1749" i="3"/>
  <c r="S1748" i="3"/>
  <c r="S1747" i="3"/>
  <c r="S1746" i="3"/>
  <c r="S1745" i="3"/>
  <c r="S1744" i="3"/>
  <c r="S1743" i="3"/>
  <c r="S1742" i="3"/>
  <c r="S1741" i="3"/>
  <c r="S1740" i="3"/>
  <c r="S1739" i="3"/>
  <c r="S1738" i="3"/>
  <c r="S1737" i="3"/>
  <c r="S1736" i="3"/>
  <c r="S1735" i="3"/>
  <c r="S1734" i="3"/>
  <c r="S1733" i="3"/>
  <c r="S1732" i="3"/>
  <c r="S1731" i="3"/>
  <c r="S1730" i="3"/>
  <c r="S1729" i="3"/>
  <c r="S1728" i="3"/>
  <c r="S1727" i="3"/>
  <c r="S1726" i="3"/>
  <c r="S1725" i="3"/>
  <c r="S1724" i="3"/>
  <c r="S1723" i="3"/>
  <c r="S1722" i="3"/>
  <c r="S1720" i="3"/>
  <c r="S1718" i="3"/>
  <c r="S1717" i="3"/>
  <c r="S1716" i="3"/>
  <c r="S1715" i="3"/>
  <c r="S1714" i="3"/>
  <c r="S1713" i="3"/>
  <c r="S1712" i="3"/>
  <c r="S1711" i="3"/>
  <c r="S1710" i="3"/>
  <c r="S1709" i="3"/>
  <c r="S1708" i="3"/>
  <c r="S1707" i="3"/>
  <c r="S1706" i="3"/>
  <c r="S1705" i="3"/>
  <c r="S1704" i="3"/>
  <c r="S1703" i="3"/>
  <c r="S1702" i="3"/>
  <c r="S1701" i="3"/>
  <c r="S1700" i="3"/>
  <c r="S1699" i="3"/>
  <c r="S1698" i="3"/>
  <c r="S1697" i="3"/>
  <c r="S1696" i="3"/>
  <c r="S1695" i="3"/>
  <c r="S1694" i="3"/>
  <c r="S1693" i="3"/>
  <c r="S1692" i="3"/>
  <c r="S1691" i="3"/>
  <c r="S1690" i="3"/>
  <c r="S1689" i="3"/>
  <c r="S1688" i="3"/>
  <c r="S1687" i="3"/>
  <c r="S1686" i="3"/>
  <c r="S1685" i="3"/>
  <c r="S1684" i="3"/>
  <c r="S1683" i="3"/>
  <c r="S1682" i="3"/>
  <c r="S1681" i="3"/>
  <c r="S1680" i="3"/>
  <c r="S1679" i="3"/>
  <c r="S1678" i="3"/>
  <c r="S1677" i="3"/>
  <c r="S1676" i="3"/>
  <c r="S1675" i="3"/>
  <c r="S1674" i="3"/>
  <c r="S1673" i="3"/>
  <c r="S1672" i="3"/>
  <c r="S1671" i="3"/>
  <c r="S1670" i="3"/>
  <c r="S1669" i="3"/>
  <c r="S1668" i="3"/>
  <c r="S1667" i="3"/>
  <c r="S1666" i="3"/>
  <c r="S1665" i="3"/>
  <c r="S1664" i="3"/>
  <c r="S1663" i="3"/>
  <c r="S1662" i="3"/>
  <c r="S1661" i="3"/>
  <c r="S1660" i="3"/>
  <c r="S1659" i="3"/>
  <c r="S1658" i="3"/>
  <c r="S1657" i="3"/>
  <c r="S1656" i="3"/>
  <c r="S1655" i="3"/>
  <c r="S1654" i="3"/>
  <c r="S1653" i="3"/>
  <c r="S1652" i="3"/>
  <c r="S1651" i="3"/>
  <c r="S1650" i="3"/>
  <c r="S1649" i="3"/>
  <c r="S1648" i="3"/>
  <c r="S1647" i="3"/>
  <c r="S1646" i="3"/>
  <c r="S1645" i="3"/>
  <c r="S1644" i="3"/>
  <c r="S1643" i="3"/>
  <c r="S1642" i="3"/>
  <c r="S1641" i="3"/>
  <c r="S1640" i="3"/>
  <c r="S1639" i="3"/>
  <c r="S1638" i="3"/>
  <c r="S1637" i="3"/>
  <c r="S1636" i="3"/>
  <c r="S1635" i="3"/>
  <c r="S1634" i="3"/>
  <c r="S1633" i="3"/>
  <c r="S1632" i="3"/>
  <c r="S1631" i="3"/>
  <c r="S1630" i="3"/>
  <c r="S1629" i="3"/>
  <c r="S1628" i="3"/>
  <c r="S1627" i="3"/>
  <c r="S1626" i="3"/>
  <c r="S1625" i="3"/>
  <c r="S1624" i="3"/>
  <c r="S1623" i="3"/>
  <c r="S1622" i="3"/>
  <c r="S1621" i="3"/>
  <c r="S1620" i="3"/>
  <c r="S1619" i="3"/>
  <c r="S1618" i="3"/>
  <c r="S1617" i="3"/>
  <c r="S1616" i="3"/>
  <c r="S1615" i="3"/>
  <c r="S1614" i="3"/>
  <c r="S1613" i="3"/>
  <c r="S1612" i="3"/>
  <c r="S1611" i="3"/>
  <c r="S1610" i="3"/>
  <c r="S1609" i="3"/>
  <c r="S1608" i="3"/>
  <c r="S1607" i="3"/>
  <c r="S1606" i="3"/>
  <c r="S1605" i="3"/>
  <c r="S1604" i="3"/>
  <c r="S1603" i="3"/>
  <c r="S1602" i="3"/>
  <c r="S1601" i="3"/>
  <c r="S1600" i="3"/>
  <c r="S1599" i="3"/>
  <c r="S1598" i="3"/>
  <c r="S1597" i="3"/>
  <c r="S1596" i="3"/>
  <c r="S1595" i="3"/>
  <c r="S1594" i="3"/>
  <c r="S1593" i="3"/>
  <c r="S1592" i="3"/>
  <c r="S1591" i="3"/>
  <c r="S1590" i="3"/>
  <c r="S1589" i="3"/>
  <c r="S1588" i="3"/>
  <c r="S1587" i="3"/>
  <c r="S1586" i="3"/>
  <c r="S1585" i="3"/>
  <c r="S1584" i="3"/>
  <c r="S1583" i="3"/>
  <c r="S1582" i="3"/>
  <c r="S1581" i="3"/>
  <c r="S1580" i="3"/>
  <c r="S1579" i="3"/>
  <c r="S1578" i="3"/>
  <c r="S1577" i="3"/>
  <c r="S1576" i="3"/>
  <c r="S1575" i="3"/>
  <c r="S1574" i="3"/>
  <c r="S1573" i="3"/>
  <c r="S1572" i="3"/>
  <c r="S1571" i="3"/>
  <c r="S1570" i="3"/>
  <c r="S1569" i="3"/>
  <c r="S1568" i="3"/>
  <c r="S1567" i="3"/>
  <c r="S1566" i="3"/>
  <c r="S1565" i="3"/>
  <c r="S1564" i="3"/>
  <c r="S1563" i="3"/>
  <c r="S1562" i="3"/>
  <c r="S1561" i="3"/>
  <c r="S1560" i="3"/>
  <c r="S1559" i="3"/>
  <c r="S1558" i="3"/>
  <c r="S1557" i="3"/>
  <c r="S1556" i="3"/>
  <c r="S1555" i="3"/>
  <c r="S1554" i="3"/>
  <c r="S1553" i="3"/>
  <c r="S1552" i="3"/>
  <c r="S1551" i="3"/>
  <c r="S1550" i="3"/>
  <c r="S1549" i="3"/>
  <c r="S1548" i="3"/>
  <c r="S1547" i="3"/>
  <c r="S1545" i="3"/>
  <c r="S1544" i="3"/>
  <c r="S1537" i="3"/>
  <c r="S1536" i="3"/>
  <c r="S1535" i="3"/>
  <c r="S1534" i="3"/>
  <c r="S1533" i="3"/>
  <c r="S1532" i="3"/>
  <c r="S1531" i="3"/>
  <c r="S1530" i="3"/>
  <c r="S1529" i="3"/>
  <c r="S1528" i="3"/>
  <c r="S1527" i="3"/>
  <c r="S1526" i="3"/>
  <c r="S1525" i="3"/>
  <c r="S1524" i="3"/>
  <c r="S1523" i="3"/>
  <c r="S1522" i="3"/>
  <c r="S1521" i="3"/>
  <c r="S1520" i="3"/>
  <c r="S1519" i="3"/>
  <c r="S1518" i="3"/>
  <c r="S1517" i="3"/>
  <c r="S1516" i="3"/>
  <c r="S1515" i="3"/>
  <c r="S1514" i="3"/>
  <c r="S1513" i="3"/>
  <c r="S1512" i="3"/>
  <c r="S1511" i="3"/>
  <c r="S1510" i="3"/>
  <c r="S1509" i="3"/>
  <c r="S1508" i="3"/>
  <c r="S1507" i="3"/>
  <c r="S1506" i="3"/>
  <c r="S1505" i="3"/>
  <c r="S1504" i="3"/>
  <c r="S1503" i="3"/>
  <c r="S1502" i="3"/>
  <c r="S1501" i="3"/>
  <c r="S1500" i="3"/>
  <c r="S1499" i="3"/>
  <c r="S1498" i="3"/>
  <c r="S1497" i="3"/>
  <c r="S1496" i="3"/>
  <c r="S1495" i="3"/>
  <c r="S1494" i="3"/>
  <c r="S1493" i="3"/>
  <c r="S1492" i="3"/>
  <c r="S1491" i="3"/>
  <c r="S1490" i="3"/>
  <c r="S1489" i="3"/>
  <c r="S1488" i="3"/>
  <c r="S1487" i="3"/>
  <c r="S1486" i="3"/>
  <c r="S1485" i="3"/>
  <c r="S1484" i="3"/>
  <c r="S1483" i="3"/>
  <c r="S1482" i="3"/>
  <c r="S1481" i="3"/>
  <c r="S1480" i="3"/>
  <c r="S1479" i="3"/>
  <c r="S1478" i="3"/>
  <c r="S1477" i="3"/>
  <c r="S1476" i="3"/>
  <c r="S1475" i="3"/>
  <c r="S1474" i="3"/>
  <c r="S1473" i="3"/>
  <c r="S1472" i="3"/>
  <c r="S1471" i="3"/>
  <c r="S1470" i="3"/>
  <c r="S1469" i="3"/>
  <c r="S1468" i="3"/>
  <c r="S1467" i="3"/>
  <c r="S1466" i="3"/>
  <c r="S1465" i="3"/>
  <c r="S1464" i="3"/>
  <c r="S1463" i="3"/>
  <c r="S1462" i="3"/>
  <c r="S1461" i="3"/>
  <c r="S1438" i="3"/>
  <c r="S1437" i="3"/>
  <c r="S1436" i="3"/>
  <c r="S1435" i="3"/>
  <c r="S1434" i="3"/>
  <c r="S1433" i="3"/>
  <c r="S1432" i="3"/>
  <c r="S1431" i="3"/>
  <c r="S1430" i="3"/>
  <c r="S1429" i="3"/>
  <c r="S1427" i="3"/>
  <c r="S1426" i="3"/>
  <c r="S1425" i="3"/>
  <c r="S1424" i="3"/>
  <c r="S1423" i="3"/>
  <c r="S1422" i="3"/>
  <c r="S1421" i="3"/>
  <c r="S1420" i="3"/>
  <c r="S1419" i="3"/>
  <c r="S1418" i="3"/>
  <c r="S1417" i="3"/>
  <c r="S1416" i="3"/>
  <c r="S1415" i="3"/>
  <c r="S1414" i="3"/>
  <c r="S1413" i="3"/>
  <c r="S1412" i="3"/>
  <c r="S1411" i="3"/>
  <c r="S1410" i="3"/>
  <c r="S1409" i="3"/>
  <c r="S1408" i="3"/>
  <c r="S1407" i="3"/>
  <c r="S1406" i="3"/>
  <c r="S1405" i="3"/>
  <c r="S1404" i="3"/>
  <c r="S1403" i="3"/>
  <c r="S1402" i="3"/>
  <c r="S1401" i="3"/>
  <c r="S1400" i="3"/>
  <c r="S1399" i="3"/>
  <c r="S1398" i="3"/>
  <c r="S1397" i="3"/>
  <c r="S1396" i="3"/>
  <c r="S1395" i="3"/>
  <c r="S1394" i="3"/>
  <c r="S1393" i="3"/>
  <c r="S1392" i="3"/>
  <c r="S1391" i="3"/>
  <c r="S1390" i="3"/>
  <c r="S1389" i="3"/>
  <c r="S1388" i="3"/>
  <c r="S1387" i="3"/>
  <c r="S1386" i="3"/>
  <c r="S1385" i="3"/>
  <c r="S1384" i="3"/>
  <c r="S1383" i="3"/>
  <c r="S1382" i="3"/>
  <c r="S1381" i="3"/>
  <c r="S1377" i="3"/>
  <c r="S1374" i="3"/>
  <c r="S1373" i="3"/>
  <c r="S1372" i="3"/>
  <c r="S1371" i="3"/>
  <c r="S1370" i="3"/>
  <c r="S1369" i="3"/>
  <c r="S1368" i="3"/>
  <c r="S1366" i="3"/>
  <c r="S1365" i="3"/>
  <c r="S1364" i="3"/>
  <c r="S1363" i="3"/>
  <c r="S1362" i="3"/>
  <c r="S1361" i="3"/>
  <c r="S1360" i="3"/>
  <c r="S1359" i="3"/>
  <c r="S1358" i="3"/>
  <c r="S1357" i="3"/>
  <c r="S1356" i="3"/>
  <c r="S1355" i="3"/>
  <c r="S1354" i="3"/>
  <c r="S1353" i="3"/>
  <c r="S1352" i="3"/>
  <c r="S1351" i="3"/>
  <c r="S1350" i="3"/>
  <c r="S1349" i="3"/>
  <c r="S1348" i="3"/>
  <c r="S1347" i="3"/>
  <c r="S1346" i="3"/>
  <c r="S1345" i="3"/>
  <c r="S1344" i="3"/>
  <c r="S1343" i="3"/>
  <c r="S1342" i="3"/>
  <c r="S1341" i="3"/>
  <c r="S1340" i="3"/>
  <c r="S1339" i="3"/>
  <c r="S1338" i="3"/>
  <c r="S1337" i="3"/>
  <c r="S1336" i="3"/>
  <c r="S1335" i="3"/>
  <c r="S1334" i="3"/>
  <c r="S1333" i="3"/>
  <c r="S1332" i="3"/>
  <c r="S1331" i="3"/>
  <c r="S1330" i="3"/>
  <c r="S1329" i="3"/>
  <c r="S1328" i="3"/>
  <c r="S1327" i="3"/>
  <c r="S1326" i="3"/>
  <c r="S1325" i="3"/>
  <c r="S1324" i="3"/>
  <c r="S1323" i="3"/>
  <c r="S1322" i="3"/>
  <c r="S1321" i="3"/>
  <c r="S1320" i="3"/>
  <c r="S1319" i="3"/>
  <c r="S1318" i="3"/>
  <c r="S1317" i="3"/>
  <c r="S1316" i="3"/>
  <c r="S1315" i="3"/>
  <c r="S1314" i="3"/>
  <c r="S1313" i="3"/>
  <c r="S1312" i="3"/>
  <c r="S1311" i="3"/>
  <c r="S1310" i="3"/>
  <c r="S1304" i="3"/>
  <c r="S1303" i="3"/>
  <c r="S1302" i="3"/>
  <c r="S1301" i="3"/>
  <c r="S1300" i="3"/>
  <c r="S1299" i="3"/>
  <c r="S1298" i="3"/>
  <c r="S1297" i="3"/>
  <c r="S1296" i="3"/>
  <c r="S1295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6" i="3"/>
  <c r="S1245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S1075" i="3"/>
  <c r="S1073" i="3"/>
  <c r="S1072" i="3"/>
  <c r="S1071" i="3"/>
  <c r="S1070" i="3"/>
  <c r="S1069" i="3"/>
  <c r="S1068" i="3"/>
  <c r="S1067" i="3"/>
  <c r="S1066" i="3"/>
  <c r="S1065" i="3"/>
  <c r="S1064" i="3"/>
  <c r="S1063" i="3"/>
  <c r="S1062" i="3"/>
  <c r="S1061" i="3"/>
  <c r="S1060" i="3"/>
  <c r="S1059" i="3"/>
  <c r="S1058" i="3"/>
  <c r="S1057" i="3"/>
  <c r="S1056" i="3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S1042" i="3"/>
  <c r="S1041" i="3"/>
  <c r="S1040" i="3"/>
  <c r="S1039" i="3"/>
  <c r="S1038" i="3"/>
  <c r="S1037" i="3"/>
  <c r="S1036" i="3"/>
  <c r="S1035" i="3"/>
  <c r="S1034" i="3"/>
  <c r="S1033" i="3"/>
  <c r="S1032" i="3"/>
  <c r="S1031" i="3"/>
  <c r="S1030" i="3"/>
  <c r="S1029" i="3"/>
  <c r="S1028" i="3"/>
  <c r="S1027" i="3"/>
  <c r="S1026" i="3"/>
  <c r="S1025" i="3"/>
  <c r="S1024" i="3"/>
  <c r="S1023" i="3"/>
  <c r="S1022" i="3"/>
  <c r="S1021" i="3"/>
  <c r="S1020" i="3"/>
  <c r="S1019" i="3"/>
  <c r="S1018" i="3"/>
  <c r="S1017" i="3"/>
  <c r="S1016" i="3"/>
  <c r="S1015" i="3"/>
  <c r="S1014" i="3"/>
  <c r="S1013" i="3"/>
  <c r="S1012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8" i="3"/>
  <c r="S917" i="3"/>
  <c r="S916" i="3"/>
  <c r="S915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4" i="3"/>
  <c r="S857" i="3"/>
  <c r="S855" i="3"/>
  <c r="S851" i="3"/>
  <c r="S848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0" i="3"/>
  <c r="S708" i="3"/>
  <c r="S707" i="3"/>
  <c r="S704" i="3"/>
  <c r="S703" i="3"/>
  <c r="S702" i="3"/>
  <c r="S701" i="3"/>
  <c r="S700" i="3"/>
  <c r="S699" i="3"/>
  <c r="S698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3" i="3"/>
  <c r="S492" i="3"/>
  <c r="S488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2" i="3"/>
  <c r="S151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Q644" i="3" l="1"/>
  <c r="Q647" i="3"/>
  <c r="Q645" i="3"/>
  <c r="Q688" i="3"/>
  <c r="Q667" i="3"/>
  <c r="Q651" i="3"/>
  <c r="Q648" i="3"/>
  <c r="Q642" i="3"/>
  <c r="Q641" i="3"/>
  <c r="Q665" i="3"/>
  <c r="Q676" i="3"/>
  <c r="Q683" i="3"/>
  <c r="Q692" i="3"/>
  <c r="Q661" i="3"/>
  <c r="Q694" i="3"/>
  <c r="Q684" i="3"/>
  <c r="Q679" i="3"/>
  <c r="Q671" i="3"/>
  <c r="Q668" i="3"/>
  <c r="Q658" i="3"/>
  <c r="Q656" i="3"/>
  <c r="Q649" i="3"/>
  <c r="Q643" i="3"/>
  <c r="Q733" i="3"/>
  <c r="I6032" i="3" l="1"/>
  <c r="J6032" i="3" s="1"/>
  <c r="I6033" i="3"/>
  <c r="J6033" i="3" s="1"/>
  <c r="I6034" i="3"/>
  <c r="J6034" i="3" s="1"/>
  <c r="I6035" i="3"/>
  <c r="J6035" i="3" s="1"/>
  <c r="I6036" i="3"/>
  <c r="J6036" i="3" s="1"/>
  <c r="I6037" i="3"/>
  <c r="J6037" i="3" s="1"/>
  <c r="I6038" i="3"/>
  <c r="J6038" i="3" s="1"/>
  <c r="I6039" i="3"/>
  <c r="J6039" i="3" s="1"/>
  <c r="I6040" i="3"/>
  <c r="J6040" i="3" s="1"/>
  <c r="I6041" i="3"/>
  <c r="J6041" i="3" s="1"/>
  <c r="I6042" i="3"/>
  <c r="J6042" i="3" s="1"/>
  <c r="I6043" i="3"/>
  <c r="J6043" i="3" s="1"/>
  <c r="I6044" i="3"/>
  <c r="J6044" i="3" s="1"/>
  <c r="I6045" i="3"/>
  <c r="J6045" i="3" s="1"/>
  <c r="I6046" i="3"/>
  <c r="J6046" i="3" s="1"/>
  <c r="I6047" i="3"/>
  <c r="J6047" i="3" s="1"/>
  <c r="I6048" i="3"/>
  <c r="J6048" i="3" s="1"/>
  <c r="I6049" i="3"/>
  <c r="J6049" i="3" s="1"/>
  <c r="I6050" i="3"/>
  <c r="J6050" i="3" s="1"/>
  <c r="I6051" i="3"/>
  <c r="J6051" i="3" s="1"/>
  <c r="I6052" i="3"/>
  <c r="J6052" i="3" s="1"/>
  <c r="I6053" i="3"/>
  <c r="J6053" i="3" s="1"/>
  <c r="I6054" i="3"/>
  <c r="J6054" i="3" s="1"/>
  <c r="I6055" i="3"/>
  <c r="J6055" i="3" s="1"/>
  <c r="I6056" i="3"/>
  <c r="J6056" i="3" s="1"/>
  <c r="I6057" i="3"/>
  <c r="J6057" i="3" s="1"/>
  <c r="I6017" i="3"/>
  <c r="J6017" i="3" s="1"/>
  <c r="I6018" i="3"/>
  <c r="J6018" i="3" s="1"/>
  <c r="I6019" i="3"/>
  <c r="J6019" i="3" s="1"/>
  <c r="I6020" i="3"/>
  <c r="J6020" i="3" s="1"/>
  <c r="I6021" i="3"/>
  <c r="J6021" i="3" s="1"/>
  <c r="I6022" i="3"/>
  <c r="J6022" i="3" s="1"/>
  <c r="I6023" i="3"/>
  <c r="J6023" i="3" s="1"/>
  <c r="I6024" i="3"/>
  <c r="J6024" i="3" s="1"/>
  <c r="I6025" i="3"/>
  <c r="J6025" i="3" s="1"/>
  <c r="I6026" i="3"/>
  <c r="J6026" i="3" s="1"/>
  <c r="I5958" i="3"/>
  <c r="J5958" i="3" s="1"/>
  <c r="I5959" i="3"/>
  <c r="J5959" i="3" s="1"/>
  <c r="I5960" i="3"/>
  <c r="J5960" i="3" s="1"/>
  <c r="I5961" i="3"/>
  <c r="J5961" i="3" s="1"/>
  <c r="I5962" i="3"/>
  <c r="J5962" i="3" s="1"/>
  <c r="I5963" i="3"/>
  <c r="J5963" i="3" s="1"/>
  <c r="I5964" i="3"/>
  <c r="J5964" i="3" s="1"/>
  <c r="I5965" i="3"/>
  <c r="J5965" i="3" s="1"/>
  <c r="I5966" i="3"/>
  <c r="J5966" i="3" s="1"/>
  <c r="I5967" i="3"/>
  <c r="J5967" i="3" s="1"/>
  <c r="I5968" i="3"/>
  <c r="J5968" i="3" s="1"/>
  <c r="I5969" i="3"/>
  <c r="J5969" i="3" s="1"/>
  <c r="I5970" i="3"/>
  <c r="J5970" i="3" s="1"/>
  <c r="I5971" i="3"/>
  <c r="J5971" i="3" s="1"/>
  <c r="I5972" i="3"/>
  <c r="J5972" i="3" s="1"/>
  <c r="I5973" i="3"/>
  <c r="J5973" i="3" s="1"/>
  <c r="I5974" i="3"/>
  <c r="J5974" i="3" s="1"/>
  <c r="I5975" i="3"/>
  <c r="J5975" i="3" s="1"/>
  <c r="I5976" i="3"/>
  <c r="J5976" i="3" s="1"/>
  <c r="I5977" i="3"/>
  <c r="J5977" i="3" s="1"/>
  <c r="I5978" i="3"/>
  <c r="J5978" i="3" s="1"/>
  <c r="I5979" i="3"/>
  <c r="J5979" i="3" s="1"/>
  <c r="I5980" i="3"/>
  <c r="J5980" i="3" s="1"/>
  <c r="I5981" i="3"/>
  <c r="J5981" i="3" s="1"/>
  <c r="I5982" i="3"/>
  <c r="J5982" i="3" s="1"/>
  <c r="I5983" i="3"/>
  <c r="J5983" i="3" s="1"/>
  <c r="I5984" i="3"/>
  <c r="J5984" i="3" s="1"/>
  <c r="I5985" i="3"/>
  <c r="J5985" i="3" s="1"/>
  <c r="I5986" i="3"/>
  <c r="J5986" i="3" s="1"/>
  <c r="I5987" i="3"/>
  <c r="J5987" i="3" s="1"/>
  <c r="I5988" i="3"/>
  <c r="J5988" i="3" s="1"/>
  <c r="I5989" i="3"/>
  <c r="J5989" i="3" s="1"/>
  <c r="I5990" i="3"/>
  <c r="J5990" i="3" s="1"/>
  <c r="I5991" i="3"/>
  <c r="J5991" i="3" s="1"/>
  <c r="I5992" i="3"/>
  <c r="J5992" i="3" s="1"/>
  <c r="I5993" i="3"/>
  <c r="J5993" i="3" s="1"/>
  <c r="I5994" i="3"/>
  <c r="J5994" i="3" s="1"/>
  <c r="I5995" i="3"/>
  <c r="J5995" i="3" s="1"/>
  <c r="I5996" i="3"/>
  <c r="J5996" i="3" s="1"/>
  <c r="I5997" i="3"/>
  <c r="J5997" i="3" s="1"/>
  <c r="I5998" i="3"/>
  <c r="J5998" i="3" s="1"/>
  <c r="I5999" i="3"/>
  <c r="J5999" i="3" s="1"/>
  <c r="I6000" i="3"/>
  <c r="J6000" i="3" s="1"/>
  <c r="I6001" i="3"/>
  <c r="J6001" i="3" s="1"/>
  <c r="I6002" i="3"/>
  <c r="J6002" i="3" s="1"/>
  <c r="I6003" i="3"/>
  <c r="J6003" i="3" s="1"/>
  <c r="I6004" i="3"/>
  <c r="J6004" i="3" s="1"/>
  <c r="I6005" i="3"/>
  <c r="J6005" i="3" s="1"/>
  <c r="I6006" i="3"/>
  <c r="J6006" i="3" s="1"/>
  <c r="I6007" i="3"/>
  <c r="J6007" i="3" s="1"/>
  <c r="I6008" i="3"/>
  <c r="J6008" i="3" s="1"/>
  <c r="I6009" i="3"/>
  <c r="J6009" i="3" s="1"/>
  <c r="I6010" i="3"/>
  <c r="J6010" i="3" s="1"/>
  <c r="I6011" i="3"/>
  <c r="J6011" i="3" s="1"/>
  <c r="I6012" i="3"/>
  <c r="J6012" i="3" s="1"/>
  <c r="I5722" i="3"/>
  <c r="J5722" i="3" s="1"/>
  <c r="I5723" i="3"/>
  <c r="J5723" i="3" s="1"/>
  <c r="I5724" i="3"/>
  <c r="J5724" i="3" s="1"/>
  <c r="I5725" i="3"/>
  <c r="J5725" i="3" s="1"/>
  <c r="I5726" i="3"/>
  <c r="J5726" i="3" s="1"/>
  <c r="I5727" i="3"/>
  <c r="J5727" i="3" s="1"/>
  <c r="I5728" i="3"/>
  <c r="J5728" i="3" s="1"/>
  <c r="I5729" i="3"/>
  <c r="J5729" i="3" s="1"/>
  <c r="I5730" i="3"/>
  <c r="J5730" i="3" s="1"/>
  <c r="I5731" i="3"/>
  <c r="J5731" i="3" s="1"/>
  <c r="I5732" i="3"/>
  <c r="J5732" i="3" s="1"/>
  <c r="I5733" i="3"/>
  <c r="J5733" i="3" s="1"/>
  <c r="I5734" i="3"/>
  <c r="J5734" i="3" s="1"/>
  <c r="I5735" i="3"/>
  <c r="J5735" i="3" s="1"/>
  <c r="I5736" i="3"/>
  <c r="J5736" i="3" s="1"/>
  <c r="I5737" i="3"/>
  <c r="J5737" i="3" s="1"/>
  <c r="I5738" i="3"/>
  <c r="J5738" i="3" s="1"/>
  <c r="I5739" i="3"/>
  <c r="J5739" i="3" s="1"/>
  <c r="I5740" i="3"/>
  <c r="J5740" i="3" s="1"/>
  <c r="I5741" i="3"/>
  <c r="J5741" i="3" s="1"/>
  <c r="I5742" i="3"/>
  <c r="J5742" i="3" s="1"/>
  <c r="I5743" i="3"/>
  <c r="J5743" i="3" s="1"/>
  <c r="I5744" i="3"/>
  <c r="J5744" i="3" s="1"/>
  <c r="I5745" i="3"/>
  <c r="J5745" i="3" s="1"/>
  <c r="I5746" i="3"/>
  <c r="J5746" i="3" s="1"/>
  <c r="I5747" i="3"/>
  <c r="J5747" i="3" s="1"/>
  <c r="I5748" i="3"/>
  <c r="J5748" i="3" s="1"/>
  <c r="I5749" i="3"/>
  <c r="J5749" i="3" s="1"/>
  <c r="I5750" i="3"/>
  <c r="J5750" i="3" s="1"/>
  <c r="I5751" i="3"/>
  <c r="J5751" i="3" s="1"/>
  <c r="I5752" i="3"/>
  <c r="J5752" i="3" s="1"/>
  <c r="I5753" i="3"/>
  <c r="J5753" i="3" s="1"/>
  <c r="I5754" i="3"/>
  <c r="J5754" i="3" s="1"/>
  <c r="I5755" i="3"/>
  <c r="J5755" i="3" s="1"/>
  <c r="I5756" i="3"/>
  <c r="J5756" i="3" s="1"/>
  <c r="I5757" i="3"/>
  <c r="J5757" i="3" s="1"/>
  <c r="I5758" i="3"/>
  <c r="J5758" i="3" s="1"/>
  <c r="I5759" i="3"/>
  <c r="J5759" i="3" s="1"/>
  <c r="I5760" i="3"/>
  <c r="J5760" i="3" s="1"/>
  <c r="I5761" i="3"/>
  <c r="J5761" i="3" s="1"/>
  <c r="I5762" i="3"/>
  <c r="J5762" i="3" s="1"/>
  <c r="I5763" i="3"/>
  <c r="J5763" i="3" s="1"/>
  <c r="I5764" i="3"/>
  <c r="J5764" i="3" s="1"/>
  <c r="I5765" i="3"/>
  <c r="J5765" i="3" s="1"/>
  <c r="I5766" i="3"/>
  <c r="J5766" i="3" s="1"/>
  <c r="I5767" i="3"/>
  <c r="J5767" i="3" s="1"/>
  <c r="I5768" i="3"/>
  <c r="J5768" i="3" s="1"/>
  <c r="I5769" i="3"/>
  <c r="J5769" i="3" s="1"/>
  <c r="I5770" i="3"/>
  <c r="J5770" i="3" s="1"/>
  <c r="I5771" i="3"/>
  <c r="J5771" i="3" s="1"/>
  <c r="I5772" i="3"/>
  <c r="J5772" i="3" s="1"/>
  <c r="I5773" i="3"/>
  <c r="J5773" i="3" s="1"/>
  <c r="I5774" i="3"/>
  <c r="J5774" i="3" s="1"/>
  <c r="I5775" i="3"/>
  <c r="J5775" i="3" s="1"/>
  <c r="I5776" i="3"/>
  <c r="J5776" i="3" s="1"/>
  <c r="I5777" i="3"/>
  <c r="J5777" i="3" s="1"/>
  <c r="I5778" i="3"/>
  <c r="J5778" i="3" s="1"/>
  <c r="I5779" i="3"/>
  <c r="J5779" i="3" s="1"/>
  <c r="I5780" i="3"/>
  <c r="J5780" i="3" s="1"/>
  <c r="I5781" i="3"/>
  <c r="J5781" i="3" s="1"/>
  <c r="I5782" i="3"/>
  <c r="J5782" i="3" s="1"/>
  <c r="I5783" i="3"/>
  <c r="J5783" i="3" s="1"/>
  <c r="I5784" i="3"/>
  <c r="J5784" i="3" s="1"/>
  <c r="I5785" i="3"/>
  <c r="J5785" i="3" s="1"/>
  <c r="I5786" i="3"/>
  <c r="J5786" i="3" s="1"/>
  <c r="I5787" i="3"/>
  <c r="J5787" i="3" s="1"/>
  <c r="I5788" i="3"/>
  <c r="J5788" i="3" s="1"/>
  <c r="I5789" i="3"/>
  <c r="J5789" i="3" s="1"/>
  <c r="I5790" i="3"/>
  <c r="J5790" i="3" s="1"/>
  <c r="I5791" i="3"/>
  <c r="J5791" i="3" s="1"/>
  <c r="I5792" i="3"/>
  <c r="J5792" i="3" s="1"/>
  <c r="I5793" i="3"/>
  <c r="J5793" i="3" s="1"/>
  <c r="I5794" i="3"/>
  <c r="J5794" i="3" s="1"/>
  <c r="I5795" i="3"/>
  <c r="J5795" i="3" s="1"/>
  <c r="I5796" i="3"/>
  <c r="J5796" i="3" s="1"/>
  <c r="I5797" i="3"/>
  <c r="J5797" i="3" s="1"/>
  <c r="I5798" i="3"/>
  <c r="J5798" i="3" s="1"/>
  <c r="I5799" i="3"/>
  <c r="J5799" i="3" s="1"/>
  <c r="I5800" i="3"/>
  <c r="J5800" i="3" s="1"/>
  <c r="I5801" i="3"/>
  <c r="J5801" i="3" s="1"/>
  <c r="I5802" i="3"/>
  <c r="J5802" i="3" s="1"/>
  <c r="I5803" i="3"/>
  <c r="J5803" i="3" s="1"/>
  <c r="I5804" i="3"/>
  <c r="J5804" i="3" s="1"/>
  <c r="I5805" i="3"/>
  <c r="J5805" i="3" s="1"/>
  <c r="I5806" i="3"/>
  <c r="J5806" i="3" s="1"/>
  <c r="I5807" i="3"/>
  <c r="J5807" i="3" s="1"/>
  <c r="I5808" i="3"/>
  <c r="J5808" i="3" s="1"/>
  <c r="I5809" i="3"/>
  <c r="J5809" i="3" s="1"/>
  <c r="I5810" i="3"/>
  <c r="J5810" i="3" s="1"/>
  <c r="I5811" i="3"/>
  <c r="J5811" i="3" s="1"/>
  <c r="I5812" i="3"/>
  <c r="J5812" i="3" s="1"/>
  <c r="I5813" i="3"/>
  <c r="J5813" i="3" s="1"/>
  <c r="I5814" i="3"/>
  <c r="J5814" i="3" s="1"/>
  <c r="I5815" i="3"/>
  <c r="J5815" i="3" s="1"/>
  <c r="I5816" i="3"/>
  <c r="J5816" i="3" s="1"/>
  <c r="I5817" i="3"/>
  <c r="J5817" i="3" s="1"/>
  <c r="I5818" i="3"/>
  <c r="J5818" i="3" s="1"/>
  <c r="I5819" i="3"/>
  <c r="J5819" i="3" s="1"/>
  <c r="I5820" i="3"/>
  <c r="J5820" i="3" s="1"/>
  <c r="I5821" i="3"/>
  <c r="J5821" i="3" s="1"/>
  <c r="I5822" i="3"/>
  <c r="J5822" i="3" s="1"/>
  <c r="I5823" i="3"/>
  <c r="J5823" i="3" s="1"/>
  <c r="I5824" i="3"/>
  <c r="J5824" i="3" s="1"/>
  <c r="I5825" i="3"/>
  <c r="J5825" i="3" s="1"/>
  <c r="I5826" i="3"/>
  <c r="J5826" i="3" s="1"/>
  <c r="I5827" i="3"/>
  <c r="J5827" i="3" s="1"/>
  <c r="I5828" i="3"/>
  <c r="J5828" i="3" s="1"/>
  <c r="I5829" i="3"/>
  <c r="J5829" i="3" s="1"/>
  <c r="I5830" i="3"/>
  <c r="J5830" i="3" s="1"/>
  <c r="I5831" i="3"/>
  <c r="J5831" i="3" s="1"/>
  <c r="I5832" i="3"/>
  <c r="J5832" i="3" s="1"/>
  <c r="I5833" i="3"/>
  <c r="J5833" i="3" s="1"/>
  <c r="I5834" i="3"/>
  <c r="J5834" i="3" s="1"/>
  <c r="I5835" i="3"/>
  <c r="J5835" i="3" s="1"/>
  <c r="I5836" i="3"/>
  <c r="J5836" i="3" s="1"/>
  <c r="I5837" i="3"/>
  <c r="J5837" i="3" s="1"/>
  <c r="I5838" i="3"/>
  <c r="J5838" i="3" s="1"/>
  <c r="I5839" i="3"/>
  <c r="J5839" i="3" s="1"/>
  <c r="I5840" i="3"/>
  <c r="J5840" i="3" s="1"/>
  <c r="I5841" i="3"/>
  <c r="J5841" i="3" s="1"/>
  <c r="I5842" i="3"/>
  <c r="J5842" i="3" s="1"/>
  <c r="I5843" i="3"/>
  <c r="J5843" i="3" s="1"/>
  <c r="I5844" i="3"/>
  <c r="J5844" i="3" s="1"/>
  <c r="I5845" i="3"/>
  <c r="J5845" i="3" s="1"/>
  <c r="I5846" i="3"/>
  <c r="J5846" i="3" s="1"/>
  <c r="I5847" i="3"/>
  <c r="J5847" i="3" s="1"/>
  <c r="I5848" i="3"/>
  <c r="J5848" i="3" s="1"/>
  <c r="I5849" i="3"/>
  <c r="J5849" i="3" s="1"/>
  <c r="I5850" i="3"/>
  <c r="J5850" i="3" s="1"/>
  <c r="I5851" i="3"/>
  <c r="J5851" i="3" s="1"/>
  <c r="I5852" i="3"/>
  <c r="J5852" i="3" s="1"/>
  <c r="I5853" i="3"/>
  <c r="J5853" i="3" s="1"/>
  <c r="I5854" i="3"/>
  <c r="J5854" i="3" s="1"/>
  <c r="I5855" i="3"/>
  <c r="J5855" i="3" s="1"/>
  <c r="I5856" i="3"/>
  <c r="J5856" i="3" s="1"/>
  <c r="I5857" i="3"/>
  <c r="J5857" i="3" s="1"/>
  <c r="I5858" i="3"/>
  <c r="J5858" i="3" s="1"/>
  <c r="I5859" i="3"/>
  <c r="J5859" i="3" s="1"/>
  <c r="I5860" i="3"/>
  <c r="J5860" i="3" s="1"/>
  <c r="I5861" i="3"/>
  <c r="J5861" i="3" s="1"/>
  <c r="I5862" i="3"/>
  <c r="J5862" i="3" s="1"/>
  <c r="I5863" i="3"/>
  <c r="J5863" i="3" s="1"/>
  <c r="I5864" i="3"/>
  <c r="J5864" i="3" s="1"/>
  <c r="I5865" i="3"/>
  <c r="J5865" i="3" s="1"/>
  <c r="I5866" i="3"/>
  <c r="J5866" i="3" s="1"/>
  <c r="I5867" i="3"/>
  <c r="J5867" i="3" s="1"/>
  <c r="I5868" i="3"/>
  <c r="J5868" i="3" s="1"/>
  <c r="I5869" i="3"/>
  <c r="J5869" i="3" s="1"/>
  <c r="I5870" i="3"/>
  <c r="J5870" i="3" s="1"/>
  <c r="I5871" i="3"/>
  <c r="J5871" i="3" s="1"/>
  <c r="I5872" i="3"/>
  <c r="J5872" i="3" s="1"/>
  <c r="I5873" i="3"/>
  <c r="J5873" i="3" s="1"/>
  <c r="I5874" i="3"/>
  <c r="J5874" i="3" s="1"/>
  <c r="I5875" i="3"/>
  <c r="J5875" i="3" s="1"/>
  <c r="I5876" i="3"/>
  <c r="J5876" i="3" s="1"/>
  <c r="I5877" i="3"/>
  <c r="J5877" i="3" s="1"/>
  <c r="I5878" i="3"/>
  <c r="J5878" i="3" s="1"/>
  <c r="I5879" i="3"/>
  <c r="J5879" i="3" s="1"/>
  <c r="I5880" i="3"/>
  <c r="J5880" i="3" s="1"/>
  <c r="I5881" i="3"/>
  <c r="J5881" i="3" s="1"/>
  <c r="I5882" i="3"/>
  <c r="J5882" i="3" s="1"/>
  <c r="I5883" i="3"/>
  <c r="J5883" i="3" s="1"/>
  <c r="I5884" i="3"/>
  <c r="J5884" i="3" s="1"/>
  <c r="I5885" i="3"/>
  <c r="J5885" i="3" s="1"/>
  <c r="I5886" i="3"/>
  <c r="J5886" i="3" s="1"/>
  <c r="I5887" i="3"/>
  <c r="J5887" i="3" s="1"/>
  <c r="I5888" i="3"/>
  <c r="J5888" i="3" s="1"/>
  <c r="I5889" i="3"/>
  <c r="J5889" i="3" s="1"/>
  <c r="I5890" i="3"/>
  <c r="J5890" i="3" s="1"/>
  <c r="I5891" i="3"/>
  <c r="J5891" i="3" s="1"/>
  <c r="I5892" i="3"/>
  <c r="J5892" i="3" s="1"/>
  <c r="I5893" i="3"/>
  <c r="J5893" i="3" s="1"/>
  <c r="I5894" i="3"/>
  <c r="J5894" i="3" s="1"/>
  <c r="I5895" i="3"/>
  <c r="J5895" i="3" s="1"/>
  <c r="I5896" i="3"/>
  <c r="J5896" i="3" s="1"/>
  <c r="I5897" i="3"/>
  <c r="J5897" i="3" s="1"/>
  <c r="I5898" i="3"/>
  <c r="J5898" i="3" s="1"/>
  <c r="I5899" i="3"/>
  <c r="J5899" i="3" s="1"/>
  <c r="I5900" i="3"/>
  <c r="J5900" i="3" s="1"/>
  <c r="I5901" i="3"/>
  <c r="J5901" i="3" s="1"/>
  <c r="I5902" i="3"/>
  <c r="J5902" i="3" s="1"/>
  <c r="I5903" i="3"/>
  <c r="J5903" i="3" s="1"/>
  <c r="I5904" i="3"/>
  <c r="J5904" i="3" s="1"/>
  <c r="I5905" i="3"/>
  <c r="J5905" i="3" s="1"/>
  <c r="I5906" i="3"/>
  <c r="J5906" i="3" s="1"/>
  <c r="I5907" i="3"/>
  <c r="J5907" i="3" s="1"/>
  <c r="I5908" i="3"/>
  <c r="J5908" i="3" s="1"/>
  <c r="I5909" i="3"/>
  <c r="J5909" i="3" s="1"/>
  <c r="I5910" i="3"/>
  <c r="J5910" i="3" s="1"/>
  <c r="I5911" i="3"/>
  <c r="J5911" i="3" s="1"/>
  <c r="I5912" i="3"/>
  <c r="J5912" i="3" s="1"/>
  <c r="I5913" i="3"/>
  <c r="J5913" i="3" s="1"/>
  <c r="I5914" i="3"/>
  <c r="J5914" i="3" s="1"/>
  <c r="I5915" i="3"/>
  <c r="J5915" i="3" s="1"/>
  <c r="I5916" i="3"/>
  <c r="J5916" i="3" s="1"/>
  <c r="I5917" i="3"/>
  <c r="J5917" i="3" s="1"/>
  <c r="I5918" i="3"/>
  <c r="J5918" i="3" s="1"/>
  <c r="I5919" i="3"/>
  <c r="J5919" i="3" s="1"/>
  <c r="I5920" i="3"/>
  <c r="J5920" i="3" s="1"/>
  <c r="I5921" i="3"/>
  <c r="J5921" i="3" s="1"/>
  <c r="I5922" i="3"/>
  <c r="J5922" i="3" s="1"/>
  <c r="I5923" i="3"/>
  <c r="J5923" i="3" s="1"/>
  <c r="I5924" i="3"/>
  <c r="J5924" i="3" s="1"/>
  <c r="I5925" i="3"/>
  <c r="J5925" i="3" s="1"/>
  <c r="I5926" i="3"/>
  <c r="J5926" i="3" s="1"/>
  <c r="I5927" i="3"/>
  <c r="J5927" i="3" s="1"/>
  <c r="I5928" i="3"/>
  <c r="J5928" i="3" s="1"/>
  <c r="I5929" i="3"/>
  <c r="J5929" i="3" s="1"/>
  <c r="I5930" i="3"/>
  <c r="J5930" i="3" s="1"/>
  <c r="I5931" i="3"/>
  <c r="J5931" i="3" s="1"/>
  <c r="I5932" i="3"/>
  <c r="J5932" i="3" s="1"/>
  <c r="I5933" i="3"/>
  <c r="J5933" i="3" s="1"/>
  <c r="I5934" i="3"/>
  <c r="J5934" i="3" s="1"/>
  <c r="I5935" i="3"/>
  <c r="J5935" i="3" s="1"/>
  <c r="I5936" i="3"/>
  <c r="J5936" i="3" s="1"/>
  <c r="I5937" i="3"/>
  <c r="J5937" i="3" s="1"/>
  <c r="I5938" i="3"/>
  <c r="J5938" i="3" s="1"/>
  <c r="I5939" i="3"/>
  <c r="J5939" i="3" s="1"/>
  <c r="I5940" i="3"/>
  <c r="J5940" i="3" s="1"/>
  <c r="I5941" i="3"/>
  <c r="J5941" i="3" s="1"/>
  <c r="I5942" i="3"/>
  <c r="J5942" i="3" s="1"/>
  <c r="I5943" i="3"/>
  <c r="J5943" i="3" s="1"/>
  <c r="I5944" i="3"/>
  <c r="J5944" i="3" s="1"/>
  <c r="I5670" i="3"/>
  <c r="J5670" i="3" s="1"/>
  <c r="I5671" i="3"/>
  <c r="J5671" i="3" s="1"/>
  <c r="I5672" i="3"/>
  <c r="J5672" i="3" s="1"/>
  <c r="I5673" i="3"/>
  <c r="J5673" i="3" s="1"/>
  <c r="I5674" i="3"/>
  <c r="J5674" i="3" s="1"/>
  <c r="I5675" i="3"/>
  <c r="J5675" i="3" s="1"/>
  <c r="I5676" i="3"/>
  <c r="J5676" i="3" s="1"/>
  <c r="I5677" i="3"/>
  <c r="J5677" i="3" s="1"/>
  <c r="I5678" i="3"/>
  <c r="J5678" i="3" s="1"/>
  <c r="I5679" i="3"/>
  <c r="J5679" i="3" s="1"/>
  <c r="I5680" i="3"/>
  <c r="J5680" i="3" s="1"/>
  <c r="I5681" i="3"/>
  <c r="J5681" i="3" s="1"/>
  <c r="I5682" i="3"/>
  <c r="J5682" i="3" s="1"/>
  <c r="I5683" i="3"/>
  <c r="J5683" i="3" s="1"/>
  <c r="I5684" i="3"/>
  <c r="J5684" i="3" s="1"/>
  <c r="I5685" i="3"/>
  <c r="J5685" i="3" s="1"/>
  <c r="I5686" i="3"/>
  <c r="J5686" i="3" s="1"/>
  <c r="I5687" i="3"/>
  <c r="J5687" i="3" s="1"/>
  <c r="I5688" i="3"/>
  <c r="J5688" i="3" s="1"/>
  <c r="I5689" i="3"/>
  <c r="J5689" i="3" s="1"/>
  <c r="I5690" i="3"/>
  <c r="J5690" i="3" s="1"/>
  <c r="I5691" i="3"/>
  <c r="J5691" i="3" s="1"/>
  <c r="I5692" i="3"/>
  <c r="J5692" i="3" s="1"/>
  <c r="I5693" i="3"/>
  <c r="J5693" i="3" s="1"/>
  <c r="I5694" i="3"/>
  <c r="J5694" i="3" s="1"/>
  <c r="I5695" i="3"/>
  <c r="J5695" i="3" s="1"/>
  <c r="I5696" i="3"/>
  <c r="J5696" i="3" s="1"/>
  <c r="I5697" i="3"/>
  <c r="J5697" i="3" s="1"/>
  <c r="I5698" i="3"/>
  <c r="J5698" i="3" s="1"/>
  <c r="I5699" i="3"/>
  <c r="J5699" i="3" s="1"/>
  <c r="I5700" i="3"/>
  <c r="J5700" i="3" s="1"/>
  <c r="I5701" i="3"/>
  <c r="J5701" i="3" s="1"/>
  <c r="I5702" i="3"/>
  <c r="J5702" i="3" s="1"/>
  <c r="I5703" i="3"/>
  <c r="J5703" i="3" s="1"/>
  <c r="I5704" i="3"/>
  <c r="J5704" i="3" s="1"/>
  <c r="I5705" i="3"/>
  <c r="J5705" i="3" s="1"/>
  <c r="I5706" i="3"/>
  <c r="J5706" i="3" s="1"/>
  <c r="I5669" i="3"/>
  <c r="J5669" i="3" s="1"/>
  <c r="I5577" i="3"/>
  <c r="J5577" i="3" s="1"/>
  <c r="I5578" i="3"/>
  <c r="J5578" i="3" s="1"/>
  <c r="I5579" i="3"/>
  <c r="J5579" i="3" s="1"/>
  <c r="I5580" i="3"/>
  <c r="J5580" i="3" s="1"/>
  <c r="I5581" i="3"/>
  <c r="J5581" i="3" s="1"/>
  <c r="I5582" i="3"/>
  <c r="J5582" i="3" s="1"/>
  <c r="I5583" i="3"/>
  <c r="J5583" i="3" s="1"/>
  <c r="I5584" i="3"/>
  <c r="J5584" i="3" s="1"/>
  <c r="I5585" i="3"/>
  <c r="J5585" i="3" s="1"/>
  <c r="I5586" i="3"/>
  <c r="J5586" i="3" s="1"/>
  <c r="I5587" i="3"/>
  <c r="J5587" i="3" s="1"/>
  <c r="I5588" i="3"/>
  <c r="J5588" i="3" s="1"/>
  <c r="I5589" i="3"/>
  <c r="J5589" i="3" s="1"/>
  <c r="I5590" i="3"/>
  <c r="J5590" i="3" s="1"/>
  <c r="I5591" i="3"/>
  <c r="J5591" i="3" s="1"/>
  <c r="I5592" i="3"/>
  <c r="J5592" i="3" s="1"/>
  <c r="I5593" i="3"/>
  <c r="J5593" i="3" s="1"/>
  <c r="I5594" i="3"/>
  <c r="J5594" i="3" s="1"/>
  <c r="I5595" i="3"/>
  <c r="J5595" i="3" s="1"/>
  <c r="I5596" i="3"/>
  <c r="J5596" i="3" s="1"/>
  <c r="I5597" i="3"/>
  <c r="J5597" i="3" s="1"/>
  <c r="I5598" i="3"/>
  <c r="J5598" i="3" s="1"/>
  <c r="I5599" i="3"/>
  <c r="J5599" i="3" s="1"/>
  <c r="I5600" i="3"/>
  <c r="J5600" i="3" s="1"/>
  <c r="I5601" i="3"/>
  <c r="J5601" i="3" s="1"/>
  <c r="I5602" i="3"/>
  <c r="J5602" i="3" s="1"/>
  <c r="I5603" i="3"/>
  <c r="J5603" i="3" s="1"/>
  <c r="I5604" i="3"/>
  <c r="J5604" i="3" s="1"/>
  <c r="I5605" i="3"/>
  <c r="J5605" i="3" s="1"/>
  <c r="I5606" i="3"/>
  <c r="J5606" i="3" s="1"/>
  <c r="I5607" i="3"/>
  <c r="J5607" i="3" s="1"/>
  <c r="I5608" i="3"/>
  <c r="J5608" i="3" s="1"/>
  <c r="I5609" i="3"/>
  <c r="J5609" i="3" s="1"/>
  <c r="I5610" i="3"/>
  <c r="J5610" i="3" s="1"/>
  <c r="I5611" i="3"/>
  <c r="J5611" i="3" s="1"/>
  <c r="I5612" i="3"/>
  <c r="J5612" i="3" s="1"/>
  <c r="I5613" i="3"/>
  <c r="J5613" i="3" s="1"/>
  <c r="I5614" i="3"/>
  <c r="J5614" i="3" s="1"/>
  <c r="I5615" i="3"/>
  <c r="J5615" i="3" s="1"/>
  <c r="I5616" i="3"/>
  <c r="J5616" i="3" s="1"/>
  <c r="I5617" i="3"/>
  <c r="J5617" i="3" s="1"/>
  <c r="I5618" i="3"/>
  <c r="J5618" i="3" s="1"/>
  <c r="I5619" i="3"/>
  <c r="J5619" i="3" s="1"/>
  <c r="I5620" i="3"/>
  <c r="J5620" i="3" s="1"/>
  <c r="I5621" i="3"/>
  <c r="J5621" i="3" s="1"/>
  <c r="I5622" i="3"/>
  <c r="J5622" i="3" s="1"/>
  <c r="I5623" i="3"/>
  <c r="J5623" i="3" s="1"/>
  <c r="I5624" i="3"/>
  <c r="J5624" i="3" s="1"/>
  <c r="I5625" i="3"/>
  <c r="J5625" i="3" s="1"/>
  <c r="I5626" i="3"/>
  <c r="J5626" i="3" s="1"/>
  <c r="I5627" i="3"/>
  <c r="J5627" i="3" s="1"/>
  <c r="I5628" i="3"/>
  <c r="J5628" i="3" s="1"/>
  <c r="I5629" i="3"/>
  <c r="J5629" i="3" s="1"/>
  <c r="I5630" i="3"/>
  <c r="J5630" i="3" s="1"/>
  <c r="I5631" i="3"/>
  <c r="J5631" i="3" s="1"/>
  <c r="I5632" i="3"/>
  <c r="J5632" i="3" s="1"/>
  <c r="I5633" i="3"/>
  <c r="J5633" i="3" s="1"/>
  <c r="I5634" i="3"/>
  <c r="J5634" i="3" s="1"/>
  <c r="I5635" i="3"/>
  <c r="J5635" i="3" s="1"/>
  <c r="I5636" i="3"/>
  <c r="J5636" i="3" s="1"/>
  <c r="I5637" i="3"/>
  <c r="J5637" i="3" s="1"/>
  <c r="I5638" i="3"/>
  <c r="J5638" i="3" s="1"/>
  <c r="I5639" i="3"/>
  <c r="J5639" i="3" s="1"/>
  <c r="I5640" i="3"/>
  <c r="J5640" i="3" s="1"/>
  <c r="I5641" i="3"/>
  <c r="J5641" i="3" s="1"/>
  <c r="I5642" i="3"/>
  <c r="J5642" i="3" s="1"/>
  <c r="I5643" i="3"/>
  <c r="J5643" i="3" s="1"/>
  <c r="I5644" i="3"/>
  <c r="J5644" i="3" s="1"/>
  <c r="I5645" i="3"/>
  <c r="J5645" i="3" s="1"/>
  <c r="I5646" i="3"/>
  <c r="J5646" i="3" s="1"/>
  <c r="I5647" i="3"/>
  <c r="J5647" i="3" s="1"/>
  <c r="I5648" i="3"/>
  <c r="J5648" i="3" s="1"/>
  <c r="I5649" i="3"/>
  <c r="J5649" i="3" s="1"/>
  <c r="I5650" i="3"/>
  <c r="J5650" i="3" s="1"/>
  <c r="I5651" i="3"/>
  <c r="J5651" i="3" s="1"/>
  <c r="I5652" i="3"/>
  <c r="J5652" i="3" s="1"/>
  <c r="I5653" i="3"/>
  <c r="J5653" i="3" s="1"/>
  <c r="I5654" i="3"/>
  <c r="J5654" i="3" s="1"/>
  <c r="I5655" i="3"/>
  <c r="J5655" i="3" s="1"/>
  <c r="I5656" i="3"/>
  <c r="J5656" i="3" s="1"/>
  <c r="I5657" i="3"/>
  <c r="J5657" i="3" s="1"/>
  <c r="I5658" i="3"/>
  <c r="J5658" i="3" s="1"/>
  <c r="I5659" i="3"/>
  <c r="J5659" i="3" s="1"/>
  <c r="I5660" i="3"/>
  <c r="J5660" i="3" s="1"/>
  <c r="I5661" i="3"/>
  <c r="J5661" i="3" s="1"/>
  <c r="I5662" i="3"/>
  <c r="J5662" i="3" s="1"/>
  <c r="I5663" i="3"/>
  <c r="J5663" i="3" s="1"/>
  <c r="I5664" i="3"/>
  <c r="J5664" i="3" s="1"/>
  <c r="I5665" i="3"/>
  <c r="J5665" i="3" s="1"/>
  <c r="I5666" i="3"/>
  <c r="J5666" i="3" s="1"/>
  <c r="I5555" i="3"/>
  <c r="J5555" i="3" s="1"/>
  <c r="I5556" i="3"/>
  <c r="J5556" i="3" s="1"/>
  <c r="I5557" i="3"/>
  <c r="J5557" i="3" s="1"/>
  <c r="I5558" i="3"/>
  <c r="J5558" i="3" s="1"/>
  <c r="I5559" i="3"/>
  <c r="J5559" i="3" s="1"/>
  <c r="I5560" i="3"/>
  <c r="J5560" i="3" s="1"/>
  <c r="I5561" i="3"/>
  <c r="J5561" i="3" s="1"/>
  <c r="I5562" i="3"/>
  <c r="J5562" i="3" s="1"/>
  <c r="I5563" i="3"/>
  <c r="J5563" i="3" s="1"/>
  <c r="I5564" i="3"/>
  <c r="J5564" i="3" s="1"/>
  <c r="I5565" i="3"/>
  <c r="J5565" i="3" s="1"/>
  <c r="I5566" i="3"/>
  <c r="J5566" i="3" s="1"/>
  <c r="I5567" i="3"/>
  <c r="J5567" i="3" s="1"/>
  <c r="I5568" i="3"/>
  <c r="J5568" i="3" s="1"/>
  <c r="I5569" i="3"/>
  <c r="J5569" i="3" s="1"/>
  <c r="I5570" i="3"/>
  <c r="J5570" i="3" s="1"/>
  <c r="I5571" i="3"/>
  <c r="J5571" i="3" s="1"/>
  <c r="I5572" i="3"/>
  <c r="J5572" i="3" s="1"/>
  <c r="I5573" i="3"/>
  <c r="J5573" i="3" s="1"/>
  <c r="I5574" i="3"/>
  <c r="J5574" i="3" s="1"/>
  <c r="I5547" i="3"/>
  <c r="J5547" i="3" s="1"/>
  <c r="I5548" i="3"/>
  <c r="J5548" i="3" s="1"/>
  <c r="I5549" i="3"/>
  <c r="J5549" i="3" s="1"/>
  <c r="I5550" i="3"/>
  <c r="J5550" i="3" s="1"/>
  <c r="I5551" i="3"/>
  <c r="J5551" i="3" s="1"/>
  <c r="I5552" i="3"/>
  <c r="J5552" i="3" s="1"/>
  <c r="I5281" i="3"/>
  <c r="J5281" i="3" s="1"/>
  <c r="I5282" i="3"/>
  <c r="J5282" i="3" s="1"/>
  <c r="I5283" i="3"/>
  <c r="J5283" i="3" s="1"/>
  <c r="I5284" i="3"/>
  <c r="J5284" i="3" s="1"/>
  <c r="I5285" i="3"/>
  <c r="J5285" i="3" s="1"/>
  <c r="I5286" i="3"/>
  <c r="J5286" i="3" s="1"/>
  <c r="I5287" i="3"/>
  <c r="J5287" i="3" s="1"/>
  <c r="I5288" i="3"/>
  <c r="J5288" i="3" s="1"/>
  <c r="I5289" i="3"/>
  <c r="J5289" i="3" s="1"/>
  <c r="I5290" i="3"/>
  <c r="J5290" i="3" s="1"/>
  <c r="I5291" i="3"/>
  <c r="J5291" i="3" s="1"/>
  <c r="I5292" i="3"/>
  <c r="J5292" i="3" s="1"/>
  <c r="I5293" i="3"/>
  <c r="J5293" i="3" s="1"/>
  <c r="I5294" i="3"/>
  <c r="J5294" i="3" s="1"/>
  <c r="I5295" i="3"/>
  <c r="J5295" i="3" s="1"/>
  <c r="I5296" i="3"/>
  <c r="J5296" i="3" s="1"/>
  <c r="I5297" i="3"/>
  <c r="J5297" i="3" s="1"/>
  <c r="I5298" i="3"/>
  <c r="J5298" i="3" s="1"/>
  <c r="I5299" i="3"/>
  <c r="J5299" i="3" s="1"/>
  <c r="I5300" i="3"/>
  <c r="J5300" i="3" s="1"/>
  <c r="I5301" i="3"/>
  <c r="J5301" i="3" s="1"/>
  <c r="I5302" i="3"/>
  <c r="J5302" i="3" s="1"/>
  <c r="I5303" i="3"/>
  <c r="J5303" i="3" s="1"/>
  <c r="I5304" i="3"/>
  <c r="J5304" i="3" s="1"/>
  <c r="I5305" i="3"/>
  <c r="J5305" i="3" s="1"/>
  <c r="I5306" i="3"/>
  <c r="J5306" i="3" s="1"/>
  <c r="I5307" i="3"/>
  <c r="J5307" i="3" s="1"/>
  <c r="I5308" i="3"/>
  <c r="J5308" i="3" s="1"/>
  <c r="I5309" i="3"/>
  <c r="J5309" i="3" s="1"/>
  <c r="I5310" i="3"/>
  <c r="J5310" i="3" s="1"/>
  <c r="I5311" i="3"/>
  <c r="J5311" i="3" s="1"/>
  <c r="I5312" i="3"/>
  <c r="J5312" i="3" s="1"/>
  <c r="I5313" i="3"/>
  <c r="J5313" i="3" s="1"/>
  <c r="I5314" i="3"/>
  <c r="J5314" i="3" s="1"/>
  <c r="I5315" i="3"/>
  <c r="J5315" i="3" s="1"/>
  <c r="I5316" i="3"/>
  <c r="J5316" i="3" s="1"/>
  <c r="I5317" i="3"/>
  <c r="J5317" i="3" s="1"/>
  <c r="I5318" i="3"/>
  <c r="J5318" i="3" s="1"/>
  <c r="I5319" i="3"/>
  <c r="J5319" i="3" s="1"/>
  <c r="I5320" i="3"/>
  <c r="J5320" i="3" s="1"/>
  <c r="I5321" i="3"/>
  <c r="J5321" i="3" s="1"/>
  <c r="I5322" i="3"/>
  <c r="J5322" i="3" s="1"/>
  <c r="I5323" i="3"/>
  <c r="J5323" i="3" s="1"/>
  <c r="I5324" i="3"/>
  <c r="J5324" i="3" s="1"/>
  <c r="I5325" i="3"/>
  <c r="J5325" i="3" s="1"/>
  <c r="I5326" i="3"/>
  <c r="J5326" i="3" s="1"/>
  <c r="I5327" i="3"/>
  <c r="J5327" i="3" s="1"/>
  <c r="I5328" i="3"/>
  <c r="J5328" i="3" s="1"/>
  <c r="I5329" i="3"/>
  <c r="J5329" i="3" s="1"/>
  <c r="I5330" i="3"/>
  <c r="J5330" i="3" s="1"/>
  <c r="I5331" i="3"/>
  <c r="J5331" i="3" s="1"/>
  <c r="I5332" i="3"/>
  <c r="J5332" i="3" s="1"/>
  <c r="I5333" i="3"/>
  <c r="J5333" i="3" s="1"/>
  <c r="I5334" i="3"/>
  <c r="J5334" i="3" s="1"/>
  <c r="I5335" i="3"/>
  <c r="J5335" i="3" s="1"/>
  <c r="I5336" i="3"/>
  <c r="J5336" i="3" s="1"/>
  <c r="I5337" i="3"/>
  <c r="J5337" i="3" s="1"/>
  <c r="I5338" i="3"/>
  <c r="J5338" i="3" s="1"/>
  <c r="I5339" i="3"/>
  <c r="J5339" i="3" s="1"/>
  <c r="I5340" i="3"/>
  <c r="J5340" i="3" s="1"/>
  <c r="I5341" i="3"/>
  <c r="J5341" i="3" s="1"/>
  <c r="I5342" i="3"/>
  <c r="J5342" i="3" s="1"/>
  <c r="I5343" i="3"/>
  <c r="J5343" i="3" s="1"/>
  <c r="I5344" i="3"/>
  <c r="J5344" i="3" s="1"/>
  <c r="I5345" i="3"/>
  <c r="J5345" i="3" s="1"/>
  <c r="I5346" i="3"/>
  <c r="J5346" i="3" s="1"/>
  <c r="I5347" i="3"/>
  <c r="J5347" i="3" s="1"/>
  <c r="I5348" i="3"/>
  <c r="J5348" i="3" s="1"/>
  <c r="I5349" i="3"/>
  <c r="J5349" i="3" s="1"/>
  <c r="I5350" i="3"/>
  <c r="J5350" i="3" s="1"/>
  <c r="I5351" i="3"/>
  <c r="J5351" i="3" s="1"/>
  <c r="I5352" i="3"/>
  <c r="J5352" i="3" s="1"/>
  <c r="I5353" i="3"/>
  <c r="J5353" i="3" s="1"/>
  <c r="I5354" i="3"/>
  <c r="J5354" i="3" s="1"/>
  <c r="I5355" i="3"/>
  <c r="J5355" i="3" s="1"/>
  <c r="I5356" i="3"/>
  <c r="J5356" i="3" s="1"/>
  <c r="I5357" i="3"/>
  <c r="J5357" i="3" s="1"/>
  <c r="I5358" i="3"/>
  <c r="J5358" i="3" s="1"/>
  <c r="I5359" i="3"/>
  <c r="J5359" i="3" s="1"/>
  <c r="I5360" i="3"/>
  <c r="J5360" i="3" s="1"/>
  <c r="I5361" i="3"/>
  <c r="J5361" i="3" s="1"/>
  <c r="I5362" i="3"/>
  <c r="J5362" i="3" s="1"/>
  <c r="I5363" i="3"/>
  <c r="J5363" i="3" s="1"/>
  <c r="I5364" i="3"/>
  <c r="J5364" i="3" s="1"/>
  <c r="I5365" i="3"/>
  <c r="J5365" i="3" s="1"/>
  <c r="I5366" i="3"/>
  <c r="J5366" i="3" s="1"/>
  <c r="I5367" i="3"/>
  <c r="J5367" i="3" s="1"/>
  <c r="I5368" i="3"/>
  <c r="J5368" i="3" s="1"/>
  <c r="I5369" i="3"/>
  <c r="J5369" i="3" s="1"/>
  <c r="I5370" i="3"/>
  <c r="J5370" i="3" s="1"/>
  <c r="I5371" i="3"/>
  <c r="J5371" i="3" s="1"/>
  <c r="I5372" i="3"/>
  <c r="J5372" i="3" s="1"/>
  <c r="I5373" i="3"/>
  <c r="J5373" i="3" s="1"/>
  <c r="I5374" i="3"/>
  <c r="J5374" i="3" s="1"/>
  <c r="I5375" i="3"/>
  <c r="J5375" i="3" s="1"/>
  <c r="I5376" i="3"/>
  <c r="J5376" i="3" s="1"/>
  <c r="I5377" i="3"/>
  <c r="J5377" i="3" s="1"/>
  <c r="I5378" i="3"/>
  <c r="J5378" i="3" s="1"/>
  <c r="I5379" i="3"/>
  <c r="J5379" i="3" s="1"/>
  <c r="I5380" i="3"/>
  <c r="J5380" i="3" s="1"/>
  <c r="I5381" i="3"/>
  <c r="J5381" i="3" s="1"/>
  <c r="I5382" i="3"/>
  <c r="J5382" i="3" s="1"/>
  <c r="I5383" i="3"/>
  <c r="J5383" i="3" s="1"/>
  <c r="I5384" i="3"/>
  <c r="J5384" i="3" s="1"/>
  <c r="I5385" i="3"/>
  <c r="J5385" i="3" s="1"/>
  <c r="I5386" i="3"/>
  <c r="J5386" i="3" s="1"/>
  <c r="I5387" i="3"/>
  <c r="J5387" i="3" s="1"/>
  <c r="I5388" i="3"/>
  <c r="J5388" i="3" s="1"/>
  <c r="I5389" i="3"/>
  <c r="J5389" i="3" s="1"/>
  <c r="I5390" i="3"/>
  <c r="J5390" i="3" s="1"/>
  <c r="I5391" i="3"/>
  <c r="J5391" i="3" s="1"/>
  <c r="I5392" i="3"/>
  <c r="J5392" i="3" s="1"/>
  <c r="I5393" i="3"/>
  <c r="J5393" i="3" s="1"/>
  <c r="I5394" i="3"/>
  <c r="J5394" i="3" s="1"/>
  <c r="I5395" i="3"/>
  <c r="J5395" i="3" s="1"/>
  <c r="I5396" i="3"/>
  <c r="J5396" i="3" s="1"/>
  <c r="I5397" i="3"/>
  <c r="J5397" i="3" s="1"/>
  <c r="I5398" i="3"/>
  <c r="J5398" i="3" s="1"/>
  <c r="I5399" i="3"/>
  <c r="J5399" i="3" s="1"/>
  <c r="I5400" i="3"/>
  <c r="J5400" i="3" s="1"/>
  <c r="I5401" i="3"/>
  <c r="J5401" i="3" s="1"/>
  <c r="I5402" i="3"/>
  <c r="J5402" i="3" s="1"/>
  <c r="I5403" i="3"/>
  <c r="J5403" i="3" s="1"/>
  <c r="I5404" i="3"/>
  <c r="J5404" i="3" s="1"/>
  <c r="I5405" i="3"/>
  <c r="J5405" i="3" s="1"/>
  <c r="I5406" i="3"/>
  <c r="J5406" i="3" s="1"/>
  <c r="I5407" i="3"/>
  <c r="J5407" i="3" s="1"/>
  <c r="I5408" i="3"/>
  <c r="J5408" i="3" s="1"/>
  <c r="I5409" i="3"/>
  <c r="J5409" i="3" s="1"/>
  <c r="I5410" i="3"/>
  <c r="J5410" i="3" s="1"/>
  <c r="I5411" i="3"/>
  <c r="J5411" i="3" s="1"/>
  <c r="I5412" i="3"/>
  <c r="J5412" i="3" s="1"/>
  <c r="I5413" i="3"/>
  <c r="J5413" i="3" s="1"/>
  <c r="I5414" i="3"/>
  <c r="J5414" i="3" s="1"/>
  <c r="I5415" i="3"/>
  <c r="J5415" i="3" s="1"/>
  <c r="I5416" i="3"/>
  <c r="J5416" i="3" s="1"/>
  <c r="I5417" i="3"/>
  <c r="J5417" i="3" s="1"/>
  <c r="I5418" i="3"/>
  <c r="J5418" i="3" s="1"/>
  <c r="I5419" i="3"/>
  <c r="J5419" i="3" s="1"/>
  <c r="I5420" i="3"/>
  <c r="J5420" i="3" s="1"/>
  <c r="I5421" i="3"/>
  <c r="J5421" i="3" s="1"/>
  <c r="I5422" i="3"/>
  <c r="J5422" i="3" s="1"/>
  <c r="I5423" i="3"/>
  <c r="J5423" i="3" s="1"/>
  <c r="I5424" i="3"/>
  <c r="J5424" i="3" s="1"/>
  <c r="I5425" i="3"/>
  <c r="J5425" i="3" s="1"/>
  <c r="I5426" i="3"/>
  <c r="J5426" i="3" s="1"/>
  <c r="I5427" i="3"/>
  <c r="J5427" i="3" s="1"/>
  <c r="I5428" i="3"/>
  <c r="J5428" i="3" s="1"/>
  <c r="I5429" i="3"/>
  <c r="J5429" i="3" s="1"/>
  <c r="I5430" i="3"/>
  <c r="J5430" i="3" s="1"/>
  <c r="I5431" i="3"/>
  <c r="J5431" i="3" s="1"/>
  <c r="I5432" i="3"/>
  <c r="J5432" i="3" s="1"/>
  <c r="I5433" i="3"/>
  <c r="J5433" i="3" s="1"/>
  <c r="I5434" i="3"/>
  <c r="J5434" i="3" s="1"/>
  <c r="I5435" i="3"/>
  <c r="J5435" i="3" s="1"/>
  <c r="I5436" i="3"/>
  <c r="J5436" i="3" s="1"/>
  <c r="I5437" i="3"/>
  <c r="J5437" i="3" s="1"/>
  <c r="I5438" i="3"/>
  <c r="J5438" i="3" s="1"/>
  <c r="I5439" i="3"/>
  <c r="J5439" i="3" s="1"/>
  <c r="I5440" i="3"/>
  <c r="J5440" i="3" s="1"/>
  <c r="I5441" i="3"/>
  <c r="J5441" i="3" s="1"/>
  <c r="I5442" i="3"/>
  <c r="J5442" i="3" s="1"/>
  <c r="I5443" i="3"/>
  <c r="J5443" i="3" s="1"/>
  <c r="I5444" i="3"/>
  <c r="J5444" i="3" s="1"/>
  <c r="I5445" i="3"/>
  <c r="J5445" i="3" s="1"/>
  <c r="I5446" i="3"/>
  <c r="J5446" i="3" s="1"/>
  <c r="I5447" i="3"/>
  <c r="J5447" i="3" s="1"/>
  <c r="I5448" i="3"/>
  <c r="J5448" i="3" s="1"/>
  <c r="I5449" i="3"/>
  <c r="J5449" i="3" s="1"/>
  <c r="I5450" i="3"/>
  <c r="J5450" i="3" s="1"/>
  <c r="I5451" i="3"/>
  <c r="J5451" i="3" s="1"/>
  <c r="I5452" i="3"/>
  <c r="J5452" i="3" s="1"/>
  <c r="I5453" i="3"/>
  <c r="J5453" i="3" s="1"/>
  <c r="I5454" i="3"/>
  <c r="J5454" i="3" s="1"/>
  <c r="I5455" i="3"/>
  <c r="J5455" i="3" s="1"/>
  <c r="I5456" i="3"/>
  <c r="J5456" i="3" s="1"/>
  <c r="I5457" i="3"/>
  <c r="J5457" i="3" s="1"/>
  <c r="I5458" i="3"/>
  <c r="J5458" i="3" s="1"/>
  <c r="I5459" i="3"/>
  <c r="J5459" i="3" s="1"/>
  <c r="I5460" i="3"/>
  <c r="J5460" i="3" s="1"/>
  <c r="I5461" i="3"/>
  <c r="J5461" i="3" s="1"/>
  <c r="I5462" i="3"/>
  <c r="J5462" i="3" s="1"/>
  <c r="I5463" i="3"/>
  <c r="J5463" i="3" s="1"/>
  <c r="I5464" i="3"/>
  <c r="J5464" i="3" s="1"/>
  <c r="I5465" i="3"/>
  <c r="J5465" i="3" s="1"/>
  <c r="I5466" i="3"/>
  <c r="J5466" i="3" s="1"/>
  <c r="I5467" i="3"/>
  <c r="J5467" i="3" s="1"/>
  <c r="I5468" i="3"/>
  <c r="J5468" i="3" s="1"/>
  <c r="I5469" i="3"/>
  <c r="J5469" i="3" s="1"/>
  <c r="I5470" i="3"/>
  <c r="J5470" i="3" s="1"/>
  <c r="I5471" i="3"/>
  <c r="J5471" i="3" s="1"/>
  <c r="I5472" i="3"/>
  <c r="J5472" i="3" s="1"/>
  <c r="I5473" i="3"/>
  <c r="J5473" i="3" s="1"/>
  <c r="I5474" i="3"/>
  <c r="J5474" i="3" s="1"/>
  <c r="I5475" i="3"/>
  <c r="J5475" i="3" s="1"/>
  <c r="I5476" i="3"/>
  <c r="J5476" i="3" s="1"/>
  <c r="I5477" i="3"/>
  <c r="J5477" i="3" s="1"/>
  <c r="I5478" i="3"/>
  <c r="J5478" i="3" s="1"/>
  <c r="I5479" i="3"/>
  <c r="J5479" i="3" s="1"/>
  <c r="I5480" i="3"/>
  <c r="J5480" i="3" s="1"/>
  <c r="I5481" i="3"/>
  <c r="J5481" i="3" s="1"/>
  <c r="I5482" i="3"/>
  <c r="J5482" i="3" s="1"/>
  <c r="I5483" i="3"/>
  <c r="J5483" i="3" s="1"/>
  <c r="I5484" i="3"/>
  <c r="J5484" i="3" s="1"/>
  <c r="I5485" i="3"/>
  <c r="J5485" i="3" s="1"/>
  <c r="I5486" i="3"/>
  <c r="J5486" i="3" s="1"/>
  <c r="I5487" i="3"/>
  <c r="J5487" i="3" s="1"/>
  <c r="I5488" i="3"/>
  <c r="J5488" i="3" s="1"/>
  <c r="I5489" i="3"/>
  <c r="J5489" i="3" s="1"/>
  <c r="I5490" i="3"/>
  <c r="J5490" i="3" s="1"/>
  <c r="I5491" i="3"/>
  <c r="J5491" i="3" s="1"/>
  <c r="I5492" i="3"/>
  <c r="J5492" i="3" s="1"/>
  <c r="I5493" i="3"/>
  <c r="J5493" i="3" s="1"/>
  <c r="I5494" i="3"/>
  <c r="J5494" i="3" s="1"/>
  <c r="I5495" i="3"/>
  <c r="J5495" i="3" s="1"/>
  <c r="I5496" i="3"/>
  <c r="J5496" i="3" s="1"/>
  <c r="I5497" i="3"/>
  <c r="J5497" i="3" s="1"/>
  <c r="I5498" i="3"/>
  <c r="J5498" i="3" s="1"/>
  <c r="I5499" i="3"/>
  <c r="J5499" i="3" s="1"/>
  <c r="I5500" i="3"/>
  <c r="J5500" i="3" s="1"/>
  <c r="I5501" i="3"/>
  <c r="J5501" i="3" s="1"/>
  <c r="I5502" i="3"/>
  <c r="J5502" i="3" s="1"/>
  <c r="I5503" i="3"/>
  <c r="J5503" i="3" s="1"/>
  <c r="I5504" i="3"/>
  <c r="J5504" i="3" s="1"/>
  <c r="I5505" i="3"/>
  <c r="J5505" i="3" s="1"/>
  <c r="I5506" i="3"/>
  <c r="J5506" i="3" s="1"/>
  <c r="I5507" i="3"/>
  <c r="J5507" i="3" s="1"/>
  <c r="I5508" i="3"/>
  <c r="J5508" i="3" s="1"/>
  <c r="I5509" i="3"/>
  <c r="J5509" i="3" s="1"/>
  <c r="I5510" i="3"/>
  <c r="J5510" i="3" s="1"/>
  <c r="I5511" i="3"/>
  <c r="J5511" i="3" s="1"/>
  <c r="I5512" i="3"/>
  <c r="J5512" i="3" s="1"/>
  <c r="I5513" i="3"/>
  <c r="J5513" i="3" s="1"/>
  <c r="I5514" i="3"/>
  <c r="J5514" i="3" s="1"/>
  <c r="I5515" i="3"/>
  <c r="J5515" i="3" s="1"/>
  <c r="I5516" i="3"/>
  <c r="J5516" i="3" s="1"/>
  <c r="I5517" i="3"/>
  <c r="J5517" i="3" s="1"/>
  <c r="I5518" i="3"/>
  <c r="J5518" i="3" s="1"/>
  <c r="I5519" i="3"/>
  <c r="J5519" i="3" s="1"/>
  <c r="I5520" i="3"/>
  <c r="J5520" i="3" s="1"/>
  <c r="I5521" i="3"/>
  <c r="J5521" i="3" s="1"/>
  <c r="I5522" i="3"/>
  <c r="J5522" i="3" s="1"/>
  <c r="I5523" i="3"/>
  <c r="J5523" i="3" s="1"/>
  <c r="I5524" i="3"/>
  <c r="J5524" i="3" s="1"/>
  <c r="I5525" i="3"/>
  <c r="J5525" i="3" s="1"/>
  <c r="I5526" i="3"/>
  <c r="J5526" i="3" s="1"/>
  <c r="I5527" i="3"/>
  <c r="J5527" i="3" s="1"/>
  <c r="I5528" i="3"/>
  <c r="J5528" i="3" s="1"/>
  <c r="I5529" i="3"/>
  <c r="J5529" i="3" s="1"/>
  <c r="I5530" i="3"/>
  <c r="J5530" i="3" s="1"/>
  <c r="I5531" i="3"/>
  <c r="J5531" i="3" s="1"/>
  <c r="I5532" i="3"/>
  <c r="J5532" i="3" s="1"/>
  <c r="I5533" i="3"/>
  <c r="J5533" i="3" s="1"/>
  <c r="I5534" i="3"/>
  <c r="J5534" i="3" s="1"/>
  <c r="I5235" i="3"/>
  <c r="J5235" i="3" s="1"/>
  <c r="I5236" i="3"/>
  <c r="J5236" i="3" s="1"/>
  <c r="I5237" i="3"/>
  <c r="J5237" i="3" s="1"/>
  <c r="I5238" i="3"/>
  <c r="J5238" i="3" s="1"/>
  <c r="I5239" i="3"/>
  <c r="J5239" i="3" s="1"/>
  <c r="I5240" i="3"/>
  <c r="J5240" i="3" s="1"/>
  <c r="I5241" i="3"/>
  <c r="J5241" i="3" s="1"/>
  <c r="I5242" i="3"/>
  <c r="J5242" i="3" s="1"/>
  <c r="I5243" i="3"/>
  <c r="J5243" i="3" s="1"/>
  <c r="I5244" i="3"/>
  <c r="J5244" i="3" s="1"/>
  <c r="I5245" i="3"/>
  <c r="J5245" i="3" s="1"/>
  <c r="I5246" i="3"/>
  <c r="J5246" i="3" s="1"/>
  <c r="I5247" i="3"/>
  <c r="J5247" i="3" s="1"/>
  <c r="I5248" i="3"/>
  <c r="J5248" i="3" s="1"/>
  <c r="I5249" i="3"/>
  <c r="J5249" i="3" s="1"/>
  <c r="I5250" i="3"/>
  <c r="J5250" i="3" s="1"/>
  <c r="I5251" i="3"/>
  <c r="J5251" i="3" s="1"/>
  <c r="I5252" i="3"/>
  <c r="J5252" i="3" s="1"/>
  <c r="I5253" i="3"/>
  <c r="J5253" i="3" s="1"/>
  <c r="I5254" i="3"/>
  <c r="J5254" i="3" s="1"/>
  <c r="I5255" i="3"/>
  <c r="J5255" i="3" s="1"/>
  <c r="I5256" i="3"/>
  <c r="J5256" i="3" s="1"/>
  <c r="I5257" i="3"/>
  <c r="J5257" i="3" s="1"/>
  <c r="I5258" i="3"/>
  <c r="J5258" i="3" s="1"/>
  <c r="I5259" i="3"/>
  <c r="J5259" i="3" s="1"/>
  <c r="I5260" i="3"/>
  <c r="J5260" i="3" s="1"/>
  <c r="I5261" i="3"/>
  <c r="J5261" i="3" s="1"/>
  <c r="I5262" i="3"/>
  <c r="J5262" i="3" s="1"/>
  <c r="I5263" i="3"/>
  <c r="J5263" i="3" s="1"/>
  <c r="I5264" i="3"/>
  <c r="J5264" i="3" s="1"/>
  <c r="I5265" i="3"/>
  <c r="J5265" i="3" s="1"/>
  <c r="I5266" i="3"/>
  <c r="J5266" i="3" s="1"/>
  <c r="I5267" i="3"/>
  <c r="J5267" i="3" s="1"/>
  <c r="I5268" i="3"/>
  <c r="J5268" i="3" s="1"/>
  <c r="I5269" i="3"/>
  <c r="J5269" i="3" s="1"/>
  <c r="I5270" i="3"/>
  <c r="J5270" i="3" s="1"/>
  <c r="I5271" i="3"/>
  <c r="J5271" i="3" s="1"/>
  <c r="I5272" i="3"/>
  <c r="J5272" i="3" s="1"/>
  <c r="I5273" i="3"/>
  <c r="J5273" i="3" s="1"/>
  <c r="I5274" i="3"/>
  <c r="J5274" i="3" s="1"/>
  <c r="I5275" i="3"/>
  <c r="J5275" i="3" s="1"/>
  <c r="I5276" i="3"/>
  <c r="J5276" i="3" s="1"/>
  <c r="I5277" i="3"/>
  <c r="J5277" i="3" s="1"/>
  <c r="I5278" i="3"/>
  <c r="J5278" i="3" s="1"/>
  <c r="I5279" i="3"/>
  <c r="J5279" i="3" s="1"/>
  <c r="I5280" i="3"/>
  <c r="J5280" i="3" s="1"/>
  <c r="I5158" i="3"/>
  <c r="J5158" i="3" s="1"/>
  <c r="I5159" i="3"/>
  <c r="J5159" i="3" s="1"/>
  <c r="I5160" i="3"/>
  <c r="J5160" i="3" s="1"/>
  <c r="I5161" i="3"/>
  <c r="J5161" i="3" s="1"/>
  <c r="I5162" i="3"/>
  <c r="J5162" i="3" s="1"/>
  <c r="I5163" i="3"/>
  <c r="J5163" i="3" s="1"/>
  <c r="I5164" i="3"/>
  <c r="J5164" i="3" s="1"/>
  <c r="I5165" i="3"/>
  <c r="J5165" i="3" s="1"/>
  <c r="I5166" i="3"/>
  <c r="J5166" i="3" s="1"/>
  <c r="I5167" i="3"/>
  <c r="J5167" i="3" s="1"/>
  <c r="I5168" i="3"/>
  <c r="J5168" i="3" s="1"/>
  <c r="I5169" i="3"/>
  <c r="J5169" i="3" s="1"/>
  <c r="I5170" i="3"/>
  <c r="J5170" i="3" s="1"/>
  <c r="I5171" i="3"/>
  <c r="J5171" i="3" s="1"/>
  <c r="I5172" i="3"/>
  <c r="J5172" i="3" s="1"/>
  <c r="I5173" i="3"/>
  <c r="J5173" i="3" s="1"/>
  <c r="I5174" i="3"/>
  <c r="J5174" i="3" s="1"/>
  <c r="I5175" i="3"/>
  <c r="J5175" i="3" s="1"/>
  <c r="I5176" i="3"/>
  <c r="J5176" i="3" s="1"/>
  <c r="I5177" i="3"/>
  <c r="J5177" i="3" s="1"/>
  <c r="I5178" i="3"/>
  <c r="J5178" i="3" s="1"/>
  <c r="I5179" i="3"/>
  <c r="J5179" i="3" s="1"/>
  <c r="I5180" i="3"/>
  <c r="J5180" i="3" s="1"/>
  <c r="I5181" i="3"/>
  <c r="J5181" i="3" s="1"/>
  <c r="I5182" i="3"/>
  <c r="J5182" i="3" s="1"/>
  <c r="I5183" i="3"/>
  <c r="J5183" i="3" s="1"/>
  <c r="I5184" i="3"/>
  <c r="J5184" i="3" s="1"/>
  <c r="I5185" i="3"/>
  <c r="J5185" i="3" s="1"/>
  <c r="I5186" i="3"/>
  <c r="J5186" i="3" s="1"/>
  <c r="I5187" i="3"/>
  <c r="J5187" i="3" s="1"/>
  <c r="I5188" i="3"/>
  <c r="J5188" i="3" s="1"/>
  <c r="I5189" i="3"/>
  <c r="J5189" i="3" s="1"/>
  <c r="I5190" i="3"/>
  <c r="J5190" i="3" s="1"/>
  <c r="I5191" i="3"/>
  <c r="J5191" i="3" s="1"/>
  <c r="I5192" i="3"/>
  <c r="J5192" i="3" s="1"/>
  <c r="I5193" i="3"/>
  <c r="J5193" i="3" s="1"/>
  <c r="I5194" i="3"/>
  <c r="J5194" i="3" s="1"/>
  <c r="I5195" i="3"/>
  <c r="J5195" i="3" s="1"/>
  <c r="I5196" i="3"/>
  <c r="J5196" i="3" s="1"/>
  <c r="I5197" i="3"/>
  <c r="J5197" i="3" s="1"/>
  <c r="I5198" i="3"/>
  <c r="J5198" i="3" s="1"/>
  <c r="I5199" i="3"/>
  <c r="J5199" i="3" s="1"/>
  <c r="I5200" i="3"/>
  <c r="J5200" i="3" s="1"/>
  <c r="I5201" i="3"/>
  <c r="J5201" i="3" s="1"/>
  <c r="I5202" i="3"/>
  <c r="J5202" i="3" s="1"/>
  <c r="I5203" i="3"/>
  <c r="J5203" i="3" s="1"/>
  <c r="I5204" i="3"/>
  <c r="J5204" i="3" s="1"/>
  <c r="I5205" i="3"/>
  <c r="J5205" i="3" s="1"/>
  <c r="I5206" i="3"/>
  <c r="J5206" i="3" s="1"/>
  <c r="I5207" i="3"/>
  <c r="J5207" i="3" s="1"/>
  <c r="I5208" i="3"/>
  <c r="J5208" i="3" s="1"/>
  <c r="I5209" i="3"/>
  <c r="J5209" i="3" s="1"/>
  <c r="I5210" i="3"/>
  <c r="J5210" i="3" s="1"/>
  <c r="I5211" i="3"/>
  <c r="J5211" i="3" s="1"/>
  <c r="I5212" i="3"/>
  <c r="J5212" i="3" s="1"/>
  <c r="I5213" i="3"/>
  <c r="J5213" i="3" s="1"/>
  <c r="I5214" i="3"/>
  <c r="J5214" i="3" s="1"/>
  <c r="I5215" i="3"/>
  <c r="J5215" i="3" s="1"/>
  <c r="I5216" i="3"/>
  <c r="J5216" i="3" s="1"/>
  <c r="I5217" i="3"/>
  <c r="J5217" i="3" s="1"/>
  <c r="I5218" i="3"/>
  <c r="J5218" i="3" s="1"/>
  <c r="I5219" i="3"/>
  <c r="J5219" i="3" s="1"/>
  <c r="I5220" i="3"/>
  <c r="J5220" i="3" s="1"/>
  <c r="I5221" i="3"/>
  <c r="J5221" i="3" s="1"/>
  <c r="Q5156" i="3"/>
  <c r="I5156" i="3"/>
  <c r="J5156" i="3" s="1"/>
  <c r="I5119" i="3"/>
  <c r="J5119" i="3" s="1"/>
  <c r="I5120" i="3"/>
  <c r="J5120" i="3" s="1"/>
  <c r="I5121" i="3"/>
  <c r="J5121" i="3" s="1"/>
  <c r="I5122" i="3"/>
  <c r="J5122" i="3" s="1"/>
  <c r="I5123" i="3"/>
  <c r="J5123" i="3" s="1"/>
  <c r="I5124" i="3"/>
  <c r="J5124" i="3" s="1"/>
  <c r="I5125" i="3"/>
  <c r="J5125" i="3" s="1"/>
  <c r="I5126" i="3"/>
  <c r="J5126" i="3" s="1"/>
  <c r="I5127" i="3"/>
  <c r="J5127" i="3" s="1"/>
  <c r="I5128" i="3"/>
  <c r="J5128" i="3" s="1"/>
  <c r="I5129" i="3"/>
  <c r="J5129" i="3" s="1"/>
  <c r="I5130" i="3"/>
  <c r="J5130" i="3" s="1"/>
  <c r="I5131" i="3"/>
  <c r="J5131" i="3" s="1"/>
  <c r="I5132" i="3"/>
  <c r="J5132" i="3" s="1"/>
  <c r="I5133" i="3"/>
  <c r="J5133" i="3" s="1"/>
  <c r="I5134" i="3"/>
  <c r="J5134" i="3" s="1"/>
  <c r="I5135" i="3"/>
  <c r="J5135" i="3" s="1"/>
  <c r="I5136" i="3"/>
  <c r="J5136" i="3" s="1"/>
  <c r="I5137" i="3"/>
  <c r="J5137" i="3" s="1"/>
  <c r="I5138" i="3"/>
  <c r="J5138" i="3" s="1"/>
  <c r="I5139" i="3"/>
  <c r="J5139" i="3" s="1"/>
  <c r="I5140" i="3"/>
  <c r="J5140" i="3" s="1"/>
  <c r="I5141" i="3"/>
  <c r="J5141" i="3" s="1"/>
  <c r="I5142" i="3"/>
  <c r="J5142" i="3" s="1"/>
  <c r="I5143" i="3"/>
  <c r="J5143" i="3" s="1"/>
  <c r="I5144" i="3"/>
  <c r="J5144" i="3" s="1"/>
  <c r="I5145" i="3"/>
  <c r="J5145" i="3" s="1"/>
  <c r="I5146" i="3"/>
  <c r="J5146" i="3" s="1"/>
  <c r="I5147" i="3"/>
  <c r="J5147" i="3" s="1"/>
  <c r="I5148" i="3"/>
  <c r="J5148" i="3" s="1"/>
  <c r="I5149" i="3"/>
  <c r="J5149" i="3" s="1"/>
  <c r="I5150" i="3"/>
  <c r="J5150" i="3" s="1"/>
  <c r="I5151" i="3"/>
  <c r="J5151" i="3" s="1"/>
  <c r="I5152" i="3"/>
  <c r="J5152" i="3" s="1"/>
  <c r="I5153" i="3"/>
  <c r="J5153" i="3" s="1"/>
  <c r="I5154" i="3"/>
  <c r="J5154" i="3" s="1"/>
  <c r="I5155" i="3"/>
  <c r="J5155" i="3" s="1"/>
  <c r="Q5117" i="3"/>
  <c r="I5117" i="3"/>
  <c r="J5117" i="3" s="1"/>
  <c r="I5102" i="3"/>
  <c r="J5102" i="3" s="1"/>
  <c r="I5103" i="3"/>
  <c r="J5103" i="3" s="1"/>
  <c r="I5104" i="3"/>
  <c r="J5104" i="3" s="1"/>
  <c r="I5105" i="3"/>
  <c r="J5105" i="3" s="1"/>
  <c r="I5106" i="3"/>
  <c r="J5106" i="3" s="1"/>
  <c r="I5107" i="3"/>
  <c r="J5107" i="3" s="1"/>
  <c r="I5108" i="3"/>
  <c r="J5108" i="3" s="1"/>
  <c r="I5109" i="3"/>
  <c r="J5109" i="3" s="1"/>
  <c r="I5110" i="3"/>
  <c r="J5110" i="3" s="1"/>
  <c r="I5111" i="3"/>
  <c r="J5111" i="3" s="1"/>
  <c r="I5112" i="3"/>
  <c r="J5112" i="3" s="1"/>
  <c r="I5113" i="3"/>
  <c r="J5113" i="3" s="1"/>
  <c r="I5114" i="3"/>
  <c r="J5114" i="3" s="1"/>
  <c r="I5115" i="3"/>
  <c r="J5115" i="3" s="1"/>
  <c r="I5116" i="3"/>
  <c r="J5116" i="3" s="1"/>
  <c r="I5070" i="3"/>
  <c r="J5070" i="3" s="1"/>
  <c r="I5071" i="3"/>
  <c r="J5071" i="3" s="1"/>
  <c r="I5072" i="3"/>
  <c r="J5072" i="3" s="1"/>
  <c r="I5073" i="3"/>
  <c r="J5073" i="3" s="1"/>
  <c r="I5074" i="3"/>
  <c r="J5074" i="3" s="1"/>
  <c r="I5075" i="3"/>
  <c r="J5075" i="3" s="1"/>
  <c r="I5076" i="3"/>
  <c r="J5076" i="3" s="1"/>
  <c r="I5077" i="3"/>
  <c r="J5077" i="3" s="1"/>
  <c r="I5078" i="3"/>
  <c r="J5078" i="3" s="1"/>
  <c r="I5079" i="3"/>
  <c r="J5079" i="3" s="1"/>
  <c r="I5080" i="3"/>
  <c r="J5080" i="3" s="1"/>
  <c r="I5081" i="3"/>
  <c r="J5081" i="3" s="1"/>
  <c r="I5082" i="3"/>
  <c r="J5082" i="3" s="1"/>
  <c r="I5083" i="3"/>
  <c r="J5083" i="3" s="1"/>
  <c r="I5084" i="3"/>
  <c r="J5084" i="3" s="1"/>
  <c r="I5085" i="3"/>
  <c r="J5085" i="3" s="1"/>
  <c r="I5086" i="3"/>
  <c r="J5086" i="3" s="1"/>
  <c r="I5087" i="3"/>
  <c r="J5087" i="3" s="1"/>
  <c r="I5088" i="3"/>
  <c r="J5088" i="3" s="1"/>
  <c r="I5089" i="3"/>
  <c r="J5089" i="3" s="1"/>
  <c r="I5090" i="3"/>
  <c r="J5090" i="3" s="1"/>
  <c r="I4998" i="3"/>
  <c r="J4998" i="3" s="1"/>
  <c r="I4999" i="3"/>
  <c r="J4999" i="3" s="1"/>
  <c r="I5000" i="3"/>
  <c r="J5000" i="3" s="1"/>
  <c r="I5001" i="3"/>
  <c r="J5001" i="3" s="1"/>
  <c r="I5002" i="3"/>
  <c r="J5002" i="3" s="1"/>
  <c r="I5003" i="3"/>
  <c r="J5003" i="3" s="1"/>
  <c r="I5004" i="3"/>
  <c r="J5004" i="3" s="1"/>
  <c r="I5005" i="3"/>
  <c r="J5005" i="3" s="1"/>
  <c r="I5006" i="3"/>
  <c r="J5006" i="3" s="1"/>
  <c r="I5007" i="3"/>
  <c r="J5007" i="3" s="1"/>
  <c r="I5008" i="3"/>
  <c r="J5008" i="3" s="1"/>
  <c r="I5009" i="3"/>
  <c r="J5009" i="3" s="1"/>
  <c r="I5010" i="3"/>
  <c r="J5010" i="3" s="1"/>
  <c r="I5011" i="3"/>
  <c r="J5011" i="3" s="1"/>
  <c r="I5012" i="3"/>
  <c r="J5012" i="3" s="1"/>
  <c r="I5013" i="3"/>
  <c r="J5013" i="3" s="1"/>
  <c r="I5014" i="3"/>
  <c r="J5014" i="3" s="1"/>
  <c r="I5015" i="3"/>
  <c r="J5015" i="3" s="1"/>
  <c r="I5016" i="3"/>
  <c r="J5016" i="3" s="1"/>
  <c r="I5017" i="3"/>
  <c r="J5017" i="3" s="1"/>
  <c r="I5018" i="3"/>
  <c r="J5018" i="3" s="1"/>
  <c r="I5019" i="3"/>
  <c r="J5019" i="3" s="1"/>
  <c r="I5020" i="3"/>
  <c r="J5020" i="3" s="1"/>
  <c r="I5021" i="3"/>
  <c r="J5021" i="3" s="1"/>
  <c r="I5022" i="3"/>
  <c r="J5022" i="3" s="1"/>
  <c r="I5023" i="3"/>
  <c r="J5023" i="3" s="1"/>
  <c r="I5024" i="3"/>
  <c r="J5024" i="3" s="1"/>
  <c r="I5025" i="3"/>
  <c r="J5025" i="3" s="1"/>
  <c r="I5026" i="3"/>
  <c r="J5026" i="3" s="1"/>
  <c r="I5027" i="3"/>
  <c r="J5027" i="3" s="1"/>
  <c r="I5028" i="3"/>
  <c r="J5028" i="3" s="1"/>
  <c r="I5029" i="3"/>
  <c r="J5029" i="3" s="1"/>
  <c r="I5030" i="3"/>
  <c r="J5030" i="3" s="1"/>
  <c r="I5031" i="3"/>
  <c r="J5031" i="3" s="1"/>
  <c r="I5032" i="3"/>
  <c r="J5032" i="3" s="1"/>
  <c r="I5033" i="3"/>
  <c r="J5033" i="3" s="1"/>
  <c r="I5034" i="3"/>
  <c r="J5034" i="3" s="1"/>
  <c r="I5035" i="3"/>
  <c r="J5035" i="3" s="1"/>
  <c r="I5036" i="3"/>
  <c r="J5036" i="3" s="1"/>
  <c r="I5037" i="3"/>
  <c r="J5037" i="3" s="1"/>
  <c r="I5038" i="3"/>
  <c r="J5038" i="3" s="1"/>
  <c r="I5039" i="3"/>
  <c r="J5039" i="3" s="1"/>
  <c r="I5040" i="3"/>
  <c r="J5040" i="3" s="1"/>
  <c r="I5041" i="3"/>
  <c r="J5041" i="3" s="1"/>
  <c r="I5042" i="3"/>
  <c r="J5042" i="3" s="1"/>
  <c r="I5043" i="3"/>
  <c r="J5043" i="3" s="1"/>
  <c r="I5044" i="3"/>
  <c r="J5044" i="3" s="1"/>
  <c r="I5045" i="3"/>
  <c r="J5045" i="3" s="1"/>
  <c r="I5046" i="3"/>
  <c r="J5046" i="3" s="1"/>
  <c r="I5047" i="3"/>
  <c r="J5047" i="3" s="1"/>
  <c r="I5048" i="3"/>
  <c r="J5048" i="3" s="1"/>
  <c r="I5049" i="3"/>
  <c r="J5049" i="3" s="1"/>
  <c r="I5050" i="3"/>
  <c r="J5050" i="3" s="1"/>
  <c r="I5051" i="3"/>
  <c r="J5051" i="3" s="1"/>
  <c r="I5052" i="3"/>
  <c r="J5052" i="3" s="1"/>
  <c r="I5053" i="3"/>
  <c r="J5053" i="3" s="1"/>
  <c r="I5054" i="3"/>
  <c r="J5054" i="3" s="1"/>
  <c r="I5055" i="3"/>
  <c r="J5055" i="3" s="1"/>
  <c r="I5056" i="3"/>
  <c r="J5056" i="3" s="1"/>
  <c r="I5057" i="3"/>
  <c r="J5057" i="3" s="1"/>
  <c r="I4940" i="3"/>
  <c r="J4940" i="3" s="1"/>
  <c r="I4941" i="3"/>
  <c r="J4941" i="3" s="1"/>
  <c r="I4942" i="3"/>
  <c r="J4942" i="3" s="1"/>
  <c r="I4943" i="3"/>
  <c r="J4943" i="3" s="1"/>
  <c r="I4944" i="3"/>
  <c r="J4944" i="3" s="1"/>
  <c r="I4945" i="3"/>
  <c r="J4945" i="3" s="1"/>
  <c r="I4946" i="3"/>
  <c r="J4946" i="3" s="1"/>
  <c r="I4947" i="3"/>
  <c r="J4947" i="3" s="1"/>
  <c r="I4948" i="3"/>
  <c r="J4948" i="3" s="1"/>
  <c r="I4949" i="3"/>
  <c r="J4949" i="3" s="1"/>
  <c r="I4950" i="3"/>
  <c r="J4950" i="3" s="1"/>
  <c r="I4951" i="3"/>
  <c r="J4951" i="3" s="1"/>
  <c r="I4952" i="3"/>
  <c r="J4952" i="3" s="1"/>
  <c r="I4953" i="3"/>
  <c r="J4953" i="3" s="1"/>
  <c r="I4954" i="3"/>
  <c r="J4954" i="3" s="1"/>
  <c r="I4955" i="3"/>
  <c r="J4955" i="3" s="1"/>
  <c r="I4956" i="3"/>
  <c r="J4956" i="3" s="1"/>
  <c r="I4957" i="3"/>
  <c r="J4957" i="3" s="1"/>
  <c r="I4958" i="3"/>
  <c r="J4958" i="3" s="1"/>
  <c r="I4959" i="3"/>
  <c r="J4959" i="3" s="1"/>
  <c r="I4960" i="3"/>
  <c r="J4960" i="3" s="1"/>
  <c r="I4961" i="3"/>
  <c r="J4961" i="3" s="1"/>
  <c r="I4962" i="3"/>
  <c r="J4962" i="3" s="1"/>
  <c r="I4963" i="3"/>
  <c r="J4963" i="3" s="1"/>
  <c r="I4964" i="3"/>
  <c r="J4964" i="3" s="1"/>
  <c r="I4965" i="3"/>
  <c r="J4965" i="3" s="1"/>
  <c r="I4966" i="3"/>
  <c r="J4966" i="3" s="1"/>
  <c r="I4967" i="3"/>
  <c r="J4967" i="3" s="1"/>
  <c r="I4968" i="3"/>
  <c r="J4968" i="3" s="1"/>
  <c r="I4969" i="3"/>
  <c r="J4969" i="3" s="1"/>
  <c r="I4970" i="3"/>
  <c r="J4970" i="3" s="1"/>
  <c r="I4971" i="3"/>
  <c r="J4971" i="3" s="1"/>
  <c r="I4972" i="3"/>
  <c r="J4972" i="3" s="1"/>
  <c r="I4973" i="3"/>
  <c r="J4973" i="3" s="1"/>
  <c r="I4974" i="3"/>
  <c r="J4974" i="3" s="1"/>
  <c r="I4975" i="3"/>
  <c r="J4975" i="3" s="1"/>
  <c r="I4976" i="3"/>
  <c r="J4976" i="3" s="1"/>
  <c r="I4977" i="3"/>
  <c r="J4977" i="3" s="1"/>
  <c r="I4978" i="3"/>
  <c r="J4978" i="3" s="1"/>
  <c r="I4979" i="3"/>
  <c r="J4979" i="3" s="1"/>
  <c r="I4980" i="3"/>
  <c r="J4980" i="3" s="1"/>
  <c r="I4981" i="3"/>
  <c r="J4981" i="3" s="1"/>
  <c r="I4982" i="3"/>
  <c r="J4982" i="3" s="1"/>
  <c r="I4983" i="3"/>
  <c r="J4983" i="3" s="1"/>
  <c r="I4984" i="3"/>
  <c r="J4984" i="3" s="1"/>
  <c r="I4985" i="3"/>
  <c r="J4985" i="3" s="1"/>
  <c r="I4986" i="3"/>
  <c r="J4986" i="3" s="1"/>
  <c r="I4987" i="3"/>
  <c r="J4987" i="3" s="1"/>
  <c r="I4988" i="3"/>
  <c r="J4988" i="3" s="1"/>
  <c r="I4989" i="3"/>
  <c r="J4989" i="3" s="1"/>
  <c r="I4990" i="3"/>
  <c r="J4990" i="3" s="1"/>
  <c r="I4991" i="3"/>
  <c r="J4991" i="3" s="1"/>
  <c r="I4992" i="3"/>
  <c r="J4992" i="3" s="1"/>
  <c r="I4993" i="3"/>
  <c r="J4993" i="3" s="1"/>
  <c r="I4994" i="3"/>
  <c r="J4994" i="3" s="1"/>
  <c r="I4760" i="3"/>
  <c r="J4760" i="3" s="1"/>
  <c r="I4761" i="3"/>
  <c r="J4761" i="3" s="1"/>
  <c r="I4762" i="3"/>
  <c r="J4762" i="3" s="1"/>
  <c r="I4763" i="3"/>
  <c r="J4763" i="3" s="1"/>
  <c r="I4764" i="3"/>
  <c r="J4764" i="3" s="1"/>
  <c r="I4765" i="3"/>
  <c r="J4765" i="3" s="1"/>
  <c r="I4766" i="3"/>
  <c r="J4766" i="3" s="1"/>
  <c r="I4767" i="3"/>
  <c r="J4767" i="3" s="1"/>
  <c r="I4768" i="3"/>
  <c r="J4768" i="3" s="1"/>
  <c r="I4769" i="3"/>
  <c r="J4769" i="3" s="1"/>
  <c r="I4770" i="3"/>
  <c r="J4770" i="3" s="1"/>
  <c r="I4771" i="3"/>
  <c r="J4771" i="3" s="1"/>
  <c r="I4772" i="3"/>
  <c r="J4772" i="3" s="1"/>
  <c r="I4773" i="3"/>
  <c r="J4773" i="3" s="1"/>
  <c r="I4774" i="3"/>
  <c r="J4774" i="3" s="1"/>
  <c r="I4775" i="3"/>
  <c r="J4775" i="3" s="1"/>
  <c r="I4776" i="3"/>
  <c r="J4776" i="3" s="1"/>
  <c r="I4777" i="3"/>
  <c r="J4777" i="3" s="1"/>
  <c r="I4778" i="3"/>
  <c r="J4778" i="3" s="1"/>
  <c r="I4779" i="3"/>
  <c r="J4779" i="3" s="1"/>
  <c r="I4780" i="3"/>
  <c r="J4780" i="3" s="1"/>
  <c r="I4781" i="3"/>
  <c r="J4781" i="3" s="1"/>
  <c r="I4782" i="3"/>
  <c r="J4782" i="3" s="1"/>
  <c r="I4783" i="3"/>
  <c r="J4783" i="3" s="1"/>
  <c r="I4784" i="3"/>
  <c r="J4784" i="3" s="1"/>
  <c r="I4785" i="3"/>
  <c r="J4785" i="3" s="1"/>
  <c r="I4786" i="3"/>
  <c r="J4786" i="3" s="1"/>
  <c r="I4787" i="3"/>
  <c r="J4787" i="3" s="1"/>
  <c r="I4788" i="3"/>
  <c r="J4788" i="3" s="1"/>
  <c r="I4789" i="3"/>
  <c r="J4789" i="3" s="1"/>
  <c r="I4790" i="3"/>
  <c r="J4790" i="3" s="1"/>
  <c r="I4791" i="3"/>
  <c r="J4791" i="3" s="1"/>
  <c r="I4792" i="3"/>
  <c r="J4792" i="3" s="1"/>
  <c r="I4793" i="3"/>
  <c r="J4793" i="3" s="1"/>
  <c r="I4794" i="3"/>
  <c r="J4794" i="3" s="1"/>
  <c r="I4795" i="3"/>
  <c r="J4795" i="3" s="1"/>
  <c r="I4796" i="3"/>
  <c r="J4796" i="3" s="1"/>
  <c r="I4797" i="3"/>
  <c r="J4797" i="3" s="1"/>
  <c r="I4798" i="3"/>
  <c r="J4798" i="3" s="1"/>
  <c r="I4799" i="3"/>
  <c r="J4799" i="3" s="1"/>
  <c r="I4800" i="3"/>
  <c r="J4800" i="3" s="1"/>
  <c r="I4801" i="3"/>
  <c r="J4801" i="3" s="1"/>
  <c r="I4802" i="3"/>
  <c r="J4802" i="3" s="1"/>
  <c r="I4803" i="3"/>
  <c r="J4803" i="3" s="1"/>
  <c r="I4804" i="3"/>
  <c r="J4804" i="3" s="1"/>
  <c r="I4805" i="3"/>
  <c r="J4805" i="3" s="1"/>
  <c r="I4806" i="3"/>
  <c r="J4806" i="3" s="1"/>
  <c r="I4807" i="3"/>
  <c r="J4807" i="3" s="1"/>
  <c r="I4808" i="3"/>
  <c r="J4808" i="3" s="1"/>
  <c r="I4809" i="3"/>
  <c r="J4809" i="3" s="1"/>
  <c r="I4810" i="3"/>
  <c r="J4810" i="3" s="1"/>
  <c r="I4811" i="3"/>
  <c r="J4811" i="3" s="1"/>
  <c r="I4812" i="3"/>
  <c r="J4812" i="3" s="1"/>
  <c r="I4813" i="3"/>
  <c r="J4813" i="3" s="1"/>
  <c r="I4814" i="3"/>
  <c r="J4814" i="3" s="1"/>
  <c r="I4815" i="3"/>
  <c r="J4815" i="3" s="1"/>
  <c r="I4816" i="3"/>
  <c r="J4816" i="3" s="1"/>
  <c r="I4817" i="3"/>
  <c r="J4817" i="3" s="1"/>
  <c r="I4818" i="3"/>
  <c r="J4818" i="3" s="1"/>
  <c r="I4819" i="3"/>
  <c r="J4819" i="3" s="1"/>
  <c r="I4820" i="3"/>
  <c r="J4820" i="3" s="1"/>
  <c r="I4821" i="3"/>
  <c r="J4821" i="3" s="1"/>
  <c r="I4822" i="3"/>
  <c r="J4822" i="3" s="1"/>
  <c r="I4823" i="3"/>
  <c r="J4823" i="3" s="1"/>
  <c r="I4824" i="3"/>
  <c r="J4824" i="3" s="1"/>
  <c r="I4825" i="3"/>
  <c r="J4825" i="3" s="1"/>
  <c r="I4826" i="3"/>
  <c r="J4826" i="3" s="1"/>
  <c r="I4827" i="3"/>
  <c r="J4827" i="3" s="1"/>
  <c r="I4828" i="3"/>
  <c r="J4828" i="3" s="1"/>
  <c r="I4829" i="3"/>
  <c r="J4829" i="3" s="1"/>
  <c r="I4830" i="3"/>
  <c r="J4830" i="3" s="1"/>
  <c r="I4831" i="3"/>
  <c r="J4831" i="3" s="1"/>
  <c r="I4832" i="3"/>
  <c r="J4832" i="3" s="1"/>
  <c r="I4833" i="3"/>
  <c r="J4833" i="3" s="1"/>
  <c r="I4834" i="3"/>
  <c r="J4834" i="3" s="1"/>
  <c r="I4835" i="3"/>
  <c r="J4835" i="3" s="1"/>
  <c r="I4836" i="3"/>
  <c r="J4836" i="3" s="1"/>
  <c r="I4837" i="3"/>
  <c r="J4837" i="3" s="1"/>
  <c r="I4838" i="3"/>
  <c r="J4838" i="3" s="1"/>
  <c r="I4839" i="3"/>
  <c r="J4839" i="3" s="1"/>
  <c r="I4840" i="3"/>
  <c r="J4840" i="3" s="1"/>
  <c r="I4841" i="3"/>
  <c r="J4841" i="3" s="1"/>
  <c r="I4842" i="3"/>
  <c r="J4842" i="3" s="1"/>
  <c r="I4843" i="3"/>
  <c r="J4843" i="3" s="1"/>
  <c r="I4844" i="3"/>
  <c r="J4844" i="3" s="1"/>
  <c r="I4845" i="3"/>
  <c r="J4845" i="3" s="1"/>
  <c r="I4846" i="3"/>
  <c r="J4846" i="3" s="1"/>
  <c r="I4847" i="3"/>
  <c r="J4847" i="3" s="1"/>
  <c r="I4848" i="3"/>
  <c r="J4848" i="3" s="1"/>
  <c r="I4849" i="3"/>
  <c r="J4849" i="3" s="1"/>
  <c r="I4850" i="3"/>
  <c r="J4850" i="3" s="1"/>
  <c r="I4851" i="3"/>
  <c r="J4851" i="3" s="1"/>
  <c r="I4852" i="3"/>
  <c r="J4852" i="3" s="1"/>
  <c r="I4853" i="3"/>
  <c r="J4853" i="3" s="1"/>
  <c r="I4854" i="3"/>
  <c r="J4854" i="3" s="1"/>
  <c r="I4855" i="3"/>
  <c r="J4855" i="3" s="1"/>
  <c r="I4856" i="3"/>
  <c r="J4856" i="3" s="1"/>
  <c r="I4857" i="3"/>
  <c r="J4857" i="3" s="1"/>
  <c r="I4858" i="3"/>
  <c r="J4858" i="3" s="1"/>
  <c r="I4859" i="3"/>
  <c r="J4859" i="3" s="1"/>
  <c r="I4860" i="3"/>
  <c r="J4860" i="3" s="1"/>
  <c r="I4861" i="3"/>
  <c r="J4861" i="3" s="1"/>
  <c r="I4862" i="3"/>
  <c r="J4862" i="3" s="1"/>
  <c r="I4863" i="3"/>
  <c r="J4863" i="3" s="1"/>
  <c r="I4864" i="3"/>
  <c r="J4864" i="3" s="1"/>
  <c r="I4865" i="3"/>
  <c r="J4865" i="3" s="1"/>
  <c r="I4866" i="3"/>
  <c r="J4866" i="3" s="1"/>
  <c r="I4867" i="3"/>
  <c r="J4867" i="3" s="1"/>
  <c r="I4868" i="3"/>
  <c r="J4868" i="3" s="1"/>
  <c r="I4869" i="3"/>
  <c r="J4869" i="3" s="1"/>
  <c r="I4870" i="3"/>
  <c r="J4870" i="3" s="1"/>
  <c r="I4871" i="3"/>
  <c r="J4871" i="3" s="1"/>
  <c r="I4872" i="3"/>
  <c r="J4872" i="3" s="1"/>
  <c r="I4873" i="3"/>
  <c r="J4873" i="3" s="1"/>
  <c r="I4874" i="3"/>
  <c r="J4874" i="3" s="1"/>
  <c r="I4875" i="3"/>
  <c r="J4875" i="3" s="1"/>
  <c r="I4876" i="3"/>
  <c r="J4876" i="3" s="1"/>
  <c r="I4877" i="3"/>
  <c r="J4877" i="3" s="1"/>
  <c r="I4878" i="3"/>
  <c r="J4878" i="3" s="1"/>
  <c r="I4879" i="3"/>
  <c r="J4879" i="3" s="1"/>
  <c r="I4880" i="3"/>
  <c r="J4880" i="3" s="1"/>
  <c r="I4881" i="3"/>
  <c r="J4881" i="3" s="1"/>
  <c r="I4882" i="3"/>
  <c r="J4882" i="3" s="1"/>
  <c r="I4883" i="3"/>
  <c r="J4883" i="3" s="1"/>
  <c r="I4884" i="3"/>
  <c r="J4884" i="3" s="1"/>
  <c r="I4885" i="3"/>
  <c r="J4885" i="3" s="1"/>
  <c r="I4886" i="3"/>
  <c r="J4886" i="3" s="1"/>
  <c r="I4887" i="3"/>
  <c r="J4887" i="3" s="1"/>
  <c r="I4888" i="3"/>
  <c r="J4888" i="3" s="1"/>
  <c r="I4889" i="3"/>
  <c r="J4889" i="3" s="1"/>
  <c r="I4890" i="3"/>
  <c r="J4890" i="3" s="1"/>
  <c r="I4891" i="3"/>
  <c r="J4891" i="3" s="1"/>
  <c r="I4892" i="3"/>
  <c r="J4892" i="3" s="1"/>
  <c r="I4893" i="3"/>
  <c r="J4893" i="3" s="1"/>
  <c r="I4894" i="3"/>
  <c r="J4894" i="3" s="1"/>
  <c r="I4895" i="3"/>
  <c r="J4895" i="3" s="1"/>
  <c r="I4896" i="3"/>
  <c r="J4896" i="3" s="1"/>
  <c r="I4897" i="3"/>
  <c r="J4897" i="3" s="1"/>
  <c r="I4898" i="3"/>
  <c r="J4898" i="3" s="1"/>
  <c r="I4899" i="3"/>
  <c r="J4899" i="3" s="1"/>
  <c r="I4900" i="3"/>
  <c r="J4900" i="3" s="1"/>
  <c r="I4901" i="3"/>
  <c r="J4901" i="3" s="1"/>
  <c r="I4902" i="3"/>
  <c r="J4902" i="3" s="1"/>
  <c r="I4903" i="3"/>
  <c r="J4903" i="3" s="1"/>
  <c r="I4904" i="3"/>
  <c r="J4904" i="3" s="1"/>
  <c r="I4905" i="3"/>
  <c r="J4905" i="3" s="1"/>
  <c r="I4906" i="3"/>
  <c r="J4906" i="3" s="1"/>
  <c r="I4907" i="3"/>
  <c r="J4907" i="3" s="1"/>
  <c r="I4908" i="3"/>
  <c r="J4908" i="3" s="1"/>
  <c r="I4909" i="3"/>
  <c r="J4909" i="3" s="1"/>
  <c r="I4910" i="3"/>
  <c r="J4910" i="3" s="1"/>
  <c r="I4911" i="3"/>
  <c r="J4911" i="3" s="1"/>
  <c r="I4912" i="3"/>
  <c r="J4912" i="3" s="1"/>
  <c r="I4913" i="3"/>
  <c r="J4913" i="3" s="1"/>
  <c r="I4914" i="3"/>
  <c r="J4914" i="3" s="1"/>
  <c r="I4915" i="3"/>
  <c r="J4915" i="3" s="1"/>
  <c r="I4916" i="3"/>
  <c r="J4916" i="3" s="1"/>
  <c r="I4917" i="3"/>
  <c r="J4917" i="3" s="1"/>
  <c r="I4918" i="3"/>
  <c r="J4918" i="3" s="1"/>
  <c r="I4919" i="3"/>
  <c r="J4919" i="3" s="1"/>
  <c r="I4920" i="3"/>
  <c r="J4920" i="3" s="1"/>
  <c r="I4921" i="3"/>
  <c r="J4921" i="3" s="1"/>
  <c r="I4922" i="3"/>
  <c r="J4922" i="3" s="1"/>
  <c r="I4923" i="3"/>
  <c r="J4923" i="3" s="1"/>
  <c r="I4924" i="3"/>
  <c r="J4924" i="3" s="1"/>
  <c r="I4925" i="3"/>
  <c r="J4925" i="3" s="1"/>
  <c r="I4926" i="3"/>
  <c r="J4926" i="3" s="1"/>
  <c r="I4927" i="3"/>
  <c r="J4927" i="3" s="1"/>
  <c r="I4928" i="3"/>
  <c r="J4928" i="3" s="1"/>
  <c r="I4929" i="3"/>
  <c r="J4929" i="3" s="1"/>
  <c r="I4930" i="3"/>
  <c r="J4930" i="3" s="1"/>
  <c r="I4931" i="3"/>
  <c r="J4931" i="3" s="1"/>
  <c r="I4932" i="3"/>
  <c r="J4932" i="3" s="1"/>
  <c r="I4933" i="3"/>
  <c r="J4933" i="3" s="1"/>
  <c r="I4722" i="3"/>
  <c r="J4722" i="3" s="1"/>
  <c r="I4723" i="3"/>
  <c r="J4723" i="3" s="1"/>
  <c r="I4724" i="3"/>
  <c r="J4724" i="3" s="1"/>
  <c r="I4725" i="3"/>
  <c r="J4725" i="3" s="1"/>
  <c r="I4726" i="3"/>
  <c r="J4726" i="3" s="1"/>
  <c r="I4727" i="3"/>
  <c r="J4727" i="3" s="1"/>
  <c r="I4728" i="3"/>
  <c r="J4728" i="3" s="1"/>
  <c r="I4729" i="3"/>
  <c r="J4729" i="3" s="1"/>
  <c r="I4730" i="3"/>
  <c r="J4730" i="3" s="1"/>
  <c r="I4731" i="3"/>
  <c r="J4731" i="3" s="1"/>
  <c r="I4732" i="3"/>
  <c r="J4732" i="3" s="1"/>
  <c r="I4733" i="3"/>
  <c r="J4733" i="3" s="1"/>
  <c r="I4734" i="3"/>
  <c r="J4734" i="3" s="1"/>
  <c r="I4735" i="3"/>
  <c r="J4735" i="3" s="1"/>
  <c r="I4736" i="3"/>
  <c r="J4736" i="3" s="1"/>
  <c r="I4737" i="3"/>
  <c r="J4737" i="3" s="1"/>
  <c r="I4738" i="3"/>
  <c r="J4738" i="3" s="1"/>
  <c r="I4739" i="3"/>
  <c r="J4739" i="3" s="1"/>
  <c r="I4740" i="3"/>
  <c r="J4740" i="3" s="1"/>
  <c r="I4741" i="3"/>
  <c r="J4741" i="3" s="1"/>
  <c r="I4599" i="3"/>
  <c r="J4599" i="3" s="1"/>
  <c r="I4600" i="3"/>
  <c r="J4600" i="3" s="1"/>
  <c r="I4601" i="3"/>
  <c r="J4601" i="3" s="1"/>
  <c r="I4602" i="3"/>
  <c r="J4602" i="3" s="1"/>
  <c r="I4603" i="3"/>
  <c r="J4603" i="3" s="1"/>
  <c r="I4604" i="3"/>
  <c r="J4604" i="3" s="1"/>
  <c r="I4605" i="3"/>
  <c r="J4605" i="3" s="1"/>
  <c r="I4606" i="3"/>
  <c r="J4606" i="3" s="1"/>
  <c r="I4607" i="3"/>
  <c r="J4607" i="3" s="1"/>
  <c r="I4608" i="3"/>
  <c r="J4608" i="3" s="1"/>
  <c r="I4609" i="3"/>
  <c r="J4609" i="3" s="1"/>
  <c r="I4610" i="3"/>
  <c r="J4610" i="3" s="1"/>
  <c r="I4611" i="3"/>
  <c r="J4611" i="3" s="1"/>
  <c r="I4612" i="3"/>
  <c r="J4612" i="3" s="1"/>
  <c r="I4613" i="3"/>
  <c r="J4613" i="3" s="1"/>
  <c r="I4614" i="3"/>
  <c r="J4614" i="3" s="1"/>
  <c r="I4615" i="3"/>
  <c r="J4615" i="3" s="1"/>
  <c r="I4616" i="3"/>
  <c r="J4616" i="3" s="1"/>
  <c r="I4617" i="3"/>
  <c r="J4617" i="3" s="1"/>
  <c r="I4618" i="3"/>
  <c r="J4618" i="3" s="1"/>
  <c r="I4619" i="3"/>
  <c r="J4619" i="3" s="1"/>
  <c r="I4620" i="3"/>
  <c r="J4620" i="3" s="1"/>
  <c r="I4621" i="3"/>
  <c r="J4621" i="3" s="1"/>
  <c r="I4622" i="3"/>
  <c r="J4622" i="3" s="1"/>
  <c r="I4623" i="3"/>
  <c r="J4623" i="3" s="1"/>
  <c r="I4624" i="3"/>
  <c r="J4624" i="3" s="1"/>
  <c r="I4625" i="3"/>
  <c r="J4625" i="3" s="1"/>
  <c r="I4626" i="3"/>
  <c r="J4626" i="3" s="1"/>
  <c r="I4627" i="3"/>
  <c r="J4627" i="3" s="1"/>
  <c r="I4628" i="3"/>
  <c r="J4628" i="3" s="1"/>
  <c r="I4629" i="3"/>
  <c r="J4629" i="3" s="1"/>
  <c r="I4630" i="3"/>
  <c r="J4630" i="3" s="1"/>
  <c r="I4631" i="3"/>
  <c r="J4631" i="3" s="1"/>
  <c r="I4632" i="3"/>
  <c r="J4632" i="3" s="1"/>
  <c r="I4633" i="3"/>
  <c r="J4633" i="3" s="1"/>
  <c r="I4634" i="3"/>
  <c r="J4634" i="3" s="1"/>
  <c r="I4635" i="3"/>
  <c r="J4635" i="3" s="1"/>
  <c r="I4636" i="3"/>
  <c r="J4636" i="3" s="1"/>
  <c r="I4637" i="3"/>
  <c r="J4637" i="3" s="1"/>
  <c r="I4638" i="3"/>
  <c r="J4638" i="3" s="1"/>
  <c r="I4639" i="3"/>
  <c r="J4639" i="3" s="1"/>
  <c r="I4640" i="3"/>
  <c r="J4640" i="3" s="1"/>
  <c r="I4641" i="3"/>
  <c r="J4641" i="3" s="1"/>
  <c r="I4642" i="3"/>
  <c r="J4642" i="3" s="1"/>
  <c r="I4643" i="3"/>
  <c r="J4643" i="3" s="1"/>
  <c r="I4644" i="3"/>
  <c r="J4644" i="3" s="1"/>
  <c r="I4645" i="3"/>
  <c r="J4645" i="3" s="1"/>
  <c r="I4646" i="3"/>
  <c r="J4646" i="3" s="1"/>
  <c r="I4647" i="3"/>
  <c r="J4647" i="3" s="1"/>
  <c r="I4648" i="3"/>
  <c r="J4648" i="3" s="1"/>
  <c r="I4649" i="3"/>
  <c r="J4649" i="3" s="1"/>
  <c r="I4650" i="3"/>
  <c r="J4650" i="3" s="1"/>
  <c r="I4583" i="3"/>
  <c r="J4583" i="3" s="1"/>
  <c r="I4584" i="3"/>
  <c r="J4584" i="3" s="1"/>
  <c r="I4585" i="3"/>
  <c r="J4585" i="3" s="1"/>
  <c r="I4586" i="3"/>
  <c r="J4586" i="3" s="1"/>
  <c r="I4587" i="3"/>
  <c r="J4587" i="3" s="1"/>
  <c r="I4588" i="3"/>
  <c r="J4588" i="3" s="1"/>
  <c r="I4589" i="3"/>
  <c r="J4589" i="3" s="1"/>
  <c r="I4590" i="3"/>
  <c r="J4590" i="3" s="1"/>
  <c r="I4591" i="3"/>
  <c r="J4591" i="3" s="1"/>
  <c r="I4592" i="3"/>
  <c r="J4592" i="3" s="1"/>
  <c r="I4593" i="3"/>
  <c r="J4593" i="3" s="1"/>
  <c r="I4594" i="3"/>
  <c r="J4594" i="3" s="1"/>
  <c r="I4595" i="3"/>
  <c r="J4595" i="3" s="1"/>
  <c r="I4596" i="3"/>
  <c r="J4596" i="3" s="1"/>
  <c r="I4569" i="3"/>
  <c r="J4569" i="3" s="1"/>
  <c r="I4570" i="3"/>
  <c r="J4570" i="3" s="1"/>
  <c r="I4571" i="3"/>
  <c r="J4571" i="3" s="1"/>
  <c r="I4572" i="3"/>
  <c r="J4572" i="3" s="1"/>
  <c r="I4573" i="3"/>
  <c r="J4573" i="3" s="1"/>
  <c r="I4574" i="3"/>
  <c r="J4574" i="3" s="1"/>
  <c r="I4575" i="3"/>
  <c r="J4575" i="3" s="1"/>
  <c r="I4576" i="3"/>
  <c r="J4576" i="3" s="1"/>
  <c r="I4577" i="3"/>
  <c r="J4577" i="3" s="1"/>
  <c r="I4578" i="3"/>
  <c r="J4578" i="3" s="1"/>
  <c r="I4579" i="3"/>
  <c r="J4579" i="3" s="1"/>
  <c r="I4580" i="3"/>
  <c r="J4580" i="3" s="1"/>
  <c r="I4509" i="3"/>
  <c r="J4509" i="3" s="1"/>
  <c r="I4510" i="3"/>
  <c r="J4510" i="3" s="1"/>
  <c r="I4511" i="3"/>
  <c r="J4511" i="3" s="1"/>
  <c r="I4512" i="3"/>
  <c r="J4512" i="3" s="1"/>
  <c r="I4513" i="3"/>
  <c r="J4513" i="3" s="1"/>
  <c r="I4514" i="3"/>
  <c r="J4514" i="3" s="1"/>
  <c r="I4515" i="3"/>
  <c r="J4515" i="3" s="1"/>
  <c r="I4516" i="3"/>
  <c r="J4516" i="3" s="1"/>
  <c r="I4517" i="3"/>
  <c r="J4517" i="3" s="1"/>
  <c r="I4518" i="3"/>
  <c r="J4518" i="3" s="1"/>
  <c r="I4519" i="3"/>
  <c r="J4519" i="3" s="1"/>
  <c r="I4520" i="3"/>
  <c r="J4520" i="3" s="1"/>
  <c r="I4521" i="3"/>
  <c r="J4521" i="3" s="1"/>
  <c r="I4522" i="3"/>
  <c r="J4522" i="3" s="1"/>
  <c r="I4523" i="3"/>
  <c r="J4523" i="3" s="1"/>
  <c r="I4524" i="3"/>
  <c r="J4524" i="3" s="1"/>
  <c r="I4525" i="3"/>
  <c r="J4525" i="3" s="1"/>
  <c r="I4526" i="3"/>
  <c r="J4526" i="3" s="1"/>
  <c r="I4527" i="3"/>
  <c r="J4527" i="3" s="1"/>
  <c r="I4528" i="3"/>
  <c r="J4528" i="3" s="1"/>
  <c r="I4529" i="3"/>
  <c r="J4529" i="3" s="1"/>
  <c r="I4530" i="3"/>
  <c r="J4530" i="3" s="1"/>
  <c r="I4531" i="3"/>
  <c r="J4531" i="3" s="1"/>
  <c r="I4532" i="3"/>
  <c r="J4532" i="3" s="1"/>
  <c r="I4533" i="3"/>
  <c r="J4533" i="3" s="1"/>
  <c r="I4534" i="3"/>
  <c r="J4534" i="3" s="1"/>
  <c r="I4535" i="3"/>
  <c r="J4535" i="3" s="1"/>
  <c r="I4536" i="3"/>
  <c r="J4536" i="3" s="1"/>
  <c r="I4537" i="3"/>
  <c r="J4537" i="3" s="1"/>
  <c r="I4538" i="3"/>
  <c r="J4538" i="3" s="1"/>
  <c r="I4539" i="3"/>
  <c r="J4539" i="3" s="1"/>
  <c r="I4540" i="3"/>
  <c r="J4540" i="3" s="1"/>
  <c r="I4541" i="3"/>
  <c r="J4541" i="3" s="1"/>
  <c r="I4542" i="3"/>
  <c r="J4542" i="3" s="1"/>
  <c r="I4543" i="3"/>
  <c r="J4543" i="3" s="1"/>
  <c r="I4544" i="3"/>
  <c r="J4544" i="3" s="1"/>
  <c r="I4545" i="3"/>
  <c r="J4545" i="3" s="1"/>
  <c r="I4546" i="3"/>
  <c r="J4546" i="3" s="1"/>
  <c r="I4547" i="3"/>
  <c r="J4547" i="3" s="1"/>
  <c r="I4548" i="3"/>
  <c r="J4548" i="3" s="1"/>
  <c r="I4549" i="3"/>
  <c r="J4549" i="3" s="1"/>
  <c r="I4550" i="3"/>
  <c r="J4550" i="3" s="1"/>
  <c r="I4551" i="3"/>
  <c r="J4551" i="3" s="1"/>
  <c r="I4552" i="3"/>
  <c r="J4552" i="3" s="1"/>
  <c r="I4553" i="3"/>
  <c r="J4553" i="3" s="1"/>
  <c r="I4554" i="3"/>
  <c r="J4554" i="3" s="1"/>
  <c r="I4555" i="3"/>
  <c r="J4555" i="3" s="1"/>
  <c r="I4556" i="3"/>
  <c r="J4556" i="3" s="1"/>
  <c r="I4557" i="3"/>
  <c r="J4557" i="3" s="1"/>
  <c r="I4558" i="3"/>
  <c r="J4558" i="3" s="1"/>
  <c r="I4559" i="3"/>
  <c r="J4559" i="3" s="1"/>
  <c r="I4560" i="3"/>
  <c r="J4560" i="3" s="1"/>
  <c r="I4561" i="3"/>
  <c r="J4561" i="3" s="1"/>
  <c r="I4562" i="3"/>
  <c r="J4562" i="3" s="1"/>
  <c r="I4563" i="3"/>
  <c r="J4563" i="3" s="1"/>
  <c r="I4564" i="3"/>
  <c r="J4564" i="3" s="1"/>
  <c r="I4565" i="3"/>
  <c r="J4565" i="3" s="1"/>
  <c r="I4446" i="3"/>
  <c r="J4446" i="3" s="1"/>
  <c r="I4447" i="3"/>
  <c r="J4447" i="3" s="1"/>
  <c r="I4448" i="3"/>
  <c r="J4448" i="3" s="1"/>
  <c r="I4449" i="3"/>
  <c r="J4449" i="3" s="1"/>
  <c r="I4450" i="3"/>
  <c r="J4450" i="3" s="1"/>
  <c r="I4451" i="3"/>
  <c r="J4451" i="3" s="1"/>
  <c r="I4452" i="3"/>
  <c r="J4452" i="3" s="1"/>
  <c r="I4453" i="3"/>
  <c r="J4453" i="3" s="1"/>
  <c r="I4454" i="3"/>
  <c r="J4454" i="3" s="1"/>
  <c r="I4455" i="3"/>
  <c r="J4455" i="3" s="1"/>
  <c r="I4456" i="3"/>
  <c r="J4456" i="3" s="1"/>
  <c r="I4457" i="3"/>
  <c r="J4457" i="3" s="1"/>
  <c r="I4458" i="3"/>
  <c r="J4458" i="3" s="1"/>
  <c r="I4459" i="3"/>
  <c r="J4459" i="3" s="1"/>
  <c r="I4460" i="3"/>
  <c r="J4460" i="3" s="1"/>
  <c r="I4461" i="3"/>
  <c r="J4461" i="3" s="1"/>
  <c r="I4462" i="3"/>
  <c r="J4462" i="3" s="1"/>
  <c r="I4463" i="3"/>
  <c r="J4463" i="3" s="1"/>
  <c r="I4464" i="3"/>
  <c r="J4464" i="3" s="1"/>
  <c r="I4465" i="3"/>
  <c r="J4465" i="3" s="1"/>
  <c r="I4466" i="3"/>
  <c r="J4466" i="3" s="1"/>
  <c r="I4467" i="3"/>
  <c r="J4467" i="3" s="1"/>
  <c r="I4468" i="3"/>
  <c r="J4468" i="3" s="1"/>
  <c r="I4469" i="3"/>
  <c r="J4469" i="3" s="1"/>
  <c r="I4470" i="3"/>
  <c r="J4470" i="3" s="1"/>
  <c r="I4471" i="3"/>
  <c r="J4471" i="3" s="1"/>
  <c r="I4472" i="3"/>
  <c r="J4472" i="3" s="1"/>
  <c r="I4473" i="3"/>
  <c r="J4473" i="3" s="1"/>
  <c r="I4474" i="3"/>
  <c r="J4474" i="3" s="1"/>
  <c r="I4475" i="3"/>
  <c r="J4475" i="3" s="1"/>
  <c r="I4476" i="3"/>
  <c r="J4476" i="3" s="1"/>
  <c r="I4477" i="3"/>
  <c r="J4477" i="3" s="1"/>
  <c r="I4478" i="3"/>
  <c r="J4478" i="3" s="1"/>
  <c r="I4479" i="3"/>
  <c r="J4479" i="3" s="1"/>
  <c r="I4480" i="3"/>
  <c r="J4480" i="3" s="1"/>
  <c r="I4481" i="3"/>
  <c r="J4481" i="3" s="1"/>
  <c r="I4482" i="3"/>
  <c r="J4482" i="3" s="1"/>
  <c r="I4483" i="3"/>
  <c r="J4483" i="3" s="1"/>
  <c r="I4484" i="3"/>
  <c r="J4484" i="3" s="1"/>
  <c r="I4485" i="3"/>
  <c r="J4485" i="3" s="1"/>
  <c r="I4486" i="3"/>
  <c r="J4486" i="3" s="1"/>
  <c r="I4487" i="3"/>
  <c r="J4487" i="3" s="1"/>
  <c r="I4488" i="3"/>
  <c r="J4488" i="3" s="1"/>
  <c r="I4489" i="3"/>
  <c r="J4489" i="3" s="1"/>
  <c r="I4490" i="3"/>
  <c r="J4490" i="3" s="1"/>
  <c r="I4491" i="3"/>
  <c r="J4491" i="3" s="1"/>
  <c r="I4492" i="3"/>
  <c r="J4492" i="3" s="1"/>
  <c r="I4493" i="3"/>
  <c r="J4493" i="3" s="1"/>
  <c r="I4494" i="3"/>
  <c r="J4494" i="3" s="1"/>
  <c r="I4495" i="3"/>
  <c r="J4495" i="3" s="1"/>
  <c r="I4496" i="3"/>
  <c r="J4496" i="3" s="1"/>
  <c r="I4497" i="3"/>
  <c r="J4497" i="3" s="1"/>
  <c r="I4498" i="3"/>
  <c r="J4498" i="3" s="1"/>
  <c r="I4499" i="3"/>
  <c r="J4499" i="3" s="1"/>
  <c r="I4500" i="3"/>
  <c r="J4500" i="3" s="1"/>
  <c r="I4501" i="3"/>
  <c r="J4501" i="3" s="1"/>
  <c r="I4502" i="3"/>
  <c r="J4502" i="3" s="1"/>
  <c r="I4503" i="3"/>
  <c r="J4503" i="3" s="1"/>
  <c r="I4504" i="3"/>
  <c r="J4504" i="3" s="1"/>
  <c r="I4505" i="3"/>
  <c r="J4505" i="3" s="1"/>
  <c r="I4506" i="3"/>
  <c r="J4506" i="3" s="1"/>
  <c r="I4389" i="3"/>
  <c r="J4389" i="3" s="1"/>
  <c r="I4390" i="3"/>
  <c r="J4390" i="3" s="1"/>
  <c r="I4391" i="3"/>
  <c r="J4391" i="3" s="1"/>
  <c r="I4392" i="3"/>
  <c r="J4392" i="3" s="1"/>
  <c r="I4393" i="3"/>
  <c r="J4393" i="3" s="1"/>
  <c r="I4394" i="3"/>
  <c r="J4394" i="3" s="1"/>
  <c r="I4395" i="3"/>
  <c r="J4395" i="3" s="1"/>
  <c r="I4396" i="3"/>
  <c r="J4396" i="3" s="1"/>
  <c r="I4397" i="3"/>
  <c r="J4397" i="3" s="1"/>
  <c r="I4398" i="3"/>
  <c r="J4398" i="3" s="1"/>
  <c r="I4399" i="3"/>
  <c r="J4399" i="3" s="1"/>
  <c r="I4400" i="3"/>
  <c r="J4400" i="3" s="1"/>
  <c r="I4401" i="3"/>
  <c r="J4401" i="3" s="1"/>
  <c r="I4402" i="3"/>
  <c r="J4402" i="3" s="1"/>
  <c r="I4403" i="3"/>
  <c r="J4403" i="3" s="1"/>
  <c r="I4404" i="3"/>
  <c r="J4404" i="3" s="1"/>
  <c r="I4405" i="3"/>
  <c r="J4405" i="3" s="1"/>
  <c r="I4406" i="3"/>
  <c r="J4406" i="3" s="1"/>
  <c r="I4407" i="3"/>
  <c r="J4407" i="3" s="1"/>
  <c r="I4408" i="3"/>
  <c r="J4408" i="3" s="1"/>
  <c r="I4409" i="3"/>
  <c r="J4409" i="3" s="1"/>
  <c r="I4410" i="3"/>
  <c r="J4410" i="3" s="1"/>
  <c r="I4411" i="3"/>
  <c r="J4411" i="3" s="1"/>
  <c r="I4412" i="3"/>
  <c r="J4412" i="3" s="1"/>
  <c r="I4413" i="3"/>
  <c r="J4413" i="3" s="1"/>
  <c r="I4414" i="3"/>
  <c r="J4414" i="3" s="1"/>
  <c r="I4415" i="3"/>
  <c r="J4415" i="3" s="1"/>
  <c r="I4416" i="3"/>
  <c r="J4416" i="3" s="1"/>
  <c r="I4417" i="3"/>
  <c r="J4417" i="3" s="1"/>
  <c r="I4418" i="3"/>
  <c r="J4418" i="3" s="1"/>
  <c r="I4419" i="3"/>
  <c r="J4419" i="3" s="1"/>
  <c r="I4420" i="3"/>
  <c r="J4420" i="3" s="1"/>
  <c r="I4421" i="3"/>
  <c r="J4421" i="3" s="1"/>
  <c r="I4422" i="3"/>
  <c r="J4422" i="3" s="1"/>
  <c r="I4423" i="3"/>
  <c r="J4423" i="3" s="1"/>
  <c r="I4424" i="3"/>
  <c r="J4424" i="3" s="1"/>
  <c r="I4425" i="3"/>
  <c r="J4425" i="3" s="1"/>
  <c r="I4426" i="3"/>
  <c r="J4426" i="3" s="1"/>
  <c r="I4427" i="3"/>
  <c r="J4427" i="3" s="1"/>
  <c r="I4428" i="3"/>
  <c r="J4428" i="3" s="1"/>
  <c r="I4429" i="3"/>
  <c r="J4429" i="3" s="1"/>
  <c r="I4430" i="3"/>
  <c r="J4430" i="3" s="1"/>
  <c r="I4431" i="3"/>
  <c r="J4431" i="3" s="1"/>
  <c r="I4432" i="3"/>
  <c r="J4432" i="3" s="1"/>
  <c r="I4433" i="3"/>
  <c r="J4433" i="3" s="1"/>
  <c r="I4434" i="3"/>
  <c r="J4434" i="3" s="1"/>
  <c r="I4435" i="3"/>
  <c r="J4435" i="3" s="1"/>
  <c r="I4436" i="3"/>
  <c r="J4436" i="3" s="1"/>
  <c r="I4437" i="3"/>
  <c r="J4437" i="3" s="1"/>
  <c r="I4438" i="3"/>
  <c r="J4438" i="3" s="1"/>
  <c r="I4439" i="3"/>
  <c r="J4439" i="3" s="1"/>
  <c r="I4440" i="3"/>
  <c r="J4440" i="3" s="1"/>
  <c r="I4441" i="3"/>
  <c r="J4441" i="3" s="1"/>
  <c r="I4361" i="3"/>
  <c r="J4361" i="3" s="1"/>
  <c r="I4362" i="3"/>
  <c r="J4362" i="3" s="1"/>
  <c r="I4363" i="3"/>
  <c r="J4363" i="3" s="1"/>
  <c r="I4364" i="3"/>
  <c r="J4364" i="3" s="1"/>
  <c r="I4365" i="3"/>
  <c r="J4365" i="3" s="1"/>
  <c r="I4366" i="3"/>
  <c r="J4366" i="3" s="1"/>
  <c r="I4367" i="3"/>
  <c r="J4367" i="3" s="1"/>
  <c r="I4368" i="3"/>
  <c r="J4368" i="3" s="1"/>
  <c r="I4369" i="3"/>
  <c r="J4369" i="3" s="1"/>
  <c r="I4370" i="3"/>
  <c r="J4370" i="3" s="1"/>
  <c r="I4371" i="3"/>
  <c r="J4371" i="3" s="1"/>
  <c r="I4372" i="3"/>
  <c r="J4372" i="3" s="1"/>
  <c r="I4373" i="3"/>
  <c r="J4373" i="3" s="1"/>
  <c r="I4374" i="3"/>
  <c r="J4374" i="3" s="1"/>
  <c r="I4375" i="3"/>
  <c r="J4375" i="3" s="1"/>
  <c r="I4376" i="3"/>
  <c r="J4376" i="3" s="1"/>
  <c r="I4377" i="3"/>
  <c r="J4377" i="3" s="1"/>
  <c r="I4378" i="3"/>
  <c r="J4378" i="3" s="1"/>
  <c r="I4379" i="3"/>
  <c r="J4379" i="3" s="1"/>
  <c r="I4380" i="3"/>
  <c r="J4380" i="3" s="1"/>
  <c r="I4381" i="3"/>
  <c r="J4381" i="3" s="1"/>
  <c r="I4382" i="3"/>
  <c r="J4382" i="3" s="1"/>
  <c r="I4383" i="3"/>
  <c r="J4383" i="3" s="1"/>
  <c r="I4384" i="3"/>
  <c r="J4384" i="3" s="1"/>
  <c r="I4301" i="3"/>
  <c r="J4301" i="3" s="1"/>
  <c r="I4302" i="3"/>
  <c r="J4302" i="3" s="1"/>
  <c r="I4303" i="3"/>
  <c r="J4303" i="3" s="1"/>
  <c r="I4304" i="3"/>
  <c r="J4304" i="3" s="1"/>
  <c r="I4305" i="3"/>
  <c r="J4305" i="3" s="1"/>
  <c r="I4306" i="3"/>
  <c r="J4306" i="3" s="1"/>
  <c r="I4307" i="3"/>
  <c r="J4307" i="3" s="1"/>
  <c r="I4308" i="3"/>
  <c r="J4308" i="3" s="1"/>
  <c r="I4309" i="3"/>
  <c r="J4309" i="3" s="1"/>
  <c r="I4310" i="3"/>
  <c r="J4310" i="3" s="1"/>
  <c r="I4311" i="3"/>
  <c r="J4311" i="3" s="1"/>
  <c r="I4312" i="3"/>
  <c r="J4312" i="3" s="1"/>
  <c r="I4313" i="3"/>
  <c r="J4313" i="3" s="1"/>
  <c r="I4314" i="3"/>
  <c r="J4314" i="3" s="1"/>
  <c r="I4315" i="3"/>
  <c r="J4315" i="3" s="1"/>
  <c r="I4316" i="3"/>
  <c r="J4316" i="3" s="1"/>
  <c r="I4317" i="3"/>
  <c r="J4317" i="3" s="1"/>
  <c r="I4318" i="3"/>
  <c r="J4318" i="3" s="1"/>
  <c r="I4319" i="3"/>
  <c r="J4319" i="3" s="1"/>
  <c r="I4320" i="3"/>
  <c r="J4320" i="3" s="1"/>
  <c r="I4321" i="3"/>
  <c r="J4321" i="3" s="1"/>
  <c r="I4322" i="3"/>
  <c r="J4322" i="3" s="1"/>
  <c r="I4323" i="3"/>
  <c r="J4323" i="3" s="1"/>
  <c r="I4324" i="3"/>
  <c r="J4324" i="3" s="1"/>
  <c r="I4325" i="3"/>
  <c r="J4325" i="3" s="1"/>
  <c r="I4326" i="3"/>
  <c r="J4326" i="3" s="1"/>
  <c r="I4327" i="3"/>
  <c r="J4327" i="3" s="1"/>
  <c r="I4328" i="3"/>
  <c r="J4328" i="3" s="1"/>
  <c r="I4329" i="3"/>
  <c r="J4329" i="3" s="1"/>
  <c r="I4330" i="3"/>
  <c r="J4330" i="3" s="1"/>
  <c r="I4331" i="3"/>
  <c r="J4331" i="3" s="1"/>
  <c r="I4332" i="3"/>
  <c r="J4332" i="3" s="1"/>
  <c r="I4333" i="3"/>
  <c r="J4333" i="3" s="1"/>
  <c r="I4334" i="3"/>
  <c r="J4334" i="3" s="1"/>
  <c r="I4335" i="3"/>
  <c r="J4335" i="3" s="1"/>
  <c r="I4336" i="3"/>
  <c r="J4336" i="3" s="1"/>
  <c r="I4337" i="3"/>
  <c r="J4337" i="3" s="1"/>
  <c r="I4338" i="3"/>
  <c r="J4338" i="3" s="1"/>
  <c r="I4339" i="3"/>
  <c r="J4339" i="3" s="1"/>
  <c r="I4340" i="3"/>
  <c r="J4340" i="3" s="1"/>
  <c r="I4341" i="3"/>
  <c r="J4341" i="3" s="1"/>
  <c r="I4342" i="3"/>
  <c r="J4342" i="3" s="1"/>
  <c r="I4343" i="3"/>
  <c r="J4343" i="3" s="1"/>
  <c r="I4344" i="3"/>
  <c r="J4344" i="3" s="1"/>
  <c r="I4345" i="3"/>
  <c r="J4345" i="3" s="1"/>
  <c r="I4346" i="3"/>
  <c r="J4346" i="3" s="1"/>
  <c r="I4347" i="3"/>
  <c r="J4347" i="3" s="1"/>
  <c r="I4348" i="3"/>
  <c r="J4348" i="3" s="1"/>
  <c r="I4349" i="3"/>
  <c r="J4349" i="3" s="1"/>
  <c r="I4350" i="3"/>
  <c r="J4350" i="3" s="1"/>
  <c r="I4351" i="3"/>
  <c r="J4351" i="3" s="1"/>
  <c r="I4352" i="3"/>
  <c r="J4352" i="3" s="1"/>
  <c r="I4353" i="3"/>
  <c r="J4353" i="3" s="1"/>
  <c r="I4354" i="3"/>
  <c r="J4354" i="3" s="1"/>
  <c r="I4355" i="3"/>
  <c r="J4355" i="3" s="1"/>
  <c r="I4356" i="3"/>
  <c r="J4356" i="3" s="1"/>
  <c r="I4357" i="3"/>
  <c r="J4357" i="3" s="1"/>
  <c r="I4358" i="3"/>
  <c r="J4358" i="3" s="1"/>
  <c r="I4185" i="3"/>
  <c r="J4185" i="3" s="1"/>
  <c r="I4186" i="3"/>
  <c r="J4186" i="3" s="1"/>
  <c r="I4187" i="3"/>
  <c r="J4187" i="3" s="1"/>
  <c r="I4188" i="3"/>
  <c r="J4188" i="3" s="1"/>
  <c r="I4189" i="3"/>
  <c r="J4189" i="3" s="1"/>
  <c r="I4190" i="3"/>
  <c r="J4190" i="3" s="1"/>
  <c r="I4191" i="3"/>
  <c r="J4191" i="3" s="1"/>
  <c r="I4192" i="3"/>
  <c r="J4192" i="3" s="1"/>
  <c r="I4193" i="3"/>
  <c r="J4193" i="3" s="1"/>
  <c r="I4194" i="3"/>
  <c r="J4194" i="3" s="1"/>
  <c r="I4195" i="3"/>
  <c r="J4195" i="3" s="1"/>
  <c r="I4196" i="3"/>
  <c r="J4196" i="3" s="1"/>
  <c r="I4197" i="3"/>
  <c r="J4197" i="3" s="1"/>
  <c r="I4198" i="3"/>
  <c r="J4198" i="3" s="1"/>
  <c r="I4199" i="3"/>
  <c r="J4199" i="3" s="1"/>
  <c r="I4200" i="3"/>
  <c r="J4200" i="3" s="1"/>
  <c r="I4201" i="3"/>
  <c r="J4201" i="3" s="1"/>
  <c r="I4202" i="3"/>
  <c r="J4202" i="3" s="1"/>
  <c r="I4203" i="3"/>
  <c r="J4203" i="3" s="1"/>
  <c r="I4204" i="3"/>
  <c r="J4204" i="3" s="1"/>
  <c r="I4205" i="3"/>
  <c r="J4205" i="3" s="1"/>
  <c r="I4206" i="3"/>
  <c r="J4206" i="3" s="1"/>
  <c r="I4207" i="3"/>
  <c r="J4207" i="3" s="1"/>
  <c r="I4208" i="3"/>
  <c r="J4208" i="3" s="1"/>
  <c r="I4209" i="3"/>
  <c r="J4209" i="3" s="1"/>
  <c r="I4210" i="3"/>
  <c r="J4210" i="3" s="1"/>
  <c r="I4211" i="3"/>
  <c r="J4211" i="3" s="1"/>
  <c r="I4212" i="3"/>
  <c r="J4212" i="3" s="1"/>
  <c r="I4213" i="3"/>
  <c r="J4213" i="3" s="1"/>
  <c r="I4214" i="3"/>
  <c r="J4214" i="3" s="1"/>
  <c r="I4215" i="3"/>
  <c r="J4215" i="3" s="1"/>
  <c r="I4216" i="3"/>
  <c r="J4216" i="3" s="1"/>
  <c r="I4217" i="3"/>
  <c r="J4217" i="3" s="1"/>
  <c r="I4218" i="3"/>
  <c r="J4218" i="3" s="1"/>
  <c r="I4219" i="3"/>
  <c r="J4219" i="3" s="1"/>
  <c r="I4220" i="3"/>
  <c r="J4220" i="3" s="1"/>
  <c r="I4221" i="3"/>
  <c r="J4221" i="3" s="1"/>
  <c r="I4222" i="3"/>
  <c r="J4222" i="3" s="1"/>
  <c r="I4223" i="3"/>
  <c r="J4223" i="3" s="1"/>
  <c r="I4224" i="3"/>
  <c r="J4224" i="3" s="1"/>
  <c r="I4225" i="3"/>
  <c r="J4225" i="3" s="1"/>
  <c r="I4226" i="3"/>
  <c r="J4226" i="3" s="1"/>
  <c r="I4227" i="3"/>
  <c r="J4227" i="3" s="1"/>
  <c r="I4228" i="3"/>
  <c r="J4228" i="3" s="1"/>
  <c r="I4229" i="3"/>
  <c r="J4229" i="3" s="1"/>
  <c r="I4230" i="3"/>
  <c r="J4230" i="3" s="1"/>
  <c r="I4231" i="3"/>
  <c r="J4231" i="3" s="1"/>
  <c r="I4232" i="3"/>
  <c r="J4232" i="3" s="1"/>
  <c r="I4233" i="3"/>
  <c r="J4233" i="3" s="1"/>
  <c r="I4234" i="3"/>
  <c r="J4234" i="3" s="1"/>
  <c r="I4235" i="3"/>
  <c r="J4235" i="3" s="1"/>
  <c r="I4236" i="3"/>
  <c r="J4236" i="3" s="1"/>
  <c r="I4237" i="3"/>
  <c r="J4237" i="3" s="1"/>
  <c r="I4238" i="3"/>
  <c r="J4238" i="3" s="1"/>
  <c r="I4239" i="3"/>
  <c r="J4239" i="3" s="1"/>
  <c r="I4240" i="3"/>
  <c r="J4240" i="3" s="1"/>
  <c r="I4241" i="3"/>
  <c r="J4241" i="3" s="1"/>
  <c r="I4242" i="3"/>
  <c r="J4242" i="3" s="1"/>
  <c r="I4243" i="3"/>
  <c r="J4243" i="3" s="1"/>
  <c r="I4244" i="3"/>
  <c r="J4244" i="3" s="1"/>
  <c r="I4245" i="3"/>
  <c r="J4245" i="3" s="1"/>
  <c r="I4246" i="3"/>
  <c r="J4246" i="3" s="1"/>
  <c r="I4247" i="3"/>
  <c r="J4247" i="3" s="1"/>
  <c r="I4248" i="3"/>
  <c r="J4248" i="3" s="1"/>
  <c r="I4249" i="3"/>
  <c r="J4249" i="3" s="1"/>
  <c r="I4250" i="3"/>
  <c r="J4250" i="3" s="1"/>
  <c r="I4251" i="3"/>
  <c r="J4251" i="3" s="1"/>
  <c r="I4252" i="3"/>
  <c r="J4252" i="3" s="1"/>
  <c r="I4253" i="3"/>
  <c r="J4253" i="3" s="1"/>
  <c r="I4254" i="3"/>
  <c r="J4254" i="3" s="1"/>
  <c r="I4255" i="3"/>
  <c r="J4255" i="3" s="1"/>
  <c r="I4256" i="3"/>
  <c r="J4256" i="3" s="1"/>
  <c r="I4257" i="3"/>
  <c r="J4257" i="3" s="1"/>
  <c r="I4258" i="3"/>
  <c r="J4258" i="3" s="1"/>
  <c r="I4259" i="3"/>
  <c r="J4259" i="3" s="1"/>
  <c r="I4260" i="3"/>
  <c r="J4260" i="3" s="1"/>
  <c r="I4261" i="3"/>
  <c r="J4261" i="3" s="1"/>
  <c r="I4262" i="3"/>
  <c r="J4262" i="3" s="1"/>
  <c r="I4263" i="3"/>
  <c r="J4263" i="3" s="1"/>
  <c r="I4264" i="3"/>
  <c r="J4264" i="3" s="1"/>
  <c r="I4265" i="3"/>
  <c r="J4265" i="3" s="1"/>
  <c r="I4266" i="3"/>
  <c r="J4266" i="3" s="1"/>
  <c r="I4267" i="3"/>
  <c r="J4267" i="3" s="1"/>
  <c r="I4268" i="3"/>
  <c r="J4268" i="3" s="1"/>
  <c r="I4269" i="3"/>
  <c r="J4269" i="3" s="1"/>
  <c r="I4270" i="3"/>
  <c r="J4270" i="3" s="1"/>
  <c r="I4271" i="3"/>
  <c r="J4271" i="3" s="1"/>
  <c r="I4272" i="3"/>
  <c r="J4272" i="3" s="1"/>
  <c r="I4273" i="3"/>
  <c r="J4273" i="3" s="1"/>
  <c r="I4274" i="3"/>
  <c r="J4274" i="3" s="1"/>
  <c r="I4275" i="3"/>
  <c r="J4275" i="3" s="1"/>
  <c r="I4276" i="3"/>
  <c r="J4276" i="3" s="1"/>
  <c r="I4277" i="3"/>
  <c r="J4277" i="3" s="1"/>
  <c r="I4278" i="3"/>
  <c r="J4278" i="3" s="1"/>
  <c r="I4279" i="3"/>
  <c r="J4279" i="3" s="1"/>
  <c r="I4280" i="3"/>
  <c r="J4280" i="3" s="1"/>
  <c r="I4281" i="3"/>
  <c r="J4281" i="3" s="1"/>
  <c r="I4282" i="3"/>
  <c r="J4282" i="3" s="1"/>
  <c r="I4283" i="3"/>
  <c r="J4283" i="3" s="1"/>
  <c r="I4284" i="3"/>
  <c r="J4284" i="3" s="1"/>
  <c r="I4285" i="3"/>
  <c r="J4285" i="3" s="1"/>
  <c r="I4286" i="3"/>
  <c r="J4286" i="3" s="1"/>
  <c r="I4287" i="3"/>
  <c r="J4287" i="3" s="1"/>
  <c r="I4288" i="3"/>
  <c r="J4288" i="3" s="1"/>
  <c r="I4289" i="3"/>
  <c r="J4289" i="3" s="1"/>
  <c r="I4290" i="3"/>
  <c r="J4290" i="3" s="1"/>
  <c r="I4291" i="3"/>
  <c r="J4291" i="3" s="1"/>
  <c r="I4292" i="3"/>
  <c r="J4292" i="3" s="1"/>
  <c r="I4293" i="3"/>
  <c r="J4293" i="3" s="1"/>
  <c r="I4122" i="3"/>
  <c r="J4122" i="3" s="1"/>
  <c r="I4123" i="3"/>
  <c r="J4123" i="3" s="1"/>
  <c r="I4124" i="3"/>
  <c r="J4124" i="3" s="1"/>
  <c r="I4125" i="3"/>
  <c r="J4125" i="3" s="1"/>
  <c r="I4126" i="3"/>
  <c r="J4126" i="3" s="1"/>
  <c r="I4127" i="3"/>
  <c r="J4127" i="3" s="1"/>
  <c r="I4128" i="3"/>
  <c r="J4128" i="3" s="1"/>
  <c r="I4129" i="3"/>
  <c r="J4129" i="3" s="1"/>
  <c r="I4130" i="3"/>
  <c r="J4130" i="3" s="1"/>
  <c r="I4131" i="3"/>
  <c r="J4131" i="3" s="1"/>
  <c r="I4132" i="3"/>
  <c r="J4132" i="3" s="1"/>
  <c r="I4133" i="3"/>
  <c r="J4133" i="3" s="1"/>
  <c r="I4134" i="3"/>
  <c r="J4134" i="3" s="1"/>
  <c r="I4135" i="3"/>
  <c r="J4135" i="3" s="1"/>
  <c r="I4136" i="3"/>
  <c r="J4136" i="3" s="1"/>
  <c r="I4137" i="3"/>
  <c r="J4137" i="3" s="1"/>
  <c r="I4138" i="3"/>
  <c r="J4138" i="3" s="1"/>
  <c r="I4139" i="3"/>
  <c r="J4139" i="3" s="1"/>
  <c r="I4140" i="3"/>
  <c r="J4140" i="3" s="1"/>
  <c r="I4141" i="3"/>
  <c r="J4141" i="3" s="1"/>
  <c r="I4142" i="3"/>
  <c r="J4142" i="3" s="1"/>
  <c r="I4143" i="3"/>
  <c r="J4143" i="3" s="1"/>
  <c r="I4144" i="3"/>
  <c r="J4144" i="3" s="1"/>
  <c r="I4145" i="3"/>
  <c r="J4145" i="3" s="1"/>
  <c r="I4146" i="3"/>
  <c r="J4146" i="3" s="1"/>
  <c r="I4147" i="3"/>
  <c r="J4147" i="3" s="1"/>
  <c r="I4148" i="3"/>
  <c r="J4148" i="3" s="1"/>
  <c r="I4149" i="3"/>
  <c r="J4149" i="3" s="1"/>
  <c r="I4150" i="3"/>
  <c r="J4150" i="3" s="1"/>
  <c r="I4151" i="3"/>
  <c r="J4151" i="3" s="1"/>
  <c r="I4152" i="3"/>
  <c r="J4152" i="3" s="1"/>
  <c r="I4153" i="3"/>
  <c r="J4153" i="3" s="1"/>
  <c r="I4154" i="3"/>
  <c r="J4154" i="3" s="1"/>
  <c r="I4155" i="3"/>
  <c r="J4155" i="3" s="1"/>
  <c r="I4156" i="3"/>
  <c r="J4156" i="3" s="1"/>
  <c r="I4157" i="3"/>
  <c r="J4157" i="3" s="1"/>
  <c r="I4158" i="3"/>
  <c r="J4158" i="3" s="1"/>
  <c r="I4159" i="3"/>
  <c r="J4159" i="3" s="1"/>
  <c r="I4160" i="3"/>
  <c r="J4160" i="3" s="1"/>
  <c r="I4161" i="3"/>
  <c r="J4161" i="3" s="1"/>
  <c r="I4162" i="3"/>
  <c r="J4162" i="3" s="1"/>
  <c r="I4163" i="3"/>
  <c r="J4163" i="3" s="1"/>
  <c r="I4164" i="3"/>
  <c r="J4164" i="3" s="1"/>
  <c r="I4165" i="3"/>
  <c r="J4165" i="3" s="1"/>
  <c r="I4166" i="3"/>
  <c r="J4166" i="3" s="1"/>
  <c r="I4167" i="3"/>
  <c r="J4167" i="3" s="1"/>
  <c r="I4168" i="3"/>
  <c r="J4168" i="3" s="1"/>
  <c r="I4169" i="3"/>
  <c r="J4169" i="3" s="1"/>
  <c r="I4170" i="3"/>
  <c r="J4170" i="3" s="1"/>
  <c r="I4171" i="3"/>
  <c r="J4171" i="3" s="1"/>
  <c r="I4172" i="3"/>
  <c r="J4172" i="3" s="1"/>
  <c r="I4173" i="3"/>
  <c r="J4173" i="3" s="1"/>
  <c r="I4174" i="3"/>
  <c r="J4174" i="3" s="1"/>
  <c r="I4175" i="3"/>
  <c r="J4175" i="3" s="1"/>
  <c r="I4176" i="3"/>
  <c r="J4176" i="3" s="1"/>
  <c r="I4036" i="3"/>
  <c r="J4036" i="3" s="1"/>
  <c r="I4037" i="3"/>
  <c r="J4037" i="3" s="1"/>
  <c r="I4038" i="3"/>
  <c r="J4038" i="3" s="1"/>
  <c r="I4039" i="3"/>
  <c r="J4039" i="3" s="1"/>
  <c r="I4040" i="3"/>
  <c r="J4040" i="3" s="1"/>
  <c r="I4041" i="3"/>
  <c r="J4041" i="3" s="1"/>
  <c r="I4042" i="3"/>
  <c r="J4042" i="3" s="1"/>
  <c r="I4043" i="3"/>
  <c r="J4043" i="3" s="1"/>
  <c r="I4044" i="3"/>
  <c r="J4044" i="3" s="1"/>
  <c r="I4045" i="3"/>
  <c r="J4045" i="3" s="1"/>
  <c r="I4046" i="3"/>
  <c r="J4046" i="3" s="1"/>
  <c r="I4047" i="3"/>
  <c r="J4047" i="3" s="1"/>
  <c r="I4048" i="3"/>
  <c r="J4048" i="3" s="1"/>
  <c r="I4049" i="3"/>
  <c r="J4049" i="3" s="1"/>
  <c r="I4050" i="3"/>
  <c r="J4050" i="3" s="1"/>
  <c r="I4051" i="3"/>
  <c r="J4051" i="3" s="1"/>
  <c r="I4052" i="3"/>
  <c r="J4052" i="3" s="1"/>
  <c r="I4053" i="3"/>
  <c r="J4053" i="3" s="1"/>
  <c r="I4054" i="3"/>
  <c r="J4054" i="3" s="1"/>
  <c r="I4055" i="3"/>
  <c r="J4055" i="3" s="1"/>
  <c r="I4056" i="3"/>
  <c r="J4056" i="3" s="1"/>
  <c r="I4057" i="3"/>
  <c r="J4057" i="3" s="1"/>
  <c r="I4058" i="3"/>
  <c r="J4058" i="3" s="1"/>
  <c r="I4059" i="3"/>
  <c r="J4059" i="3" s="1"/>
  <c r="I4060" i="3"/>
  <c r="J4060" i="3" s="1"/>
  <c r="I4061" i="3"/>
  <c r="J4061" i="3" s="1"/>
  <c r="I4062" i="3"/>
  <c r="J4062" i="3" s="1"/>
  <c r="I4063" i="3"/>
  <c r="J4063" i="3" s="1"/>
  <c r="I4064" i="3"/>
  <c r="J4064" i="3" s="1"/>
  <c r="I4065" i="3"/>
  <c r="J4065" i="3" s="1"/>
  <c r="I4066" i="3"/>
  <c r="J4066" i="3" s="1"/>
  <c r="I4067" i="3"/>
  <c r="J4067" i="3" s="1"/>
  <c r="I4068" i="3"/>
  <c r="J4068" i="3" s="1"/>
  <c r="I4069" i="3"/>
  <c r="J4069" i="3" s="1"/>
  <c r="I4070" i="3"/>
  <c r="J4070" i="3" s="1"/>
  <c r="I4071" i="3"/>
  <c r="J4071" i="3" s="1"/>
  <c r="I4072" i="3"/>
  <c r="J4072" i="3" s="1"/>
  <c r="I4073" i="3"/>
  <c r="J4073" i="3" s="1"/>
  <c r="I4074" i="3"/>
  <c r="J4074" i="3" s="1"/>
  <c r="I4075" i="3"/>
  <c r="J4075" i="3" s="1"/>
  <c r="I4076" i="3"/>
  <c r="J4076" i="3" s="1"/>
  <c r="I4077" i="3"/>
  <c r="J4077" i="3" s="1"/>
  <c r="I4078" i="3"/>
  <c r="J4078" i="3" s="1"/>
  <c r="I4079" i="3"/>
  <c r="J4079" i="3" s="1"/>
  <c r="I4080" i="3"/>
  <c r="J4080" i="3" s="1"/>
  <c r="I4081" i="3"/>
  <c r="J4081" i="3" s="1"/>
  <c r="I4082" i="3"/>
  <c r="J4082" i="3" s="1"/>
  <c r="I4083" i="3"/>
  <c r="J4083" i="3" s="1"/>
  <c r="I4084" i="3"/>
  <c r="J4084" i="3" s="1"/>
  <c r="I4085" i="3"/>
  <c r="J4085" i="3" s="1"/>
  <c r="I4086" i="3"/>
  <c r="J4086" i="3" s="1"/>
  <c r="I4087" i="3"/>
  <c r="J4087" i="3" s="1"/>
  <c r="I4088" i="3"/>
  <c r="J4088" i="3" s="1"/>
  <c r="I4089" i="3"/>
  <c r="J4089" i="3" s="1"/>
  <c r="I4090" i="3"/>
  <c r="J4090" i="3" s="1"/>
  <c r="I4091" i="3"/>
  <c r="J4091" i="3" s="1"/>
  <c r="I4092" i="3"/>
  <c r="J4092" i="3" s="1"/>
  <c r="I4093" i="3"/>
  <c r="J4093" i="3" s="1"/>
  <c r="I4094" i="3"/>
  <c r="J4094" i="3" s="1"/>
  <c r="I4095" i="3"/>
  <c r="J4095" i="3" s="1"/>
  <c r="I4096" i="3"/>
  <c r="J4096" i="3" s="1"/>
  <c r="I4019" i="3"/>
  <c r="J4019" i="3" s="1"/>
  <c r="I4020" i="3"/>
  <c r="J4020" i="3" s="1"/>
  <c r="I4021" i="3"/>
  <c r="J4021" i="3" s="1"/>
  <c r="I4022" i="3"/>
  <c r="J4022" i="3" s="1"/>
  <c r="I4023" i="3"/>
  <c r="J4023" i="3" s="1"/>
  <c r="I4024" i="3"/>
  <c r="J4024" i="3" s="1"/>
  <c r="I4025" i="3"/>
  <c r="J4025" i="3" s="1"/>
  <c r="I4026" i="3"/>
  <c r="J4026" i="3" s="1"/>
  <c r="I4027" i="3"/>
  <c r="J4027" i="3" s="1"/>
  <c r="I4028" i="3"/>
  <c r="J4028" i="3" s="1"/>
  <c r="I4029" i="3"/>
  <c r="J4029" i="3" s="1"/>
  <c r="I4030" i="3"/>
  <c r="J4030" i="3" s="1"/>
  <c r="I4031" i="3"/>
  <c r="J4031" i="3" s="1"/>
  <c r="I3996" i="3"/>
  <c r="J3996" i="3" s="1"/>
  <c r="I3997" i="3"/>
  <c r="J3997" i="3" s="1"/>
  <c r="I3998" i="3"/>
  <c r="J3998" i="3" s="1"/>
  <c r="I3999" i="3"/>
  <c r="J3999" i="3" s="1"/>
  <c r="I4000" i="3"/>
  <c r="J4000" i="3" s="1"/>
  <c r="I4001" i="3"/>
  <c r="J4001" i="3" s="1"/>
  <c r="I4002" i="3"/>
  <c r="J4002" i="3" s="1"/>
  <c r="I4003" i="3"/>
  <c r="J4003" i="3" s="1"/>
  <c r="I4004" i="3"/>
  <c r="J4004" i="3" s="1"/>
  <c r="I4005" i="3"/>
  <c r="J4005" i="3" s="1"/>
  <c r="I4006" i="3"/>
  <c r="J4006" i="3" s="1"/>
  <c r="I4007" i="3"/>
  <c r="J4007" i="3" s="1"/>
  <c r="I4008" i="3"/>
  <c r="J4008" i="3" s="1"/>
  <c r="I4009" i="3"/>
  <c r="J4009" i="3" s="1"/>
  <c r="I4010" i="3"/>
  <c r="J4010" i="3" s="1"/>
  <c r="I4011" i="3"/>
  <c r="J4011" i="3" s="1"/>
  <c r="I3940" i="3"/>
  <c r="J3940" i="3" s="1"/>
  <c r="I3941" i="3"/>
  <c r="J3941" i="3" s="1"/>
  <c r="I3942" i="3"/>
  <c r="J3942" i="3" s="1"/>
  <c r="I3943" i="3"/>
  <c r="J3943" i="3" s="1"/>
  <c r="I3944" i="3"/>
  <c r="J3944" i="3" s="1"/>
  <c r="I3945" i="3"/>
  <c r="J3945" i="3" s="1"/>
  <c r="I3946" i="3"/>
  <c r="J3946" i="3" s="1"/>
  <c r="I3947" i="3"/>
  <c r="J3947" i="3" s="1"/>
  <c r="I3948" i="3"/>
  <c r="J3948" i="3" s="1"/>
  <c r="I3949" i="3"/>
  <c r="J3949" i="3" s="1"/>
  <c r="I3950" i="3"/>
  <c r="J3950" i="3" s="1"/>
  <c r="I3951" i="3"/>
  <c r="J3951" i="3" s="1"/>
  <c r="I3952" i="3"/>
  <c r="J3952" i="3" s="1"/>
  <c r="I3953" i="3"/>
  <c r="J3953" i="3" s="1"/>
  <c r="I3954" i="3"/>
  <c r="J3954" i="3" s="1"/>
  <c r="I3955" i="3"/>
  <c r="J3955" i="3" s="1"/>
  <c r="I3956" i="3"/>
  <c r="J3956" i="3" s="1"/>
  <c r="I3957" i="3"/>
  <c r="J3957" i="3" s="1"/>
  <c r="I3958" i="3"/>
  <c r="J3958" i="3" s="1"/>
  <c r="I3959" i="3"/>
  <c r="J3959" i="3" s="1"/>
  <c r="I3960" i="3"/>
  <c r="J3960" i="3" s="1"/>
  <c r="I3961" i="3"/>
  <c r="J3961" i="3" s="1"/>
  <c r="I3962" i="3"/>
  <c r="J3962" i="3" s="1"/>
  <c r="I3963" i="3"/>
  <c r="J3963" i="3" s="1"/>
  <c r="I3964" i="3"/>
  <c r="J3964" i="3" s="1"/>
  <c r="I3965" i="3"/>
  <c r="J3965" i="3" s="1"/>
  <c r="I3966" i="3"/>
  <c r="J3966" i="3" s="1"/>
  <c r="I3967" i="3"/>
  <c r="J3967" i="3" s="1"/>
  <c r="I3968" i="3"/>
  <c r="J3968" i="3" s="1"/>
  <c r="I3969" i="3"/>
  <c r="J3969" i="3" s="1"/>
  <c r="I3970" i="3"/>
  <c r="J3970" i="3" s="1"/>
  <c r="I3971" i="3"/>
  <c r="J3971" i="3" s="1"/>
  <c r="I3972" i="3"/>
  <c r="J3972" i="3" s="1"/>
  <c r="I3973" i="3"/>
  <c r="J3973" i="3" s="1"/>
  <c r="I3974" i="3"/>
  <c r="J3974" i="3" s="1"/>
  <c r="I3975" i="3"/>
  <c r="J3975" i="3" s="1"/>
  <c r="I3976" i="3"/>
  <c r="J3976" i="3" s="1"/>
  <c r="I3977" i="3"/>
  <c r="J3977" i="3" s="1"/>
  <c r="I3978" i="3"/>
  <c r="J3978" i="3" s="1"/>
  <c r="I3979" i="3"/>
  <c r="J3979" i="3" s="1"/>
  <c r="I3980" i="3"/>
  <c r="J3980" i="3" s="1"/>
  <c r="I3981" i="3"/>
  <c r="J3981" i="3" s="1"/>
  <c r="I3982" i="3"/>
  <c r="J3982" i="3" s="1"/>
  <c r="I3983" i="3"/>
  <c r="J3983" i="3" s="1"/>
  <c r="I3984" i="3"/>
  <c r="J3984" i="3" s="1"/>
  <c r="I3985" i="3"/>
  <c r="J3985" i="3" s="1"/>
  <c r="I3986" i="3"/>
  <c r="J3986" i="3" s="1"/>
  <c r="I3987" i="3"/>
  <c r="J3987" i="3" s="1"/>
  <c r="I3988" i="3"/>
  <c r="J3988" i="3" s="1"/>
  <c r="I3989" i="3"/>
  <c r="J3989" i="3" s="1"/>
  <c r="I3990" i="3"/>
  <c r="J3990" i="3" s="1"/>
  <c r="I3991" i="3"/>
  <c r="J3991" i="3" s="1"/>
  <c r="I3891" i="3"/>
  <c r="J3891" i="3" s="1"/>
  <c r="I3892" i="3"/>
  <c r="J3892" i="3" s="1"/>
  <c r="I3893" i="3"/>
  <c r="J3893" i="3" s="1"/>
  <c r="I3894" i="3"/>
  <c r="J3894" i="3" s="1"/>
  <c r="I3895" i="3"/>
  <c r="J3895" i="3" s="1"/>
  <c r="I3896" i="3"/>
  <c r="J3896" i="3" s="1"/>
  <c r="I3897" i="3"/>
  <c r="J3897" i="3" s="1"/>
  <c r="I3898" i="3"/>
  <c r="J3898" i="3" s="1"/>
  <c r="I3899" i="3"/>
  <c r="J3899" i="3" s="1"/>
  <c r="I3900" i="3"/>
  <c r="J3900" i="3" s="1"/>
  <c r="I3901" i="3"/>
  <c r="J3901" i="3" s="1"/>
  <c r="I3902" i="3"/>
  <c r="J3902" i="3" s="1"/>
  <c r="I3903" i="3"/>
  <c r="J3903" i="3" s="1"/>
  <c r="I3904" i="3"/>
  <c r="J3904" i="3" s="1"/>
  <c r="I3905" i="3"/>
  <c r="J3905" i="3" s="1"/>
  <c r="I3906" i="3"/>
  <c r="J3906" i="3" s="1"/>
  <c r="I3907" i="3"/>
  <c r="J3907" i="3" s="1"/>
  <c r="I3908" i="3"/>
  <c r="J3908" i="3" s="1"/>
  <c r="I3909" i="3"/>
  <c r="J3909" i="3" s="1"/>
  <c r="I3910" i="3"/>
  <c r="J3910" i="3" s="1"/>
  <c r="I3911" i="3"/>
  <c r="J3911" i="3" s="1"/>
  <c r="I3912" i="3"/>
  <c r="J3912" i="3" s="1"/>
  <c r="I3913" i="3"/>
  <c r="J3913" i="3" s="1"/>
  <c r="I3914" i="3"/>
  <c r="J3914" i="3" s="1"/>
  <c r="I3915" i="3"/>
  <c r="J3915" i="3" s="1"/>
  <c r="I3916" i="3"/>
  <c r="J3916" i="3" s="1"/>
  <c r="I3917" i="3"/>
  <c r="J3917" i="3" s="1"/>
  <c r="I3918" i="3"/>
  <c r="J3918" i="3" s="1"/>
  <c r="I3919" i="3"/>
  <c r="J3919" i="3" s="1"/>
  <c r="I3920" i="3"/>
  <c r="J3920" i="3" s="1"/>
  <c r="I3921" i="3"/>
  <c r="J3921" i="3" s="1"/>
  <c r="I3922" i="3"/>
  <c r="J3922" i="3" s="1"/>
  <c r="I3923" i="3"/>
  <c r="J3923" i="3" s="1"/>
  <c r="I3924" i="3"/>
  <c r="J3924" i="3" s="1"/>
  <c r="I3925" i="3"/>
  <c r="J3925" i="3" s="1"/>
  <c r="I3926" i="3"/>
  <c r="J3926" i="3" s="1"/>
  <c r="I3927" i="3"/>
  <c r="J3927" i="3" s="1"/>
  <c r="I3928" i="3"/>
  <c r="J3928" i="3" s="1"/>
  <c r="I3929" i="3"/>
  <c r="J3929" i="3" s="1"/>
  <c r="I3930" i="3"/>
  <c r="J3930" i="3" s="1"/>
  <c r="I3931" i="3"/>
  <c r="J3931" i="3" s="1"/>
  <c r="I3932" i="3"/>
  <c r="J3932" i="3" s="1"/>
  <c r="I3933" i="3"/>
  <c r="J3933" i="3" s="1"/>
  <c r="I3934" i="3"/>
  <c r="J3934" i="3" s="1"/>
  <c r="I3935" i="3"/>
  <c r="J3935" i="3" s="1"/>
  <c r="I3936" i="3"/>
  <c r="J3936" i="3" s="1"/>
  <c r="I3875" i="3"/>
  <c r="J3875" i="3" s="1"/>
  <c r="I3876" i="3"/>
  <c r="J3876" i="3" s="1"/>
  <c r="I3877" i="3"/>
  <c r="J3877" i="3" s="1"/>
  <c r="I3878" i="3"/>
  <c r="J3878" i="3" s="1"/>
  <c r="I3879" i="3"/>
  <c r="J3879" i="3" s="1"/>
  <c r="I3811" i="3"/>
  <c r="J3811" i="3" s="1"/>
  <c r="I3812" i="3"/>
  <c r="J3812" i="3" s="1"/>
  <c r="I3813" i="3"/>
  <c r="J3813" i="3" s="1"/>
  <c r="I3814" i="3"/>
  <c r="J3814" i="3" s="1"/>
  <c r="I3815" i="3"/>
  <c r="J3815" i="3" s="1"/>
  <c r="I3816" i="3"/>
  <c r="J3816" i="3" s="1"/>
  <c r="I3817" i="3"/>
  <c r="J3817" i="3" s="1"/>
  <c r="I3818" i="3"/>
  <c r="J3818" i="3" s="1"/>
  <c r="I3819" i="3"/>
  <c r="J3819" i="3" s="1"/>
  <c r="I3820" i="3"/>
  <c r="J3820" i="3" s="1"/>
  <c r="I3821" i="3"/>
  <c r="J3821" i="3" s="1"/>
  <c r="I3822" i="3"/>
  <c r="J3822" i="3" s="1"/>
  <c r="I3823" i="3"/>
  <c r="J3823" i="3" s="1"/>
  <c r="I3824" i="3"/>
  <c r="J3824" i="3" s="1"/>
  <c r="I3825" i="3"/>
  <c r="J3825" i="3" s="1"/>
  <c r="I3826" i="3"/>
  <c r="J3826" i="3" s="1"/>
  <c r="I3827" i="3"/>
  <c r="J3827" i="3" s="1"/>
  <c r="I3828" i="3"/>
  <c r="J3828" i="3" s="1"/>
  <c r="I3829" i="3"/>
  <c r="J3829" i="3" s="1"/>
  <c r="I3830" i="3"/>
  <c r="J3830" i="3" s="1"/>
  <c r="I3831" i="3"/>
  <c r="J3831" i="3" s="1"/>
  <c r="I3832" i="3"/>
  <c r="J3832" i="3" s="1"/>
  <c r="I3833" i="3"/>
  <c r="J3833" i="3" s="1"/>
  <c r="I3834" i="3"/>
  <c r="J3834" i="3" s="1"/>
  <c r="I3835" i="3"/>
  <c r="J3835" i="3" s="1"/>
  <c r="I3836" i="3"/>
  <c r="J3836" i="3" s="1"/>
  <c r="I3837" i="3"/>
  <c r="J3837" i="3" s="1"/>
  <c r="I3838" i="3"/>
  <c r="J3838" i="3" s="1"/>
  <c r="I3839" i="3"/>
  <c r="J3839" i="3" s="1"/>
  <c r="I3840" i="3"/>
  <c r="J3840" i="3" s="1"/>
  <c r="I3841" i="3"/>
  <c r="J3841" i="3" s="1"/>
  <c r="I3842" i="3"/>
  <c r="J3842" i="3" s="1"/>
  <c r="I3843" i="3"/>
  <c r="J3843" i="3" s="1"/>
  <c r="I3844" i="3"/>
  <c r="J3844" i="3" s="1"/>
  <c r="I3845" i="3"/>
  <c r="J3845" i="3" s="1"/>
  <c r="I3846" i="3"/>
  <c r="J3846" i="3" s="1"/>
  <c r="I3847" i="3"/>
  <c r="J3847" i="3" s="1"/>
  <c r="I3848" i="3"/>
  <c r="J3848" i="3" s="1"/>
  <c r="I3849" i="3"/>
  <c r="J3849" i="3" s="1"/>
  <c r="I3850" i="3"/>
  <c r="J3850" i="3" s="1"/>
  <c r="I3851" i="3"/>
  <c r="J3851" i="3" s="1"/>
  <c r="I3852" i="3"/>
  <c r="J3852" i="3" s="1"/>
  <c r="I3853" i="3"/>
  <c r="J3853" i="3" s="1"/>
  <c r="I3854" i="3"/>
  <c r="J3854" i="3" s="1"/>
  <c r="I3855" i="3"/>
  <c r="J3855" i="3" s="1"/>
  <c r="I3856" i="3"/>
  <c r="J3856" i="3" s="1"/>
  <c r="I3857" i="3"/>
  <c r="J3857" i="3" s="1"/>
  <c r="I3858" i="3"/>
  <c r="J3858" i="3" s="1"/>
  <c r="I3859" i="3"/>
  <c r="J3859" i="3" s="1"/>
  <c r="I3860" i="3"/>
  <c r="J3860" i="3" s="1"/>
  <c r="I3861" i="3"/>
  <c r="J3861" i="3" s="1"/>
  <c r="I3862" i="3"/>
  <c r="J3862" i="3" s="1"/>
  <c r="I3863" i="3"/>
  <c r="J3863" i="3" s="1"/>
  <c r="I3864" i="3"/>
  <c r="J3864" i="3" s="1"/>
  <c r="I3865" i="3"/>
  <c r="J3865" i="3" s="1"/>
  <c r="I3866" i="3"/>
  <c r="J3866" i="3" s="1"/>
  <c r="I3867" i="3"/>
  <c r="J3867" i="3" s="1"/>
  <c r="I3868" i="3"/>
  <c r="J3868" i="3" s="1"/>
  <c r="I3869" i="3"/>
  <c r="J3869" i="3" s="1"/>
  <c r="I3870" i="3"/>
  <c r="J3870" i="3" s="1"/>
  <c r="I3789" i="3"/>
  <c r="J3789" i="3" s="1"/>
  <c r="I3790" i="3"/>
  <c r="J3790" i="3" s="1"/>
  <c r="I3791" i="3"/>
  <c r="J3791" i="3" s="1"/>
  <c r="I3792" i="3"/>
  <c r="J3792" i="3" s="1"/>
  <c r="I3793" i="3"/>
  <c r="J3793" i="3" s="1"/>
  <c r="I3794" i="3"/>
  <c r="J3794" i="3" s="1"/>
  <c r="I3795" i="3"/>
  <c r="J3795" i="3" s="1"/>
  <c r="I3796" i="3"/>
  <c r="J3796" i="3" s="1"/>
  <c r="I3797" i="3"/>
  <c r="J3797" i="3" s="1"/>
  <c r="I3798" i="3"/>
  <c r="J3798" i="3" s="1"/>
  <c r="I3799" i="3"/>
  <c r="J3799" i="3" s="1"/>
  <c r="I3800" i="3"/>
  <c r="J3800" i="3" s="1"/>
  <c r="I3674" i="3"/>
  <c r="J3674" i="3" s="1"/>
  <c r="I3675" i="3"/>
  <c r="J3675" i="3" s="1"/>
  <c r="I3676" i="3"/>
  <c r="J3676" i="3" s="1"/>
  <c r="I3677" i="3"/>
  <c r="J3677" i="3" s="1"/>
  <c r="I3678" i="3"/>
  <c r="J3678" i="3" s="1"/>
  <c r="I3679" i="3"/>
  <c r="J3679" i="3" s="1"/>
  <c r="I3680" i="3"/>
  <c r="J3680" i="3" s="1"/>
  <c r="I3681" i="3"/>
  <c r="J3681" i="3" s="1"/>
  <c r="I3682" i="3"/>
  <c r="J3682" i="3" s="1"/>
  <c r="I3683" i="3"/>
  <c r="J3683" i="3" s="1"/>
  <c r="I3684" i="3"/>
  <c r="J3684" i="3" s="1"/>
  <c r="I3685" i="3"/>
  <c r="J3685" i="3" s="1"/>
  <c r="I3686" i="3"/>
  <c r="J3686" i="3" s="1"/>
  <c r="I3687" i="3"/>
  <c r="J3687" i="3" s="1"/>
  <c r="I3688" i="3"/>
  <c r="J3688" i="3" s="1"/>
  <c r="I3689" i="3"/>
  <c r="J3689" i="3" s="1"/>
  <c r="I3690" i="3"/>
  <c r="J3690" i="3" s="1"/>
  <c r="I3691" i="3"/>
  <c r="J3691" i="3" s="1"/>
  <c r="I3692" i="3"/>
  <c r="J3692" i="3" s="1"/>
  <c r="I3693" i="3"/>
  <c r="J3693" i="3" s="1"/>
  <c r="I3694" i="3"/>
  <c r="J3694" i="3" s="1"/>
  <c r="I3695" i="3"/>
  <c r="J3695" i="3" s="1"/>
  <c r="I3696" i="3"/>
  <c r="J3696" i="3" s="1"/>
  <c r="I3697" i="3"/>
  <c r="J3697" i="3" s="1"/>
  <c r="I3698" i="3"/>
  <c r="J3698" i="3" s="1"/>
  <c r="I3699" i="3"/>
  <c r="J3699" i="3" s="1"/>
  <c r="I3700" i="3"/>
  <c r="J3700" i="3" s="1"/>
  <c r="I3701" i="3"/>
  <c r="J3701" i="3" s="1"/>
  <c r="I3702" i="3"/>
  <c r="J3702" i="3" s="1"/>
  <c r="I3703" i="3"/>
  <c r="J3703" i="3" s="1"/>
  <c r="I3704" i="3"/>
  <c r="J3704" i="3" s="1"/>
  <c r="I3705" i="3"/>
  <c r="J3705" i="3" s="1"/>
  <c r="I3706" i="3"/>
  <c r="J3706" i="3" s="1"/>
  <c r="I3707" i="3"/>
  <c r="J3707" i="3" s="1"/>
  <c r="I3708" i="3"/>
  <c r="J3708" i="3" s="1"/>
  <c r="I3709" i="3"/>
  <c r="J3709" i="3" s="1"/>
  <c r="I3710" i="3"/>
  <c r="J3710" i="3" s="1"/>
  <c r="I3711" i="3"/>
  <c r="J3711" i="3" s="1"/>
  <c r="I3712" i="3"/>
  <c r="J3712" i="3" s="1"/>
  <c r="I3713" i="3"/>
  <c r="J3713" i="3" s="1"/>
  <c r="I3714" i="3"/>
  <c r="J3714" i="3" s="1"/>
  <c r="I3715" i="3"/>
  <c r="J3715" i="3" s="1"/>
  <c r="I3716" i="3"/>
  <c r="J3716" i="3" s="1"/>
  <c r="I3717" i="3"/>
  <c r="J3717" i="3" s="1"/>
  <c r="I3718" i="3"/>
  <c r="J3718" i="3" s="1"/>
  <c r="I3719" i="3"/>
  <c r="J3719" i="3" s="1"/>
  <c r="I3720" i="3"/>
  <c r="J3720" i="3" s="1"/>
  <c r="I3721" i="3"/>
  <c r="J3721" i="3" s="1"/>
  <c r="I3722" i="3"/>
  <c r="J3722" i="3" s="1"/>
  <c r="I3723" i="3"/>
  <c r="J3723" i="3" s="1"/>
  <c r="I3724" i="3"/>
  <c r="J3724" i="3" s="1"/>
  <c r="I3725" i="3"/>
  <c r="J3725" i="3" s="1"/>
  <c r="I3726" i="3"/>
  <c r="J3726" i="3" s="1"/>
  <c r="I3727" i="3"/>
  <c r="J3727" i="3" s="1"/>
  <c r="I3728" i="3"/>
  <c r="J3728" i="3" s="1"/>
  <c r="I3729" i="3"/>
  <c r="J3729" i="3" s="1"/>
  <c r="I3730" i="3"/>
  <c r="J3730" i="3" s="1"/>
  <c r="I3731" i="3"/>
  <c r="J3731" i="3" s="1"/>
  <c r="I3732" i="3"/>
  <c r="J3732" i="3" s="1"/>
  <c r="I3733" i="3"/>
  <c r="J3733" i="3" s="1"/>
  <c r="I3734" i="3"/>
  <c r="J3734" i="3" s="1"/>
  <c r="I3735" i="3"/>
  <c r="J3735" i="3" s="1"/>
  <c r="I3736" i="3"/>
  <c r="J3736" i="3" s="1"/>
  <c r="I3737" i="3"/>
  <c r="J3737" i="3" s="1"/>
  <c r="I3738" i="3"/>
  <c r="J3738" i="3" s="1"/>
  <c r="I3739" i="3"/>
  <c r="J3739" i="3" s="1"/>
  <c r="I3740" i="3"/>
  <c r="J3740" i="3" s="1"/>
  <c r="I3741" i="3"/>
  <c r="J3741" i="3" s="1"/>
  <c r="I3742" i="3"/>
  <c r="J3742" i="3" s="1"/>
  <c r="I3743" i="3"/>
  <c r="J3743" i="3" s="1"/>
  <c r="I3744" i="3"/>
  <c r="J3744" i="3" s="1"/>
  <c r="I3745" i="3"/>
  <c r="J3745" i="3" s="1"/>
  <c r="I3746" i="3"/>
  <c r="J3746" i="3" s="1"/>
  <c r="I3747" i="3"/>
  <c r="J3747" i="3" s="1"/>
  <c r="I3748" i="3"/>
  <c r="J3748" i="3" s="1"/>
  <c r="I3749" i="3"/>
  <c r="J3749" i="3" s="1"/>
  <c r="I3750" i="3"/>
  <c r="J3750" i="3" s="1"/>
  <c r="I3751" i="3"/>
  <c r="J3751" i="3" s="1"/>
  <c r="I3752" i="3"/>
  <c r="J3752" i="3" s="1"/>
  <c r="I3753" i="3"/>
  <c r="J3753" i="3" s="1"/>
  <c r="I3754" i="3"/>
  <c r="J3754" i="3" s="1"/>
  <c r="I3755" i="3"/>
  <c r="J3755" i="3" s="1"/>
  <c r="I3756" i="3"/>
  <c r="J3756" i="3" s="1"/>
  <c r="I3757" i="3"/>
  <c r="J3757" i="3" s="1"/>
  <c r="I3758" i="3"/>
  <c r="J3758" i="3" s="1"/>
  <c r="I3759" i="3"/>
  <c r="J3759" i="3" s="1"/>
  <c r="I3760" i="3"/>
  <c r="J3760" i="3" s="1"/>
  <c r="I3761" i="3"/>
  <c r="J3761" i="3" s="1"/>
  <c r="I3762" i="3"/>
  <c r="J3762" i="3" s="1"/>
  <c r="I3763" i="3"/>
  <c r="J3763" i="3" s="1"/>
  <c r="I3764" i="3"/>
  <c r="J3764" i="3" s="1"/>
  <c r="I3765" i="3"/>
  <c r="J3765" i="3" s="1"/>
  <c r="I3766" i="3"/>
  <c r="J3766" i="3" s="1"/>
  <c r="I3767" i="3"/>
  <c r="J3767" i="3" s="1"/>
  <c r="I3768" i="3"/>
  <c r="J3768" i="3" s="1"/>
  <c r="I3769" i="3"/>
  <c r="J3769" i="3" s="1"/>
  <c r="I3770" i="3"/>
  <c r="J3770" i="3" s="1"/>
  <c r="I3771" i="3"/>
  <c r="J3771" i="3" s="1"/>
  <c r="I3772" i="3"/>
  <c r="J3772" i="3" s="1"/>
  <c r="I3773" i="3"/>
  <c r="J3773" i="3" s="1"/>
  <c r="I3774" i="3"/>
  <c r="J3774" i="3" s="1"/>
  <c r="I3775" i="3"/>
  <c r="J3775" i="3" s="1"/>
  <c r="I3776" i="3"/>
  <c r="J3776" i="3" s="1"/>
  <c r="I3777" i="3"/>
  <c r="J3777" i="3" s="1"/>
  <c r="I3778" i="3"/>
  <c r="J3778" i="3" s="1"/>
  <c r="I3779" i="3"/>
  <c r="J3779" i="3" s="1"/>
  <c r="I3780" i="3"/>
  <c r="J3780" i="3" s="1"/>
  <c r="I3781" i="3"/>
  <c r="J3781" i="3" s="1"/>
  <c r="I3782" i="3"/>
  <c r="J3782" i="3" s="1"/>
  <c r="I3783" i="3"/>
  <c r="J3783" i="3" s="1"/>
  <c r="I3784" i="3"/>
  <c r="J3784" i="3" s="1"/>
  <c r="I3785" i="3"/>
  <c r="J3785" i="3" s="1"/>
  <c r="I3786" i="3"/>
  <c r="J3786" i="3" s="1"/>
  <c r="I3577" i="3"/>
  <c r="J3577" i="3" s="1"/>
  <c r="I3578" i="3"/>
  <c r="J3578" i="3" s="1"/>
  <c r="I3579" i="3"/>
  <c r="J3579" i="3" s="1"/>
  <c r="I3580" i="3"/>
  <c r="J3580" i="3" s="1"/>
  <c r="I3581" i="3"/>
  <c r="J3581" i="3" s="1"/>
  <c r="I3582" i="3"/>
  <c r="J3582" i="3" s="1"/>
  <c r="I3583" i="3"/>
  <c r="J3583" i="3" s="1"/>
  <c r="I3584" i="3"/>
  <c r="J3584" i="3" s="1"/>
  <c r="I3585" i="3"/>
  <c r="J3585" i="3" s="1"/>
  <c r="I3586" i="3"/>
  <c r="J3586" i="3" s="1"/>
  <c r="I3587" i="3"/>
  <c r="J3587" i="3" s="1"/>
  <c r="I3588" i="3"/>
  <c r="J3588" i="3" s="1"/>
  <c r="I3589" i="3"/>
  <c r="J3589" i="3" s="1"/>
  <c r="I3590" i="3"/>
  <c r="J3590" i="3" s="1"/>
  <c r="I3591" i="3"/>
  <c r="J3591" i="3" s="1"/>
  <c r="I3592" i="3"/>
  <c r="J3592" i="3" s="1"/>
  <c r="I3593" i="3"/>
  <c r="J3593" i="3" s="1"/>
  <c r="I3594" i="3"/>
  <c r="J3594" i="3" s="1"/>
  <c r="I3595" i="3"/>
  <c r="J3595" i="3" s="1"/>
  <c r="I3596" i="3"/>
  <c r="J3596" i="3" s="1"/>
  <c r="I3597" i="3"/>
  <c r="J3597" i="3" s="1"/>
  <c r="I3598" i="3"/>
  <c r="J3598" i="3" s="1"/>
  <c r="I3599" i="3"/>
  <c r="J3599" i="3" s="1"/>
  <c r="I3600" i="3"/>
  <c r="J3600" i="3" s="1"/>
  <c r="I3601" i="3"/>
  <c r="J3601" i="3" s="1"/>
  <c r="I3602" i="3"/>
  <c r="J3602" i="3" s="1"/>
  <c r="I3603" i="3"/>
  <c r="J3603" i="3" s="1"/>
  <c r="I3604" i="3"/>
  <c r="J3604" i="3" s="1"/>
  <c r="I3605" i="3"/>
  <c r="J3605" i="3" s="1"/>
  <c r="I3606" i="3"/>
  <c r="J3606" i="3" s="1"/>
  <c r="I3607" i="3"/>
  <c r="J3607" i="3" s="1"/>
  <c r="I3608" i="3"/>
  <c r="J3608" i="3" s="1"/>
  <c r="I3609" i="3"/>
  <c r="J3609" i="3" s="1"/>
  <c r="I3610" i="3"/>
  <c r="J3610" i="3" s="1"/>
  <c r="I3611" i="3"/>
  <c r="J3611" i="3" s="1"/>
  <c r="I3612" i="3"/>
  <c r="J3612" i="3" s="1"/>
  <c r="I3613" i="3"/>
  <c r="J3613" i="3" s="1"/>
  <c r="I3614" i="3"/>
  <c r="J3614" i="3" s="1"/>
  <c r="I3615" i="3"/>
  <c r="J3615" i="3" s="1"/>
  <c r="I3616" i="3"/>
  <c r="J3616" i="3" s="1"/>
  <c r="I3617" i="3"/>
  <c r="J3617" i="3" s="1"/>
  <c r="I3618" i="3"/>
  <c r="J3618" i="3" s="1"/>
  <c r="I3619" i="3"/>
  <c r="J3619" i="3" s="1"/>
  <c r="I3620" i="3"/>
  <c r="J3620" i="3" s="1"/>
  <c r="I3621" i="3"/>
  <c r="J3621" i="3" s="1"/>
  <c r="I3622" i="3"/>
  <c r="J3622" i="3" s="1"/>
  <c r="I3623" i="3"/>
  <c r="J3623" i="3" s="1"/>
  <c r="I3624" i="3"/>
  <c r="J3624" i="3" s="1"/>
  <c r="I3625" i="3"/>
  <c r="J3625" i="3" s="1"/>
  <c r="I3626" i="3"/>
  <c r="J3626" i="3" s="1"/>
  <c r="I3627" i="3"/>
  <c r="J3627" i="3" s="1"/>
  <c r="I3628" i="3"/>
  <c r="J3628" i="3" s="1"/>
  <c r="I3629" i="3"/>
  <c r="J3629" i="3" s="1"/>
  <c r="I3630" i="3"/>
  <c r="J3630" i="3" s="1"/>
  <c r="I3631" i="3"/>
  <c r="J3631" i="3" s="1"/>
  <c r="I3632" i="3"/>
  <c r="J3632" i="3" s="1"/>
  <c r="I3633" i="3"/>
  <c r="J3633" i="3" s="1"/>
  <c r="I3634" i="3"/>
  <c r="J3634" i="3" s="1"/>
  <c r="I3635" i="3"/>
  <c r="J3635" i="3" s="1"/>
  <c r="I3636" i="3"/>
  <c r="J3636" i="3" s="1"/>
  <c r="I3637" i="3"/>
  <c r="J3637" i="3" s="1"/>
  <c r="I3638" i="3"/>
  <c r="J3638" i="3" s="1"/>
  <c r="I3639" i="3"/>
  <c r="J3639" i="3" s="1"/>
  <c r="I3640" i="3"/>
  <c r="J3640" i="3" s="1"/>
  <c r="I3641" i="3"/>
  <c r="J3641" i="3" s="1"/>
  <c r="I3642" i="3"/>
  <c r="J3642" i="3" s="1"/>
  <c r="I3643" i="3"/>
  <c r="J3643" i="3" s="1"/>
  <c r="I3644" i="3"/>
  <c r="J3644" i="3" s="1"/>
  <c r="I3645" i="3"/>
  <c r="J3645" i="3" s="1"/>
  <c r="I3646" i="3"/>
  <c r="J3646" i="3" s="1"/>
  <c r="I3647" i="3"/>
  <c r="J3647" i="3" s="1"/>
  <c r="I3648" i="3"/>
  <c r="J3648" i="3" s="1"/>
  <c r="I3649" i="3"/>
  <c r="J3649" i="3" s="1"/>
  <c r="I3650" i="3"/>
  <c r="J3650" i="3" s="1"/>
  <c r="I3651" i="3"/>
  <c r="J3651" i="3" s="1"/>
  <c r="I3652" i="3"/>
  <c r="J3652" i="3" s="1"/>
  <c r="I3653" i="3"/>
  <c r="J3653" i="3" s="1"/>
  <c r="I3654" i="3"/>
  <c r="J3654" i="3" s="1"/>
  <c r="I3450" i="3"/>
  <c r="J3450" i="3" s="1"/>
  <c r="I3451" i="3"/>
  <c r="J3451" i="3" s="1"/>
  <c r="I3452" i="3"/>
  <c r="J3452" i="3" s="1"/>
  <c r="I3453" i="3"/>
  <c r="J3453" i="3" s="1"/>
  <c r="I3454" i="3"/>
  <c r="J3454" i="3" s="1"/>
  <c r="I3455" i="3"/>
  <c r="J3455" i="3" s="1"/>
  <c r="I3456" i="3"/>
  <c r="J3456" i="3" s="1"/>
  <c r="I3457" i="3"/>
  <c r="J3457" i="3" s="1"/>
  <c r="I3458" i="3"/>
  <c r="J3458" i="3" s="1"/>
  <c r="I3459" i="3"/>
  <c r="J3459" i="3" s="1"/>
  <c r="I3460" i="3"/>
  <c r="J3460" i="3" s="1"/>
  <c r="I3461" i="3"/>
  <c r="J3461" i="3" s="1"/>
  <c r="I3462" i="3"/>
  <c r="J3462" i="3" s="1"/>
  <c r="I3463" i="3"/>
  <c r="J3463" i="3" s="1"/>
  <c r="I3464" i="3"/>
  <c r="J3464" i="3" s="1"/>
  <c r="I3465" i="3"/>
  <c r="J3465" i="3" s="1"/>
  <c r="I3466" i="3"/>
  <c r="J3466" i="3" s="1"/>
  <c r="I3467" i="3"/>
  <c r="J3467" i="3" s="1"/>
  <c r="I3468" i="3"/>
  <c r="J3468" i="3" s="1"/>
  <c r="I3469" i="3"/>
  <c r="J3469" i="3" s="1"/>
  <c r="I3470" i="3"/>
  <c r="J3470" i="3" s="1"/>
  <c r="I3471" i="3"/>
  <c r="J3471" i="3" s="1"/>
  <c r="I3472" i="3"/>
  <c r="J3472" i="3" s="1"/>
  <c r="I3473" i="3"/>
  <c r="J3473" i="3" s="1"/>
  <c r="I3474" i="3"/>
  <c r="J3474" i="3" s="1"/>
  <c r="I3475" i="3"/>
  <c r="J3475" i="3" s="1"/>
  <c r="I3476" i="3"/>
  <c r="J3476" i="3" s="1"/>
  <c r="I3477" i="3"/>
  <c r="J3477" i="3" s="1"/>
  <c r="I3478" i="3"/>
  <c r="J3478" i="3" s="1"/>
  <c r="I3479" i="3"/>
  <c r="J3479" i="3" s="1"/>
  <c r="I3480" i="3"/>
  <c r="J3480" i="3" s="1"/>
  <c r="I3481" i="3"/>
  <c r="J3481" i="3" s="1"/>
  <c r="I3482" i="3"/>
  <c r="J3482" i="3" s="1"/>
  <c r="I3483" i="3"/>
  <c r="J3483" i="3" s="1"/>
  <c r="I3484" i="3"/>
  <c r="J3484" i="3" s="1"/>
  <c r="I3485" i="3"/>
  <c r="J3485" i="3" s="1"/>
  <c r="I3486" i="3"/>
  <c r="J3486" i="3" s="1"/>
  <c r="I3487" i="3"/>
  <c r="J3487" i="3" s="1"/>
  <c r="I3488" i="3"/>
  <c r="J3488" i="3" s="1"/>
  <c r="I3489" i="3"/>
  <c r="J3489" i="3" s="1"/>
  <c r="I3490" i="3"/>
  <c r="J3490" i="3" s="1"/>
  <c r="I3491" i="3"/>
  <c r="J3491" i="3" s="1"/>
  <c r="I3492" i="3"/>
  <c r="J3492" i="3" s="1"/>
  <c r="I3493" i="3"/>
  <c r="J3493" i="3" s="1"/>
  <c r="I3494" i="3"/>
  <c r="J3494" i="3" s="1"/>
  <c r="I3495" i="3"/>
  <c r="J3495" i="3" s="1"/>
  <c r="I3496" i="3"/>
  <c r="J3496" i="3" s="1"/>
  <c r="I3497" i="3"/>
  <c r="J3497" i="3" s="1"/>
  <c r="I3498" i="3"/>
  <c r="J3498" i="3" s="1"/>
  <c r="I3499" i="3"/>
  <c r="J3499" i="3" s="1"/>
  <c r="I3500" i="3"/>
  <c r="J3500" i="3" s="1"/>
  <c r="I3501" i="3"/>
  <c r="J3501" i="3" s="1"/>
  <c r="I3502" i="3"/>
  <c r="J3502" i="3" s="1"/>
  <c r="I3503" i="3"/>
  <c r="J3503" i="3" s="1"/>
  <c r="I3504" i="3"/>
  <c r="J3504" i="3" s="1"/>
  <c r="I3505" i="3"/>
  <c r="J3505" i="3" s="1"/>
  <c r="I3506" i="3"/>
  <c r="J3506" i="3" s="1"/>
  <c r="I3507" i="3"/>
  <c r="J3507" i="3" s="1"/>
  <c r="I3508" i="3"/>
  <c r="J3508" i="3" s="1"/>
  <c r="I3509" i="3"/>
  <c r="J3509" i="3" s="1"/>
  <c r="I3510" i="3"/>
  <c r="J3510" i="3" s="1"/>
  <c r="I3511" i="3"/>
  <c r="J3511" i="3" s="1"/>
  <c r="I3512" i="3"/>
  <c r="J3512" i="3" s="1"/>
  <c r="I3513" i="3"/>
  <c r="J3513" i="3" s="1"/>
  <c r="I3514" i="3"/>
  <c r="J3514" i="3" s="1"/>
  <c r="I3515" i="3"/>
  <c r="J3515" i="3" s="1"/>
  <c r="I3516" i="3"/>
  <c r="J3516" i="3" s="1"/>
  <c r="I3517" i="3"/>
  <c r="J3517" i="3" s="1"/>
  <c r="I3518" i="3"/>
  <c r="J3518" i="3" s="1"/>
  <c r="I3519" i="3"/>
  <c r="J3519" i="3" s="1"/>
  <c r="I3520" i="3"/>
  <c r="J3520" i="3" s="1"/>
  <c r="I3521" i="3"/>
  <c r="J3521" i="3" s="1"/>
  <c r="I3522" i="3"/>
  <c r="J3522" i="3" s="1"/>
  <c r="I3523" i="3"/>
  <c r="J3523" i="3" s="1"/>
  <c r="I3524" i="3"/>
  <c r="J3524" i="3" s="1"/>
  <c r="I3525" i="3"/>
  <c r="J3525" i="3" s="1"/>
  <c r="I3526" i="3"/>
  <c r="J3526" i="3" s="1"/>
  <c r="I3527" i="3"/>
  <c r="J3527" i="3" s="1"/>
  <c r="I3528" i="3"/>
  <c r="J3528" i="3" s="1"/>
  <c r="I3529" i="3"/>
  <c r="J3529" i="3" s="1"/>
  <c r="I3530" i="3"/>
  <c r="J3530" i="3" s="1"/>
  <c r="I3531" i="3"/>
  <c r="J3531" i="3" s="1"/>
  <c r="I3532" i="3"/>
  <c r="J3532" i="3" s="1"/>
  <c r="I3533" i="3"/>
  <c r="J3533" i="3" s="1"/>
  <c r="I3534" i="3"/>
  <c r="J3534" i="3" s="1"/>
  <c r="I3535" i="3"/>
  <c r="J3535" i="3" s="1"/>
  <c r="I3536" i="3"/>
  <c r="J3536" i="3" s="1"/>
  <c r="I3537" i="3"/>
  <c r="J3537" i="3" s="1"/>
  <c r="I3538" i="3"/>
  <c r="J3538" i="3" s="1"/>
  <c r="I3539" i="3"/>
  <c r="J3539" i="3" s="1"/>
  <c r="I3540" i="3"/>
  <c r="J3540" i="3" s="1"/>
  <c r="I3541" i="3"/>
  <c r="J3541" i="3" s="1"/>
  <c r="I3542" i="3"/>
  <c r="J3542" i="3" s="1"/>
  <c r="I3543" i="3"/>
  <c r="J3543" i="3" s="1"/>
  <c r="I3544" i="3"/>
  <c r="J3544" i="3" s="1"/>
  <c r="I3545" i="3"/>
  <c r="J3545" i="3" s="1"/>
  <c r="I3546" i="3"/>
  <c r="J3546" i="3" s="1"/>
  <c r="I3547" i="3"/>
  <c r="J3547" i="3" s="1"/>
  <c r="I3548" i="3"/>
  <c r="J3548" i="3" s="1"/>
  <c r="I3549" i="3"/>
  <c r="J3549" i="3" s="1"/>
  <c r="I3550" i="3"/>
  <c r="J3550" i="3" s="1"/>
  <c r="I3551" i="3"/>
  <c r="J3551" i="3" s="1"/>
  <c r="I3552" i="3"/>
  <c r="J3552" i="3" s="1"/>
  <c r="I3553" i="3"/>
  <c r="J3553" i="3" s="1"/>
  <c r="I3554" i="3"/>
  <c r="J3554" i="3" s="1"/>
  <c r="I3555" i="3"/>
  <c r="J3555" i="3" s="1"/>
  <c r="I3556" i="3"/>
  <c r="J3556" i="3" s="1"/>
  <c r="I3557" i="3"/>
  <c r="J3557" i="3" s="1"/>
  <c r="I3558" i="3"/>
  <c r="J3558" i="3" s="1"/>
  <c r="I3559" i="3"/>
  <c r="J3559" i="3" s="1"/>
  <c r="I3560" i="3"/>
  <c r="J3560" i="3" s="1"/>
  <c r="I3561" i="3"/>
  <c r="J3561" i="3" s="1"/>
  <c r="I3562" i="3"/>
  <c r="J3562" i="3" s="1"/>
  <c r="I3563" i="3"/>
  <c r="J3563" i="3" s="1"/>
  <c r="I3564" i="3"/>
  <c r="J3564" i="3" s="1"/>
  <c r="I3565" i="3"/>
  <c r="J3565" i="3" s="1"/>
  <c r="I3566" i="3"/>
  <c r="J3566" i="3" s="1"/>
  <c r="I3567" i="3"/>
  <c r="J3567" i="3" s="1"/>
  <c r="I3568" i="3"/>
  <c r="J3568" i="3" s="1"/>
  <c r="I3569" i="3"/>
  <c r="J3569" i="3" s="1"/>
  <c r="I3570" i="3"/>
  <c r="J3570" i="3" s="1"/>
  <c r="I3430" i="3"/>
  <c r="J3430" i="3" s="1"/>
  <c r="I3431" i="3"/>
  <c r="J3431" i="3" s="1"/>
  <c r="I3432" i="3"/>
  <c r="J3432" i="3" s="1"/>
  <c r="I3433" i="3"/>
  <c r="J3433" i="3" s="1"/>
  <c r="I3434" i="3"/>
  <c r="J3434" i="3" s="1"/>
  <c r="I3435" i="3"/>
  <c r="J3435" i="3" s="1"/>
  <c r="I3436" i="3"/>
  <c r="J3436" i="3" s="1"/>
  <c r="I3437" i="3"/>
  <c r="J3437" i="3" s="1"/>
  <c r="I3438" i="3"/>
  <c r="J3438" i="3" s="1"/>
  <c r="I3439" i="3"/>
  <c r="J3439" i="3" s="1"/>
  <c r="I3440" i="3"/>
  <c r="J3440" i="3" s="1"/>
  <c r="I3441" i="3"/>
  <c r="J3441" i="3" s="1"/>
  <c r="I3442" i="3"/>
  <c r="J3442" i="3" s="1"/>
  <c r="I3443" i="3"/>
  <c r="J3443" i="3" s="1"/>
  <c r="I3444" i="3"/>
  <c r="J3444" i="3" s="1"/>
  <c r="I3445" i="3"/>
  <c r="J3445" i="3" s="1"/>
  <c r="I3422" i="3"/>
  <c r="J3422" i="3" s="1"/>
  <c r="I3423" i="3"/>
  <c r="J3423" i="3" s="1"/>
  <c r="I3424" i="3"/>
  <c r="J3424" i="3" s="1"/>
  <c r="I3425" i="3"/>
  <c r="J3425" i="3" s="1"/>
  <c r="I3426" i="3"/>
  <c r="J3426" i="3" s="1"/>
  <c r="I3401" i="3"/>
  <c r="J3401" i="3" s="1"/>
  <c r="I3402" i="3"/>
  <c r="J3402" i="3" s="1"/>
  <c r="I3403" i="3"/>
  <c r="J3403" i="3" s="1"/>
  <c r="I3404" i="3"/>
  <c r="J3404" i="3" s="1"/>
  <c r="I3405" i="3"/>
  <c r="J3405" i="3" s="1"/>
  <c r="I3406" i="3"/>
  <c r="J3406" i="3" s="1"/>
  <c r="I3407" i="3"/>
  <c r="J3407" i="3" s="1"/>
  <c r="I3408" i="3"/>
  <c r="J3408" i="3" s="1"/>
  <c r="I3409" i="3"/>
  <c r="J3409" i="3" s="1"/>
  <c r="I3410" i="3"/>
  <c r="J3410" i="3" s="1"/>
  <c r="I3411" i="3"/>
  <c r="J3411" i="3" s="1"/>
  <c r="I3412" i="3"/>
  <c r="J3412" i="3" s="1"/>
  <c r="I3413" i="3"/>
  <c r="J3413" i="3" s="1"/>
  <c r="I3414" i="3"/>
  <c r="J3414" i="3" s="1"/>
  <c r="I3415" i="3"/>
  <c r="J3415" i="3" s="1"/>
  <c r="I3416" i="3"/>
  <c r="J3416" i="3" s="1"/>
  <c r="I3417" i="3"/>
  <c r="J3417" i="3" s="1"/>
  <c r="I3418" i="3"/>
  <c r="J3418" i="3" s="1"/>
  <c r="I3419" i="3"/>
  <c r="J3419" i="3" s="1"/>
  <c r="I3420" i="3"/>
  <c r="J3420" i="3" s="1"/>
  <c r="I3421" i="3"/>
  <c r="J3421" i="3" s="1"/>
  <c r="I3339" i="3"/>
  <c r="J3339" i="3" s="1"/>
  <c r="I3340" i="3"/>
  <c r="J3340" i="3" s="1"/>
  <c r="I3341" i="3"/>
  <c r="J3341" i="3" s="1"/>
  <c r="I3342" i="3"/>
  <c r="J3342" i="3" s="1"/>
  <c r="I3343" i="3"/>
  <c r="J3343" i="3" s="1"/>
  <c r="I3344" i="3"/>
  <c r="J3344" i="3" s="1"/>
  <c r="I3345" i="3"/>
  <c r="J3345" i="3" s="1"/>
  <c r="I3346" i="3"/>
  <c r="J3346" i="3" s="1"/>
  <c r="I3347" i="3"/>
  <c r="J3347" i="3" s="1"/>
  <c r="I3348" i="3"/>
  <c r="J3348" i="3" s="1"/>
  <c r="I3349" i="3"/>
  <c r="J3349" i="3" s="1"/>
  <c r="I3350" i="3"/>
  <c r="J3350" i="3" s="1"/>
  <c r="I3351" i="3"/>
  <c r="J3351" i="3" s="1"/>
  <c r="I3352" i="3"/>
  <c r="J3352" i="3" s="1"/>
  <c r="I3353" i="3"/>
  <c r="J3353" i="3" s="1"/>
  <c r="I3354" i="3"/>
  <c r="J3354" i="3" s="1"/>
  <c r="I3355" i="3"/>
  <c r="J3355" i="3" s="1"/>
  <c r="I3356" i="3"/>
  <c r="J3356" i="3" s="1"/>
  <c r="I3357" i="3"/>
  <c r="J3357" i="3" s="1"/>
  <c r="I3358" i="3"/>
  <c r="J3358" i="3" s="1"/>
  <c r="I3359" i="3"/>
  <c r="J3359" i="3" s="1"/>
  <c r="I3360" i="3"/>
  <c r="J3360" i="3" s="1"/>
  <c r="I3361" i="3"/>
  <c r="J3361" i="3" s="1"/>
  <c r="I3362" i="3"/>
  <c r="J3362" i="3" s="1"/>
  <c r="I3363" i="3"/>
  <c r="J3363" i="3" s="1"/>
  <c r="I3364" i="3"/>
  <c r="J3364" i="3" s="1"/>
  <c r="I3365" i="3"/>
  <c r="J3365" i="3" s="1"/>
  <c r="I3366" i="3"/>
  <c r="J3366" i="3" s="1"/>
  <c r="I3367" i="3"/>
  <c r="J3367" i="3" s="1"/>
  <c r="I3368" i="3"/>
  <c r="J3368" i="3" s="1"/>
  <c r="I3369" i="3"/>
  <c r="J3369" i="3" s="1"/>
  <c r="I3370" i="3"/>
  <c r="J3370" i="3" s="1"/>
  <c r="I3371" i="3"/>
  <c r="J3371" i="3" s="1"/>
  <c r="I3372" i="3"/>
  <c r="J3372" i="3" s="1"/>
  <c r="I3373" i="3"/>
  <c r="J3373" i="3" s="1"/>
  <c r="I3374" i="3"/>
  <c r="J3374" i="3" s="1"/>
  <c r="I3375" i="3"/>
  <c r="J3375" i="3" s="1"/>
  <c r="I3376" i="3"/>
  <c r="J3376" i="3" s="1"/>
  <c r="I3377" i="3"/>
  <c r="J3377" i="3" s="1"/>
  <c r="I3378" i="3"/>
  <c r="J3378" i="3" s="1"/>
  <c r="I3379" i="3"/>
  <c r="J3379" i="3" s="1"/>
  <c r="I3380" i="3"/>
  <c r="J3380" i="3" s="1"/>
  <c r="I3381" i="3"/>
  <c r="J3381" i="3" s="1"/>
  <c r="I3382" i="3"/>
  <c r="J3382" i="3" s="1"/>
  <c r="I3383" i="3"/>
  <c r="J3383" i="3" s="1"/>
  <c r="I3384" i="3"/>
  <c r="J3384" i="3" s="1"/>
  <c r="I3385" i="3"/>
  <c r="J3385" i="3" s="1"/>
  <c r="I3386" i="3"/>
  <c r="J3386" i="3" s="1"/>
  <c r="I3387" i="3"/>
  <c r="J3387" i="3" s="1"/>
  <c r="I3388" i="3"/>
  <c r="J3388" i="3" s="1"/>
  <c r="I3389" i="3"/>
  <c r="J3389" i="3" s="1"/>
  <c r="I3390" i="3"/>
  <c r="J3390" i="3" s="1"/>
  <c r="I3391" i="3"/>
  <c r="J3391" i="3" s="1"/>
  <c r="I3392" i="3"/>
  <c r="J3392" i="3" s="1"/>
  <c r="I3393" i="3"/>
  <c r="J3393" i="3" s="1"/>
  <c r="I3285" i="3"/>
  <c r="J3285" i="3" s="1"/>
  <c r="I3286" i="3"/>
  <c r="J3286" i="3" s="1"/>
  <c r="I3287" i="3"/>
  <c r="J3287" i="3" s="1"/>
  <c r="I3288" i="3"/>
  <c r="J3288" i="3" s="1"/>
  <c r="I3289" i="3"/>
  <c r="J3289" i="3" s="1"/>
  <c r="I3290" i="3"/>
  <c r="J3290" i="3" s="1"/>
  <c r="I3291" i="3"/>
  <c r="J3291" i="3" s="1"/>
  <c r="I3292" i="3"/>
  <c r="J3292" i="3" s="1"/>
  <c r="I3293" i="3"/>
  <c r="J3293" i="3" s="1"/>
  <c r="I3294" i="3"/>
  <c r="J3294" i="3" s="1"/>
  <c r="I3295" i="3"/>
  <c r="J3295" i="3" s="1"/>
  <c r="I3296" i="3"/>
  <c r="J3296" i="3" s="1"/>
  <c r="I3297" i="3"/>
  <c r="J3297" i="3" s="1"/>
  <c r="I3298" i="3"/>
  <c r="J3298" i="3" s="1"/>
  <c r="I3299" i="3"/>
  <c r="J3299" i="3" s="1"/>
  <c r="I3300" i="3"/>
  <c r="J3300" i="3" s="1"/>
  <c r="I3301" i="3"/>
  <c r="J3301" i="3" s="1"/>
  <c r="I3302" i="3"/>
  <c r="J3302" i="3" s="1"/>
  <c r="I3303" i="3"/>
  <c r="J3303" i="3" s="1"/>
  <c r="I3304" i="3"/>
  <c r="J3304" i="3" s="1"/>
  <c r="I3305" i="3"/>
  <c r="J3305" i="3" s="1"/>
  <c r="I3306" i="3"/>
  <c r="J3306" i="3" s="1"/>
  <c r="I3307" i="3"/>
  <c r="J3307" i="3" s="1"/>
  <c r="I3308" i="3"/>
  <c r="J3308" i="3" s="1"/>
  <c r="I3309" i="3"/>
  <c r="J3309" i="3" s="1"/>
  <c r="I3310" i="3"/>
  <c r="J3310" i="3" s="1"/>
  <c r="I3311" i="3"/>
  <c r="J3311" i="3" s="1"/>
  <c r="I3312" i="3"/>
  <c r="J3312" i="3" s="1"/>
  <c r="I3313" i="3"/>
  <c r="J3313" i="3" s="1"/>
  <c r="I3314" i="3"/>
  <c r="J3314" i="3" s="1"/>
  <c r="I3315" i="3"/>
  <c r="J3315" i="3" s="1"/>
  <c r="I3316" i="3"/>
  <c r="J3316" i="3" s="1"/>
  <c r="I3317" i="3"/>
  <c r="J3317" i="3" s="1"/>
  <c r="I3318" i="3"/>
  <c r="J3318" i="3" s="1"/>
  <c r="I3319" i="3"/>
  <c r="J3319" i="3" s="1"/>
  <c r="I3320" i="3"/>
  <c r="J3320" i="3" s="1"/>
  <c r="I3321" i="3"/>
  <c r="J3321" i="3" s="1"/>
  <c r="I3322" i="3"/>
  <c r="J3322" i="3" s="1"/>
  <c r="I3323" i="3"/>
  <c r="J3323" i="3" s="1"/>
  <c r="I3324" i="3"/>
  <c r="J3324" i="3" s="1"/>
  <c r="I3325" i="3"/>
  <c r="J3325" i="3" s="1"/>
  <c r="I3326" i="3"/>
  <c r="J3326" i="3" s="1"/>
  <c r="I3327" i="3"/>
  <c r="J3327" i="3" s="1"/>
  <c r="I3328" i="3"/>
  <c r="J3328" i="3" s="1"/>
  <c r="I3329" i="3"/>
  <c r="J3329" i="3" s="1"/>
  <c r="I3330" i="3"/>
  <c r="J3330" i="3" s="1"/>
  <c r="I3331" i="3"/>
  <c r="J3331" i="3" s="1"/>
  <c r="I3332" i="3"/>
  <c r="J3332" i="3" s="1"/>
  <c r="I3333" i="3"/>
  <c r="J3333" i="3" s="1"/>
  <c r="I3334" i="3"/>
  <c r="J3334" i="3" s="1"/>
  <c r="I3335" i="3"/>
  <c r="J3335" i="3" s="1"/>
  <c r="I3336" i="3"/>
  <c r="J3336" i="3" s="1"/>
  <c r="I3216" i="3"/>
  <c r="J3216" i="3" s="1"/>
  <c r="I3217" i="3"/>
  <c r="J3217" i="3" s="1"/>
  <c r="I3218" i="3"/>
  <c r="J3218" i="3" s="1"/>
  <c r="I3219" i="3"/>
  <c r="J3219" i="3" s="1"/>
  <c r="I3220" i="3"/>
  <c r="J3220" i="3" s="1"/>
  <c r="I3221" i="3"/>
  <c r="J3221" i="3" s="1"/>
  <c r="I3222" i="3"/>
  <c r="J3222" i="3" s="1"/>
  <c r="I3223" i="3"/>
  <c r="J3223" i="3" s="1"/>
  <c r="I3224" i="3"/>
  <c r="J3224" i="3" s="1"/>
  <c r="I3225" i="3"/>
  <c r="J3225" i="3" s="1"/>
  <c r="I3226" i="3"/>
  <c r="J3226" i="3" s="1"/>
  <c r="I3227" i="3"/>
  <c r="J3227" i="3" s="1"/>
  <c r="I3228" i="3"/>
  <c r="J3228" i="3" s="1"/>
  <c r="I3229" i="3"/>
  <c r="J3229" i="3" s="1"/>
  <c r="I3230" i="3"/>
  <c r="J3230" i="3" s="1"/>
  <c r="I3231" i="3"/>
  <c r="J3231" i="3" s="1"/>
  <c r="I3232" i="3"/>
  <c r="J3232" i="3" s="1"/>
  <c r="I3233" i="3"/>
  <c r="J3233" i="3" s="1"/>
  <c r="I3234" i="3"/>
  <c r="J3234" i="3" s="1"/>
  <c r="I3235" i="3"/>
  <c r="J3235" i="3" s="1"/>
  <c r="I3236" i="3"/>
  <c r="J3236" i="3" s="1"/>
  <c r="I3237" i="3"/>
  <c r="J3237" i="3" s="1"/>
  <c r="I3238" i="3"/>
  <c r="J3238" i="3" s="1"/>
  <c r="I3239" i="3"/>
  <c r="J3239" i="3" s="1"/>
  <c r="I3240" i="3"/>
  <c r="J3240" i="3" s="1"/>
  <c r="I3241" i="3"/>
  <c r="J3241" i="3" s="1"/>
  <c r="I3242" i="3"/>
  <c r="J3242" i="3" s="1"/>
  <c r="I3243" i="3"/>
  <c r="J3243" i="3" s="1"/>
  <c r="I3244" i="3"/>
  <c r="J3244" i="3" s="1"/>
  <c r="I3245" i="3"/>
  <c r="J3245" i="3" s="1"/>
  <c r="I3246" i="3"/>
  <c r="J3246" i="3" s="1"/>
  <c r="I3247" i="3"/>
  <c r="J3247" i="3" s="1"/>
  <c r="I3248" i="3"/>
  <c r="J3248" i="3" s="1"/>
  <c r="I3249" i="3"/>
  <c r="J3249" i="3" s="1"/>
  <c r="I3250" i="3"/>
  <c r="J3250" i="3" s="1"/>
  <c r="I3251" i="3"/>
  <c r="J3251" i="3" s="1"/>
  <c r="I3252" i="3"/>
  <c r="J3252" i="3" s="1"/>
  <c r="I3253" i="3"/>
  <c r="J3253" i="3" s="1"/>
  <c r="I3254" i="3"/>
  <c r="J3254" i="3" s="1"/>
  <c r="I3255" i="3"/>
  <c r="J3255" i="3" s="1"/>
  <c r="I3256" i="3"/>
  <c r="J3256" i="3" s="1"/>
  <c r="I3257" i="3"/>
  <c r="J3257" i="3" s="1"/>
  <c r="I3258" i="3"/>
  <c r="J3258" i="3" s="1"/>
  <c r="I3259" i="3"/>
  <c r="J3259" i="3" s="1"/>
  <c r="I3260" i="3"/>
  <c r="J3260" i="3" s="1"/>
  <c r="I3261" i="3"/>
  <c r="J3261" i="3" s="1"/>
  <c r="I3262" i="3"/>
  <c r="J3262" i="3" s="1"/>
  <c r="I3263" i="3"/>
  <c r="J3263" i="3" s="1"/>
  <c r="I3264" i="3"/>
  <c r="J3264" i="3" s="1"/>
  <c r="I3265" i="3"/>
  <c r="J3265" i="3" s="1"/>
  <c r="I3266" i="3"/>
  <c r="J3266" i="3" s="1"/>
  <c r="I3267" i="3"/>
  <c r="J3267" i="3" s="1"/>
  <c r="I3268" i="3"/>
  <c r="J3268" i="3" s="1"/>
  <c r="I3269" i="3"/>
  <c r="J3269" i="3" s="1"/>
  <c r="I3270" i="3"/>
  <c r="J3270" i="3" s="1"/>
  <c r="I3271" i="3"/>
  <c r="J3271" i="3" s="1"/>
  <c r="I3272" i="3"/>
  <c r="J3272" i="3" s="1"/>
  <c r="I3273" i="3"/>
  <c r="J3273" i="3" s="1"/>
  <c r="I3274" i="3"/>
  <c r="J3274" i="3" s="1"/>
  <c r="I3143" i="3"/>
  <c r="J3143" i="3" s="1"/>
  <c r="I3144" i="3"/>
  <c r="J3144" i="3" s="1"/>
  <c r="I3145" i="3"/>
  <c r="J3145" i="3" s="1"/>
  <c r="I3146" i="3"/>
  <c r="J3146" i="3" s="1"/>
  <c r="I3147" i="3"/>
  <c r="J3147" i="3" s="1"/>
  <c r="I3148" i="3"/>
  <c r="J3148" i="3" s="1"/>
  <c r="I3149" i="3"/>
  <c r="J3149" i="3" s="1"/>
  <c r="I3150" i="3"/>
  <c r="J3150" i="3" s="1"/>
  <c r="I3151" i="3"/>
  <c r="J3151" i="3" s="1"/>
  <c r="I3152" i="3"/>
  <c r="J3152" i="3" s="1"/>
  <c r="I3153" i="3"/>
  <c r="J3153" i="3" s="1"/>
  <c r="I3154" i="3"/>
  <c r="J3154" i="3" s="1"/>
  <c r="I3155" i="3"/>
  <c r="J3155" i="3" s="1"/>
  <c r="I3156" i="3"/>
  <c r="J3156" i="3" s="1"/>
  <c r="I3157" i="3"/>
  <c r="J3157" i="3" s="1"/>
  <c r="I3158" i="3"/>
  <c r="J3158" i="3" s="1"/>
  <c r="I3159" i="3"/>
  <c r="J3159" i="3" s="1"/>
  <c r="I3160" i="3"/>
  <c r="J3160" i="3" s="1"/>
  <c r="I3161" i="3"/>
  <c r="J3161" i="3" s="1"/>
  <c r="I3162" i="3"/>
  <c r="J3162" i="3" s="1"/>
  <c r="I3163" i="3"/>
  <c r="J3163" i="3" s="1"/>
  <c r="I3164" i="3"/>
  <c r="J3164" i="3" s="1"/>
  <c r="I3165" i="3"/>
  <c r="J3165" i="3" s="1"/>
  <c r="I3166" i="3"/>
  <c r="J3166" i="3" s="1"/>
  <c r="I3167" i="3"/>
  <c r="J3167" i="3" s="1"/>
  <c r="I3168" i="3"/>
  <c r="J3168" i="3" s="1"/>
  <c r="I3169" i="3"/>
  <c r="J3169" i="3" s="1"/>
  <c r="I3170" i="3"/>
  <c r="J3170" i="3" s="1"/>
  <c r="I3171" i="3"/>
  <c r="J3171" i="3" s="1"/>
  <c r="I3172" i="3"/>
  <c r="J3172" i="3" s="1"/>
  <c r="I3173" i="3"/>
  <c r="J3173" i="3" s="1"/>
  <c r="I3174" i="3"/>
  <c r="J3174" i="3" s="1"/>
  <c r="I3175" i="3"/>
  <c r="J3175" i="3" s="1"/>
  <c r="I3176" i="3"/>
  <c r="J3176" i="3" s="1"/>
  <c r="I3177" i="3"/>
  <c r="J3177" i="3" s="1"/>
  <c r="I3178" i="3"/>
  <c r="J3178" i="3" s="1"/>
  <c r="I3179" i="3"/>
  <c r="J3179" i="3" s="1"/>
  <c r="I3180" i="3"/>
  <c r="J3180" i="3" s="1"/>
  <c r="I3181" i="3"/>
  <c r="J3181" i="3" s="1"/>
  <c r="I3182" i="3"/>
  <c r="J3182" i="3" s="1"/>
  <c r="I3183" i="3"/>
  <c r="J3183" i="3" s="1"/>
  <c r="I3184" i="3"/>
  <c r="J3184" i="3" s="1"/>
  <c r="I3185" i="3"/>
  <c r="J3185" i="3" s="1"/>
  <c r="I3186" i="3"/>
  <c r="J3186" i="3" s="1"/>
  <c r="I3187" i="3"/>
  <c r="J3187" i="3" s="1"/>
  <c r="I3188" i="3"/>
  <c r="J3188" i="3" s="1"/>
  <c r="I3189" i="3"/>
  <c r="J3189" i="3" s="1"/>
  <c r="I3190" i="3"/>
  <c r="J3190" i="3" s="1"/>
  <c r="I3191" i="3"/>
  <c r="J3191" i="3" s="1"/>
  <c r="I3192" i="3"/>
  <c r="J3192" i="3" s="1"/>
  <c r="I3193" i="3"/>
  <c r="J3193" i="3" s="1"/>
  <c r="I3194" i="3"/>
  <c r="J3194" i="3" s="1"/>
  <c r="I3195" i="3"/>
  <c r="J3195" i="3" s="1"/>
  <c r="I3196" i="3"/>
  <c r="J3196" i="3" s="1"/>
  <c r="I3197" i="3"/>
  <c r="J3197" i="3" s="1"/>
  <c r="I3198" i="3"/>
  <c r="J3198" i="3" s="1"/>
  <c r="I3199" i="3"/>
  <c r="J3199" i="3" s="1"/>
  <c r="I3200" i="3"/>
  <c r="J3200" i="3" s="1"/>
  <c r="I3201" i="3"/>
  <c r="J3201" i="3" s="1"/>
  <c r="I3071" i="3"/>
  <c r="J3071" i="3" s="1"/>
  <c r="I3072" i="3"/>
  <c r="J3072" i="3" s="1"/>
  <c r="I3073" i="3"/>
  <c r="J3073" i="3" s="1"/>
  <c r="I3074" i="3"/>
  <c r="J3074" i="3" s="1"/>
  <c r="I3075" i="3"/>
  <c r="J3075" i="3" s="1"/>
  <c r="I3076" i="3"/>
  <c r="J3076" i="3" s="1"/>
  <c r="I3077" i="3"/>
  <c r="J3077" i="3" s="1"/>
  <c r="I3078" i="3"/>
  <c r="J3078" i="3" s="1"/>
  <c r="I3079" i="3"/>
  <c r="J3079" i="3" s="1"/>
  <c r="I3080" i="3"/>
  <c r="J3080" i="3" s="1"/>
  <c r="I3081" i="3"/>
  <c r="J3081" i="3" s="1"/>
  <c r="I3082" i="3"/>
  <c r="J3082" i="3" s="1"/>
  <c r="I3083" i="3"/>
  <c r="J3083" i="3" s="1"/>
  <c r="I3084" i="3"/>
  <c r="J3084" i="3" s="1"/>
  <c r="I3085" i="3"/>
  <c r="J3085" i="3" s="1"/>
  <c r="I3086" i="3"/>
  <c r="J3086" i="3" s="1"/>
  <c r="I3087" i="3"/>
  <c r="J3087" i="3" s="1"/>
  <c r="I3088" i="3"/>
  <c r="J3088" i="3" s="1"/>
  <c r="I3089" i="3"/>
  <c r="J3089" i="3" s="1"/>
  <c r="I3090" i="3"/>
  <c r="J3090" i="3" s="1"/>
  <c r="I3091" i="3"/>
  <c r="J3091" i="3" s="1"/>
  <c r="I3092" i="3"/>
  <c r="J3092" i="3" s="1"/>
  <c r="I3093" i="3"/>
  <c r="J3093" i="3" s="1"/>
  <c r="I3094" i="3"/>
  <c r="J3094" i="3" s="1"/>
  <c r="I3095" i="3"/>
  <c r="J3095" i="3" s="1"/>
  <c r="I3096" i="3"/>
  <c r="J3096" i="3" s="1"/>
  <c r="I3097" i="3"/>
  <c r="J3097" i="3" s="1"/>
  <c r="I3098" i="3"/>
  <c r="J3098" i="3" s="1"/>
  <c r="I3099" i="3"/>
  <c r="J3099" i="3" s="1"/>
  <c r="I3100" i="3"/>
  <c r="J3100" i="3" s="1"/>
  <c r="I3101" i="3"/>
  <c r="J3101" i="3" s="1"/>
  <c r="I3102" i="3"/>
  <c r="J3102" i="3" s="1"/>
  <c r="I3103" i="3"/>
  <c r="J3103" i="3" s="1"/>
  <c r="I3104" i="3"/>
  <c r="J3104" i="3" s="1"/>
  <c r="I3105" i="3"/>
  <c r="J3105" i="3" s="1"/>
  <c r="I3106" i="3"/>
  <c r="J3106" i="3" s="1"/>
  <c r="I3107" i="3"/>
  <c r="J3107" i="3" s="1"/>
  <c r="I3108" i="3"/>
  <c r="J3108" i="3" s="1"/>
  <c r="I3109" i="3"/>
  <c r="J3109" i="3" s="1"/>
  <c r="I3110" i="3"/>
  <c r="J3110" i="3" s="1"/>
  <c r="I3111" i="3"/>
  <c r="J3111" i="3" s="1"/>
  <c r="I3112" i="3"/>
  <c r="J3112" i="3" s="1"/>
  <c r="I3113" i="3"/>
  <c r="J3113" i="3" s="1"/>
  <c r="I3114" i="3"/>
  <c r="J3114" i="3" s="1"/>
  <c r="I3115" i="3"/>
  <c r="J3115" i="3" s="1"/>
  <c r="I3116" i="3"/>
  <c r="J3116" i="3" s="1"/>
  <c r="I3117" i="3"/>
  <c r="J3117" i="3" s="1"/>
  <c r="I3118" i="3"/>
  <c r="J3118" i="3" s="1"/>
  <c r="I3119" i="3"/>
  <c r="J3119" i="3" s="1"/>
  <c r="I3120" i="3"/>
  <c r="J3120" i="3" s="1"/>
  <c r="I3121" i="3"/>
  <c r="J3121" i="3" s="1"/>
  <c r="I3122" i="3"/>
  <c r="J3122" i="3" s="1"/>
  <c r="I3123" i="3"/>
  <c r="J3123" i="3" s="1"/>
  <c r="I3124" i="3"/>
  <c r="J3124" i="3" s="1"/>
  <c r="I3125" i="3"/>
  <c r="J3125" i="3" s="1"/>
  <c r="I3126" i="3"/>
  <c r="J3126" i="3" s="1"/>
  <c r="I3127" i="3"/>
  <c r="J3127" i="3" s="1"/>
  <c r="I3128" i="3"/>
  <c r="J3128" i="3" s="1"/>
  <c r="I3129" i="3"/>
  <c r="J3129" i="3" s="1"/>
  <c r="I3130" i="3"/>
  <c r="J3130" i="3" s="1"/>
  <c r="I3131" i="3"/>
  <c r="J3131" i="3" s="1"/>
  <c r="I3132" i="3"/>
  <c r="J3132" i="3" s="1"/>
  <c r="I3062" i="3"/>
  <c r="J3062" i="3" s="1"/>
  <c r="I3063" i="3"/>
  <c r="J3063" i="3" s="1"/>
  <c r="I3064" i="3"/>
  <c r="J3064" i="3" s="1"/>
  <c r="I3065" i="3"/>
  <c r="J3065" i="3" s="1"/>
  <c r="I3066" i="3"/>
  <c r="J3066" i="3" s="1"/>
  <c r="I3067" i="3"/>
  <c r="J3067" i="3" s="1"/>
  <c r="I3014" i="3"/>
  <c r="J3014" i="3" s="1"/>
  <c r="I3015" i="3"/>
  <c r="J3015" i="3" s="1"/>
  <c r="I3016" i="3"/>
  <c r="J3016" i="3" s="1"/>
  <c r="I3017" i="3"/>
  <c r="J3017" i="3" s="1"/>
  <c r="I3018" i="3"/>
  <c r="J3018" i="3" s="1"/>
  <c r="I3019" i="3"/>
  <c r="J3019" i="3" s="1"/>
  <c r="I3020" i="3"/>
  <c r="J3020" i="3" s="1"/>
  <c r="I3021" i="3"/>
  <c r="J3021" i="3" s="1"/>
  <c r="I3022" i="3"/>
  <c r="J3022" i="3" s="1"/>
  <c r="I3023" i="3"/>
  <c r="J3023" i="3" s="1"/>
  <c r="I3024" i="3"/>
  <c r="J3024" i="3" s="1"/>
  <c r="I3025" i="3"/>
  <c r="J3025" i="3" s="1"/>
  <c r="I3026" i="3"/>
  <c r="J3026" i="3" s="1"/>
  <c r="I3027" i="3"/>
  <c r="J3027" i="3" s="1"/>
  <c r="I3028" i="3"/>
  <c r="J3028" i="3" s="1"/>
  <c r="I3029" i="3"/>
  <c r="J3029" i="3" s="1"/>
  <c r="I3030" i="3"/>
  <c r="J3030" i="3" s="1"/>
  <c r="I3031" i="3"/>
  <c r="J3031" i="3" s="1"/>
  <c r="I3032" i="3"/>
  <c r="J3032" i="3" s="1"/>
  <c r="I3033" i="3"/>
  <c r="J3033" i="3" s="1"/>
  <c r="I3034" i="3"/>
  <c r="J3034" i="3" s="1"/>
  <c r="I3035" i="3"/>
  <c r="J3035" i="3" s="1"/>
  <c r="I3036" i="3"/>
  <c r="J3036" i="3" s="1"/>
  <c r="I3037" i="3"/>
  <c r="J3037" i="3" s="1"/>
  <c r="I3038" i="3"/>
  <c r="J3038" i="3" s="1"/>
  <c r="I3039" i="3"/>
  <c r="J3039" i="3" s="1"/>
  <c r="I3040" i="3"/>
  <c r="J3040" i="3" s="1"/>
  <c r="I3041" i="3"/>
  <c r="J3041" i="3" s="1"/>
  <c r="I3042" i="3"/>
  <c r="J3042" i="3" s="1"/>
  <c r="I3043" i="3"/>
  <c r="J3043" i="3" s="1"/>
  <c r="I3044" i="3"/>
  <c r="J3044" i="3" s="1"/>
  <c r="I3045" i="3"/>
  <c r="J3045" i="3" s="1"/>
  <c r="I3046" i="3"/>
  <c r="J3046" i="3" s="1"/>
  <c r="I3047" i="3"/>
  <c r="J3047" i="3" s="1"/>
  <c r="I3048" i="3"/>
  <c r="J3048" i="3" s="1"/>
  <c r="I3049" i="3"/>
  <c r="J3049" i="3" s="1"/>
  <c r="I3050" i="3"/>
  <c r="J3050" i="3" s="1"/>
  <c r="I3051" i="3"/>
  <c r="J3051" i="3" s="1"/>
  <c r="I3052" i="3"/>
  <c r="J3052" i="3" s="1"/>
  <c r="I3053" i="3"/>
  <c r="J3053" i="3" s="1"/>
  <c r="I3054" i="3"/>
  <c r="J3054" i="3" s="1"/>
  <c r="I3055" i="3"/>
  <c r="J3055" i="3" s="1"/>
  <c r="I3056" i="3"/>
  <c r="J3056" i="3" s="1"/>
  <c r="I3057" i="3"/>
  <c r="J3057" i="3" s="1"/>
  <c r="I3058" i="3"/>
  <c r="J3058" i="3" s="1"/>
  <c r="I3059" i="3"/>
  <c r="J3059" i="3" s="1"/>
  <c r="I3060" i="3"/>
  <c r="J3060" i="3" s="1"/>
  <c r="I3061" i="3"/>
  <c r="J3061" i="3" s="1"/>
  <c r="I2946" i="3"/>
  <c r="J2946" i="3" s="1"/>
  <c r="I2947" i="3"/>
  <c r="J2947" i="3" s="1"/>
  <c r="I2948" i="3"/>
  <c r="J2948" i="3" s="1"/>
  <c r="I2949" i="3"/>
  <c r="J2949" i="3" s="1"/>
  <c r="I2950" i="3"/>
  <c r="J2950" i="3" s="1"/>
  <c r="I2951" i="3"/>
  <c r="J2951" i="3" s="1"/>
  <c r="I2952" i="3"/>
  <c r="J2952" i="3" s="1"/>
  <c r="I2953" i="3"/>
  <c r="J2953" i="3" s="1"/>
  <c r="I2954" i="3"/>
  <c r="J2954" i="3" s="1"/>
  <c r="I2955" i="3"/>
  <c r="J2955" i="3" s="1"/>
  <c r="I2956" i="3"/>
  <c r="J2956" i="3" s="1"/>
  <c r="I2957" i="3"/>
  <c r="J2957" i="3" s="1"/>
  <c r="I2958" i="3"/>
  <c r="J2958" i="3" s="1"/>
  <c r="I2959" i="3"/>
  <c r="J2959" i="3" s="1"/>
  <c r="I2960" i="3"/>
  <c r="J2960" i="3" s="1"/>
  <c r="I2961" i="3"/>
  <c r="J2961" i="3" s="1"/>
  <c r="I2962" i="3"/>
  <c r="J2962" i="3" s="1"/>
  <c r="I2963" i="3"/>
  <c r="J2963" i="3" s="1"/>
  <c r="I2964" i="3"/>
  <c r="J2964" i="3" s="1"/>
  <c r="I2965" i="3"/>
  <c r="J2965" i="3" s="1"/>
  <c r="I2966" i="3"/>
  <c r="J2966" i="3" s="1"/>
  <c r="I2967" i="3"/>
  <c r="J2967" i="3" s="1"/>
  <c r="I2968" i="3"/>
  <c r="J2968" i="3" s="1"/>
  <c r="I2969" i="3"/>
  <c r="J2969" i="3" s="1"/>
  <c r="I2970" i="3"/>
  <c r="J2970" i="3" s="1"/>
  <c r="I2971" i="3"/>
  <c r="J2971" i="3" s="1"/>
  <c r="I2972" i="3"/>
  <c r="J2972" i="3" s="1"/>
  <c r="I2973" i="3"/>
  <c r="J2973" i="3" s="1"/>
  <c r="I2974" i="3"/>
  <c r="J2974" i="3" s="1"/>
  <c r="I2975" i="3"/>
  <c r="J2975" i="3" s="1"/>
  <c r="I2976" i="3"/>
  <c r="J2976" i="3" s="1"/>
  <c r="I2977" i="3"/>
  <c r="J2977" i="3" s="1"/>
  <c r="I2978" i="3"/>
  <c r="J2978" i="3" s="1"/>
  <c r="I2979" i="3"/>
  <c r="J2979" i="3" s="1"/>
  <c r="I2980" i="3"/>
  <c r="J2980" i="3" s="1"/>
  <c r="I2981" i="3"/>
  <c r="J2981" i="3" s="1"/>
  <c r="I2982" i="3"/>
  <c r="J2982" i="3" s="1"/>
  <c r="I2983" i="3"/>
  <c r="J2983" i="3" s="1"/>
  <c r="I2984" i="3"/>
  <c r="J2984" i="3" s="1"/>
  <c r="I2985" i="3"/>
  <c r="J2985" i="3" s="1"/>
  <c r="I2986" i="3"/>
  <c r="J2986" i="3" s="1"/>
  <c r="I2987" i="3"/>
  <c r="J2987" i="3" s="1"/>
  <c r="I2988" i="3"/>
  <c r="J2988" i="3" s="1"/>
  <c r="I2989" i="3"/>
  <c r="J2989" i="3" s="1"/>
  <c r="I2990" i="3"/>
  <c r="J2990" i="3" s="1"/>
  <c r="I2991" i="3"/>
  <c r="J2991" i="3" s="1"/>
  <c r="I2992" i="3"/>
  <c r="J2992" i="3" s="1"/>
  <c r="I2993" i="3"/>
  <c r="J2993" i="3" s="1"/>
  <c r="I2994" i="3"/>
  <c r="J2994" i="3" s="1"/>
  <c r="I2995" i="3"/>
  <c r="J2995" i="3" s="1"/>
  <c r="I2996" i="3"/>
  <c r="J2996" i="3" s="1"/>
  <c r="I2997" i="3"/>
  <c r="J2997" i="3" s="1"/>
  <c r="I2998" i="3"/>
  <c r="J2998" i="3" s="1"/>
  <c r="I2999" i="3"/>
  <c r="J2999" i="3" s="1"/>
  <c r="I3000" i="3"/>
  <c r="J3000" i="3" s="1"/>
  <c r="I3001" i="3"/>
  <c r="J3001" i="3" s="1"/>
  <c r="I3002" i="3"/>
  <c r="J3002" i="3" s="1"/>
  <c r="I3003" i="3"/>
  <c r="J3003" i="3" s="1"/>
  <c r="I3004" i="3"/>
  <c r="J3004" i="3" s="1"/>
  <c r="I2918" i="3"/>
  <c r="J2918" i="3" s="1"/>
  <c r="I2919" i="3"/>
  <c r="J2919" i="3" s="1"/>
  <c r="I2920" i="3"/>
  <c r="J2920" i="3" s="1"/>
  <c r="I2921" i="3"/>
  <c r="J2921" i="3" s="1"/>
  <c r="I2922" i="3"/>
  <c r="J2922" i="3" s="1"/>
  <c r="I2923" i="3"/>
  <c r="J2923" i="3" s="1"/>
  <c r="I2924" i="3"/>
  <c r="J2924" i="3" s="1"/>
  <c r="I2925" i="3"/>
  <c r="J2925" i="3" s="1"/>
  <c r="I2926" i="3"/>
  <c r="J2926" i="3" s="1"/>
  <c r="I2927" i="3"/>
  <c r="J2927" i="3" s="1"/>
  <c r="I2928" i="3"/>
  <c r="J2928" i="3" s="1"/>
  <c r="I2929" i="3"/>
  <c r="J2929" i="3" s="1"/>
  <c r="I2930" i="3"/>
  <c r="J2930" i="3" s="1"/>
  <c r="I2931" i="3"/>
  <c r="J2931" i="3" s="1"/>
  <c r="I2932" i="3"/>
  <c r="J2932" i="3" s="1"/>
  <c r="I2933" i="3"/>
  <c r="J2933" i="3" s="1"/>
  <c r="I2934" i="3"/>
  <c r="J2934" i="3" s="1"/>
  <c r="I2935" i="3"/>
  <c r="J2935" i="3" s="1"/>
  <c r="I2936" i="3"/>
  <c r="J2936" i="3" s="1"/>
  <c r="I2937" i="3"/>
  <c r="J2937" i="3" s="1"/>
  <c r="I2938" i="3"/>
  <c r="J2938" i="3" s="1"/>
  <c r="I2939" i="3"/>
  <c r="J2939" i="3" s="1"/>
  <c r="I2940" i="3"/>
  <c r="J2940" i="3" s="1"/>
  <c r="I2941" i="3"/>
  <c r="J2941" i="3" s="1"/>
  <c r="I2942" i="3"/>
  <c r="J2942" i="3" s="1"/>
  <c r="I2943" i="3"/>
  <c r="J2943" i="3" s="1"/>
  <c r="I2890" i="3"/>
  <c r="J2890" i="3" s="1"/>
  <c r="I2891" i="3"/>
  <c r="J2891" i="3" s="1"/>
  <c r="I2892" i="3"/>
  <c r="J2892" i="3" s="1"/>
  <c r="I2893" i="3"/>
  <c r="J2893" i="3" s="1"/>
  <c r="I2894" i="3"/>
  <c r="J2894" i="3" s="1"/>
  <c r="I2895" i="3"/>
  <c r="J2895" i="3" s="1"/>
  <c r="I2896" i="3"/>
  <c r="J2896" i="3" s="1"/>
  <c r="I2897" i="3"/>
  <c r="J2897" i="3" s="1"/>
  <c r="I2898" i="3"/>
  <c r="J2898" i="3" s="1"/>
  <c r="I2899" i="3"/>
  <c r="J2899" i="3" s="1"/>
  <c r="I2900" i="3"/>
  <c r="J2900" i="3" s="1"/>
  <c r="I2901" i="3"/>
  <c r="J2901" i="3" s="1"/>
  <c r="I2902" i="3"/>
  <c r="J2902" i="3" s="1"/>
  <c r="I2903" i="3"/>
  <c r="J2903" i="3" s="1"/>
  <c r="I2904" i="3"/>
  <c r="J2904" i="3" s="1"/>
  <c r="I2905" i="3"/>
  <c r="J2905" i="3" s="1"/>
  <c r="I2906" i="3"/>
  <c r="J2906" i="3" s="1"/>
  <c r="I2907" i="3"/>
  <c r="J2907" i="3" s="1"/>
  <c r="I2908" i="3"/>
  <c r="J2908" i="3" s="1"/>
  <c r="I2909" i="3"/>
  <c r="J2909" i="3" s="1"/>
  <c r="I2910" i="3"/>
  <c r="J2910" i="3" s="1"/>
  <c r="I2911" i="3"/>
  <c r="J2911" i="3" s="1"/>
  <c r="I2912" i="3"/>
  <c r="J2912" i="3" s="1"/>
  <c r="I2913" i="3"/>
  <c r="J2913" i="3" s="1"/>
  <c r="I2914" i="3"/>
  <c r="J2914" i="3" s="1"/>
  <c r="I2915" i="3"/>
  <c r="J2915" i="3" s="1"/>
  <c r="I2834" i="3"/>
  <c r="J2834" i="3" s="1"/>
  <c r="I2835" i="3"/>
  <c r="J2835" i="3" s="1"/>
  <c r="I2836" i="3"/>
  <c r="J2836" i="3" s="1"/>
  <c r="I2837" i="3"/>
  <c r="J2837" i="3" s="1"/>
  <c r="I2838" i="3"/>
  <c r="J2838" i="3" s="1"/>
  <c r="I2839" i="3"/>
  <c r="J2839" i="3" s="1"/>
  <c r="I2840" i="3"/>
  <c r="J2840" i="3" s="1"/>
  <c r="I2841" i="3"/>
  <c r="J2841" i="3" s="1"/>
  <c r="I2842" i="3"/>
  <c r="J2842" i="3" s="1"/>
  <c r="I2843" i="3"/>
  <c r="J2843" i="3" s="1"/>
  <c r="I2844" i="3"/>
  <c r="J2844" i="3" s="1"/>
  <c r="I2845" i="3"/>
  <c r="J2845" i="3" s="1"/>
  <c r="I2846" i="3"/>
  <c r="J2846" i="3" s="1"/>
  <c r="I2847" i="3"/>
  <c r="J2847" i="3" s="1"/>
  <c r="I2848" i="3"/>
  <c r="J2848" i="3" s="1"/>
  <c r="I2849" i="3"/>
  <c r="J2849" i="3" s="1"/>
  <c r="I2850" i="3"/>
  <c r="J2850" i="3" s="1"/>
  <c r="I2851" i="3"/>
  <c r="J2851" i="3" s="1"/>
  <c r="I2852" i="3"/>
  <c r="J2852" i="3" s="1"/>
  <c r="I2853" i="3"/>
  <c r="J2853" i="3" s="1"/>
  <c r="I2854" i="3"/>
  <c r="J2854" i="3" s="1"/>
  <c r="I2855" i="3"/>
  <c r="J2855" i="3" s="1"/>
  <c r="I2692" i="3"/>
  <c r="J2692" i="3" s="1"/>
  <c r="I2693" i="3"/>
  <c r="J2693" i="3" s="1"/>
  <c r="I2694" i="3"/>
  <c r="J2694" i="3" s="1"/>
  <c r="I2695" i="3"/>
  <c r="J2695" i="3" s="1"/>
  <c r="I2696" i="3"/>
  <c r="J2696" i="3" s="1"/>
  <c r="I2697" i="3"/>
  <c r="J2697" i="3" s="1"/>
  <c r="I2698" i="3"/>
  <c r="J2698" i="3" s="1"/>
  <c r="I2699" i="3"/>
  <c r="J2699" i="3" s="1"/>
  <c r="I2700" i="3"/>
  <c r="J2700" i="3" s="1"/>
  <c r="I2701" i="3"/>
  <c r="J2701" i="3" s="1"/>
  <c r="I2702" i="3"/>
  <c r="J2702" i="3" s="1"/>
  <c r="I2703" i="3"/>
  <c r="J2703" i="3" s="1"/>
  <c r="I2704" i="3"/>
  <c r="J2704" i="3" s="1"/>
  <c r="I2705" i="3"/>
  <c r="J2705" i="3" s="1"/>
  <c r="I2706" i="3"/>
  <c r="J2706" i="3" s="1"/>
  <c r="I2707" i="3"/>
  <c r="J2707" i="3" s="1"/>
  <c r="I2708" i="3"/>
  <c r="J2708" i="3" s="1"/>
  <c r="I2709" i="3"/>
  <c r="J2709" i="3" s="1"/>
  <c r="I2710" i="3"/>
  <c r="J2710" i="3" s="1"/>
  <c r="I2711" i="3"/>
  <c r="J2711" i="3" s="1"/>
  <c r="I2712" i="3"/>
  <c r="J2712" i="3" s="1"/>
  <c r="I2713" i="3"/>
  <c r="J2713" i="3" s="1"/>
  <c r="I2714" i="3"/>
  <c r="J2714" i="3" s="1"/>
  <c r="I2715" i="3"/>
  <c r="J2715" i="3" s="1"/>
  <c r="I2716" i="3"/>
  <c r="J2716" i="3" s="1"/>
  <c r="I2717" i="3"/>
  <c r="J2717" i="3" s="1"/>
  <c r="I2718" i="3"/>
  <c r="J2718" i="3" s="1"/>
  <c r="I2719" i="3"/>
  <c r="J2719" i="3" s="1"/>
  <c r="I2720" i="3"/>
  <c r="J2720" i="3" s="1"/>
  <c r="I2721" i="3"/>
  <c r="J2721" i="3" s="1"/>
  <c r="I2722" i="3"/>
  <c r="J2722" i="3" s="1"/>
  <c r="I2723" i="3"/>
  <c r="J2723" i="3" s="1"/>
  <c r="I2724" i="3"/>
  <c r="J2724" i="3" s="1"/>
  <c r="I2725" i="3"/>
  <c r="J2725" i="3" s="1"/>
  <c r="I2726" i="3"/>
  <c r="J2726" i="3" s="1"/>
  <c r="I2727" i="3"/>
  <c r="J2727" i="3" s="1"/>
  <c r="I2728" i="3"/>
  <c r="J2728" i="3" s="1"/>
  <c r="I2729" i="3"/>
  <c r="J2729" i="3" s="1"/>
  <c r="I2730" i="3"/>
  <c r="J2730" i="3" s="1"/>
  <c r="I2731" i="3"/>
  <c r="J2731" i="3" s="1"/>
  <c r="I2732" i="3"/>
  <c r="J2732" i="3" s="1"/>
  <c r="I2733" i="3"/>
  <c r="J2733" i="3" s="1"/>
  <c r="I2734" i="3"/>
  <c r="J2734" i="3" s="1"/>
  <c r="I2735" i="3"/>
  <c r="J2735" i="3" s="1"/>
  <c r="I2736" i="3"/>
  <c r="J2736" i="3" s="1"/>
  <c r="I2737" i="3"/>
  <c r="J2737" i="3" s="1"/>
  <c r="I2738" i="3"/>
  <c r="J2738" i="3" s="1"/>
  <c r="I2739" i="3"/>
  <c r="J2739" i="3" s="1"/>
  <c r="I2740" i="3"/>
  <c r="J2740" i="3" s="1"/>
  <c r="I2741" i="3"/>
  <c r="J2741" i="3" s="1"/>
  <c r="I2742" i="3"/>
  <c r="J2742" i="3" s="1"/>
  <c r="I2743" i="3"/>
  <c r="J2743" i="3" s="1"/>
  <c r="I2744" i="3"/>
  <c r="J2744" i="3" s="1"/>
  <c r="I2745" i="3"/>
  <c r="J2745" i="3" s="1"/>
  <c r="I2746" i="3"/>
  <c r="J2746" i="3" s="1"/>
  <c r="I2747" i="3"/>
  <c r="J2747" i="3" s="1"/>
  <c r="I2748" i="3"/>
  <c r="J2748" i="3" s="1"/>
  <c r="I2749" i="3"/>
  <c r="J2749" i="3" s="1"/>
  <c r="I2750" i="3"/>
  <c r="J2750" i="3" s="1"/>
  <c r="I2751" i="3"/>
  <c r="J2751" i="3" s="1"/>
  <c r="I2752" i="3"/>
  <c r="J2752" i="3" s="1"/>
  <c r="I2753" i="3"/>
  <c r="J2753" i="3" s="1"/>
  <c r="I2754" i="3"/>
  <c r="J2754" i="3" s="1"/>
  <c r="I2755" i="3"/>
  <c r="J2755" i="3" s="1"/>
  <c r="I2756" i="3"/>
  <c r="J2756" i="3" s="1"/>
  <c r="I2757" i="3"/>
  <c r="J2757" i="3" s="1"/>
  <c r="I2758" i="3"/>
  <c r="J2758" i="3" s="1"/>
  <c r="I2759" i="3"/>
  <c r="J2759" i="3" s="1"/>
  <c r="I2760" i="3"/>
  <c r="J2760" i="3" s="1"/>
  <c r="I2761" i="3"/>
  <c r="J2761" i="3" s="1"/>
  <c r="I2762" i="3"/>
  <c r="J2762" i="3" s="1"/>
  <c r="I2763" i="3"/>
  <c r="J2763" i="3" s="1"/>
  <c r="I2764" i="3"/>
  <c r="J2764" i="3" s="1"/>
  <c r="I2765" i="3"/>
  <c r="J2765" i="3" s="1"/>
  <c r="I2766" i="3"/>
  <c r="J2766" i="3" s="1"/>
  <c r="I2767" i="3"/>
  <c r="J2767" i="3" s="1"/>
  <c r="I2768" i="3"/>
  <c r="J2768" i="3" s="1"/>
  <c r="I2769" i="3"/>
  <c r="J2769" i="3" s="1"/>
  <c r="I2770" i="3"/>
  <c r="J2770" i="3" s="1"/>
  <c r="I2771" i="3"/>
  <c r="J2771" i="3" s="1"/>
  <c r="I2772" i="3"/>
  <c r="J2772" i="3" s="1"/>
  <c r="I2773" i="3"/>
  <c r="J2773" i="3" s="1"/>
  <c r="I2774" i="3"/>
  <c r="J2774" i="3" s="1"/>
  <c r="I2662" i="3"/>
  <c r="J2662" i="3" s="1"/>
  <c r="I2663" i="3"/>
  <c r="J2663" i="3" s="1"/>
  <c r="I2664" i="3"/>
  <c r="J2664" i="3" s="1"/>
  <c r="I2665" i="3"/>
  <c r="J2665" i="3" s="1"/>
  <c r="I2666" i="3"/>
  <c r="J2666" i="3" s="1"/>
  <c r="I2667" i="3"/>
  <c r="J2667" i="3" s="1"/>
  <c r="I2668" i="3"/>
  <c r="J2668" i="3" s="1"/>
  <c r="I2669" i="3"/>
  <c r="J2669" i="3" s="1"/>
  <c r="I2670" i="3"/>
  <c r="J2670" i="3" s="1"/>
  <c r="I2671" i="3"/>
  <c r="J2671" i="3" s="1"/>
  <c r="I2672" i="3"/>
  <c r="J2672" i="3" s="1"/>
  <c r="I2673" i="3"/>
  <c r="J2673" i="3" s="1"/>
  <c r="I2674" i="3"/>
  <c r="J2674" i="3" s="1"/>
  <c r="I2675" i="3"/>
  <c r="J2675" i="3" s="1"/>
  <c r="I2676" i="3"/>
  <c r="J2676" i="3" s="1"/>
  <c r="I2677" i="3"/>
  <c r="J2677" i="3" s="1"/>
  <c r="I2678" i="3"/>
  <c r="J2678" i="3" s="1"/>
  <c r="I2679" i="3"/>
  <c r="J2679" i="3" s="1"/>
  <c r="I2680" i="3"/>
  <c r="J2680" i="3" s="1"/>
  <c r="I2681" i="3"/>
  <c r="J2681" i="3" s="1"/>
  <c r="I2682" i="3"/>
  <c r="J2682" i="3" s="1"/>
  <c r="I2683" i="3"/>
  <c r="J2683" i="3" s="1"/>
  <c r="I2684" i="3"/>
  <c r="J2684" i="3" s="1"/>
  <c r="I2685" i="3"/>
  <c r="J2685" i="3" s="1"/>
  <c r="I2686" i="3"/>
  <c r="J2686" i="3" s="1"/>
  <c r="I2687" i="3"/>
  <c r="J2687" i="3" s="1"/>
  <c r="I2688" i="3"/>
  <c r="J2688" i="3" s="1"/>
  <c r="I2689" i="3"/>
  <c r="J2689" i="3" s="1"/>
  <c r="I2636" i="3"/>
  <c r="J2636" i="3" s="1"/>
  <c r="I2637" i="3"/>
  <c r="J2637" i="3" s="1"/>
  <c r="I2638" i="3"/>
  <c r="J2638" i="3" s="1"/>
  <c r="I2639" i="3"/>
  <c r="J2639" i="3" s="1"/>
  <c r="I2640" i="3"/>
  <c r="J2640" i="3" s="1"/>
  <c r="I2641" i="3"/>
  <c r="J2641" i="3" s="1"/>
  <c r="I2642" i="3"/>
  <c r="J2642" i="3" s="1"/>
  <c r="I2643" i="3"/>
  <c r="J2643" i="3" s="1"/>
  <c r="I2644" i="3"/>
  <c r="J2644" i="3" s="1"/>
  <c r="I2645" i="3"/>
  <c r="J2645" i="3" s="1"/>
  <c r="I2646" i="3"/>
  <c r="J2646" i="3" s="1"/>
  <c r="I2647" i="3"/>
  <c r="J2647" i="3" s="1"/>
  <c r="I2648" i="3"/>
  <c r="J2648" i="3" s="1"/>
  <c r="I2649" i="3"/>
  <c r="J2649" i="3" s="1"/>
  <c r="I2650" i="3"/>
  <c r="J2650" i="3" s="1"/>
  <c r="I2651" i="3"/>
  <c r="J2651" i="3" s="1"/>
  <c r="I2652" i="3"/>
  <c r="J2652" i="3" s="1"/>
  <c r="I2653" i="3"/>
  <c r="J2653" i="3" s="1"/>
  <c r="I2654" i="3"/>
  <c r="J2654" i="3" s="1"/>
  <c r="I2655" i="3"/>
  <c r="J2655" i="3" s="1"/>
  <c r="I2656" i="3"/>
  <c r="J2656" i="3" s="1"/>
  <c r="I2423" i="3"/>
  <c r="J2423" i="3" s="1"/>
  <c r="I2424" i="3"/>
  <c r="J2424" i="3" s="1"/>
  <c r="I2425" i="3"/>
  <c r="J2425" i="3" s="1"/>
  <c r="I2426" i="3"/>
  <c r="J2426" i="3" s="1"/>
  <c r="I2427" i="3"/>
  <c r="J2427" i="3" s="1"/>
  <c r="I2428" i="3"/>
  <c r="J2428" i="3" s="1"/>
  <c r="I2429" i="3"/>
  <c r="J2429" i="3" s="1"/>
  <c r="I2430" i="3"/>
  <c r="J2430" i="3" s="1"/>
  <c r="I2431" i="3"/>
  <c r="J2431" i="3" s="1"/>
  <c r="I2432" i="3"/>
  <c r="J2432" i="3" s="1"/>
  <c r="I2433" i="3"/>
  <c r="J2433" i="3" s="1"/>
  <c r="I2434" i="3"/>
  <c r="J2434" i="3" s="1"/>
  <c r="I2435" i="3"/>
  <c r="J2435" i="3" s="1"/>
  <c r="I2436" i="3"/>
  <c r="J2436" i="3" s="1"/>
  <c r="I2437" i="3"/>
  <c r="J2437" i="3" s="1"/>
  <c r="I2438" i="3"/>
  <c r="J2438" i="3" s="1"/>
  <c r="I2439" i="3"/>
  <c r="J2439" i="3" s="1"/>
  <c r="I2440" i="3"/>
  <c r="J2440" i="3" s="1"/>
  <c r="I2441" i="3"/>
  <c r="J2441" i="3" s="1"/>
  <c r="I2442" i="3"/>
  <c r="J2442" i="3" s="1"/>
  <c r="I2443" i="3"/>
  <c r="J2443" i="3" s="1"/>
  <c r="I2444" i="3"/>
  <c r="J2444" i="3" s="1"/>
  <c r="I2445" i="3"/>
  <c r="J2445" i="3" s="1"/>
  <c r="I2446" i="3"/>
  <c r="J2446" i="3" s="1"/>
  <c r="I2447" i="3"/>
  <c r="J2447" i="3" s="1"/>
  <c r="I2448" i="3"/>
  <c r="J2448" i="3" s="1"/>
  <c r="I2449" i="3"/>
  <c r="J2449" i="3" s="1"/>
  <c r="I2450" i="3"/>
  <c r="J2450" i="3" s="1"/>
  <c r="I2451" i="3"/>
  <c r="J2451" i="3" s="1"/>
  <c r="I2452" i="3"/>
  <c r="J2452" i="3" s="1"/>
  <c r="I2453" i="3"/>
  <c r="J2453" i="3" s="1"/>
  <c r="I2454" i="3"/>
  <c r="J2454" i="3" s="1"/>
  <c r="I2455" i="3"/>
  <c r="J2455" i="3" s="1"/>
  <c r="I2456" i="3"/>
  <c r="J2456" i="3" s="1"/>
  <c r="I2457" i="3"/>
  <c r="J2457" i="3" s="1"/>
  <c r="I2458" i="3"/>
  <c r="J2458" i="3" s="1"/>
  <c r="I2459" i="3"/>
  <c r="J2459" i="3" s="1"/>
  <c r="I2460" i="3"/>
  <c r="J2460" i="3" s="1"/>
  <c r="I2461" i="3"/>
  <c r="J2461" i="3" s="1"/>
  <c r="I2462" i="3"/>
  <c r="J2462" i="3" s="1"/>
  <c r="I2463" i="3"/>
  <c r="J2463" i="3" s="1"/>
  <c r="I2464" i="3"/>
  <c r="J2464" i="3" s="1"/>
  <c r="I2465" i="3"/>
  <c r="J2465" i="3" s="1"/>
  <c r="I2466" i="3"/>
  <c r="J2466" i="3" s="1"/>
  <c r="I2467" i="3"/>
  <c r="J2467" i="3" s="1"/>
  <c r="I2468" i="3"/>
  <c r="J2468" i="3" s="1"/>
  <c r="I2469" i="3"/>
  <c r="J2469" i="3" s="1"/>
  <c r="I2470" i="3"/>
  <c r="J2470" i="3" s="1"/>
  <c r="I2471" i="3"/>
  <c r="J2471" i="3" s="1"/>
  <c r="I2472" i="3"/>
  <c r="J2472" i="3" s="1"/>
  <c r="I2473" i="3"/>
  <c r="J2473" i="3" s="1"/>
  <c r="I2474" i="3"/>
  <c r="J2474" i="3" s="1"/>
  <c r="I2475" i="3"/>
  <c r="J2475" i="3" s="1"/>
  <c r="I2476" i="3"/>
  <c r="J2476" i="3" s="1"/>
  <c r="I2477" i="3"/>
  <c r="J2477" i="3" s="1"/>
  <c r="I2478" i="3"/>
  <c r="J2478" i="3" s="1"/>
  <c r="I2479" i="3"/>
  <c r="J2479" i="3" s="1"/>
  <c r="I2480" i="3"/>
  <c r="J2480" i="3" s="1"/>
  <c r="I2481" i="3"/>
  <c r="J2481" i="3" s="1"/>
  <c r="I2482" i="3"/>
  <c r="J2482" i="3" s="1"/>
  <c r="I2483" i="3"/>
  <c r="J2483" i="3" s="1"/>
  <c r="I2484" i="3"/>
  <c r="J2484" i="3" s="1"/>
  <c r="I2485" i="3"/>
  <c r="J2485" i="3" s="1"/>
  <c r="I2486" i="3"/>
  <c r="J2486" i="3" s="1"/>
  <c r="I2487" i="3"/>
  <c r="J2487" i="3" s="1"/>
  <c r="I2488" i="3"/>
  <c r="J2488" i="3" s="1"/>
  <c r="I2489" i="3"/>
  <c r="J2489" i="3" s="1"/>
  <c r="I2490" i="3"/>
  <c r="J2490" i="3" s="1"/>
  <c r="I2491" i="3"/>
  <c r="J2491" i="3" s="1"/>
  <c r="I2492" i="3"/>
  <c r="J2492" i="3" s="1"/>
  <c r="I2493" i="3"/>
  <c r="J2493" i="3" s="1"/>
  <c r="I2494" i="3"/>
  <c r="J2494" i="3" s="1"/>
  <c r="I2495" i="3"/>
  <c r="J2495" i="3" s="1"/>
  <c r="I2496" i="3"/>
  <c r="J2496" i="3" s="1"/>
  <c r="I2497" i="3"/>
  <c r="J2497" i="3" s="1"/>
  <c r="I2498" i="3"/>
  <c r="J2498" i="3" s="1"/>
  <c r="I2499" i="3"/>
  <c r="J2499" i="3" s="1"/>
  <c r="I2500" i="3"/>
  <c r="J2500" i="3" s="1"/>
  <c r="I2501" i="3"/>
  <c r="J2501" i="3" s="1"/>
  <c r="I2502" i="3"/>
  <c r="J2502" i="3" s="1"/>
  <c r="I2503" i="3"/>
  <c r="J2503" i="3" s="1"/>
  <c r="I2504" i="3"/>
  <c r="J2504" i="3" s="1"/>
  <c r="I2505" i="3"/>
  <c r="J2505" i="3" s="1"/>
  <c r="I2506" i="3"/>
  <c r="J2506" i="3" s="1"/>
  <c r="I2507" i="3"/>
  <c r="J2507" i="3" s="1"/>
  <c r="I2508" i="3"/>
  <c r="J2508" i="3" s="1"/>
  <c r="I2509" i="3"/>
  <c r="J2509" i="3" s="1"/>
  <c r="I2510" i="3"/>
  <c r="J2510" i="3" s="1"/>
  <c r="I2511" i="3"/>
  <c r="J2511" i="3" s="1"/>
  <c r="I2512" i="3"/>
  <c r="J2512" i="3" s="1"/>
  <c r="I2513" i="3"/>
  <c r="J2513" i="3" s="1"/>
  <c r="I2514" i="3"/>
  <c r="J2514" i="3" s="1"/>
  <c r="I2515" i="3"/>
  <c r="J2515" i="3" s="1"/>
  <c r="I2516" i="3"/>
  <c r="J2516" i="3" s="1"/>
  <c r="I2517" i="3"/>
  <c r="J2517" i="3" s="1"/>
  <c r="I2518" i="3"/>
  <c r="J2518" i="3" s="1"/>
  <c r="I2519" i="3"/>
  <c r="J2519" i="3" s="1"/>
  <c r="I2520" i="3"/>
  <c r="J2520" i="3" s="1"/>
  <c r="I2521" i="3"/>
  <c r="J2521" i="3" s="1"/>
  <c r="I2522" i="3"/>
  <c r="J2522" i="3" s="1"/>
  <c r="I2523" i="3"/>
  <c r="J2523" i="3" s="1"/>
  <c r="I2524" i="3"/>
  <c r="J2524" i="3" s="1"/>
  <c r="I2525" i="3"/>
  <c r="J2525" i="3" s="1"/>
  <c r="I2526" i="3"/>
  <c r="J2526" i="3" s="1"/>
  <c r="I2527" i="3"/>
  <c r="J2527" i="3" s="1"/>
  <c r="I2528" i="3"/>
  <c r="J2528" i="3" s="1"/>
  <c r="I2529" i="3"/>
  <c r="J2529" i="3" s="1"/>
  <c r="I2530" i="3"/>
  <c r="J2530" i="3" s="1"/>
  <c r="I2531" i="3"/>
  <c r="J2531" i="3" s="1"/>
  <c r="I2532" i="3"/>
  <c r="J2532" i="3" s="1"/>
  <c r="I2533" i="3"/>
  <c r="J2533" i="3" s="1"/>
  <c r="I2534" i="3"/>
  <c r="J2534" i="3" s="1"/>
  <c r="I2535" i="3"/>
  <c r="J2535" i="3" s="1"/>
  <c r="I2536" i="3"/>
  <c r="J2536" i="3" s="1"/>
  <c r="I2537" i="3"/>
  <c r="J2537" i="3" s="1"/>
  <c r="I2538" i="3"/>
  <c r="J2538" i="3" s="1"/>
  <c r="I2539" i="3"/>
  <c r="J2539" i="3" s="1"/>
  <c r="I2540" i="3"/>
  <c r="J2540" i="3" s="1"/>
  <c r="I2541" i="3"/>
  <c r="J2541" i="3" s="1"/>
  <c r="I2542" i="3"/>
  <c r="J2542" i="3" s="1"/>
  <c r="I2543" i="3"/>
  <c r="J2543" i="3" s="1"/>
  <c r="I2544" i="3"/>
  <c r="J2544" i="3" s="1"/>
  <c r="I2545" i="3"/>
  <c r="J2545" i="3" s="1"/>
  <c r="I2546" i="3"/>
  <c r="J2546" i="3" s="1"/>
  <c r="I2547" i="3"/>
  <c r="J2547" i="3" s="1"/>
  <c r="I2548" i="3"/>
  <c r="J2548" i="3" s="1"/>
  <c r="I2549" i="3"/>
  <c r="J2549" i="3" s="1"/>
  <c r="I2550" i="3"/>
  <c r="J2550" i="3" s="1"/>
  <c r="I2551" i="3"/>
  <c r="J2551" i="3" s="1"/>
  <c r="I2552" i="3"/>
  <c r="J2552" i="3" s="1"/>
  <c r="I2553" i="3"/>
  <c r="J2553" i="3" s="1"/>
  <c r="I2554" i="3"/>
  <c r="J2554" i="3" s="1"/>
  <c r="I2555" i="3"/>
  <c r="J2555" i="3" s="1"/>
  <c r="I2556" i="3"/>
  <c r="J2556" i="3" s="1"/>
  <c r="I2557" i="3"/>
  <c r="J2557" i="3" s="1"/>
  <c r="I2558" i="3"/>
  <c r="J2558" i="3" s="1"/>
  <c r="I2559" i="3"/>
  <c r="J2559" i="3" s="1"/>
  <c r="I2560" i="3"/>
  <c r="J2560" i="3" s="1"/>
  <c r="I2561" i="3"/>
  <c r="J2561" i="3" s="1"/>
  <c r="I2562" i="3"/>
  <c r="J2562" i="3" s="1"/>
  <c r="I2563" i="3"/>
  <c r="J2563" i="3" s="1"/>
  <c r="I2564" i="3"/>
  <c r="J2564" i="3" s="1"/>
  <c r="I2565" i="3"/>
  <c r="J2565" i="3" s="1"/>
  <c r="I2566" i="3"/>
  <c r="J2566" i="3" s="1"/>
  <c r="I2567" i="3"/>
  <c r="J2567" i="3" s="1"/>
  <c r="I2568" i="3"/>
  <c r="J2568" i="3" s="1"/>
  <c r="I2569" i="3"/>
  <c r="J2569" i="3" s="1"/>
  <c r="I2570" i="3"/>
  <c r="J2570" i="3" s="1"/>
  <c r="I2571" i="3"/>
  <c r="J2571" i="3" s="1"/>
  <c r="I2572" i="3"/>
  <c r="J2572" i="3" s="1"/>
  <c r="I2573" i="3"/>
  <c r="J2573" i="3" s="1"/>
  <c r="I2574" i="3"/>
  <c r="J2574" i="3" s="1"/>
  <c r="I2575" i="3"/>
  <c r="J2575" i="3" s="1"/>
  <c r="I2576" i="3"/>
  <c r="J2576" i="3" s="1"/>
  <c r="I2577" i="3"/>
  <c r="J2577" i="3" s="1"/>
  <c r="I2578" i="3"/>
  <c r="J2578" i="3" s="1"/>
  <c r="I2579" i="3"/>
  <c r="J2579" i="3" s="1"/>
  <c r="I2580" i="3"/>
  <c r="J2580" i="3" s="1"/>
  <c r="I2581" i="3"/>
  <c r="J2581" i="3" s="1"/>
  <c r="I2582" i="3"/>
  <c r="J2582" i="3" s="1"/>
  <c r="I2583" i="3"/>
  <c r="J2583" i="3" s="1"/>
  <c r="I2584" i="3"/>
  <c r="J2584" i="3" s="1"/>
  <c r="I2585" i="3"/>
  <c r="J2585" i="3" s="1"/>
  <c r="I2586" i="3"/>
  <c r="J2586" i="3" s="1"/>
  <c r="I2587" i="3"/>
  <c r="J2587" i="3" s="1"/>
  <c r="I2588" i="3"/>
  <c r="J2588" i="3" s="1"/>
  <c r="I2589" i="3"/>
  <c r="J2589" i="3" s="1"/>
  <c r="I2590" i="3"/>
  <c r="J2590" i="3" s="1"/>
  <c r="I2591" i="3"/>
  <c r="J2591" i="3" s="1"/>
  <c r="I2592" i="3"/>
  <c r="J2592" i="3" s="1"/>
  <c r="I2593" i="3"/>
  <c r="J2593" i="3" s="1"/>
  <c r="I2594" i="3"/>
  <c r="J2594" i="3" s="1"/>
  <c r="I2595" i="3"/>
  <c r="J2595" i="3" s="1"/>
  <c r="I2596" i="3"/>
  <c r="J2596" i="3" s="1"/>
  <c r="I2597" i="3"/>
  <c r="J2597" i="3" s="1"/>
  <c r="I2598" i="3"/>
  <c r="J2598" i="3" s="1"/>
  <c r="I2599" i="3"/>
  <c r="J2599" i="3" s="1"/>
  <c r="I2600" i="3"/>
  <c r="J2600" i="3" s="1"/>
  <c r="I2601" i="3"/>
  <c r="J2601" i="3" s="1"/>
  <c r="I2602" i="3"/>
  <c r="J2602" i="3" s="1"/>
  <c r="I2603" i="3"/>
  <c r="J2603" i="3" s="1"/>
  <c r="I2604" i="3"/>
  <c r="J2604" i="3" s="1"/>
  <c r="I2605" i="3"/>
  <c r="J2605" i="3" s="1"/>
  <c r="I2606" i="3"/>
  <c r="J2606" i="3" s="1"/>
  <c r="I2607" i="3"/>
  <c r="J2607" i="3" s="1"/>
  <c r="I2608" i="3"/>
  <c r="J2608" i="3" s="1"/>
  <c r="I2609" i="3"/>
  <c r="J2609" i="3" s="1"/>
  <c r="I2610" i="3"/>
  <c r="J2610" i="3" s="1"/>
  <c r="I2611" i="3"/>
  <c r="J2611" i="3" s="1"/>
  <c r="I2612" i="3"/>
  <c r="J2612" i="3" s="1"/>
  <c r="I2613" i="3"/>
  <c r="J2613" i="3" s="1"/>
  <c r="I2614" i="3"/>
  <c r="J2614" i="3" s="1"/>
  <c r="I2615" i="3"/>
  <c r="J2615" i="3" s="1"/>
  <c r="I2616" i="3"/>
  <c r="J2616" i="3" s="1"/>
  <c r="I2617" i="3"/>
  <c r="J2617" i="3" s="1"/>
  <c r="I2618" i="3"/>
  <c r="J2618" i="3" s="1"/>
  <c r="I2619" i="3"/>
  <c r="J2619" i="3" s="1"/>
  <c r="I2620" i="3"/>
  <c r="J2620" i="3" s="1"/>
  <c r="I2621" i="3"/>
  <c r="J2621" i="3" s="1"/>
  <c r="I2622" i="3"/>
  <c r="J2622" i="3" s="1"/>
  <c r="I2623" i="3"/>
  <c r="J2623" i="3" s="1"/>
  <c r="I2624" i="3"/>
  <c r="J2624" i="3" s="1"/>
  <c r="I2625" i="3"/>
  <c r="J2625" i="3" s="1"/>
  <c r="I2626" i="3"/>
  <c r="J2626" i="3" s="1"/>
  <c r="I2627" i="3"/>
  <c r="J2627" i="3" s="1"/>
  <c r="I2628" i="3"/>
  <c r="J2628" i="3" s="1"/>
  <c r="I2364" i="3"/>
  <c r="J2364" i="3" s="1"/>
  <c r="I2365" i="3"/>
  <c r="J2365" i="3" s="1"/>
  <c r="I2366" i="3"/>
  <c r="J2366" i="3" s="1"/>
  <c r="I2367" i="3"/>
  <c r="J2367" i="3" s="1"/>
  <c r="I2368" i="3"/>
  <c r="J2368" i="3" s="1"/>
  <c r="I2369" i="3"/>
  <c r="J2369" i="3" s="1"/>
  <c r="I2370" i="3"/>
  <c r="J2370" i="3" s="1"/>
  <c r="I2371" i="3"/>
  <c r="J2371" i="3" s="1"/>
  <c r="I2372" i="3"/>
  <c r="J2372" i="3" s="1"/>
  <c r="I2373" i="3"/>
  <c r="J2373" i="3" s="1"/>
  <c r="I2374" i="3"/>
  <c r="J2374" i="3" s="1"/>
  <c r="I2375" i="3"/>
  <c r="J2375" i="3" s="1"/>
  <c r="I2376" i="3"/>
  <c r="J2376" i="3" s="1"/>
  <c r="I2377" i="3"/>
  <c r="J2377" i="3" s="1"/>
  <c r="I2378" i="3"/>
  <c r="J2378" i="3" s="1"/>
  <c r="I2379" i="3"/>
  <c r="J2379" i="3" s="1"/>
  <c r="I2380" i="3"/>
  <c r="J2380" i="3" s="1"/>
  <c r="I2381" i="3"/>
  <c r="J2381" i="3" s="1"/>
  <c r="I2382" i="3"/>
  <c r="J2382" i="3" s="1"/>
  <c r="I2383" i="3"/>
  <c r="J2383" i="3" s="1"/>
  <c r="I2384" i="3"/>
  <c r="J2384" i="3" s="1"/>
  <c r="I2385" i="3"/>
  <c r="J2385" i="3" s="1"/>
  <c r="I2386" i="3"/>
  <c r="J2386" i="3" s="1"/>
  <c r="I2387" i="3"/>
  <c r="J2387" i="3" s="1"/>
  <c r="I2388" i="3"/>
  <c r="J2388" i="3" s="1"/>
  <c r="I2389" i="3"/>
  <c r="J2389" i="3" s="1"/>
  <c r="I2390" i="3"/>
  <c r="J2390" i="3" s="1"/>
  <c r="I2391" i="3"/>
  <c r="J2391" i="3" s="1"/>
  <c r="I2392" i="3"/>
  <c r="J2392" i="3" s="1"/>
  <c r="I2393" i="3"/>
  <c r="J2393" i="3" s="1"/>
  <c r="I2394" i="3"/>
  <c r="J2394" i="3" s="1"/>
  <c r="I2395" i="3"/>
  <c r="J2395" i="3" s="1"/>
  <c r="I2396" i="3"/>
  <c r="J2396" i="3" s="1"/>
  <c r="I2397" i="3"/>
  <c r="J2397" i="3" s="1"/>
  <c r="I2398" i="3"/>
  <c r="J2398" i="3" s="1"/>
  <c r="I2399" i="3"/>
  <c r="J2399" i="3" s="1"/>
  <c r="I2400" i="3"/>
  <c r="J2400" i="3" s="1"/>
  <c r="I2401" i="3"/>
  <c r="J2401" i="3" s="1"/>
  <c r="I2402" i="3"/>
  <c r="J2402" i="3" s="1"/>
  <c r="I2403" i="3"/>
  <c r="J2403" i="3" s="1"/>
  <c r="I2404" i="3"/>
  <c r="J2404" i="3" s="1"/>
  <c r="I2405" i="3"/>
  <c r="J2405" i="3" s="1"/>
  <c r="I2406" i="3"/>
  <c r="J2406" i="3" s="1"/>
  <c r="I2407" i="3"/>
  <c r="J2407" i="3" s="1"/>
  <c r="I2408" i="3"/>
  <c r="J2408" i="3" s="1"/>
  <c r="I2409" i="3"/>
  <c r="J2409" i="3" s="1"/>
  <c r="I2410" i="3"/>
  <c r="J2410" i="3" s="1"/>
  <c r="I2411" i="3"/>
  <c r="J2411" i="3" s="1"/>
  <c r="I2412" i="3"/>
  <c r="J2412" i="3" s="1"/>
  <c r="I2413" i="3"/>
  <c r="J2413" i="3" s="1"/>
  <c r="I2414" i="3"/>
  <c r="J2414" i="3" s="1"/>
  <c r="I2415" i="3"/>
  <c r="J2415" i="3" s="1"/>
  <c r="I2223" i="3"/>
  <c r="J2223" i="3" s="1"/>
  <c r="I2224" i="3"/>
  <c r="J2224" i="3" s="1"/>
  <c r="I2225" i="3"/>
  <c r="J2225" i="3" s="1"/>
  <c r="I2226" i="3"/>
  <c r="J2226" i="3" s="1"/>
  <c r="I2227" i="3"/>
  <c r="J2227" i="3" s="1"/>
  <c r="I2228" i="3"/>
  <c r="J2228" i="3" s="1"/>
  <c r="I2229" i="3"/>
  <c r="J2229" i="3" s="1"/>
  <c r="I2230" i="3"/>
  <c r="J2230" i="3" s="1"/>
  <c r="I2231" i="3"/>
  <c r="J2231" i="3" s="1"/>
  <c r="I2232" i="3"/>
  <c r="J2232" i="3" s="1"/>
  <c r="I2233" i="3"/>
  <c r="J2233" i="3" s="1"/>
  <c r="I2234" i="3"/>
  <c r="J2234" i="3" s="1"/>
  <c r="I2235" i="3"/>
  <c r="J2235" i="3" s="1"/>
  <c r="I2236" i="3"/>
  <c r="J2236" i="3" s="1"/>
  <c r="I2237" i="3"/>
  <c r="J2237" i="3" s="1"/>
  <c r="I2238" i="3"/>
  <c r="J2238" i="3" s="1"/>
  <c r="I2239" i="3"/>
  <c r="J2239" i="3" s="1"/>
  <c r="I2240" i="3"/>
  <c r="J2240" i="3" s="1"/>
  <c r="I2241" i="3"/>
  <c r="J2241" i="3" s="1"/>
  <c r="I2242" i="3"/>
  <c r="J2242" i="3" s="1"/>
  <c r="I2243" i="3"/>
  <c r="J2243" i="3" s="1"/>
  <c r="I2244" i="3"/>
  <c r="J2244" i="3" s="1"/>
  <c r="I2245" i="3"/>
  <c r="J2245" i="3" s="1"/>
  <c r="I2246" i="3"/>
  <c r="J2246" i="3" s="1"/>
  <c r="I2247" i="3"/>
  <c r="J2247" i="3" s="1"/>
  <c r="I2248" i="3"/>
  <c r="J2248" i="3" s="1"/>
  <c r="I2249" i="3"/>
  <c r="J2249" i="3" s="1"/>
  <c r="I2250" i="3"/>
  <c r="J2250" i="3" s="1"/>
  <c r="I2251" i="3"/>
  <c r="J2251" i="3" s="1"/>
  <c r="I2252" i="3"/>
  <c r="J2252" i="3" s="1"/>
  <c r="I2253" i="3"/>
  <c r="J2253" i="3" s="1"/>
  <c r="I2254" i="3"/>
  <c r="J2254" i="3" s="1"/>
  <c r="I2255" i="3"/>
  <c r="J2255" i="3" s="1"/>
  <c r="I2256" i="3"/>
  <c r="J2256" i="3" s="1"/>
  <c r="I2257" i="3"/>
  <c r="J2257" i="3" s="1"/>
  <c r="I2258" i="3"/>
  <c r="J2258" i="3" s="1"/>
  <c r="I2259" i="3"/>
  <c r="J2259" i="3" s="1"/>
  <c r="I2260" i="3"/>
  <c r="J2260" i="3" s="1"/>
  <c r="I2261" i="3"/>
  <c r="J2261" i="3" s="1"/>
  <c r="I2262" i="3"/>
  <c r="J2262" i="3" s="1"/>
  <c r="I2263" i="3"/>
  <c r="J2263" i="3" s="1"/>
  <c r="I2264" i="3"/>
  <c r="J2264" i="3" s="1"/>
  <c r="I2265" i="3"/>
  <c r="J2265" i="3" s="1"/>
  <c r="I2266" i="3"/>
  <c r="J2266" i="3" s="1"/>
  <c r="I2267" i="3"/>
  <c r="J2267" i="3" s="1"/>
  <c r="I2268" i="3"/>
  <c r="J2268" i="3" s="1"/>
  <c r="I2269" i="3"/>
  <c r="J2269" i="3" s="1"/>
  <c r="I2270" i="3"/>
  <c r="J2270" i="3" s="1"/>
  <c r="I2271" i="3"/>
  <c r="J2271" i="3" s="1"/>
  <c r="I2272" i="3"/>
  <c r="J2272" i="3" s="1"/>
  <c r="I2273" i="3"/>
  <c r="J2273" i="3" s="1"/>
  <c r="I2274" i="3"/>
  <c r="J2274" i="3" s="1"/>
  <c r="I2275" i="3"/>
  <c r="J2275" i="3" s="1"/>
  <c r="I2276" i="3"/>
  <c r="J2276" i="3" s="1"/>
  <c r="I2277" i="3"/>
  <c r="J2277" i="3" s="1"/>
  <c r="I2278" i="3"/>
  <c r="J2278" i="3" s="1"/>
  <c r="I2279" i="3"/>
  <c r="J2279" i="3" s="1"/>
  <c r="I2280" i="3"/>
  <c r="J2280" i="3" s="1"/>
  <c r="I2281" i="3"/>
  <c r="J2281" i="3" s="1"/>
  <c r="I2282" i="3"/>
  <c r="J2282" i="3" s="1"/>
  <c r="I2283" i="3"/>
  <c r="J2283" i="3" s="1"/>
  <c r="I2284" i="3"/>
  <c r="J2284" i="3" s="1"/>
  <c r="I2285" i="3"/>
  <c r="J2285" i="3" s="1"/>
  <c r="I2286" i="3"/>
  <c r="J2286" i="3" s="1"/>
  <c r="I2287" i="3"/>
  <c r="J2287" i="3" s="1"/>
  <c r="I2288" i="3"/>
  <c r="J2288" i="3" s="1"/>
  <c r="I2289" i="3"/>
  <c r="J2289" i="3" s="1"/>
  <c r="I2290" i="3"/>
  <c r="J2290" i="3" s="1"/>
  <c r="I2291" i="3"/>
  <c r="J2291" i="3" s="1"/>
  <c r="I2292" i="3"/>
  <c r="J2292" i="3" s="1"/>
  <c r="I2293" i="3"/>
  <c r="J2293" i="3" s="1"/>
  <c r="I2294" i="3"/>
  <c r="J2294" i="3" s="1"/>
  <c r="I2295" i="3"/>
  <c r="J2295" i="3" s="1"/>
  <c r="I2296" i="3"/>
  <c r="J2296" i="3" s="1"/>
  <c r="I2297" i="3"/>
  <c r="J2297" i="3" s="1"/>
  <c r="I2298" i="3"/>
  <c r="J2298" i="3" s="1"/>
  <c r="I2299" i="3"/>
  <c r="J2299" i="3" s="1"/>
  <c r="I2300" i="3"/>
  <c r="J2300" i="3" s="1"/>
  <c r="I2301" i="3"/>
  <c r="J2301" i="3" s="1"/>
  <c r="I2302" i="3"/>
  <c r="J2302" i="3" s="1"/>
  <c r="I2303" i="3"/>
  <c r="J2303" i="3" s="1"/>
  <c r="I2304" i="3"/>
  <c r="J2304" i="3" s="1"/>
  <c r="I2305" i="3"/>
  <c r="J2305" i="3" s="1"/>
  <c r="I2306" i="3"/>
  <c r="J2306" i="3" s="1"/>
  <c r="I2307" i="3"/>
  <c r="J2307" i="3" s="1"/>
  <c r="I2308" i="3"/>
  <c r="J2308" i="3" s="1"/>
  <c r="I2309" i="3"/>
  <c r="J2309" i="3" s="1"/>
  <c r="I2310" i="3"/>
  <c r="J2310" i="3" s="1"/>
  <c r="I2311" i="3"/>
  <c r="J2311" i="3" s="1"/>
  <c r="I2312" i="3"/>
  <c r="J2312" i="3" s="1"/>
  <c r="I2313" i="3"/>
  <c r="J2313" i="3" s="1"/>
  <c r="I2314" i="3"/>
  <c r="J2314" i="3" s="1"/>
  <c r="I2315" i="3"/>
  <c r="J2315" i="3" s="1"/>
  <c r="I2316" i="3"/>
  <c r="J2316" i="3" s="1"/>
  <c r="I2317" i="3"/>
  <c r="J2317" i="3" s="1"/>
  <c r="I2318" i="3"/>
  <c r="J2318" i="3" s="1"/>
  <c r="I2319" i="3"/>
  <c r="J2319" i="3" s="1"/>
  <c r="I2320" i="3"/>
  <c r="J2320" i="3" s="1"/>
  <c r="I2321" i="3"/>
  <c r="J2321" i="3" s="1"/>
  <c r="I2322" i="3"/>
  <c r="J2322" i="3" s="1"/>
  <c r="I2323" i="3"/>
  <c r="J2323" i="3" s="1"/>
  <c r="I2324" i="3"/>
  <c r="J2324" i="3" s="1"/>
  <c r="I2325" i="3"/>
  <c r="J2325" i="3" s="1"/>
  <c r="I2326" i="3"/>
  <c r="J2326" i="3" s="1"/>
  <c r="I2327" i="3"/>
  <c r="J2327" i="3" s="1"/>
  <c r="I2328" i="3"/>
  <c r="J2328" i="3" s="1"/>
  <c r="I2329" i="3"/>
  <c r="J2329" i="3" s="1"/>
  <c r="I2330" i="3"/>
  <c r="J2330" i="3" s="1"/>
  <c r="I2331" i="3"/>
  <c r="J2331" i="3" s="1"/>
  <c r="I2332" i="3"/>
  <c r="J2332" i="3" s="1"/>
  <c r="I2333" i="3"/>
  <c r="J2333" i="3" s="1"/>
  <c r="I2334" i="3"/>
  <c r="J2334" i="3" s="1"/>
  <c r="I2335" i="3"/>
  <c r="J2335" i="3" s="1"/>
  <c r="I2336" i="3"/>
  <c r="J2336" i="3" s="1"/>
  <c r="I2337" i="3"/>
  <c r="J2337" i="3" s="1"/>
  <c r="I2338" i="3"/>
  <c r="J2338" i="3" s="1"/>
  <c r="I2339" i="3"/>
  <c r="J2339" i="3" s="1"/>
  <c r="I2340" i="3"/>
  <c r="J2340" i="3" s="1"/>
  <c r="I2341" i="3"/>
  <c r="J2341" i="3" s="1"/>
  <c r="I2342" i="3"/>
  <c r="J2342" i="3" s="1"/>
  <c r="I2343" i="3"/>
  <c r="J2343" i="3" s="1"/>
  <c r="I2344" i="3"/>
  <c r="J2344" i="3" s="1"/>
  <c r="I2345" i="3"/>
  <c r="J2345" i="3" s="1"/>
  <c r="I2346" i="3"/>
  <c r="J2346" i="3" s="1"/>
  <c r="I2347" i="3"/>
  <c r="J2347" i="3" s="1"/>
  <c r="I2348" i="3"/>
  <c r="J2348" i="3" s="1"/>
  <c r="I2349" i="3"/>
  <c r="J2349" i="3" s="1"/>
  <c r="I2350" i="3"/>
  <c r="J2350" i="3" s="1"/>
  <c r="I2351" i="3"/>
  <c r="J2351" i="3" s="1"/>
  <c r="I2352" i="3"/>
  <c r="J2352" i="3" s="1"/>
  <c r="I2353" i="3"/>
  <c r="J2353" i="3" s="1"/>
  <c r="I2354" i="3"/>
  <c r="J2354" i="3" s="1"/>
  <c r="I2355" i="3"/>
  <c r="J2355" i="3" s="1"/>
  <c r="I2356" i="3"/>
  <c r="J2356" i="3" s="1"/>
  <c r="I2357" i="3"/>
  <c r="J2357" i="3" s="1"/>
  <c r="I2358" i="3"/>
  <c r="J2358" i="3" s="1"/>
  <c r="I2359" i="3"/>
  <c r="J2359" i="3" s="1"/>
  <c r="I2360" i="3"/>
  <c r="J2360" i="3" s="1"/>
  <c r="I2361" i="3"/>
  <c r="J2361" i="3" s="1"/>
  <c r="I2212" i="3"/>
  <c r="J2212" i="3" s="1"/>
  <c r="I2213" i="3"/>
  <c r="J2213" i="3" s="1"/>
  <c r="I2214" i="3"/>
  <c r="J2214" i="3" s="1"/>
  <c r="I2215" i="3"/>
  <c r="J2215" i="3" s="1"/>
  <c r="I2216" i="3"/>
  <c r="J2216" i="3" s="1"/>
  <c r="I2217" i="3"/>
  <c r="J2217" i="3" s="1"/>
  <c r="I2218" i="3"/>
  <c r="J2218" i="3" s="1"/>
  <c r="I2219" i="3"/>
  <c r="J2219" i="3" s="1"/>
  <c r="I2220" i="3"/>
  <c r="J2220" i="3" s="1"/>
  <c r="I2200" i="3"/>
  <c r="J2200" i="3" s="1"/>
  <c r="I2201" i="3"/>
  <c r="J2201" i="3" s="1"/>
  <c r="I2202" i="3"/>
  <c r="J2202" i="3" s="1"/>
  <c r="I2203" i="3"/>
  <c r="J2203" i="3" s="1"/>
  <c r="I2204" i="3"/>
  <c r="J2204" i="3" s="1"/>
  <c r="I2205" i="3"/>
  <c r="J2205" i="3" s="1"/>
  <c r="I2206" i="3"/>
  <c r="J2206" i="3" s="1"/>
  <c r="I2156" i="3"/>
  <c r="J2156" i="3" s="1"/>
  <c r="I2157" i="3"/>
  <c r="J2157" i="3" s="1"/>
  <c r="I2158" i="3"/>
  <c r="J2158" i="3" s="1"/>
  <c r="I2159" i="3"/>
  <c r="J2159" i="3" s="1"/>
  <c r="I2160" i="3"/>
  <c r="J2160" i="3" s="1"/>
  <c r="I2161" i="3"/>
  <c r="J2161" i="3" s="1"/>
  <c r="I2162" i="3"/>
  <c r="J2162" i="3" s="1"/>
  <c r="I2163" i="3"/>
  <c r="J2163" i="3" s="1"/>
  <c r="I2164" i="3"/>
  <c r="J2164" i="3" s="1"/>
  <c r="I2165" i="3"/>
  <c r="J2165" i="3" s="1"/>
  <c r="I2166" i="3"/>
  <c r="J2166" i="3" s="1"/>
  <c r="I2167" i="3"/>
  <c r="J2167" i="3" s="1"/>
  <c r="I2168" i="3"/>
  <c r="J2168" i="3" s="1"/>
  <c r="I2169" i="3"/>
  <c r="J2169" i="3" s="1"/>
  <c r="I2170" i="3"/>
  <c r="J2170" i="3" s="1"/>
  <c r="I2171" i="3"/>
  <c r="J2171" i="3" s="1"/>
  <c r="I2172" i="3"/>
  <c r="J2172" i="3" s="1"/>
  <c r="I2173" i="3"/>
  <c r="J2173" i="3" s="1"/>
  <c r="I2174" i="3"/>
  <c r="J2174" i="3" s="1"/>
  <c r="I2175" i="3"/>
  <c r="J2175" i="3" s="1"/>
  <c r="I2176" i="3"/>
  <c r="J2176" i="3" s="1"/>
  <c r="I2177" i="3"/>
  <c r="J2177" i="3" s="1"/>
  <c r="I2178" i="3"/>
  <c r="J2178" i="3" s="1"/>
  <c r="I2179" i="3"/>
  <c r="J2179" i="3" s="1"/>
  <c r="I2180" i="3"/>
  <c r="J2180" i="3" s="1"/>
  <c r="I2181" i="3"/>
  <c r="J2181" i="3" s="1"/>
  <c r="I2182" i="3"/>
  <c r="J2182" i="3" s="1"/>
  <c r="I2183" i="3"/>
  <c r="J2183" i="3" s="1"/>
  <c r="I2184" i="3"/>
  <c r="J2184" i="3" s="1"/>
  <c r="I2185" i="3"/>
  <c r="J2185" i="3" s="1"/>
  <c r="I2186" i="3"/>
  <c r="J2186" i="3" s="1"/>
  <c r="I2187" i="3"/>
  <c r="J2187" i="3" s="1"/>
  <c r="I2188" i="3"/>
  <c r="J2188" i="3" s="1"/>
  <c r="I2189" i="3"/>
  <c r="J2189" i="3" s="1"/>
  <c r="I2190" i="3"/>
  <c r="J2190" i="3" s="1"/>
  <c r="I2191" i="3"/>
  <c r="J2191" i="3" s="1"/>
  <c r="I2192" i="3"/>
  <c r="J2192" i="3" s="1"/>
  <c r="I2193" i="3"/>
  <c r="J2193" i="3" s="1"/>
  <c r="I2194" i="3"/>
  <c r="J2194" i="3" s="1"/>
  <c r="I2195" i="3"/>
  <c r="J2195" i="3" s="1"/>
  <c r="I2196" i="3"/>
  <c r="J2196" i="3" s="1"/>
  <c r="I2197" i="3"/>
  <c r="J2197" i="3" s="1"/>
  <c r="I2030" i="3"/>
  <c r="J2030" i="3" s="1"/>
  <c r="I2031" i="3"/>
  <c r="J2031" i="3" s="1"/>
  <c r="I2032" i="3"/>
  <c r="J2032" i="3" s="1"/>
  <c r="I2033" i="3"/>
  <c r="J2033" i="3" s="1"/>
  <c r="I2034" i="3"/>
  <c r="J2034" i="3" s="1"/>
  <c r="I2035" i="3"/>
  <c r="J2035" i="3" s="1"/>
  <c r="I2036" i="3"/>
  <c r="J2036" i="3" s="1"/>
  <c r="I2037" i="3"/>
  <c r="J2037" i="3" s="1"/>
  <c r="I2038" i="3"/>
  <c r="J2038" i="3" s="1"/>
  <c r="I2039" i="3"/>
  <c r="J2039" i="3" s="1"/>
  <c r="I2040" i="3"/>
  <c r="J2040" i="3" s="1"/>
  <c r="I2041" i="3"/>
  <c r="J2041" i="3" s="1"/>
  <c r="I2042" i="3"/>
  <c r="J2042" i="3" s="1"/>
  <c r="I2043" i="3"/>
  <c r="J2043" i="3" s="1"/>
  <c r="I2044" i="3"/>
  <c r="J2044" i="3" s="1"/>
  <c r="I2045" i="3"/>
  <c r="J2045" i="3" s="1"/>
  <c r="I2046" i="3"/>
  <c r="J2046" i="3" s="1"/>
  <c r="I2047" i="3"/>
  <c r="J2047" i="3" s="1"/>
  <c r="I2048" i="3"/>
  <c r="J2048" i="3" s="1"/>
  <c r="I2049" i="3"/>
  <c r="J2049" i="3" s="1"/>
  <c r="I2050" i="3"/>
  <c r="J2050" i="3" s="1"/>
  <c r="I2051" i="3"/>
  <c r="J2051" i="3" s="1"/>
  <c r="I2052" i="3"/>
  <c r="J2052" i="3" s="1"/>
  <c r="I2053" i="3"/>
  <c r="J2053" i="3" s="1"/>
  <c r="I2054" i="3"/>
  <c r="J2054" i="3" s="1"/>
  <c r="I2055" i="3"/>
  <c r="J2055" i="3" s="1"/>
  <c r="I2056" i="3"/>
  <c r="J2056" i="3" s="1"/>
  <c r="I2057" i="3"/>
  <c r="J2057" i="3" s="1"/>
  <c r="I2058" i="3"/>
  <c r="J2058" i="3" s="1"/>
  <c r="I2059" i="3"/>
  <c r="J2059" i="3" s="1"/>
  <c r="I2060" i="3"/>
  <c r="J2060" i="3" s="1"/>
  <c r="I2061" i="3"/>
  <c r="J2061" i="3" s="1"/>
  <c r="I2062" i="3"/>
  <c r="J2062" i="3" s="1"/>
  <c r="I2063" i="3"/>
  <c r="J2063" i="3" s="1"/>
  <c r="I2064" i="3"/>
  <c r="J2064" i="3" s="1"/>
  <c r="I2065" i="3"/>
  <c r="J2065" i="3" s="1"/>
  <c r="I2066" i="3"/>
  <c r="J2066" i="3" s="1"/>
  <c r="I2067" i="3"/>
  <c r="J2067" i="3" s="1"/>
  <c r="I2068" i="3"/>
  <c r="J2068" i="3" s="1"/>
  <c r="I2069" i="3"/>
  <c r="J2069" i="3" s="1"/>
  <c r="I2070" i="3"/>
  <c r="J2070" i="3" s="1"/>
  <c r="I2071" i="3"/>
  <c r="J2071" i="3" s="1"/>
  <c r="I2072" i="3"/>
  <c r="J2072" i="3" s="1"/>
  <c r="I2073" i="3"/>
  <c r="J2073" i="3" s="1"/>
  <c r="I2074" i="3"/>
  <c r="J2074" i="3" s="1"/>
  <c r="I2075" i="3"/>
  <c r="J2075" i="3" s="1"/>
  <c r="I2076" i="3"/>
  <c r="J2076" i="3" s="1"/>
  <c r="I2077" i="3"/>
  <c r="J2077" i="3" s="1"/>
  <c r="I2078" i="3"/>
  <c r="J2078" i="3" s="1"/>
  <c r="I2079" i="3"/>
  <c r="J2079" i="3" s="1"/>
  <c r="I2080" i="3"/>
  <c r="J2080" i="3" s="1"/>
  <c r="I2081" i="3"/>
  <c r="J2081" i="3" s="1"/>
  <c r="I2082" i="3"/>
  <c r="J2082" i="3" s="1"/>
  <c r="I2083" i="3"/>
  <c r="J2083" i="3" s="1"/>
  <c r="I2084" i="3"/>
  <c r="J2084" i="3" s="1"/>
  <c r="I2085" i="3"/>
  <c r="J2085" i="3" s="1"/>
  <c r="I2086" i="3"/>
  <c r="J2086" i="3" s="1"/>
  <c r="I2087" i="3"/>
  <c r="J2087" i="3" s="1"/>
  <c r="I2088" i="3"/>
  <c r="J2088" i="3" s="1"/>
  <c r="I2089" i="3"/>
  <c r="J2089" i="3" s="1"/>
  <c r="I2090" i="3"/>
  <c r="J2090" i="3" s="1"/>
  <c r="I2091" i="3"/>
  <c r="J2091" i="3" s="1"/>
  <c r="I2092" i="3"/>
  <c r="J2092" i="3" s="1"/>
  <c r="I2093" i="3"/>
  <c r="J2093" i="3" s="1"/>
  <c r="I2094" i="3"/>
  <c r="J2094" i="3" s="1"/>
  <c r="I2095" i="3"/>
  <c r="J2095" i="3" s="1"/>
  <c r="I2096" i="3"/>
  <c r="J2096" i="3" s="1"/>
  <c r="I2097" i="3"/>
  <c r="J2097" i="3" s="1"/>
  <c r="I2098" i="3"/>
  <c r="J2098" i="3" s="1"/>
  <c r="I2099" i="3"/>
  <c r="J2099" i="3" s="1"/>
  <c r="I2100" i="3"/>
  <c r="J2100" i="3" s="1"/>
  <c r="I2101" i="3"/>
  <c r="J2101" i="3" s="1"/>
  <c r="I2102" i="3"/>
  <c r="J2102" i="3" s="1"/>
  <c r="I2103" i="3"/>
  <c r="J2103" i="3" s="1"/>
  <c r="I2104" i="3"/>
  <c r="J2104" i="3" s="1"/>
  <c r="I2105" i="3"/>
  <c r="J2105" i="3" s="1"/>
  <c r="I2106" i="3"/>
  <c r="J2106" i="3" s="1"/>
  <c r="I2107" i="3"/>
  <c r="J2107" i="3" s="1"/>
  <c r="I2108" i="3"/>
  <c r="J2108" i="3" s="1"/>
  <c r="I2109" i="3"/>
  <c r="J2109" i="3" s="1"/>
  <c r="I2110" i="3"/>
  <c r="J2110" i="3" s="1"/>
  <c r="I2111" i="3"/>
  <c r="J2111" i="3" s="1"/>
  <c r="I2112" i="3"/>
  <c r="J2112" i="3" s="1"/>
  <c r="I2113" i="3"/>
  <c r="J2113" i="3" s="1"/>
  <c r="I2114" i="3"/>
  <c r="J2114" i="3" s="1"/>
  <c r="I2115" i="3"/>
  <c r="J2115" i="3" s="1"/>
  <c r="I2116" i="3"/>
  <c r="J2116" i="3" s="1"/>
  <c r="I2117" i="3"/>
  <c r="J2117" i="3" s="1"/>
  <c r="I2118" i="3"/>
  <c r="J2118" i="3" s="1"/>
  <c r="I2119" i="3"/>
  <c r="J2119" i="3" s="1"/>
  <c r="I2120" i="3"/>
  <c r="J2120" i="3" s="1"/>
  <c r="I2121" i="3"/>
  <c r="J2121" i="3" s="1"/>
  <c r="I2122" i="3"/>
  <c r="J2122" i="3" s="1"/>
  <c r="I2123" i="3"/>
  <c r="J2123" i="3" s="1"/>
  <c r="I2124" i="3"/>
  <c r="J2124" i="3" s="1"/>
  <c r="I2125" i="3"/>
  <c r="J2125" i="3" s="1"/>
  <c r="I2126" i="3"/>
  <c r="J2126" i="3" s="1"/>
  <c r="I2127" i="3"/>
  <c r="J2127" i="3" s="1"/>
  <c r="I2128" i="3"/>
  <c r="J2128" i="3" s="1"/>
  <c r="I2129" i="3"/>
  <c r="J2129" i="3" s="1"/>
  <c r="I2130" i="3"/>
  <c r="J2130" i="3" s="1"/>
  <c r="I2131" i="3"/>
  <c r="J2131" i="3" s="1"/>
  <c r="I2132" i="3"/>
  <c r="J2132" i="3" s="1"/>
  <c r="I2133" i="3"/>
  <c r="J2133" i="3" s="1"/>
  <c r="I2134" i="3"/>
  <c r="J2134" i="3" s="1"/>
  <c r="I2135" i="3"/>
  <c r="J2135" i="3" s="1"/>
  <c r="I2136" i="3"/>
  <c r="J2136" i="3" s="1"/>
  <c r="I2137" i="3"/>
  <c r="J2137" i="3" s="1"/>
  <c r="I2138" i="3"/>
  <c r="J2138" i="3" s="1"/>
  <c r="I2139" i="3"/>
  <c r="J2139" i="3" s="1"/>
  <c r="I2140" i="3"/>
  <c r="J2140" i="3" s="1"/>
  <c r="I2141" i="3"/>
  <c r="J2141" i="3" s="1"/>
  <c r="I2142" i="3"/>
  <c r="J2142" i="3" s="1"/>
  <c r="I2143" i="3"/>
  <c r="J2143" i="3" s="1"/>
  <c r="I2144" i="3"/>
  <c r="J2144" i="3" s="1"/>
  <c r="I2145" i="3"/>
  <c r="J2145" i="3" s="1"/>
  <c r="I2146" i="3"/>
  <c r="J2146" i="3" s="1"/>
  <c r="I2147" i="3"/>
  <c r="J2147" i="3" s="1"/>
  <c r="I2148" i="3"/>
  <c r="J2148" i="3" s="1"/>
  <c r="I2149" i="3"/>
  <c r="J2149" i="3" s="1"/>
  <c r="I2150" i="3"/>
  <c r="J2150" i="3" s="1"/>
  <c r="I2011" i="3"/>
  <c r="J2011" i="3" s="1"/>
  <c r="I2012" i="3"/>
  <c r="J2012" i="3" s="1"/>
  <c r="I2013" i="3"/>
  <c r="J2013" i="3" s="1"/>
  <c r="I2014" i="3"/>
  <c r="J2014" i="3" s="1"/>
  <c r="I2015" i="3"/>
  <c r="J2015" i="3" s="1"/>
  <c r="I2016" i="3"/>
  <c r="J2016" i="3" s="1"/>
  <c r="I2017" i="3"/>
  <c r="J2017" i="3" s="1"/>
  <c r="I2018" i="3"/>
  <c r="J2018" i="3" s="1"/>
  <c r="I2019" i="3"/>
  <c r="J2019" i="3" s="1"/>
  <c r="I2020" i="3"/>
  <c r="J2020" i="3" s="1"/>
  <c r="I2021" i="3"/>
  <c r="J2021" i="3" s="1"/>
  <c r="I2022" i="3"/>
  <c r="J2022" i="3" s="1"/>
  <c r="I2023" i="3"/>
  <c r="J2023" i="3" s="1"/>
  <c r="I2024" i="3"/>
  <c r="J2024" i="3" s="1"/>
  <c r="I2025" i="3"/>
  <c r="J2025" i="3" s="1"/>
  <c r="I2026" i="3"/>
  <c r="J2026" i="3" s="1"/>
  <c r="I2027" i="3"/>
  <c r="J2027" i="3" s="1"/>
  <c r="I1946" i="3"/>
  <c r="J1946" i="3" s="1"/>
  <c r="I1947" i="3"/>
  <c r="J1947" i="3" s="1"/>
  <c r="I1948" i="3"/>
  <c r="J1948" i="3" s="1"/>
  <c r="I1949" i="3"/>
  <c r="J1949" i="3" s="1"/>
  <c r="I1950" i="3"/>
  <c r="J1950" i="3" s="1"/>
  <c r="I1951" i="3"/>
  <c r="J1951" i="3" s="1"/>
  <c r="I1952" i="3"/>
  <c r="J1952" i="3" s="1"/>
  <c r="I1953" i="3"/>
  <c r="J1953" i="3" s="1"/>
  <c r="I1954" i="3"/>
  <c r="J1954" i="3" s="1"/>
  <c r="I1955" i="3"/>
  <c r="J1955" i="3" s="1"/>
  <c r="I1956" i="3"/>
  <c r="J1956" i="3" s="1"/>
  <c r="I1957" i="3"/>
  <c r="J1957" i="3" s="1"/>
  <c r="I1958" i="3"/>
  <c r="J1958" i="3" s="1"/>
  <c r="I1959" i="3"/>
  <c r="J1959" i="3" s="1"/>
  <c r="I1960" i="3"/>
  <c r="J1960" i="3" s="1"/>
  <c r="I1961" i="3"/>
  <c r="J1961" i="3" s="1"/>
  <c r="I1962" i="3"/>
  <c r="J1962" i="3" s="1"/>
  <c r="I1963" i="3"/>
  <c r="J1963" i="3" s="1"/>
  <c r="I1964" i="3"/>
  <c r="J1964" i="3" s="1"/>
  <c r="I1965" i="3"/>
  <c r="J1965" i="3" s="1"/>
  <c r="I1966" i="3"/>
  <c r="J1966" i="3" s="1"/>
  <c r="I1967" i="3"/>
  <c r="J1967" i="3" s="1"/>
  <c r="I1968" i="3"/>
  <c r="J1968" i="3" s="1"/>
  <c r="I1969" i="3"/>
  <c r="J1969" i="3" s="1"/>
  <c r="I1970" i="3"/>
  <c r="J1970" i="3" s="1"/>
  <c r="I1971" i="3"/>
  <c r="J1971" i="3" s="1"/>
  <c r="I1972" i="3"/>
  <c r="J1972" i="3" s="1"/>
  <c r="I1973" i="3"/>
  <c r="J1973" i="3" s="1"/>
  <c r="I1974" i="3"/>
  <c r="J1974" i="3" s="1"/>
  <c r="I1975" i="3"/>
  <c r="J1975" i="3" s="1"/>
  <c r="I1976" i="3"/>
  <c r="J1976" i="3" s="1"/>
  <c r="I1977" i="3"/>
  <c r="J1977" i="3" s="1"/>
  <c r="I1978" i="3"/>
  <c r="J1978" i="3" s="1"/>
  <c r="I1979" i="3"/>
  <c r="J1979" i="3" s="1"/>
  <c r="I1980" i="3"/>
  <c r="J1980" i="3" s="1"/>
  <c r="I1981" i="3"/>
  <c r="J1981" i="3" s="1"/>
  <c r="I1982" i="3"/>
  <c r="J1982" i="3" s="1"/>
  <c r="I1983" i="3"/>
  <c r="J1983" i="3" s="1"/>
  <c r="I1984" i="3"/>
  <c r="J1984" i="3" s="1"/>
  <c r="I1985" i="3"/>
  <c r="J1985" i="3" s="1"/>
  <c r="I1986" i="3"/>
  <c r="J1986" i="3" s="1"/>
  <c r="I1987" i="3"/>
  <c r="J1987" i="3" s="1"/>
  <c r="I1988" i="3"/>
  <c r="J1988" i="3" s="1"/>
  <c r="I1989" i="3"/>
  <c r="J1989" i="3" s="1"/>
  <c r="I1990" i="3"/>
  <c r="J1990" i="3" s="1"/>
  <c r="I1991" i="3"/>
  <c r="J1991" i="3" s="1"/>
  <c r="I1992" i="3"/>
  <c r="J1992" i="3" s="1"/>
  <c r="I1993" i="3"/>
  <c r="J1993" i="3" s="1"/>
  <c r="I1994" i="3"/>
  <c r="J1994" i="3" s="1"/>
  <c r="I1995" i="3"/>
  <c r="J1995" i="3" s="1"/>
  <c r="I1996" i="3"/>
  <c r="J1996" i="3" s="1"/>
  <c r="I1997" i="3"/>
  <c r="J1997" i="3" s="1"/>
  <c r="I1998" i="3"/>
  <c r="J1998" i="3" s="1"/>
  <c r="I1999" i="3"/>
  <c r="J1999" i="3" s="1"/>
  <c r="I1881" i="3"/>
  <c r="J1881" i="3" s="1"/>
  <c r="I1882" i="3"/>
  <c r="J1882" i="3" s="1"/>
  <c r="I1883" i="3"/>
  <c r="J1883" i="3" s="1"/>
  <c r="I1884" i="3"/>
  <c r="J1884" i="3" s="1"/>
  <c r="I1885" i="3"/>
  <c r="J1885" i="3" s="1"/>
  <c r="I1886" i="3"/>
  <c r="J1886" i="3" s="1"/>
  <c r="I1887" i="3"/>
  <c r="J1887" i="3" s="1"/>
  <c r="I1888" i="3"/>
  <c r="J1888" i="3" s="1"/>
  <c r="I1889" i="3"/>
  <c r="J1889" i="3" s="1"/>
  <c r="I1890" i="3"/>
  <c r="J1890" i="3" s="1"/>
  <c r="I1891" i="3"/>
  <c r="J1891" i="3" s="1"/>
  <c r="I1892" i="3"/>
  <c r="J1892" i="3" s="1"/>
  <c r="I1893" i="3"/>
  <c r="J1893" i="3" s="1"/>
  <c r="I1894" i="3"/>
  <c r="J1894" i="3" s="1"/>
  <c r="I1895" i="3"/>
  <c r="J1895" i="3" s="1"/>
  <c r="I1896" i="3"/>
  <c r="J1896" i="3" s="1"/>
  <c r="I1897" i="3"/>
  <c r="J1897" i="3" s="1"/>
  <c r="I1898" i="3"/>
  <c r="J1898" i="3" s="1"/>
  <c r="I1899" i="3"/>
  <c r="J1899" i="3" s="1"/>
  <c r="I1900" i="3"/>
  <c r="J1900" i="3" s="1"/>
  <c r="I1901" i="3"/>
  <c r="J1901" i="3" s="1"/>
  <c r="I1902" i="3"/>
  <c r="J1902" i="3" s="1"/>
  <c r="I1903" i="3"/>
  <c r="J1903" i="3" s="1"/>
  <c r="I1904" i="3"/>
  <c r="J1904" i="3" s="1"/>
  <c r="I1905" i="3"/>
  <c r="J1905" i="3" s="1"/>
  <c r="I1906" i="3"/>
  <c r="J1906" i="3" s="1"/>
  <c r="I1907" i="3"/>
  <c r="J1907" i="3" s="1"/>
  <c r="I1908" i="3"/>
  <c r="J1908" i="3" s="1"/>
  <c r="I1909" i="3"/>
  <c r="J1909" i="3" s="1"/>
  <c r="I1910" i="3"/>
  <c r="J1910" i="3" s="1"/>
  <c r="I1911" i="3"/>
  <c r="J1911" i="3" s="1"/>
  <c r="I1912" i="3"/>
  <c r="J1912" i="3" s="1"/>
  <c r="I1913" i="3"/>
  <c r="J1913" i="3" s="1"/>
  <c r="I1914" i="3"/>
  <c r="J1914" i="3" s="1"/>
  <c r="I1915" i="3"/>
  <c r="J1915" i="3" s="1"/>
  <c r="I1916" i="3"/>
  <c r="J1916" i="3" s="1"/>
  <c r="I1917" i="3"/>
  <c r="J1917" i="3" s="1"/>
  <c r="I1918" i="3"/>
  <c r="J1918" i="3" s="1"/>
  <c r="I1919" i="3"/>
  <c r="J1919" i="3" s="1"/>
  <c r="I1920" i="3"/>
  <c r="J1920" i="3" s="1"/>
  <c r="I1921" i="3"/>
  <c r="J1921" i="3" s="1"/>
  <c r="I1922" i="3"/>
  <c r="J1922" i="3" s="1"/>
  <c r="I1923" i="3"/>
  <c r="J1923" i="3" s="1"/>
  <c r="I1924" i="3"/>
  <c r="J1924" i="3" s="1"/>
  <c r="I1925" i="3"/>
  <c r="J1925" i="3" s="1"/>
  <c r="I1926" i="3"/>
  <c r="J1926" i="3" s="1"/>
  <c r="I1927" i="3"/>
  <c r="J1927" i="3" s="1"/>
  <c r="I1928" i="3"/>
  <c r="J1928" i="3" s="1"/>
  <c r="I1929" i="3"/>
  <c r="J1929" i="3" s="1"/>
  <c r="I1930" i="3"/>
  <c r="J1930" i="3" s="1"/>
  <c r="I1931" i="3"/>
  <c r="J1931" i="3" s="1"/>
  <c r="I1932" i="3"/>
  <c r="J1932" i="3" s="1"/>
  <c r="I1933" i="3"/>
  <c r="J1933" i="3" s="1"/>
  <c r="I1934" i="3"/>
  <c r="J1934" i="3" s="1"/>
  <c r="I1935" i="3"/>
  <c r="J1935" i="3" s="1"/>
  <c r="I1936" i="3"/>
  <c r="J1936" i="3" s="1"/>
  <c r="I1937" i="3"/>
  <c r="J1937" i="3" s="1"/>
  <c r="I1938" i="3"/>
  <c r="J1938" i="3" s="1"/>
  <c r="I1939" i="3"/>
  <c r="J1939" i="3" s="1"/>
  <c r="I1860" i="3"/>
  <c r="J1860" i="3" s="1"/>
  <c r="I1861" i="3"/>
  <c r="J1861" i="3" s="1"/>
  <c r="I1862" i="3"/>
  <c r="J1862" i="3" s="1"/>
  <c r="I1863" i="3"/>
  <c r="J1863" i="3" s="1"/>
  <c r="I1864" i="3"/>
  <c r="J1864" i="3" s="1"/>
  <c r="I1865" i="3"/>
  <c r="J1865" i="3" s="1"/>
  <c r="I1866" i="3"/>
  <c r="J1866" i="3" s="1"/>
  <c r="I1867" i="3"/>
  <c r="J1867" i="3" s="1"/>
  <c r="I1868" i="3"/>
  <c r="J1868" i="3" s="1"/>
  <c r="I1869" i="3"/>
  <c r="J1869" i="3" s="1"/>
  <c r="I1870" i="3"/>
  <c r="J1870" i="3" s="1"/>
  <c r="I1851" i="3"/>
  <c r="J1851" i="3" s="1"/>
  <c r="I1852" i="3"/>
  <c r="J1852" i="3" s="1"/>
  <c r="I1853" i="3"/>
  <c r="J1853" i="3" s="1"/>
  <c r="I1854" i="3"/>
  <c r="J1854" i="3" s="1"/>
  <c r="I1855" i="3"/>
  <c r="J1855" i="3" s="1"/>
  <c r="I1856" i="3"/>
  <c r="J1856" i="3" s="1"/>
  <c r="I1840" i="3"/>
  <c r="J1840" i="3" s="1"/>
  <c r="I1841" i="3"/>
  <c r="J1841" i="3" s="1"/>
  <c r="I1842" i="3"/>
  <c r="J1842" i="3" s="1"/>
  <c r="I1843" i="3"/>
  <c r="J1843" i="3" s="1"/>
  <c r="I1844" i="3"/>
  <c r="J1844" i="3" s="1"/>
  <c r="I1845" i="3"/>
  <c r="J1845" i="3" s="1"/>
  <c r="I1846" i="3"/>
  <c r="J1846" i="3" s="1"/>
  <c r="I1847" i="3"/>
  <c r="J1847" i="3" s="1"/>
  <c r="I1848" i="3"/>
  <c r="J1848" i="3" s="1"/>
  <c r="I1811" i="3"/>
  <c r="J1811" i="3" s="1"/>
  <c r="I1812" i="3"/>
  <c r="J1812" i="3" s="1"/>
  <c r="I1813" i="3"/>
  <c r="J1813" i="3" s="1"/>
  <c r="I1814" i="3"/>
  <c r="J1814" i="3" s="1"/>
  <c r="I1815" i="3"/>
  <c r="J1815" i="3" s="1"/>
  <c r="I1816" i="3"/>
  <c r="J1816" i="3" s="1"/>
  <c r="I1817" i="3"/>
  <c r="J1817" i="3" s="1"/>
  <c r="I1818" i="3"/>
  <c r="J1818" i="3" s="1"/>
  <c r="I1819" i="3"/>
  <c r="J1819" i="3" s="1"/>
  <c r="I1820" i="3"/>
  <c r="J1820" i="3" s="1"/>
  <c r="I1821" i="3"/>
  <c r="J1821" i="3" s="1"/>
  <c r="I1822" i="3"/>
  <c r="J1822" i="3" s="1"/>
  <c r="I1823" i="3"/>
  <c r="J1823" i="3" s="1"/>
  <c r="I1824" i="3"/>
  <c r="J1824" i="3" s="1"/>
  <c r="I1825" i="3"/>
  <c r="J1825" i="3" s="1"/>
  <c r="I1826" i="3"/>
  <c r="J1826" i="3" s="1"/>
  <c r="I1827" i="3"/>
  <c r="J1827" i="3" s="1"/>
  <c r="I1828" i="3"/>
  <c r="J1828" i="3" s="1"/>
  <c r="I1829" i="3"/>
  <c r="J1829" i="3" s="1"/>
  <c r="I1830" i="3"/>
  <c r="J1830" i="3" s="1"/>
  <c r="I1831" i="3"/>
  <c r="J1831" i="3" s="1"/>
  <c r="I1832" i="3"/>
  <c r="J1832" i="3" s="1"/>
  <c r="I1833" i="3"/>
  <c r="J1833" i="3" s="1"/>
  <c r="I1793" i="3"/>
  <c r="J1793" i="3" s="1"/>
  <c r="I1794" i="3"/>
  <c r="J1794" i="3" s="1"/>
  <c r="I1795" i="3"/>
  <c r="J1795" i="3" s="1"/>
  <c r="I1796" i="3"/>
  <c r="J1796" i="3" s="1"/>
  <c r="I1797" i="3"/>
  <c r="J1797" i="3" s="1"/>
  <c r="I1798" i="3"/>
  <c r="J1798" i="3" s="1"/>
  <c r="I1799" i="3"/>
  <c r="J1799" i="3" s="1"/>
  <c r="I1800" i="3"/>
  <c r="J1800" i="3" s="1"/>
  <c r="I1801" i="3"/>
  <c r="J1801" i="3" s="1"/>
  <c r="I1802" i="3"/>
  <c r="J1802" i="3" s="1"/>
  <c r="I1803" i="3"/>
  <c r="J1803" i="3" s="1"/>
  <c r="I1804" i="3"/>
  <c r="J1804" i="3" s="1"/>
  <c r="I1805" i="3"/>
  <c r="J1805" i="3" s="1"/>
  <c r="I1806" i="3"/>
  <c r="J1806" i="3" s="1"/>
  <c r="I1807" i="3"/>
  <c r="J1807" i="3" s="1"/>
  <c r="I1808" i="3"/>
  <c r="J1808" i="3" s="1"/>
  <c r="I1777" i="3"/>
  <c r="J1777" i="3" s="1"/>
  <c r="I1778" i="3"/>
  <c r="J1778" i="3" s="1"/>
  <c r="I1779" i="3"/>
  <c r="J1779" i="3" s="1"/>
  <c r="I1780" i="3"/>
  <c r="J1780" i="3" s="1"/>
  <c r="I1781" i="3"/>
  <c r="J1781" i="3" s="1"/>
  <c r="I1782" i="3"/>
  <c r="J1782" i="3" s="1"/>
  <c r="I1783" i="3"/>
  <c r="J1783" i="3" s="1"/>
  <c r="I1784" i="3"/>
  <c r="J1784" i="3" s="1"/>
  <c r="I1785" i="3"/>
  <c r="J1785" i="3" s="1"/>
  <c r="I1786" i="3"/>
  <c r="J1786" i="3" s="1"/>
  <c r="I1787" i="3"/>
  <c r="J1787" i="3" s="1"/>
  <c r="I1788" i="3"/>
  <c r="J1788" i="3" s="1"/>
  <c r="I1789" i="3"/>
  <c r="J1789" i="3" s="1"/>
  <c r="I1790" i="3"/>
  <c r="J1790" i="3" s="1"/>
  <c r="I1752" i="3"/>
  <c r="J1752" i="3" s="1"/>
  <c r="I1753" i="3"/>
  <c r="J1753" i="3" s="1"/>
  <c r="I1754" i="3"/>
  <c r="J1754" i="3" s="1"/>
  <c r="I1755" i="3"/>
  <c r="J1755" i="3" s="1"/>
  <c r="I1756" i="3"/>
  <c r="J1756" i="3" s="1"/>
  <c r="I1757" i="3"/>
  <c r="J1757" i="3" s="1"/>
  <c r="I1758" i="3"/>
  <c r="J1758" i="3" s="1"/>
  <c r="I1759" i="3"/>
  <c r="J1759" i="3" s="1"/>
  <c r="I1760" i="3"/>
  <c r="J1760" i="3" s="1"/>
  <c r="I1761" i="3"/>
  <c r="J1761" i="3" s="1"/>
  <c r="I1762" i="3"/>
  <c r="J1762" i="3" s="1"/>
  <c r="I1763" i="3"/>
  <c r="J1763" i="3" s="1"/>
  <c r="I1764" i="3"/>
  <c r="J1764" i="3" s="1"/>
  <c r="I1765" i="3"/>
  <c r="J1765" i="3" s="1"/>
  <c r="I1766" i="3"/>
  <c r="J1766" i="3" s="1"/>
  <c r="I1767" i="3"/>
  <c r="J1767" i="3" s="1"/>
  <c r="I1768" i="3"/>
  <c r="J1768" i="3" s="1"/>
  <c r="I1769" i="3"/>
  <c r="J1769" i="3" s="1"/>
  <c r="I1770" i="3"/>
  <c r="J1770" i="3" s="1"/>
  <c r="I1771" i="3"/>
  <c r="J1771" i="3" s="1"/>
  <c r="I1772" i="3"/>
  <c r="J1772" i="3" s="1"/>
  <c r="I1773" i="3"/>
  <c r="J1773" i="3" s="1"/>
  <c r="I1723" i="3"/>
  <c r="J1723" i="3" s="1"/>
  <c r="I1724" i="3"/>
  <c r="J1724" i="3" s="1"/>
  <c r="I1725" i="3"/>
  <c r="J1725" i="3" s="1"/>
  <c r="I1726" i="3"/>
  <c r="J1726" i="3" s="1"/>
  <c r="I1727" i="3"/>
  <c r="J1727" i="3" s="1"/>
  <c r="I1728" i="3"/>
  <c r="J1728" i="3" s="1"/>
  <c r="I1729" i="3"/>
  <c r="J1729" i="3" s="1"/>
  <c r="I1730" i="3"/>
  <c r="J1730" i="3" s="1"/>
  <c r="I1731" i="3"/>
  <c r="J1731" i="3" s="1"/>
  <c r="I1732" i="3"/>
  <c r="J1732" i="3" s="1"/>
  <c r="I1733" i="3"/>
  <c r="J1733" i="3" s="1"/>
  <c r="I1734" i="3"/>
  <c r="J1734" i="3" s="1"/>
  <c r="I1735" i="3"/>
  <c r="J1735" i="3" s="1"/>
  <c r="I1736" i="3"/>
  <c r="J1736" i="3" s="1"/>
  <c r="I1737" i="3"/>
  <c r="J1737" i="3" s="1"/>
  <c r="I1738" i="3"/>
  <c r="J1738" i="3" s="1"/>
  <c r="I1739" i="3"/>
  <c r="J1739" i="3" s="1"/>
  <c r="I1740" i="3"/>
  <c r="J1740" i="3" s="1"/>
  <c r="I1741" i="3"/>
  <c r="J1741" i="3" s="1"/>
  <c r="I1742" i="3"/>
  <c r="J1742" i="3" s="1"/>
  <c r="I1743" i="3"/>
  <c r="J1743" i="3" s="1"/>
  <c r="I1744" i="3"/>
  <c r="J1744" i="3" s="1"/>
  <c r="I1745" i="3"/>
  <c r="J1745" i="3" s="1"/>
  <c r="I1746" i="3"/>
  <c r="J1746" i="3" s="1"/>
  <c r="I1747" i="3"/>
  <c r="J1747" i="3" s="1"/>
  <c r="I1748" i="3"/>
  <c r="J1748" i="3" s="1"/>
  <c r="I1749" i="3"/>
  <c r="J1749" i="3" s="1"/>
  <c r="I1548" i="3"/>
  <c r="J1548" i="3" s="1"/>
  <c r="I1549" i="3"/>
  <c r="J1549" i="3" s="1"/>
  <c r="I1550" i="3"/>
  <c r="J1550" i="3" s="1"/>
  <c r="I1551" i="3"/>
  <c r="J1551" i="3" s="1"/>
  <c r="I1552" i="3"/>
  <c r="J1552" i="3" s="1"/>
  <c r="I1553" i="3"/>
  <c r="J1553" i="3" s="1"/>
  <c r="I1554" i="3"/>
  <c r="J1554" i="3" s="1"/>
  <c r="I1555" i="3"/>
  <c r="J1555" i="3" s="1"/>
  <c r="I1556" i="3"/>
  <c r="J1556" i="3" s="1"/>
  <c r="I1557" i="3"/>
  <c r="J1557" i="3" s="1"/>
  <c r="I1558" i="3"/>
  <c r="J1558" i="3" s="1"/>
  <c r="I1559" i="3"/>
  <c r="J1559" i="3" s="1"/>
  <c r="I1560" i="3"/>
  <c r="J1560" i="3" s="1"/>
  <c r="I1561" i="3"/>
  <c r="J1561" i="3" s="1"/>
  <c r="I1562" i="3"/>
  <c r="J1562" i="3" s="1"/>
  <c r="I1563" i="3"/>
  <c r="J1563" i="3" s="1"/>
  <c r="I1564" i="3"/>
  <c r="J1564" i="3" s="1"/>
  <c r="I1565" i="3"/>
  <c r="J1565" i="3" s="1"/>
  <c r="I1566" i="3"/>
  <c r="J1566" i="3" s="1"/>
  <c r="I1567" i="3"/>
  <c r="J1567" i="3" s="1"/>
  <c r="I1568" i="3"/>
  <c r="J1568" i="3" s="1"/>
  <c r="I1569" i="3"/>
  <c r="J1569" i="3" s="1"/>
  <c r="I1570" i="3"/>
  <c r="J1570" i="3" s="1"/>
  <c r="I1571" i="3"/>
  <c r="J1571" i="3" s="1"/>
  <c r="I1572" i="3"/>
  <c r="J1572" i="3" s="1"/>
  <c r="I1573" i="3"/>
  <c r="J1573" i="3" s="1"/>
  <c r="I1574" i="3"/>
  <c r="J1574" i="3" s="1"/>
  <c r="I1575" i="3"/>
  <c r="J1575" i="3" s="1"/>
  <c r="I1576" i="3"/>
  <c r="J1576" i="3" s="1"/>
  <c r="I1577" i="3"/>
  <c r="J1577" i="3" s="1"/>
  <c r="I1578" i="3"/>
  <c r="J1578" i="3" s="1"/>
  <c r="I1579" i="3"/>
  <c r="J1579" i="3" s="1"/>
  <c r="I1580" i="3"/>
  <c r="J1580" i="3" s="1"/>
  <c r="I1581" i="3"/>
  <c r="J1581" i="3" s="1"/>
  <c r="I1582" i="3"/>
  <c r="J1582" i="3" s="1"/>
  <c r="I1583" i="3"/>
  <c r="J1583" i="3" s="1"/>
  <c r="I1584" i="3"/>
  <c r="J1584" i="3" s="1"/>
  <c r="I1585" i="3"/>
  <c r="J1585" i="3" s="1"/>
  <c r="I1586" i="3"/>
  <c r="J1586" i="3" s="1"/>
  <c r="I1587" i="3"/>
  <c r="J1587" i="3" s="1"/>
  <c r="I1588" i="3"/>
  <c r="J1588" i="3" s="1"/>
  <c r="I1589" i="3"/>
  <c r="J1589" i="3" s="1"/>
  <c r="I1590" i="3"/>
  <c r="J1590" i="3" s="1"/>
  <c r="I1591" i="3"/>
  <c r="J1591" i="3" s="1"/>
  <c r="I1592" i="3"/>
  <c r="J1592" i="3" s="1"/>
  <c r="I1593" i="3"/>
  <c r="J1593" i="3" s="1"/>
  <c r="I1594" i="3"/>
  <c r="J1594" i="3" s="1"/>
  <c r="I1595" i="3"/>
  <c r="J1595" i="3" s="1"/>
  <c r="I1596" i="3"/>
  <c r="J1596" i="3" s="1"/>
  <c r="I1597" i="3"/>
  <c r="J1597" i="3" s="1"/>
  <c r="I1598" i="3"/>
  <c r="J1598" i="3" s="1"/>
  <c r="I1599" i="3"/>
  <c r="J1599" i="3" s="1"/>
  <c r="I1600" i="3"/>
  <c r="J1600" i="3" s="1"/>
  <c r="I1601" i="3"/>
  <c r="J1601" i="3" s="1"/>
  <c r="I1602" i="3"/>
  <c r="J1602" i="3" s="1"/>
  <c r="I1603" i="3"/>
  <c r="J1603" i="3" s="1"/>
  <c r="I1604" i="3"/>
  <c r="J1604" i="3" s="1"/>
  <c r="I1605" i="3"/>
  <c r="J1605" i="3" s="1"/>
  <c r="I1606" i="3"/>
  <c r="J1606" i="3" s="1"/>
  <c r="I1607" i="3"/>
  <c r="J1607" i="3" s="1"/>
  <c r="I1608" i="3"/>
  <c r="J1608" i="3" s="1"/>
  <c r="I1609" i="3"/>
  <c r="J1609" i="3" s="1"/>
  <c r="I1610" i="3"/>
  <c r="J1610" i="3" s="1"/>
  <c r="I1611" i="3"/>
  <c r="J1611" i="3" s="1"/>
  <c r="I1612" i="3"/>
  <c r="J1612" i="3" s="1"/>
  <c r="I1613" i="3"/>
  <c r="J1613" i="3" s="1"/>
  <c r="I1614" i="3"/>
  <c r="J1614" i="3" s="1"/>
  <c r="I1615" i="3"/>
  <c r="J1615" i="3" s="1"/>
  <c r="I1616" i="3"/>
  <c r="J1616" i="3" s="1"/>
  <c r="I1617" i="3"/>
  <c r="J1617" i="3" s="1"/>
  <c r="I1618" i="3"/>
  <c r="J1618" i="3" s="1"/>
  <c r="I1619" i="3"/>
  <c r="J1619" i="3" s="1"/>
  <c r="I1620" i="3"/>
  <c r="J1620" i="3" s="1"/>
  <c r="I1621" i="3"/>
  <c r="J1621" i="3" s="1"/>
  <c r="I1622" i="3"/>
  <c r="J1622" i="3" s="1"/>
  <c r="I1623" i="3"/>
  <c r="J1623" i="3" s="1"/>
  <c r="I1624" i="3"/>
  <c r="J1624" i="3" s="1"/>
  <c r="I1625" i="3"/>
  <c r="J1625" i="3" s="1"/>
  <c r="I1626" i="3"/>
  <c r="J1626" i="3" s="1"/>
  <c r="I1627" i="3"/>
  <c r="J1627" i="3" s="1"/>
  <c r="I1628" i="3"/>
  <c r="J1628" i="3" s="1"/>
  <c r="I1629" i="3"/>
  <c r="J1629" i="3" s="1"/>
  <c r="I1630" i="3"/>
  <c r="J1630" i="3" s="1"/>
  <c r="I1631" i="3"/>
  <c r="J1631" i="3" s="1"/>
  <c r="I1632" i="3"/>
  <c r="J1632" i="3" s="1"/>
  <c r="I1633" i="3"/>
  <c r="J1633" i="3" s="1"/>
  <c r="I1634" i="3"/>
  <c r="J1634" i="3" s="1"/>
  <c r="I1635" i="3"/>
  <c r="J1635" i="3" s="1"/>
  <c r="I1636" i="3"/>
  <c r="J1636" i="3" s="1"/>
  <c r="I1637" i="3"/>
  <c r="J1637" i="3" s="1"/>
  <c r="I1638" i="3"/>
  <c r="J1638" i="3" s="1"/>
  <c r="I1639" i="3"/>
  <c r="J1639" i="3" s="1"/>
  <c r="I1640" i="3"/>
  <c r="J1640" i="3" s="1"/>
  <c r="I1641" i="3"/>
  <c r="J1641" i="3" s="1"/>
  <c r="I1642" i="3"/>
  <c r="J1642" i="3" s="1"/>
  <c r="I1643" i="3"/>
  <c r="J1643" i="3" s="1"/>
  <c r="I1644" i="3"/>
  <c r="J1644" i="3" s="1"/>
  <c r="I1645" i="3"/>
  <c r="J1645" i="3" s="1"/>
  <c r="I1646" i="3"/>
  <c r="J1646" i="3" s="1"/>
  <c r="I1647" i="3"/>
  <c r="J1647" i="3" s="1"/>
  <c r="I1648" i="3"/>
  <c r="J1648" i="3" s="1"/>
  <c r="I1649" i="3"/>
  <c r="J1649" i="3" s="1"/>
  <c r="I1650" i="3"/>
  <c r="J1650" i="3" s="1"/>
  <c r="I1651" i="3"/>
  <c r="J1651" i="3" s="1"/>
  <c r="I1652" i="3"/>
  <c r="J1652" i="3" s="1"/>
  <c r="I1653" i="3"/>
  <c r="J1653" i="3" s="1"/>
  <c r="I1654" i="3"/>
  <c r="J1654" i="3" s="1"/>
  <c r="I1655" i="3"/>
  <c r="J1655" i="3" s="1"/>
  <c r="I1656" i="3"/>
  <c r="J1656" i="3" s="1"/>
  <c r="I1657" i="3"/>
  <c r="J1657" i="3" s="1"/>
  <c r="I1658" i="3"/>
  <c r="J1658" i="3" s="1"/>
  <c r="I1659" i="3"/>
  <c r="J1659" i="3" s="1"/>
  <c r="I1660" i="3"/>
  <c r="J1660" i="3" s="1"/>
  <c r="I1661" i="3"/>
  <c r="J1661" i="3" s="1"/>
  <c r="I1662" i="3"/>
  <c r="J1662" i="3" s="1"/>
  <c r="I1663" i="3"/>
  <c r="J1663" i="3" s="1"/>
  <c r="I1664" i="3"/>
  <c r="J1664" i="3" s="1"/>
  <c r="I1665" i="3"/>
  <c r="J1665" i="3" s="1"/>
  <c r="I1666" i="3"/>
  <c r="J1666" i="3" s="1"/>
  <c r="I1667" i="3"/>
  <c r="J1667" i="3" s="1"/>
  <c r="I1668" i="3"/>
  <c r="J1668" i="3" s="1"/>
  <c r="I1669" i="3"/>
  <c r="J1669" i="3" s="1"/>
  <c r="I1670" i="3"/>
  <c r="J1670" i="3" s="1"/>
  <c r="I1671" i="3"/>
  <c r="J1671" i="3" s="1"/>
  <c r="I1672" i="3"/>
  <c r="J1672" i="3" s="1"/>
  <c r="I1673" i="3"/>
  <c r="J1673" i="3" s="1"/>
  <c r="I1674" i="3"/>
  <c r="J1674" i="3" s="1"/>
  <c r="I1675" i="3"/>
  <c r="J1675" i="3" s="1"/>
  <c r="I1676" i="3"/>
  <c r="J1676" i="3" s="1"/>
  <c r="I1677" i="3"/>
  <c r="J1677" i="3" s="1"/>
  <c r="I1678" i="3"/>
  <c r="J1678" i="3" s="1"/>
  <c r="I1679" i="3"/>
  <c r="J1679" i="3" s="1"/>
  <c r="I1680" i="3"/>
  <c r="J1680" i="3" s="1"/>
  <c r="I1681" i="3"/>
  <c r="J1681" i="3" s="1"/>
  <c r="I1682" i="3"/>
  <c r="J1682" i="3" s="1"/>
  <c r="I1683" i="3"/>
  <c r="J1683" i="3" s="1"/>
  <c r="I1684" i="3"/>
  <c r="J1684" i="3" s="1"/>
  <c r="I1685" i="3"/>
  <c r="J1685" i="3" s="1"/>
  <c r="I1686" i="3"/>
  <c r="J1686" i="3" s="1"/>
  <c r="I1687" i="3"/>
  <c r="J1687" i="3" s="1"/>
  <c r="I1688" i="3"/>
  <c r="J1688" i="3" s="1"/>
  <c r="I1689" i="3"/>
  <c r="J1689" i="3" s="1"/>
  <c r="I1690" i="3"/>
  <c r="J1690" i="3" s="1"/>
  <c r="I1691" i="3"/>
  <c r="J1691" i="3" s="1"/>
  <c r="I1692" i="3"/>
  <c r="J1692" i="3" s="1"/>
  <c r="I1693" i="3"/>
  <c r="J1693" i="3" s="1"/>
  <c r="I1694" i="3"/>
  <c r="J1694" i="3" s="1"/>
  <c r="I1695" i="3"/>
  <c r="J1695" i="3" s="1"/>
  <c r="I1696" i="3"/>
  <c r="J1696" i="3" s="1"/>
  <c r="I1697" i="3"/>
  <c r="J1697" i="3" s="1"/>
  <c r="I1698" i="3"/>
  <c r="J1698" i="3" s="1"/>
  <c r="I1699" i="3"/>
  <c r="J1699" i="3" s="1"/>
  <c r="I1700" i="3"/>
  <c r="J1700" i="3" s="1"/>
  <c r="I1701" i="3"/>
  <c r="J1701" i="3" s="1"/>
  <c r="I1702" i="3"/>
  <c r="J1702" i="3" s="1"/>
  <c r="I1703" i="3"/>
  <c r="J1703" i="3" s="1"/>
  <c r="I1704" i="3"/>
  <c r="J1704" i="3" s="1"/>
  <c r="I1705" i="3"/>
  <c r="J1705" i="3" s="1"/>
  <c r="I1706" i="3"/>
  <c r="J1706" i="3" s="1"/>
  <c r="I1707" i="3"/>
  <c r="J1707" i="3" s="1"/>
  <c r="I1708" i="3"/>
  <c r="J1708" i="3" s="1"/>
  <c r="I1709" i="3"/>
  <c r="J1709" i="3" s="1"/>
  <c r="I1710" i="3"/>
  <c r="J1710" i="3" s="1"/>
  <c r="I1711" i="3"/>
  <c r="J1711" i="3" s="1"/>
  <c r="I1712" i="3"/>
  <c r="J1712" i="3" s="1"/>
  <c r="I1713" i="3"/>
  <c r="J1713" i="3" s="1"/>
  <c r="I1714" i="3"/>
  <c r="J1714" i="3" s="1"/>
  <c r="I1715" i="3"/>
  <c r="J1715" i="3" s="1"/>
  <c r="I1716" i="3"/>
  <c r="J1716" i="3" s="1"/>
  <c r="I1717" i="3"/>
  <c r="J1717" i="3" s="1"/>
  <c r="I1718" i="3"/>
  <c r="J1718" i="3" s="1"/>
  <c r="I1462" i="3"/>
  <c r="J1462" i="3" s="1"/>
  <c r="I1463" i="3"/>
  <c r="J1463" i="3" s="1"/>
  <c r="I1464" i="3"/>
  <c r="J1464" i="3" s="1"/>
  <c r="I1465" i="3"/>
  <c r="J1465" i="3" s="1"/>
  <c r="I1466" i="3"/>
  <c r="J1466" i="3" s="1"/>
  <c r="I1467" i="3"/>
  <c r="J1467" i="3" s="1"/>
  <c r="I1468" i="3"/>
  <c r="J1468" i="3" s="1"/>
  <c r="I1469" i="3"/>
  <c r="J1469" i="3" s="1"/>
  <c r="I1470" i="3"/>
  <c r="J1470" i="3" s="1"/>
  <c r="I1471" i="3"/>
  <c r="J1471" i="3" s="1"/>
  <c r="I1472" i="3"/>
  <c r="J1472" i="3" s="1"/>
  <c r="I1473" i="3"/>
  <c r="J1473" i="3" s="1"/>
  <c r="I1474" i="3"/>
  <c r="J1474" i="3" s="1"/>
  <c r="I1475" i="3"/>
  <c r="J1475" i="3" s="1"/>
  <c r="I1476" i="3"/>
  <c r="J1476" i="3" s="1"/>
  <c r="I1477" i="3"/>
  <c r="J1477" i="3" s="1"/>
  <c r="I1478" i="3"/>
  <c r="J1478" i="3" s="1"/>
  <c r="I1479" i="3"/>
  <c r="J1479" i="3" s="1"/>
  <c r="I1480" i="3"/>
  <c r="J1480" i="3" s="1"/>
  <c r="I1481" i="3"/>
  <c r="J1481" i="3" s="1"/>
  <c r="I1482" i="3"/>
  <c r="J1482" i="3" s="1"/>
  <c r="I1483" i="3"/>
  <c r="J1483" i="3" s="1"/>
  <c r="I1484" i="3"/>
  <c r="J1484" i="3" s="1"/>
  <c r="I1485" i="3"/>
  <c r="J1485" i="3" s="1"/>
  <c r="I1486" i="3"/>
  <c r="J1486" i="3" s="1"/>
  <c r="I1487" i="3"/>
  <c r="J1487" i="3" s="1"/>
  <c r="I1488" i="3"/>
  <c r="J1488" i="3" s="1"/>
  <c r="I1489" i="3"/>
  <c r="J1489" i="3" s="1"/>
  <c r="I1490" i="3"/>
  <c r="J1490" i="3" s="1"/>
  <c r="I1491" i="3"/>
  <c r="J1491" i="3" s="1"/>
  <c r="I1492" i="3"/>
  <c r="J1492" i="3" s="1"/>
  <c r="I1493" i="3"/>
  <c r="J1493" i="3" s="1"/>
  <c r="I1494" i="3"/>
  <c r="J1494" i="3" s="1"/>
  <c r="I1495" i="3"/>
  <c r="J1495" i="3" s="1"/>
  <c r="I1496" i="3"/>
  <c r="J1496" i="3" s="1"/>
  <c r="I1497" i="3"/>
  <c r="J1497" i="3" s="1"/>
  <c r="I1498" i="3"/>
  <c r="J1498" i="3" s="1"/>
  <c r="I1499" i="3"/>
  <c r="J1499" i="3" s="1"/>
  <c r="I1500" i="3"/>
  <c r="J1500" i="3" s="1"/>
  <c r="I1501" i="3"/>
  <c r="J1501" i="3" s="1"/>
  <c r="I1502" i="3"/>
  <c r="J1502" i="3" s="1"/>
  <c r="I1503" i="3"/>
  <c r="J1503" i="3" s="1"/>
  <c r="I1504" i="3"/>
  <c r="J1504" i="3" s="1"/>
  <c r="I1505" i="3"/>
  <c r="J1505" i="3" s="1"/>
  <c r="I1506" i="3"/>
  <c r="J1506" i="3" s="1"/>
  <c r="I1507" i="3"/>
  <c r="J1507" i="3" s="1"/>
  <c r="I1508" i="3"/>
  <c r="J1508" i="3" s="1"/>
  <c r="I1509" i="3"/>
  <c r="J1509" i="3" s="1"/>
  <c r="I1510" i="3"/>
  <c r="J1510" i="3" s="1"/>
  <c r="I1511" i="3"/>
  <c r="J1511" i="3" s="1"/>
  <c r="I1512" i="3"/>
  <c r="J1512" i="3" s="1"/>
  <c r="I1513" i="3"/>
  <c r="J1513" i="3" s="1"/>
  <c r="I1514" i="3"/>
  <c r="J1514" i="3" s="1"/>
  <c r="I1515" i="3"/>
  <c r="J1515" i="3" s="1"/>
  <c r="I1516" i="3"/>
  <c r="J1516" i="3" s="1"/>
  <c r="I1517" i="3"/>
  <c r="J1517" i="3" s="1"/>
  <c r="I1518" i="3"/>
  <c r="J1518" i="3" s="1"/>
  <c r="I1519" i="3"/>
  <c r="J1519" i="3" s="1"/>
  <c r="I1520" i="3"/>
  <c r="J1520" i="3" s="1"/>
  <c r="I1521" i="3"/>
  <c r="J1521" i="3" s="1"/>
  <c r="I1522" i="3"/>
  <c r="J1522" i="3" s="1"/>
  <c r="I1523" i="3"/>
  <c r="J1523" i="3" s="1"/>
  <c r="I1524" i="3"/>
  <c r="J1524" i="3" s="1"/>
  <c r="I1525" i="3"/>
  <c r="J1525" i="3" s="1"/>
  <c r="I1526" i="3"/>
  <c r="J1526" i="3" s="1"/>
  <c r="I1527" i="3"/>
  <c r="J1527" i="3" s="1"/>
  <c r="I1528" i="3"/>
  <c r="J1528" i="3" s="1"/>
  <c r="I1529" i="3"/>
  <c r="J1529" i="3" s="1"/>
  <c r="I1530" i="3"/>
  <c r="J1530" i="3" s="1"/>
  <c r="I1531" i="3"/>
  <c r="J1531" i="3" s="1"/>
  <c r="I1532" i="3"/>
  <c r="J1532" i="3" s="1"/>
  <c r="I1533" i="3"/>
  <c r="J1533" i="3" s="1"/>
  <c r="I1534" i="3"/>
  <c r="J1534" i="3" s="1"/>
  <c r="I1535" i="3"/>
  <c r="J1535" i="3" s="1"/>
  <c r="I1536" i="3"/>
  <c r="J1536" i="3" s="1"/>
  <c r="I1537" i="3"/>
  <c r="J1537" i="3" s="1"/>
  <c r="I1430" i="3"/>
  <c r="J1430" i="3" s="1"/>
  <c r="I1431" i="3"/>
  <c r="J1431" i="3" s="1"/>
  <c r="I1432" i="3"/>
  <c r="J1432" i="3" s="1"/>
  <c r="I1433" i="3"/>
  <c r="J1433" i="3" s="1"/>
  <c r="I1434" i="3"/>
  <c r="J1434" i="3" s="1"/>
  <c r="I1435" i="3"/>
  <c r="J1435" i="3" s="1"/>
  <c r="I1436" i="3"/>
  <c r="J1436" i="3" s="1"/>
  <c r="I1437" i="3"/>
  <c r="J1437" i="3" s="1"/>
  <c r="I1438" i="3"/>
  <c r="J1438" i="3" s="1"/>
  <c r="I1382" i="3"/>
  <c r="J1382" i="3" s="1"/>
  <c r="I1383" i="3"/>
  <c r="J1383" i="3" s="1"/>
  <c r="I1384" i="3"/>
  <c r="J1384" i="3" s="1"/>
  <c r="I1385" i="3"/>
  <c r="J1385" i="3" s="1"/>
  <c r="I1386" i="3"/>
  <c r="J1386" i="3" s="1"/>
  <c r="I1387" i="3"/>
  <c r="J1387" i="3" s="1"/>
  <c r="I1388" i="3"/>
  <c r="J1388" i="3" s="1"/>
  <c r="I1389" i="3"/>
  <c r="J1389" i="3" s="1"/>
  <c r="I1390" i="3"/>
  <c r="J1390" i="3" s="1"/>
  <c r="I1391" i="3"/>
  <c r="J1391" i="3" s="1"/>
  <c r="I1392" i="3"/>
  <c r="J1392" i="3" s="1"/>
  <c r="I1393" i="3"/>
  <c r="J1393" i="3" s="1"/>
  <c r="I1394" i="3"/>
  <c r="J1394" i="3" s="1"/>
  <c r="I1395" i="3"/>
  <c r="J1395" i="3" s="1"/>
  <c r="I1396" i="3"/>
  <c r="J1396" i="3" s="1"/>
  <c r="I1397" i="3"/>
  <c r="J1397" i="3" s="1"/>
  <c r="I1398" i="3"/>
  <c r="J1398" i="3" s="1"/>
  <c r="I1399" i="3"/>
  <c r="J1399" i="3" s="1"/>
  <c r="I1400" i="3"/>
  <c r="J1400" i="3" s="1"/>
  <c r="I1401" i="3"/>
  <c r="J1401" i="3" s="1"/>
  <c r="I1402" i="3"/>
  <c r="J1402" i="3" s="1"/>
  <c r="I1403" i="3"/>
  <c r="J1403" i="3" s="1"/>
  <c r="I1404" i="3"/>
  <c r="J1404" i="3" s="1"/>
  <c r="I1405" i="3"/>
  <c r="J1405" i="3" s="1"/>
  <c r="I1406" i="3"/>
  <c r="J1406" i="3" s="1"/>
  <c r="I1407" i="3"/>
  <c r="J1407" i="3" s="1"/>
  <c r="I1408" i="3"/>
  <c r="J1408" i="3" s="1"/>
  <c r="I1409" i="3"/>
  <c r="J1409" i="3" s="1"/>
  <c r="I1410" i="3"/>
  <c r="J1410" i="3" s="1"/>
  <c r="I1411" i="3"/>
  <c r="J1411" i="3" s="1"/>
  <c r="I1412" i="3"/>
  <c r="J1412" i="3" s="1"/>
  <c r="I1413" i="3"/>
  <c r="J1413" i="3" s="1"/>
  <c r="I1414" i="3"/>
  <c r="J1414" i="3" s="1"/>
  <c r="I1415" i="3"/>
  <c r="J1415" i="3" s="1"/>
  <c r="I1416" i="3"/>
  <c r="J1416" i="3" s="1"/>
  <c r="I1417" i="3"/>
  <c r="J1417" i="3" s="1"/>
  <c r="I1418" i="3"/>
  <c r="J1418" i="3" s="1"/>
  <c r="I1419" i="3"/>
  <c r="J1419" i="3" s="1"/>
  <c r="I1420" i="3"/>
  <c r="J1420" i="3" s="1"/>
  <c r="I1421" i="3"/>
  <c r="J1421" i="3" s="1"/>
  <c r="I1422" i="3"/>
  <c r="J1422" i="3" s="1"/>
  <c r="I1423" i="3"/>
  <c r="J1423" i="3" s="1"/>
  <c r="I1424" i="3"/>
  <c r="J1424" i="3" s="1"/>
  <c r="I1425" i="3"/>
  <c r="J1425" i="3" s="1"/>
  <c r="I1426" i="3"/>
  <c r="J1426" i="3" s="1"/>
  <c r="I1427" i="3"/>
  <c r="J1427" i="3" s="1"/>
  <c r="I1369" i="3"/>
  <c r="J1369" i="3" s="1"/>
  <c r="I1370" i="3"/>
  <c r="J1370" i="3" s="1"/>
  <c r="I1371" i="3"/>
  <c r="J1371" i="3" s="1"/>
  <c r="I1372" i="3"/>
  <c r="J1372" i="3" s="1"/>
  <c r="I1373" i="3"/>
  <c r="J1373" i="3" s="1"/>
  <c r="I1374" i="3"/>
  <c r="J1374" i="3" s="1"/>
  <c r="I1315" i="3"/>
  <c r="J1315" i="3" s="1"/>
  <c r="I1316" i="3"/>
  <c r="J1316" i="3" s="1"/>
  <c r="I1317" i="3"/>
  <c r="J1317" i="3" s="1"/>
  <c r="I1318" i="3"/>
  <c r="J1318" i="3" s="1"/>
  <c r="I1319" i="3"/>
  <c r="J1319" i="3" s="1"/>
  <c r="I1320" i="3"/>
  <c r="J1320" i="3" s="1"/>
  <c r="I1321" i="3"/>
  <c r="J1321" i="3" s="1"/>
  <c r="I1322" i="3"/>
  <c r="J1322" i="3" s="1"/>
  <c r="I1323" i="3"/>
  <c r="J1323" i="3" s="1"/>
  <c r="I1324" i="3"/>
  <c r="J1324" i="3" s="1"/>
  <c r="I1325" i="3"/>
  <c r="J1325" i="3" s="1"/>
  <c r="I1326" i="3"/>
  <c r="J1326" i="3" s="1"/>
  <c r="I1327" i="3"/>
  <c r="J1327" i="3" s="1"/>
  <c r="I1328" i="3"/>
  <c r="J1328" i="3" s="1"/>
  <c r="I1329" i="3"/>
  <c r="J1329" i="3" s="1"/>
  <c r="I1330" i="3"/>
  <c r="J1330" i="3" s="1"/>
  <c r="I1331" i="3"/>
  <c r="J1331" i="3" s="1"/>
  <c r="I1332" i="3"/>
  <c r="J1332" i="3" s="1"/>
  <c r="I1333" i="3"/>
  <c r="J1333" i="3" s="1"/>
  <c r="I1334" i="3"/>
  <c r="J1334" i="3" s="1"/>
  <c r="I1335" i="3"/>
  <c r="J1335" i="3" s="1"/>
  <c r="I1336" i="3"/>
  <c r="J1336" i="3" s="1"/>
  <c r="I1337" i="3"/>
  <c r="J1337" i="3" s="1"/>
  <c r="I1338" i="3"/>
  <c r="J1338" i="3" s="1"/>
  <c r="I1339" i="3"/>
  <c r="J1339" i="3" s="1"/>
  <c r="I1340" i="3"/>
  <c r="J1340" i="3" s="1"/>
  <c r="I1341" i="3"/>
  <c r="J1341" i="3" s="1"/>
  <c r="I1342" i="3"/>
  <c r="J1342" i="3" s="1"/>
  <c r="I1343" i="3"/>
  <c r="J1343" i="3" s="1"/>
  <c r="I1344" i="3"/>
  <c r="J1344" i="3" s="1"/>
  <c r="I1345" i="3"/>
  <c r="J1345" i="3" s="1"/>
  <c r="I1346" i="3"/>
  <c r="J1346" i="3" s="1"/>
  <c r="I1347" i="3"/>
  <c r="J1347" i="3" s="1"/>
  <c r="I1348" i="3"/>
  <c r="J1348" i="3" s="1"/>
  <c r="I1349" i="3"/>
  <c r="J1349" i="3" s="1"/>
  <c r="I1350" i="3"/>
  <c r="J1350" i="3" s="1"/>
  <c r="I1351" i="3"/>
  <c r="J1351" i="3" s="1"/>
  <c r="I1352" i="3"/>
  <c r="J1352" i="3" s="1"/>
  <c r="I1353" i="3"/>
  <c r="J1353" i="3" s="1"/>
  <c r="I1354" i="3"/>
  <c r="J1354" i="3" s="1"/>
  <c r="I1355" i="3"/>
  <c r="J1355" i="3" s="1"/>
  <c r="I1356" i="3"/>
  <c r="J1356" i="3" s="1"/>
  <c r="I1357" i="3"/>
  <c r="J1357" i="3" s="1"/>
  <c r="I1358" i="3"/>
  <c r="J1358" i="3" s="1"/>
  <c r="I1359" i="3"/>
  <c r="J1359" i="3" s="1"/>
  <c r="I1360" i="3"/>
  <c r="J1360" i="3" s="1"/>
  <c r="I1361" i="3"/>
  <c r="J1361" i="3" s="1"/>
  <c r="I1362" i="3"/>
  <c r="J1362" i="3" s="1"/>
  <c r="I1363" i="3"/>
  <c r="J1363" i="3" s="1"/>
  <c r="I1364" i="3"/>
  <c r="J1364" i="3" s="1"/>
  <c r="I1365" i="3"/>
  <c r="J1365" i="3" s="1"/>
  <c r="I1366" i="3"/>
  <c r="J1366" i="3" s="1"/>
  <c r="I1296" i="3"/>
  <c r="J1296" i="3" s="1"/>
  <c r="I1297" i="3"/>
  <c r="J1297" i="3" s="1"/>
  <c r="I1298" i="3"/>
  <c r="J1298" i="3" s="1"/>
  <c r="I1299" i="3"/>
  <c r="J1299" i="3" s="1"/>
  <c r="I1300" i="3"/>
  <c r="J1300" i="3" s="1"/>
  <c r="I1301" i="3"/>
  <c r="J1301" i="3" s="1"/>
  <c r="I1302" i="3"/>
  <c r="J1302" i="3" s="1"/>
  <c r="I1303" i="3"/>
  <c r="J1303" i="3" s="1"/>
  <c r="I1304" i="3"/>
  <c r="J1304" i="3" s="1"/>
  <c r="I1147" i="3"/>
  <c r="J1147" i="3" s="1"/>
  <c r="I1148" i="3"/>
  <c r="J1148" i="3" s="1"/>
  <c r="I1149" i="3"/>
  <c r="J1149" i="3" s="1"/>
  <c r="I1150" i="3"/>
  <c r="J1150" i="3" s="1"/>
  <c r="I1151" i="3"/>
  <c r="J1151" i="3" s="1"/>
  <c r="I1152" i="3"/>
  <c r="J1152" i="3" s="1"/>
  <c r="I1153" i="3"/>
  <c r="J1153" i="3" s="1"/>
  <c r="I1154" i="3"/>
  <c r="J1154" i="3" s="1"/>
  <c r="I1155" i="3"/>
  <c r="J1155" i="3" s="1"/>
  <c r="I1156" i="3"/>
  <c r="J1156" i="3" s="1"/>
  <c r="I1157" i="3"/>
  <c r="J1157" i="3" s="1"/>
  <c r="I1158" i="3"/>
  <c r="J1158" i="3" s="1"/>
  <c r="I1159" i="3"/>
  <c r="J1159" i="3" s="1"/>
  <c r="I1160" i="3"/>
  <c r="J1160" i="3" s="1"/>
  <c r="I1161" i="3"/>
  <c r="J1161" i="3" s="1"/>
  <c r="I1162" i="3"/>
  <c r="J1162" i="3" s="1"/>
  <c r="I1163" i="3"/>
  <c r="J1163" i="3" s="1"/>
  <c r="I1164" i="3"/>
  <c r="J1164" i="3" s="1"/>
  <c r="I1165" i="3"/>
  <c r="J1165" i="3" s="1"/>
  <c r="I1166" i="3"/>
  <c r="J1166" i="3" s="1"/>
  <c r="I1167" i="3"/>
  <c r="J1167" i="3" s="1"/>
  <c r="I1168" i="3"/>
  <c r="J1168" i="3" s="1"/>
  <c r="I1169" i="3"/>
  <c r="J1169" i="3" s="1"/>
  <c r="I1170" i="3"/>
  <c r="J1170" i="3" s="1"/>
  <c r="I1171" i="3"/>
  <c r="J1171" i="3" s="1"/>
  <c r="I1172" i="3"/>
  <c r="J1172" i="3" s="1"/>
  <c r="I1173" i="3"/>
  <c r="J1173" i="3" s="1"/>
  <c r="I1174" i="3"/>
  <c r="J1174" i="3" s="1"/>
  <c r="I1175" i="3"/>
  <c r="J1175" i="3" s="1"/>
  <c r="I1176" i="3"/>
  <c r="J1176" i="3" s="1"/>
  <c r="I1177" i="3"/>
  <c r="J1177" i="3" s="1"/>
  <c r="I1178" i="3"/>
  <c r="J1178" i="3" s="1"/>
  <c r="I1179" i="3"/>
  <c r="J1179" i="3" s="1"/>
  <c r="I1180" i="3"/>
  <c r="J1180" i="3" s="1"/>
  <c r="I1181" i="3"/>
  <c r="J1181" i="3" s="1"/>
  <c r="I1182" i="3"/>
  <c r="J1182" i="3" s="1"/>
  <c r="I1183" i="3"/>
  <c r="J1183" i="3" s="1"/>
  <c r="I1184" i="3"/>
  <c r="J1184" i="3" s="1"/>
  <c r="I1185" i="3"/>
  <c r="J1185" i="3" s="1"/>
  <c r="I1186" i="3"/>
  <c r="J1186" i="3" s="1"/>
  <c r="I1187" i="3"/>
  <c r="J1187" i="3" s="1"/>
  <c r="I1188" i="3"/>
  <c r="J1188" i="3" s="1"/>
  <c r="I1189" i="3"/>
  <c r="J1189" i="3" s="1"/>
  <c r="I1190" i="3"/>
  <c r="J1190" i="3" s="1"/>
  <c r="I1191" i="3"/>
  <c r="J1191" i="3" s="1"/>
  <c r="I1192" i="3"/>
  <c r="J1192" i="3" s="1"/>
  <c r="I1193" i="3"/>
  <c r="J1193" i="3" s="1"/>
  <c r="I1194" i="3"/>
  <c r="J1194" i="3" s="1"/>
  <c r="I1195" i="3"/>
  <c r="J1195" i="3" s="1"/>
  <c r="I1196" i="3"/>
  <c r="J1196" i="3" s="1"/>
  <c r="I1197" i="3"/>
  <c r="J1197" i="3" s="1"/>
  <c r="I1198" i="3"/>
  <c r="J1198" i="3" s="1"/>
  <c r="I1199" i="3"/>
  <c r="J1199" i="3" s="1"/>
  <c r="I1200" i="3"/>
  <c r="J1200" i="3" s="1"/>
  <c r="I1201" i="3"/>
  <c r="J1201" i="3" s="1"/>
  <c r="I1202" i="3"/>
  <c r="J1202" i="3" s="1"/>
  <c r="I1203" i="3"/>
  <c r="J1203" i="3" s="1"/>
  <c r="I1204" i="3"/>
  <c r="J1204" i="3" s="1"/>
  <c r="I1205" i="3"/>
  <c r="J1205" i="3" s="1"/>
  <c r="I1206" i="3"/>
  <c r="J1206" i="3" s="1"/>
  <c r="I1207" i="3"/>
  <c r="J1207" i="3" s="1"/>
  <c r="I1208" i="3"/>
  <c r="J1208" i="3" s="1"/>
  <c r="I1209" i="3"/>
  <c r="J1209" i="3" s="1"/>
  <c r="I1210" i="3"/>
  <c r="J1210" i="3" s="1"/>
  <c r="I1211" i="3"/>
  <c r="J1211" i="3" s="1"/>
  <c r="I1212" i="3"/>
  <c r="J1212" i="3" s="1"/>
  <c r="I1213" i="3"/>
  <c r="J1213" i="3" s="1"/>
  <c r="I1214" i="3"/>
  <c r="J1214" i="3" s="1"/>
  <c r="I1215" i="3"/>
  <c r="J1215" i="3" s="1"/>
  <c r="I1216" i="3"/>
  <c r="J1216" i="3" s="1"/>
  <c r="I1217" i="3"/>
  <c r="J1217" i="3" s="1"/>
  <c r="I1218" i="3"/>
  <c r="J1218" i="3" s="1"/>
  <c r="I1219" i="3"/>
  <c r="J1219" i="3" s="1"/>
  <c r="I1220" i="3"/>
  <c r="J1220" i="3" s="1"/>
  <c r="I1221" i="3"/>
  <c r="J1221" i="3" s="1"/>
  <c r="I1222" i="3"/>
  <c r="J1222" i="3" s="1"/>
  <c r="I1223" i="3"/>
  <c r="J1223" i="3" s="1"/>
  <c r="I1224" i="3"/>
  <c r="J1224" i="3" s="1"/>
  <c r="I1225" i="3"/>
  <c r="J1225" i="3" s="1"/>
  <c r="I1226" i="3"/>
  <c r="J1226" i="3" s="1"/>
  <c r="I1227" i="3"/>
  <c r="J1227" i="3" s="1"/>
  <c r="I1228" i="3"/>
  <c r="J1228" i="3" s="1"/>
  <c r="I1229" i="3"/>
  <c r="J1229" i="3" s="1"/>
  <c r="I1230" i="3"/>
  <c r="J1230" i="3" s="1"/>
  <c r="I1231" i="3"/>
  <c r="J1231" i="3" s="1"/>
  <c r="I1232" i="3"/>
  <c r="J1232" i="3" s="1"/>
  <c r="I1233" i="3"/>
  <c r="J1233" i="3" s="1"/>
  <c r="I1234" i="3"/>
  <c r="J1234" i="3" s="1"/>
  <c r="I1235" i="3"/>
  <c r="J1235" i="3" s="1"/>
  <c r="I1236" i="3"/>
  <c r="J1236" i="3" s="1"/>
  <c r="I1237" i="3"/>
  <c r="J1237" i="3" s="1"/>
  <c r="I1238" i="3"/>
  <c r="J1238" i="3" s="1"/>
  <c r="I1239" i="3"/>
  <c r="J1239" i="3" s="1"/>
  <c r="I1240" i="3"/>
  <c r="J1240" i="3" s="1"/>
  <c r="I1241" i="3"/>
  <c r="J1241" i="3" s="1"/>
  <c r="I1242" i="3"/>
  <c r="J1242" i="3" s="1"/>
  <c r="I1243" i="3"/>
  <c r="J1243" i="3" s="1"/>
  <c r="I1244" i="3"/>
  <c r="J1244" i="3" s="1"/>
  <c r="I1245" i="3"/>
  <c r="J1245" i="3" s="1"/>
  <c r="I1246" i="3"/>
  <c r="J1246" i="3" s="1"/>
  <c r="I1247" i="3"/>
  <c r="J1247" i="3" s="1"/>
  <c r="I1248" i="3"/>
  <c r="J1248" i="3" s="1"/>
  <c r="I1249" i="3"/>
  <c r="J1249" i="3" s="1"/>
  <c r="I1250" i="3"/>
  <c r="J1250" i="3" s="1"/>
  <c r="I1251" i="3"/>
  <c r="J1251" i="3" s="1"/>
  <c r="I1252" i="3"/>
  <c r="J1252" i="3" s="1"/>
  <c r="I1253" i="3"/>
  <c r="J1253" i="3" s="1"/>
  <c r="I1254" i="3"/>
  <c r="J1254" i="3" s="1"/>
  <c r="I1255" i="3"/>
  <c r="J1255" i="3" s="1"/>
  <c r="I1256" i="3"/>
  <c r="J1256" i="3" s="1"/>
  <c r="I1257" i="3"/>
  <c r="J1257" i="3" s="1"/>
  <c r="I1258" i="3"/>
  <c r="J1258" i="3" s="1"/>
  <c r="I1259" i="3"/>
  <c r="J1259" i="3" s="1"/>
  <c r="I1260" i="3"/>
  <c r="J1260" i="3" s="1"/>
  <c r="I1261" i="3"/>
  <c r="J1261" i="3" s="1"/>
  <c r="I1262" i="3"/>
  <c r="J1262" i="3" s="1"/>
  <c r="I1263" i="3"/>
  <c r="J1263" i="3" s="1"/>
  <c r="I1264" i="3"/>
  <c r="J1264" i="3" s="1"/>
  <c r="I1265" i="3"/>
  <c r="J1265" i="3" s="1"/>
  <c r="I1266" i="3"/>
  <c r="J1266" i="3" s="1"/>
  <c r="I1267" i="3"/>
  <c r="J1267" i="3" s="1"/>
  <c r="I1268" i="3"/>
  <c r="J1268" i="3" s="1"/>
  <c r="I1269" i="3"/>
  <c r="J1269" i="3" s="1"/>
  <c r="I1270" i="3"/>
  <c r="J1270" i="3" s="1"/>
  <c r="I1271" i="3"/>
  <c r="J1271" i="3" s="1"/>
  <c r="I1272" i="3"/>
  <c r="J1272" i="3" s="1"/>
  <c r="I1273" i="3"/>
  <c r="J1273" i="3" s="1"/>
  <c r="I1274" i="3"/>
  <c r="J1274" i="3" s="1"/>
  <c r="I1275" i="3"/>
  <c r="J1275" i="3" s="1"/>
  <c r="I1276" i="3"/>
  <c r="J1276" i="3" s="1"/>
  <c r="I1277" i="3"/>
  <c r="J1277" i="3" s="1"/>
  <c r="I1278" i="3"/>
  <c r="J1278" i="3" s="1"/>
  <c r="I1279" i="3"/>
  <c r="J1279" i="3" s="1"/>
  <c r="I1280" i="3"/>
  <c r="J1280" i="3" s="1"/>
  <c r="I1281" i="3"/>
  <c r="J1281" i="3" s="1"/>
  <c r="I1282" i="3"/>
  <c r="J1282" i="3" s="1"/>
  <c r="I1283" i="3"/>
  <c r="J1283" i="3" s="1"/>
  <c r="I1284" i="3"/>
  <c r="J1284" i="3" s="1"/>
  <c r="I1285" i="3"/>
  <c r="J1285" i="3" s="1"/>
  <c r="I1286" i="3"/>
  <c r="J1286" i="3" s="1"/>
  <c r="I1287" i="3"/>
  <c r="J1287" i="3" s="1"/>
  <c r="I1288" i="3"/>
  <c r="J1288" i="3" s="1"/>
  <c r="I1289" i="3"/>
  <c r="J1289" i="3" s="1"/>
  <c r="I1290" i="3"/>
  <c r="J1290" i="3" s="1"/>
  <c r="I1291" i="3"/>
  <c r="J1291" i="3" s="1"/>
  <c r="I1133" i="3"/>
  <c r="J1133" i="3" s="1"/>
  <c r="I1134" i="3"/>
  <c r="J1134" i="3" s="1"/>
  <c r="I1135" i="3"/>
  <c r="J1135" i="3" s="1"/>
  <c r="I1136" i="3"/>
  <c r="J1136" i="3" s="1"/>
  <c r="I1137" i="3"/>
  <c r="J1137" i="3" s="1"/>
  <c r="I1138" i="3"/>
  <c r="J1138" i="3" s="1"/>
  <c r="I1139" i="3"/>
  <c r="J1139" i="3" s="1"/>
  <c r="I1140" i="3"/>
  <c r="J1140" i="3" s="1"/>
  <c r="I1141" i="3"/>
  <c r="J1141" i="3" s="1"/>
  <c r="I1142" i="3"/>
  <c r="J1142" i="3" s="1"/>
  <c r="I1143" i="3"/>
  <c r="J1143" i="3" s="1"/>
  <c r="I1144" i="3"/>
  <c r="J1144" i="3" s="1"/>
  <c r="I1076" i="3"/>
  <c r="J1076" i="3" s="1"/>
  <c r="I1077" i="3"/>
  <c r="J1077" i="3" s="1"/>
  <c r="I1078" i="3"/>
  <c r="J1078" i="3" s="1"/>
  <c r="I1079" i="3"/>
  <c r="J1079" i="3" s="1"/>
  <c r="I1080" i="3"/>
  <c r="J1080" i="3" s="1"/>
  <c r="I1081" i="3"/>
  <c r="J1081" i="3" s="1"/>
  <c r="I1082" i="3"/>
  <c r="J1082" i="3" s="1"/>
  <c r="I1083" i="3"/>
  <c r="J1083" i="3" s="1"/>
  <c r="I1084" i="3"/>
  <c r="J1084" i="3" s="1"/>
  <c r="I1085" i="3"/>
  <c r="J1085" i="3" s="1"/>
  <c r="I1086" i="3"/>
  <c r="J1086" i="3" s="1"/>
  <c r="I1087" i="3"/>
  <c r="J1087" i="3" s="1"/>
  <c r="I1088" i="3"/>
  <c r="J1088" i="3" s="1"/>
  <c r="I1089" i="3"/>
  <c r="J1089" i="3" s="1"/>
  <c r="I1090" i="3"/>
  <c r="J1090" i="3" s="1"/>
  <c r="I1091" i="3"/>
  <c r="J1091" i="3" s="1"/>
  <c r="I1092" i="3"/>
  <c r="J1092" i="3" s="1"/>
  <c r="I1093" i="3"/>
  <c r="J1093" i="3" s="1"/>
  <c r="I1094" i="3"/>
  <c r="J1094" i="3" s="1"/>
  <c r="I1095" i="3"/>
  <c r="J1095" i="3" s="1"/>
  <c r="I1096" i="3"/>
  <c r="J1096" i="3" s="1"/>
  <c r="I1097" i="3"/>
  <c r="J1097" i="3" s="1"/>
  <c r="I1098" i="3"/>
  <c r="J1098" i="3" s="1"/>
  <c r="I1099" i="3"/>
  <c r="J1099" i="3" s="1"/>
  <c r="I1100" i="3"/>
  <c r="J1100" i="3" s="1"/>
  <c r="I1101" i="3"/>
  <c r="J1101" i="3" s="1"/>
  <c r="I1102" i="3"/>
  <c r="J1102" i="3" s="1"/>
  <c r="I1103" i="3"/>
  <c r="J1103" i="3" s="1"/>
  <c r="I1104" i="3"/>
  <c r="J1104" i="3" s="1"/>
  <c r="I1105" i="3"/>
  <c r="J1105" i="3" s="1"/>
  <c r="I1106" i="3"/>
  <c r="J1106" i="3" s="1"/>
  <c r="I1107" i="3"/>
  <c r="J1107" i="3" s="1"/>
  <c r="I1108" i="3"/>
  <c r="J1108" i="3" s="1"/>
  <c r="I1109" i="3"/>
  <c r="J1109" i="3" s="1"/>
  <c r="I1110" i="3"/>
  <c r="J1110" i="3" s="1"/>
  <c r="I1111" i="3"/>
  <c r="J1111" i="3" s="1"/>
  <c r="I1112" i="3"/>
  <c r="J1112" i="3" s="1"/>
  <c r="I1113" i="3"/>
  <c r="J1113" i="3" s="1"/>
  <c r="I1114" i="3"/>
  <c r="J1114" i="3" s="1"/>
  <c r="I1115" i="3"/>
  <c r="J1115" i="3" s="1"/>
  <c r="I1116" i="3"/>
  <c r="J1116" i="3" s="1"/>
  <c r="I1117" i="3"/>
  <c r="J1117" i="3" s="1"/>
  <c r="I1118" i="3"/>
  <c r="J1118" i="3" s="1"/>
  <c r="I1119" i="3"/>
  <c r="J1119" i="3" s="1"/>
  <c r="I1120" i="3"/>
  <c r="J1120" i="3" s="1"/>
  <c r="I1121" i="3"/>
  <c r="J1121" i="3" s="1"/>
  <c r="I1122" i="3"/>
  <c r="J1122" i="3" s="1"/>
  <c r="I1123" i="3"/>
  <c r="J1123" i="3" s="1"/>
  <c r="I1124" i="3"/>
  <c r="J1124" i="3" s="1"/>
  <c r="I1125" i="3"/>
  <c r="J1125" i="3" s="1"/>
  <c r="I1126" i="3"/>
  <c r="J1126" i="3" s="1"/>
  <c r="I1127" i="3"/>
  <c r="J1127" i="3" s="1"/>
  <c r="I1128" i="3"/>
  <c r="J1128" i="3" s="1"/>
  <c r="I1129" i="3"/>
  <c r="J1129" i="3" s="1"/>
  <c r="I1130" i="3"/>
  <c r="J1130" i="3" s="1"/>
  <c r="I1013" i="3"/>
  <c r="J1013" i="3" s="1"/>
  <c r="I1014" i="3"/>
  <c r="J1014" i="3" s="1"/>
  <c r="I1015" i="3"/>
  <c r="J1015" i="3" s="1"/>
  <c r="I1016" i="3"/>
  <c r="J1016" i="3" s="1"/>
  <c r="I1017" i="3"/>
  <c r="J1017" i="3" s="1"/>
  <c r="I1018" i="3"/>
  <c r="J1018" i="3" s="1"/>
  <c r="I1019" i="3"/>
  <c r="J1019" i="3" s="1"/>
  <c r="I1020" i="3"/>
  <c r="J1020" i="3" s="1"/>
  <c r="I1021" i="3"/>
  <c r="J1021" i="3" s="1"/>
  <c r="I1022" i="3"/>
  <c r="J1022" i="3" s="1"/>
  <c r="I1023" i="3"/>
  <c r="J1023" i="3" s="1"/>
  <c r="I1024" i="3"/>
  <c r="J1024" i="3" s="1"/>
  <c r="I1025" i="3"/>
  <c r="J1025" i="3" s="1"/>
  <c r="I1026" i="3"/>
  <c r="J1026" i="3" s="1"/>
  <c r="I1027" i="3"/>
  <c r="J1027" i="3" s="1"/>
  <c r="I1028" i="3"/>
  <c r="J1028" i="3" s="1"/>
  <c r="I1029" i="3"/>
  <c r="J1029" i="3" s="1"/>
  <c r="I1030" i="3"/>
  <c r="J1030" i="3" s="1"/>
  <c r="I1031" i="3"/>
  <c r="J1031" i="3" s="1"/>
  <c r="I1032" i="3"/>
  <c r="J1032" i="3" s="1"/>
  <c r="I1033" i="3"/>
  <c r="J1033" i="3" s="1"/>
  <c r="I1034" i="3"/>
  <c r="J1034" i="3" s="1"/>
  <c r="I1035" i="3"/>
  <c r="J1035" i="3" s="1"/>
  <c r="I1036" i="3"/>
  <c r="J1036" i="3" s="1"/>
  <c r="I1037" i="3"/>
  <c r="J1037" i="3" s="1"/>
  <c r="I1038" i="3"/>
  <c r="J1038" i="3" s="1"/>
  <c r="I1039" i="3"/>
  <c r="J1039" i="3" s="1"/>
  <c r="I1040" i="3"/>
  <c r="J1040" i="3" s="1"/>
  <c r="I1041" i="3"/>
  <c r="J1041" i="3" s="1"/>
  <c r="I1042" i="3"/>
  <c r="J1042" i="3" s="1"/>
  <c r="I1043" i="3"/>
  <c r="J1043" i="3" s="1"/>
  <c r="I1044" i="3"/>
  <c r="J1044" i="3" s="1"/>
  <c r="I1045" i="3"/>
  <c r="J1045" i="3" s="1"/>
  <c r="I1046" i="3"/>
  <c r="J1046" i="3" s="1"/>
  <c r="I1047" i="3"/>
  <c r="J1047" i="3" s="1"/>
  <c r="I1048" i="3"/>
  <c r="J1048" i="3" s="1"/>
  <c r="I1049" i="3"/>
  <c r="J1049" i="3" s="1"/>
  <c r="I1050" i="3"/>
  <c r="J1050" i="3" s="1"/>
  <c r="I1051" i="3"/>
  <c r="J1051" i="3" s="1"/>
  <c r="I1052" i="3"/>
  <c r="J1052" i="3" s="1"/>
  <c r="I1053" i="3"/>
  <c r="J1053" i="3" s="1"/>
  <c r="I1054" i="3"/>
  <c r="J1054" i="3" s="1"/>
  <c r="I1055" i="3"/>
  <c r="J1055" i="3" s="1"/>
  <c r="I1056" i="3"/>
  <c r="J1056" i="3" s="1"/>
  <c r="I1057" i="3"/>
  <c r="J1057" i="3" s="1"/>
  <c r="I1058" i="3"/>
  <c r="J1058" i="3" s="1"/>
  <c r="I1059" i="3"/>
  <c r="J1059" i="3" s="1"/>
  <c r="I1060" i="3"/>
  <c r="J1060" i="3" s="1"/>
  <c r="I1061" i="3"/>
  <c r="J1061" i="3" s="1"/>
  <c r="I1062" i="3"/>
  <c r="J1062" i="3" s="1"/>
  <c r="I1063" i="3"/>
  <c r="J1063" i="3" s="1"/>
  <c r="I1064" i="3"/>
  <c r="J1064" i="3" s="1"/>
  <c r="I1065" i="3"/>
  <c r="J1065" i="3" s="1"/>
  <c r="I1066" i="3"/>
  <c r="J1066" i="3" s="1"/>
  <c r="I1067" i="3"/>
  <c r="J1067" i="3" s="1"/>
  <c r="I1068" i="3"/>
  <c r="J1068" i="3" s="1"/>
  <c r="I1069" i="3"/>
  <c r="J1069" i="3" s="1"/>
  <c r="I1070" i="3"/>
  <c r="J1070" i="3" s="1"/>
  <c r="I1071" i="3"/>
  <c r="J1071" i="3" s="1"/>
  <c r="I1072" i="3"/>
  <c r="J1072" i="3" s="1"/>
  <c r="I1073" i="3"/>
  <c r="J1073" i="3" s="1"/>
  <c r="I956" i="3"/>
  <c r="J956" i="3" s="1"/>
  <c r="I957" i="3"/>
  <c r="J957" i="3" s="1"/>
  <c r="I958" i="3"/>
  <c r="J958" i="3" s="1"/>
  <c r="I959" i="3"/>
  <c r="J959" i="3" s="1"/>
  <c r="I960" i="3"/>
  <c r="J960" i="3" s="1"/>
  <c r="I961" i="3"/>
  <c r="J961" i="3" s="1"/>
  <c r="I962" i="3"/>
  <c r="J962" i="3" s="1"/>
  <c r="I963" i="3"/>
  <c r="J963" i="3" s="1"/>
  <c r="I964" i="3"/>
  <c r="J964" i="3" s="1"/>
  <c r="I965" i="3"/>
  <c r="J965" i="3" s="1"/>
  <c r="I966" i="3"/>
  <c r="J966" i="3" s="1"/>
  <c r="I967" i="3"/>
  <c r="J967" i="3" s="1"/>
  <c r="I968" i="3"/>
  <c r="J968" i="3" s="1"/>
  <c r="I969" i="3"/>
  <c r="J969" i="3" s="1"/>
  <c r="I970" i="3"/>
  <c r="J970" i="3" s="1"/>
  <c r="I971" i="3"/>
  <c r="J971" i="3" s="1"/>
  <c r="I972" i="3"/>
  <c r="J972" i="3" s="1"/>
  <c r="I973" i="3"/>
  <c r="J973" i="3" s="1"/>
  <c r="I974" i="3"/>
  <c r="J974" i="3" s="1"/>
  <c r="I975" i="3"/>
  <c r="J975" i="3" s="1"/>
  <c r="I976" i="3"/>
  <c r="J976" i="3" s="1"/>
  <c r="I977" i="3"/>
  <c r="J977" i="3" s="1"/>
  <c r="I978" i="3"/>
  <c r="J978" i="3" s="1"/>
  <c r="I979" i="3"/>
  <c r="J979" i="3" s="1"/>
  <c r="I980" i="3"/>
  <c r="J980" i="3" s="1"/>
  <c r="I981" i="3"/>
  <c r="J981" i="3" s="1"/>
  <c r="I982" i="3"/>
  <c r="J982" i="3" s="1"/>
  <c r="I983" i="3"/>
  <c r="J983" i="3" s="1"/>
  <c r="I984" i="3"/>
  <c r="J984" i="3" s="1"/>
  <c r="I985" i="3"/>
  <c r="J985" i="3" s="1"/>
  <c r="I986" i="3"/>
  <c r="J986" i="3" s="1"/>
  <c r="I987" i="3"/>
  <c r="J987" i="3" s="1"/>
  <c r="I988" i="3"/>
  <c r="J988" i="3" s="1"/>
  <c r="I989" i="3"/>
  <c r="J989" i="3" s="1"/>
  <c r="I990" i="3"/>
  <c r="J990" i="3" s="1"/>
  <c r="I991" i="3"/>
  <c r="J991" i="3" s="1"/>
  <c r="I992" i="3"/>
  <c r="J992" i="3" s="1"/>
  <c r="I993" i="3"/>
  <c r="J993" i="3" s="1"/>
  <c r="I994" i="3"/>
  <c r="J994" i="3" s="1"/>
  <c r="I995" i="3"/>
  <c r="J995" i="3" s="1"/>
  <c r="I996" i="3"/>
  <c r="J996" i="3" s="1"/>
  <c r="I997" i="3"/>
  <c r="J997" i="3" s="1"/>
  <c r="I998" i="3"/>
  <c r="J998" i="3" s="1"/>
  <c r="I999" i="3"/>
  <c r="J999" i="3" s="1"/>
  <c r="I1000" i="3"/>
  <c r="J1000" i="3" s="1"/>
  <c r="I1001" i="3"/>
  <c r="J1001" i="3" s="1"/>
  <c r="I1002" i="3"/>
  <c r="J1002" i="3" s="1"/>
  <c r="I1003" i="3"/>
  <c r="J1003" i="3" s="1"/>
  <c r="I1004" i="3"/>
  <c r="J1004" i="3" s="1"/>
  <c r="I1005" i="3"/>
  <c r="J1005" i="3" s="1"/>
  <c r="I1006" i="3"/>
  <c r="J1006" i="3" s="1"/>
  <c r="I1007" i="3"/>
  <c r="J1007" i="3" s="1"/>
  <c r="I921" i="3"/>
  <c r="J921" i="3" s="1"/>
  <c r="I922" i="3"/>
  <c r="J922" i="3" s="1"/>
  <c r="I923" i="3"/>
  <c r="J923" i="3" s="1"/>
  <c r="I924" i="3"/>
  <c r="J924" i="3" s="1"/>
  <c r="I925" i="3"/>
  <c r="J925" i="3" s="1"/>
  <c r="I926" i="3"/>
  <c r="J926" i="3" s="1"/>
  <c r="I927" i="3"/>
  <c r="J927" i="3" s="1"/>
  <c r="I928" i="3"/>
  <c r="J928" i="3" s="1"/>
  <c r="I929" i="3"/>
  <c r="J929" i="3" s="1"/>
  <c r="I930" i="3"/>
  <c r="J930" i="3" s="1"/>
  <c r="I931" i="3"/>
  <c r="J931" i="3" s="1"/>
  <c r="I932" i="3"/>
  <c r="J932" i="3" s="1"/>
  <c r="I933" i="3"/>
  <c r="J933" i="3" s="1"/>
  <c r="I934" i="3"/>
  <c r="J934" i="3" s="1"/>
  <c r="I935" i="3"/>
  <c r="J935" i="3" s="1"/>
  <c r="I936" i="3"/>
  <c r="J936" i="3" s="1"/>
  <c r="I937" i="3"/>
  <c r="J937" i="3" s="1"/>
  <c r="I938" i="3"/>
  <c r="J938" i="3" s="1"/>
  <c r="I939" i="3"/>
  <c r="J939" i="3" s="1"/>
  <c r="I940" i="3"/>
  <c r="J940" i="3" s="1"/>
  <c r="I941" i="3"/>
  <c r="J941" i="3" s="1"/>
  <c r="I942" i="3"/>
  <c r="J942" i="3" s="1"/>
  <c r="I943" i="3"/>
  <c r="J943" i="3" s="1"/>
  <c r="I944" i="3"/>
  <c r="J944" i="3" s="1"/>
  <c r="I945" i="3"/>
  <c r="J945" i="3" s="1"/>
  <c r="I946" i="3"/>
  <c r="J946" i="3" s="1"/>
  <c r="I947" i="3"/>
  <c r="J947" i="3" s="1"/>
  <c r="I948" i="3"/>
  <c r="J948" i="3" s="1"/>
  <c r="I949" i="3"/>
  <c r="J949" i="3" s="1"/>
  <c r="I950" i="3"/>
  <c r="J950" i="3" s="1"/>
  <c r="I951" i="3"/>
  <c r="J951" i="3" s="1"/>
  <c r="I952" i="3"/>
  <c r="J952" i="3" s="1"/>
  <c r="I916" i="3"/>
  <c r="J916" i="3" s="1"/>
  <c r="I917" i="3"/>
  <c r="J917" i="3" s="1"/>
  <c r="I918" i="3"/>
  <c r="J918" i="3" s="1"/>
  <c r="I885" i="3"/>
  <c r="J885" i="3" s="1"/>
  <c r="I886" i="3"/>
  <c r="J886" i="3" s="1"/>
  <c r="I887" i="3"/>
  <c r="J887" i="3" s="1"/>
  <c r="I888" i="3"/>
  <c r="J888" i="3" s="1"/>
  <c r="I889" i="3"/>
  <c r="J889" i="3" s="1"/>
  <c r="I890" i="3"/>
  <c r="J890" i="3" s="1"/>
  <c r="I891" i="3"/>
  <c r="J891" i="3" s="1"/>
  <c r="I892" i="3"/>
  <c r="J892" i="3" s="1"/>
  <c r="I893" i="3"/>
  <c r="J893" i="3" s="1"/>
  <c r="I894" i="3"/>
  <c r="J894" i="3" s="1"/>
  <c r="I895" i="3"/>
  <c r="J895" i="3" s="1"/>
  <c r="I896" i="3"/>
  <c r="J896" i="3" s="1"/>
  <c r="I897" i="3"/>
  <c r="J897" i="3" s="1"/>
  <c r="I898" i="3"/>
  <c r="J898" i="3" s="1"/>
  <c r="I899" i="3"/>
  <c r="J899" i="3" s="1"/>
  <c r="I900" i="3"/>
  <c r="J900" i="3" s="1"/>
  <c r="I901" i="3"/>
  <c r="J901" i="3" s="1"/>
  <c r="I902" i="3"/>
  <c r="J902" i="3" s="1"/>
  <c r="I903" i="3"/>
  <c r="J903" i="3" s="1"/>
  <c r="I904" i="3"/>
  <c r="J904" i="3" s="1"/>
  <c r="I905" i="3"/>
  <c r="J905" i="3" s="1"/>
  <c r="I906" i="3"/>
  <c r="J906" i="3" s="1"/>
  <c r="I907" i="3"/>
  <c r="J907" i="3" s="1"/>
  <c r="I908" i="3"/>
  <c r="J908" i="3" s="1"/>
  <c r="I909" i="3"/>
  <c r="J909" i="3" s="1"/>
  <c r="I910" i="3"/>
  <c r="J910" i="3" s="1"/>
  <c r="I911" i="3"/>
  <c r="J911" i="3" s="1"/>
  <c r="I912" i="3"/>
  <c r="J912" i="3" s="1"/>
  <c r="I913" i="3"/>
  <c r="J913" i="3" s="1"/>
  <c r="I868" i="3"/>
  <c r="J868" i="3" s="1"/>
  <c r="I869" i="3"/>
  <c r="J869" i="3" s="1"/>
  <c r="I870" i="3"/>
  <c r="J870" i="3" s="1"/>
  <c r="I871" i="3"/>
  <c r="J871" i="3" s="1"/>
  <c r="I872" i="3"/>
  <c r="J872" i="3" s="1"/>
  <c r="I873" i="3"/>
  <c r="J873" i="3" s="1"/>
  <c r="I874" i="3"/>
  <c r="J874" i="3" s="1"/>
  <c r="I875" i="3"/>
  <c r="J875" i="3" s="1"/>
  <c r="I876" i="3"/>
  <c r="J876" i="3" s="1"/>
  <c r="I877" i="3"/>
  <c r="J877" i="3" s="1"/>
  <c r="I878" i="3"/>
  <c r="J878" i="3" s="1"/>
  <c r="I879" i="3"/>
  <c r="J879" i="3" s="1"/>
  <c r="I880" i="3"/>
  <c r="J880" i="3" s="1"/>
  <c r="I777" i="3"/>
  <c r="J777" i="3" s="1"/>
  <c r="I778" i="3"/>
  <c r="J778" i="3" s="1"/>
  <c r="I779" i="3"/>
  <c r="J779" i="3" s="1"/>
  <c r="I780" i="3"/>
  <c r="J780" i="3" s="1"/>
  <c r="I781" i="3"/>
  <c r="J781" i="3" s="1"/>
  <c r="I782" i="3"/>
  <c r="J782" i="3" s="1"/>
  <c r="I783" i="3"/>
  <c r="J783" i="3" s="1"/>
  <c r="I784" i="3"/>
  <c r="J784" i="3" s="1"/>
  <c r="I785" i="3"/>
  <c r="J785" i="3" s="1"/>
  <c r="I786" i="3"/>
  <c r="J786" i="3" s="1"/>
  <c r="I787" i="3"/>
  <c r="J787" i="3" s="1"/>
  <c r="I788" i="3"/>
  <c r="J788" i="3" s="1"/>
  <c r="I789" i="3"/>
  <c r="J789" i="3" s="1"/>
  <c r="I790" i="3"/>
  <c r="J790" i="3" s="1"/>
  <c r="I791" i="3"/>
  <c r="J791" i="3" s="1"/>
  <c r="I792" i="3"/>
  <c r="J792" i="3" s="1"/>
  <c r="I793" i="3"/>
  <c r="J793" i="3" s="1"/>
  <c r="I794" i="3"/>
  <c r="J794" i="3" s="1"/>
  <c r="I795" i="3"/>
  <c r="J795" i="3" s="1"/>
  <c r="I796" i="3"/>
  <c r="J796" i="3" s="1"/>
  <c r="I797" i="3"/>
  <c r="J797" i="3" s="1"/>
  <c r="I798" i="3"/>
  <c r="J798" i="3" s="1"/>
  <c r="I799" i="3"/>
  <c r="J799" i="3" s="1"/>
  <c r="I800" i="3"/>
  <c r="J800" i="3" s="1"/>
  <c r="I801" i="3"/>
  <c r="J801" i="3" s="1"/>
  <c r="I802" i="3"/>
  <c r="J802" i="3" s="1"/>
  <c r="I803" i="3"/>
  <c r="J803" i="3" s="1"/>
  <c r="I804" i="3"/>
  <c r="J804" i="3" s="1"/>
  <c r="I805" i="3"/>
  <c r="J805" i="3" s="1"/>
  <c r="I806" i="3"/>
  <c r="J806" i="3" s="1"/>
  <c r="I807" i="3"/>
  <c r="J807" i="3" s="1"/>
  <c r="I808" i="3"/>
  <c r="J808" i="3" s="1"/>
  <c r="I809" i="3"/>
  <c r="J809" i="3" s="1"/>
  <c r="I810" i="3"/>
  <c r="J810" i="3" s="1"/>
  <c r="I811" i="3"/>
  <c r="J811" i="3" s="1"/>
  <c r="I812" i="3"/>
  <c r="J812" i="3" s="1"/>
  <c r="I813" i="3"/>
  <c r="J813" i="3" s="1"/>
  <c r="I814" i="3"/>
  <c r="J814" i="3" s="1"/>
  <c r="I815" i="3"/>
  <c r="J815" i="3" s="1"/>
  <c r="I816" i="3"/>
  <c r="J816" i="3" s="1"/>
  <c r="I817" i="3"/>
  <c r="J817" i="3" s="1"/>
  <c r="I818" i="3"/>
  <c r="J818" i="3" s="1"/>
  <c r="I819" i="3"/>
  <c r="J819" i="3" s="1"/>
  <c r="I820" i="3"/>
  <c r="J820" i="3" s="1"/>
  <c r="I821" i="3"/>
  <c r="J821" i="3" s="1"/>
  <c r="I822" i="3"/>
  <c r="J822" i="3" s="1"/>
  <c r="I823" i="3"/>
  <c r="J823" i="3" s="1"/>
  <c r="I824" i="3"/>
  <c r="J824" i="3" s="1"/>
  <c r="I825" i="3"/>
  <c r="J825" i="3" s="1"/>
  <c r="I826" i="3"/>
  <c r="J826" i="3" s="1"/>
  <c r="I827" i="3"/>
  <c r="J827" i="3" s="1"/>
  <c r="I828" i="3"/>
  <c r="J828" i="3" s="1"/>
  <c r="I829" i="3"/>
  <c r="J829" i="3" s="1"/>
  <c r="I830" i="3"/>
  <c r="J830" i="3" s="1"/>
  <c r="I831" i="3"/>
  <c r="J831" i="3" s="1"/>
  <c r="I832" i="3"/>
  <c r="J832" i="3" s="1"/>
  <c r="I833" i="3"/>
  <c r="J833" i="3" s="1"/>
  <c r="I834" i="3"/>
  <c r="J834" i="3" s="1"/>
  <c r="I835" i="3"/>
  <c r="J835" i="3" s="1"/>
  <c r="I836" i="3"/>
  <c r="J836" i="3" s="1"/>
  <c r="I837" i="3"/>
  <c r="J837" i="3" s="1"/>
  <c r="I838" i="3"/>
  <c r="J838" i="3" s="1"/>
  <c r="I839" i="3"/>
  <c r="J839" i="3" s="1"/>
  <c r="I840" i="3"/>
  <c r="J840" i="3" s="1"/>
  <c r="I841" i="3"/>
  <c r="J841" i="3" s="1"/>
  <c r="I842" i="3"/>
  <c r="J842" i="3" s="1"/>
  <c r="I843" i="3"/>
  <c r="J843" i="3" s="1"/>
  <c r="I844" i="3"/>
  <c r="J844" i="3" s="1"/>
  <c r="I845" i="3"/>
  <c r="J845" i="3" s="1"/>
  <c r="I731" i="3"/>
  <c r="J731" i="3" s="1"/>
  <c r="I732" i="3"/>
  <c r="J732" i="3" s="1"/>
  <c r="I733" i="3"/>
  <c r="J733" i="3" s="1"/>
  <c r="I734" i="3"/>
  <c r="J734" i="3" s="1"/>
  <c r="I735" i="3"/>
  <c r="J735" i="3" s="1"/>
  <c r="I736" i="3"/>
  <c r="J736" i="3" s="1"/>
  <c r="I737" i="3"/>
  <c r="J737" i="3" s="1"/>
  <c r="I738" i="3"/>
  <c r="J738" i="3" s="1"/>
  <c r="I739" i="3"/>
  <c r="J739" i="3" s="1"/>
  <c r="I740" i="3"/>
  <c r="J740" i="3" s="1"/>
  <c r="I741" i="3"/>
  <c r="J741" i="3" s="1"/>
  <c r="I742" i="3"/>
  <c r="J742" i="3" s="1"/>
  <c r="I743" i="3"/>
  <c r="J743" i="3" s="1"/>
  <c r="I744" i="3"/>
  <c r="J744" i="3" s="1"/>
  <c r="I745" i="3"/>
  <c r="J745" i="3" s="1"/>
  <c r="I746" i="3"/>
  <c r="J746" i="3" s="1"/>
  <c r="I747" i="3"/>
  <c r="J747" i="3" s="1"/>
  <c r="I748" i="3"/>
  <c r="J748" i="3" s="1"/>
  <c r="I749" i="3"/>
  <c r="J749" i="3" s="1"/>
  <c r="I750" i="3"/>
  <c r="J750" i="3" s="1"/>
  <c r="I751" i="3"/>
  <c r="J751" i="3" s="1"/>
  <c r="I752" i="3"/>
  <c r="J752" i="3" s="1"/>
  <c r="I753" i="3"/>
  <c r="J753" i="3" s="1"/>
  <c r="I754" i="3"/>
  <c r="J754" i="3" s="1"/>
  <c r="I755" i="3"/>
  <c r="J755" i="3" s="1"/>
  <c r="I756" i="3"/>
  <c r="J756" i="3" s="1"/>
  <c r="I757" i="3"/>
  <c r="J757" i="3" s="1"/>
  <c r="I758" i="3"/>
  <c r="J758" i="3" s="1"/>
  <c r="I759" i="3"/>
  <c r="J759" i="3" s="1"/>
  <c r="I760" i="3"/>
  <c r="J760" i="3" s="1"/>
  <c r="I761" i="3"/>
  <c r="J761" i="3" s="1"/>
  <c r="I762" i="3"/>
  <c r="J762" i="3" s="1"/>
  <c r="I763" i="3"/>
  <c r="J763" i="3" s="1"/>
  <c r="I764" i="3"/>
  <c r="J764" i="3" s="1"/>
  <c r="I765" i="3"/>
  <c r="J765" i="3" s="1"/>
  <c r="I766" i="3"/>
  <c r="J766" i="3" s="1"/>
  <c r="I767" i="3"/>
  <c r="J767" i="3" s="1"/>
  <c r="I768" i="3"/>
  <c r="J768" i="3" s="1"/>
  <c r="I769" i="3"/>
  <c r="J769" i="3" s="1"/>
  <c r="I770" i="3"/>
  <c r="J770" i="3" s="1"/>
  <c r="I771" i="3"/>
  <c r="J771" i="3" s="1"/>
  <c r="I772" i="3"/>
  <c r="J772" i="3" s="1"/>
  <c r="I773" i="3"/>
  <c r="J773" i="3" s="1"/>
  <c r="I774" i="3"/>
  <c r="J774" i="3" s="1"/>
  <c r="I714" i="3"/>
  <c r="J714" i="3" s="1"/>
  <c r="I715" i="3"/>
  <c r="J715" i="3" s="1"/>
  <c r="I716" i="3"/>
  <c r="J716" i="3" s="1"/>
  <c r="I717" i="3"/>
  <c r="J717" i="3" s="1"/>
  <c r="I718" i="3"/>
  <c r="J718" i="3" s="1"/>
  <c r="I719" i="3"/>
  <c r="J719" i="3" s="1"/>
  <c r="I720" i="3"/>
  <c r="J720" i="3" s="1"/>
  <c r="I721" i="3"/>
  <c r="J721" i="3" s="1"/>
  <c r="I722" i="3"/>
  <c r="J722" i="3" s="1"/>
  <c r="I723" i="3"/>
  <c r="J723" i="3" s="1"/>
  <c r="I724" i="3"/>
  <c r="J724" i="3" s="1"/>
  <c r="I725" i="3"/>
  <c r="J725" i="3" s="1"/>
  <c r="I726" i="3"/>
  <c r="J726" i="3" s="1"/>
  <c r="I727" i="3"/>
  <c r="J727" i="3" s="1"/>
  <c r="I728" i="3"/>
  <c r="J728" i="3" s="1"/>
  <c r="I699" i="3"/>
  <c r="J699" i="3" s="1"/>
  <c r="I700" i="3"/>
  <c r="J700" i="3" s="1"/>
  <c r="I701" i="3"/>
  <c r="J701" i="3" s="1"/>
  <c r="I702" i="3"/>
  <c r="J702" i="3" s="1"/>
  <c r="I703" i="3"/>
  <c r="J703" i="3" s="1"/>
  <c r="I704" i="3"/>
  <c r="J704" i="3" s="1"/>
  <c r="I587" i="3"/>
  <c r="J587" i="3" s="1"/>
  <c r="I588" i="3"/>
  <c r="J588" i="3" s="1"/>
  <c r="I589" i="3"/>
  <c r="J589" i="3" s="1"/>
  <c r="I590" i="3"/>
  <c r="J590" i="3" s="1"/>
  <c r="I591" i="3"/>
  <c r="J591" i="3" s="1"/>
  <c r="I592" i="3"/>
  <c r="J592" i="3" s="1"/>
  <c r="I593" i="3"/>
  <c r="J593" i="3" s="1"/>
  <c r="I594" i="3"/>
  <c r="J594" i="3" s="1"/>
  <c r="I595" i="3"/>
  <c r="J595" i="3" s="1"/>
  <c r="I596" i="3"/>
  <c r="J596" i="3" s="1"/>
  <c r="I597" i="3"/>
  <c r="J597" i="3" s="1"/>
  <c r="I598" i="3"/>
  <c r="J598" i="3" s="1"/>
  <c r="I599" i="3"/>
  <c r="J599" i="3" s="1"/>
  <c r="I600" i="3"/>
  <c r="J600" i="3" s="1"/>
  <c r="I601" i="3"/>
  <c r="J601" i="3" s="1"/>
  <c r="I602" i="3"/>
  <c r="J602" i="3" s="1"/>
  <c r="I603" i="3"/>
  <c r="J603" i="3" s="1"/>
  <c r="I604" i="3"/>
  <c r="J604" i="3" s="1"/>
  <c r="I605" i="3"/>
  <c r="J605" i="3" s="1"/>
  <c r="I606" i="3"/>
  <c r="J606" i="3" s="1"/>
  <c r="I607" i="3"/>
  <c r="J607" i="3" s="1"/>
  <c r="I608" i="3"/>
  <c r="J608" i="3" s="1"/>
  <c r="I609" i="3"/>
  <c r="J609" i="3" s="1"/>
  <c r="I610" i="3"/>
  <c r="J610" i="3" s="1"/>
  <c r="I611" i="3"/>
  <c r="J611" i="3" s="1"/>
  <c r="I612" i="3"/>
  <c r="J612" i="3" s="1"/>
  <c r="I613" i="3"/>
  <c r="J613" i="3" s="1"/>
  <c r="I614" i="3"/>
  <c r="J614" i="3" s="1"/>
  <c r="I615" i="3"/>
  <c r="J615" i="3" s="1"/>
  <c r="I616" i="3"/>
  <c r="J616" i="3" s="1"/>
  <c r="I617" i="3"/>
  <c r="J617" i="3" s="1"/>
  <c r="I618" i="3"/>
  <c r="J618" i="3" s="1"/>
  <c r="I619" i="3"/>
  <c r="J619" i="3" s="1"/>
  <c r="I620" i="3"/>
  <c r="J620" i="3" s="1"/>
  <c r="I621" i="3"/>
  <c r="J621" i="3" s="1"/>
  <c r="I622" i="3"/>
  <c r="J622" i="3" s="1"/>
  <c r="I623" i="3"/>
  <c r="J623" i="3" s="1"/>
  <c r="I624" i="3"/>
  <c r="J624" i="3" s="1"/>
  <c r="I625" i="3"/>
  <c r="J625" i="3" s="1"/>
  <c r="I626" i="3"/>
  <c r="J626" i="3" s="1"/>
  <c r="I627" i="3"/>
  <c r="J627" i="3" s="1"/>
  <c r="I628" i="3"/>
  <c r="J628" i="3" s="1"/>
  <c r="I629" i="3"/>
  <c r="J629" i="3" s="1"/>
  <c r="I630" i="3"/>
  <c r="J630" i="3" s="1"/>
  <c r="I631" i="3"/>
  <c r="J631" i="3" s="1"/>
  <c r="I632" i="3"/>
  <c r="J632" i="3" s="1"/>
  <c r="I633" i="3"/>
  <c r="J633" i="3" s="1"/>
  <c r="I634" i="3"/>
  <c r="J634" i="3" s="1"/>
  <c r="I635" i="3"/>
  <c r="J635" i="3" s="1"/>
  <c r="I636" i="3"/>
  <c r="J636" i="3" s="1"/>
  <c r="I637" i="3"/>
  <c r="J637" i="3" s="1"/>
  <c r="I638" i="3"/>
  <c r="J638" i="3" s="1"/>
  <c r="I639" i="3"/>
  <c r="J639" i="3" s="1"/>
  <c r="I640" i="3"/>
  <c r="J640" i="3" s="1"/>
  <c r="I641" i="3"/>
  <c r="J641" i="3" s="1"/>
  <c r="I642" i="3"/>
  <c r="J642" i="3" s="1"/>
  <c r="I643" i="3"/>
  <c r="J643" i="3" s="1"/>
  <c r="I644" i="3"/>
  <c r="J644" i="3" s="1"/>
  <c r="I645" i="3"/>
  <c r="J645" i="3" s="1"/>
  <c r="I646" i="3"/>
  <c r="J646" i="3" s="1"/>
  <c r="I647" i="3"/>
  <c r="J647" i="3" s="1"/>
  <c r="I648" i="3"/>
  <c r="J648" i="3" s="1"/>
  <c r="I649" i="3"/>
  <c r="J649" i="3" s="1"/>
  <c r="I650" i="3"/>
  <c r="J650" i="3" s="1"/>
  <c r="I651" i="3"/>
  <c r="J651" i="3" s="1"/>
  <c r="I652" i="3"/>
  <c r="J652" i="3" s="1"/>
  <c r="I653" i="3"/>
  <c r="J653" i="3" s="1"/>
  <c r="I654" i="3"/>
  <c r="J654" i="3" s="1"/>
  <c r="I655" i="3"/>
  <c r="J655" i="3" s="1"/>
  <c r="I656" i="3"/>
  <c r="J656" i="3" s="1"/>
  <c r="I657" i="3"/>
  <c r="J657" i="3" s="1"/>
  <c r="I658" i="3"/>
  <c r="J658" i="3" s="1"/>
  <c r="I659" i="3"/>
  <c r="J659" i="3" s="1"/>
  <c r="I660" i="3"/>
  <c r="J660" i="3" s="1"/>
  <c r="I661" i="3"/>
  <c r="J661" i="3" s="1"/>
  <c r="I662" i="3"/>
  <c r="J662" i="3" s="1"/>
  <c r="I663" i="3"/>
  <c r="J663" i="3" s="1"/>
  <c r="I664" i="3"/>
  <c r="J664" i="3" s="1"/>
  <c r="I665" i="3"/>
  <c r="J665" i="3" s="1"/>
  <c r="I666" i="3"/>
  <c r="J666" i="3" s="1"/>
  <c r="I667" i="3"/>
  <c r="J667" i="3" s="1"/>
  <c r="I668" i="3"/>
  <c r="J668" i="3" s="1"/>
  <c r="I669" i="3"/>
  <c r="J669" i="3" s="1"/>
  <c r="I670" i="3"/>
  <c r="J670" i="3" s="1"/>
  <c r="I671" i="3"/>
  <c r="J671" i="3" s="1"/>
  <c r="I672" i="3"/>
  <c r="J672" i="3" s="1"/>
  <c r="I673" i="3"/>
  <c r="J673" i="3" s="1"/>
  <c r="I674" i="3"/>
  <c r="J674" i="3" s="1"/>
  <c r="I675" i="3"/>
  <c r="J675" i="3" s="1"/>
  <c r="I676" i="3"/>
  <c r="J676" i="3" s="1"/>
  <c r="I677" i="3"/>
  <c r="J677" i="3" s="1"/>
  <c r="I678" i="3"/>
  <c r="J678" i="3" s="1"/>
  <c r="I679" i="3"/>
  <c r="J679" i="3" s="1"/>
  <c r="I680" i="3"/>
  <c r="J680" i="3" s="1"/>
  <c r="I681" i="3"/>
  <c r="J681" i="3" s="1"/>
  <c r="I682" i="3"/>
  <c r="J682" i="3" s="1"/>
  <c r="I683" i="3"/>
  <c r="J683" i="3" s="1"/>
  <c r="I684" i="3"/>
  <c r="J684" i="3" s="1"/>
  <c r="I685" i="3"/>
  <c r="J685" i="3" s="1"/>
  <c r="I686" i="3"/>
  <c r="J686" i="3" s="1"/>
  <c r="I687" i="3"/>
  <c r="J687" i="3" s="1"/>
  <c r="I688" i="3"/>
  <c r="J688" i="3" s="1"/>
  <c r="I689" i="3"/>
  <c r="J689" i="3" s="1"/>
  <c r="I690" i="3"/>
  <c r="J690" i="3" s="1"/>
  <c r="I691" i="3"/>
  <c r="J691" i="3" s="1"/>
  <c r="I692" i="3"/>
  <c r="J692" i="3" s="1"/>
  <c r="I693" i="3"/>
  <c r="J693" i="3" s="1"/>
  <c r="I694" i="3"/>
  <c r="J694" i="3" s="1"/>
  <c r="I695" i="3"/>
  <c r="J695" i="3" s="1"/>
  <c r="I696" i="3"/>
  <c r="J696" i="3" s="1"/>
  <c r="I586" i="3"/>
  <c r="J586" i="3" s="1"/>
  <c r="I562" i="3"/>
  <c r="J562" i="3" s="1"/>
  <c r="I563" i="3"/>
  <c r="J563" i="3" s="1"/>
  <c r="I564" i="3"/>
  <c r="J564" i="3" s="1"/>
  <c r="I565" i="3"/>
  <c r="J565" i="3" s="1"/>
  <c r="I566" i="3"/>
  <c r="J566" i="3" s="1"/>
  <c r="I567" i="3"/>
  <c r="J567" i="3" s="1"/>
  <c r="I568" i="3"/>
  <c r="J568" i="3" s="1"/>
  <c r="I569" i="3"/>
  <c r="J569" i="3" s="1"/>
  <c r="I570" i="3"/>
  <c r="J570" i="3" s="1"/>
  <c r="I571" i="3"/>
  <c r="J571" i="3" s="1"/>
  <c r="I572" i="3"/>
  <c r="J572" i="3" s="1"/>
  <c r="I573" i="3"/>
  <c r="J573" i="3" s="1"/>
  <c r="I574" i="3"/>
  <c r="J574" i="3" s="1"/>
  <c r="I575" i="3"/>
  <c r="J575" i="3" s="1"/>
  <c r="I576" i="3"/>
  <c r="J576" i="3" s="1"/>
  <c r="I577" i="3"/>
  <c r="J577" i="3" s="1"/>
  <c r="I578" i="3"/>
  <c r="J578" i="3" s="1"/>
  <c r="I579" i="3"/>
  <c r="J579" i="3" s="1"/>
  <c r="I580" i="3"/>
  <c r="J580" i="3" s="1"/>
  <c r="I581" i="3"/>
  <c r="J581" i="3" s="1"/>
  <c r="I582" i="3"/>
  <c r="J582" i="3" s="1"/>
  <c r="I583" i="3"/>
  <c r="J583" i="3" s="1"/>
  <c r="I584" i="3"/>
  <c r="J584" i="3" s="1"/>
  <c r="I496" i="3"/>
  <c r="J496" i="3" s="1"/>
  <c r="I497" i="3"/>
  <c r="J497" i="3" s="1"/>
  <c r="I498" i="3"/>
  <c r="J498" i="3" s="1"/>
  <c r="I499" i="3"/>
  <c r="J499" i="3" s="1"/>
  <c r="I500" i="3"/>
  <c r="J500" i="3" s="1"/>
  <c r="I501" i="3"/>
  <c r="J501" i="3" s="1"/>
  <c r="I502" i="3"/>
  <c r="J502" i="3" s="1"/>
  <c r="I503" i="3"/>
  <c r="J503" i="3" s="1"/>
  <c r="I504" i="3"/>
  <c r="J504" i="3" s="1"/>
  <c r="I505" i="3"/>
  <c r="J505" i="3" s="1"/>
  <c r="I506" i="3"/>
  <c r="J506" i="3" s="1"/>
  <c r="I507" i="3"/>
  <c r="J507" i="3" s="1"/>
  <c r="I508" i="3"/>
  <c r="J508" i="3" s="1"/>
  <c r="I509" i="3"/>
  <c r="J509" i="3" s="1"/>
  <c r="I510" i="3"/>
  <c r="J510" i="3" s="1"/>
  <c r="I511" i="3"/>
  <c r="J511" i="3" s="1"/>
  <c r="I512" i="3"/>
  <c r="J512" i="3" s="1"/>
  <c r="I513" i="3"/>
  <c r="J513" i="3" s="1"/>
  <c r="I514" i="3"/>
  <c r="J514" i="3" s="1"/>
  <c r="I515" i="3"/>
  <c r="J515" i="3" s="1"/>
  <c r="I516" i="3"/>
  <c r="J516" i="3" s="1"/>
  <c r="I517" i="3"/>
  <c r="J517" i="3" s="1"/>
  <c r="I518" i="3"/>
  <c r="J518" i="3" s="1"/>
  <c r="I519" i="3"/>
  <c r="J519" i="3" s="1"/>
  <c r="I520" i="3"/>
  <c r="J520" i="3" s="1"/>
  <c r="I521" i="3"/>
  <c r="J521" i="3" s="1"/>
  <c r="I522" i="3"/>
  <c r="J522" i="3" s="1"/>
  <c r="I523" i="3"/>
  <c r="J523" i="3" s="1"/>
  <c r="I524" i="3"/>
  <c r="J524" i="3" s="1"/>
  <c r="I525" i="3"/>
  <c r="J525" i="3" s="1"/>
  <c r="I526" i="3"/>
  <c r="J526" i="3" s="1"/>
  <c r="I527" i="3"/>
  <c r="J527" i="3" s="1"/>
  <c r="I528" i="3"/>
  <c r="J528" i="3" s="1"/>
  <c r="I529" i="3"/>
  <c r="J529" i="3" s="1"/>
  <c r="I530" i="3"/>
  <c r="J530" i="3" s="1"/>
  <c r="I531" i="3"/>
  <c r="J531" i="3" s="1"/>
  <c r="I532" i="3"/>
  <c r="J532" i="3" s="1"/>
  <c r="I533" i="3"/>
  <c r="J533" i="3" s="1"/>
  <c r="I534" i="3"/>
  <c r="J534" i="3" s="1"/>
  <c r="I535" i="3"/>
  <c r="J535" i="3" s="1"/>
  <c r="I536" i="3"/>
  <c r="J536" i="3" s="1"/>
  <c r="I537" i="3"/>
  <c r="J537" i="3" s="1"/>
  <c r="I538" i="3"/>
  <c r="J538" i="3" s="1"/>
  <c r="I539" i="3"/>
  <c r="J539" i="3" s="1"/>
  <c r="I540" i="3"/>
  <c r="J540" i="3" s="1"/>
  <c r="I541" i="3"/>
  <c r="J541" i="3" s="1"/>
  <c r="I542" i="3"/>
  <c r="J542" i="3" s="1"/>
  <c r="I543" i="3"/>
  <c r="J543" i="3" s="1"/>
  <c r="I544" i="3"/>
  <c r="J544" i="3" s="1"/>
  <c r="I545" i="3"/>
  <c r="J545" i="3" s="1"/>
  <c r="I546" i="3"/>
  <c r="J546" i="3" s="1"/>
  <c r="I547" i="3"/>
  <c r="J547" i="3" s="1"/>
  <c r="I548" i="3"/>
  <c r="J548" i="3" s="1"/>
  <c r="I549" i="3"/>
  <c r="J549" i="3" s="1"/>
  <c r="I550" i="3"/>
  <c r="J550" i="3" s="1"/>
  <c r="I551" i="3"/>
  <c r="J551" i="3" s="1"/>
  <c r="I552" i="3"/>
  <c r="J552" i="3" s="1"/>
  <c r="I553" i="3"/>
  <c r="J553" i="3" s="1"/>
  <c r="I554" i="3"/>
  <c r="J554" i="3" s="1"/>
  <c r="I555" i="3"/>
  <c r="J555" i="3" s="1"/>
  <c r="I556" i="3"/>
  <c r="J556" i="3" s="1"/>
  <c r="I557" i="3"/>
  <c r="J557" i="3" s="1"/>
  <c r="I558" i="3"/>
  <c r="J558" i="3" s="1"/>
  <c r="I434" i="3"/>
  <c r="J434" i="3" s="1"/>
  <c r="I435" i="3"/>
  <c r="J435" i="3" s="1"/>
  <c r="I436" i="3"/>
  <c r="J436" i="3" s="1"/>
  <c r="I437" i="3"/>
  <c r="J437" i="3" s="1"/>
  <c r="I438" i="3"/>
  <c r="J438" i="3" s="1"/>
  <c r="I439" i="3"/>
  <c r="J439" i="3" s="1"/>
  <c r="I440" i="3"/>
  <c r="J440" i="3" s="1"/>
  <c r="I441" i="3"/>
  <c r="J441" i="3" s="1"/>
  <c r="I442" i="3"/>
  <c r="J442" i="3" s="1"/>
  <c r="I443" i="3"/>
  <c r="J443" i="3" s="1"/>
  <c r="I444" i="3"/>
  <c r="J444" i="3" s="1"/>
  <c r="I445" i="3"/>
  <c r="J445" i="3" s="1"/>
  <c r="I446" i="3"/>
  <c r="J446" i="3" s="1"/>
  <c r="I447" i="3"/>
  <c r="J447" i="3" s="1"/>
  <c r="I448" i="3"/>
  <c r="J448" i="3" s="1"/>
  <c r="I449" i="3"/>
  <c r="J449" i="3" s="1"/>
  <c r="I450" i="3"/>
  <c r="J450" i="3" s="1"/>
  <c r="I451" i="3"/>
  <c r="J451" i="3" s="1"/>
  <c r="I452" i="3"/>
  <c r="J452" i="3" s="1"/>
  <c r="I453" i="3"/>
  <c r="J453" i="3" s="1"/>
  <c r="I454" i="3"/>
  <c r="J454" i="3" s="1"/>
  <c r="I455" i="3"/>
  <c r="J455" i="3" s="1"/>
  <c r="I456" i="3"/>
  <c r="J456" i="3" s="1"/>
  <c r="I457" i="3"/>
  <c r="J457" i="3" s="1"/>
  <c r="I458" i="3"/>
  <c r="J458" i="3" s="1"/>
  <c r="I459" i="3"/>
  <c r="J459" i="3" s="1"/>
  <c r="I460" i="3"/>
  <c r="J460" i="3" s="1"/>
  <c r="I461" i="3"/>
  <c r="J461" i="3" s="1"/>
  <c r="I462" i="3"/>
  <c r="J462" i="3" s="1"/>
  <c r="I463" i="3"/>
  <c r="J463" i="3" s="1"/>
  <c r="I464" i="3"/>
  <c r="J464" i="3" s="1"/>
  <c r="I465" i="3"/>
  <c r="J465" i="3" s="1"/>
  <c r="I466" i="3"/>
  <c r="J466" i="3" s="1"/>
  <c r="I467" i="3"/>
  <c r="J467" i="3" s="1"/>
  <c r="I468" i="3"/>
  <c r="J468" i="3" s="1"/>
  <c r="I469" i="3"/>
  <c r="J469" i="3" s="1"/>
  <c r="I470" i="3"/>
  <c r="J470" i="3" s="1"/>
  <c r="I471" i="3"/>
  <c r="J471" i="3" s="1"/>
  <c r="I472" i="3"/>
  <c r="J472" i="3" s="1"/>
  <c r="I473" i="3"/>
  <c r="J473" i="3" s="1"/>
  <c r="I474" i="3"/>
  <c r="J474" i="3" s="1"/>
  <c r="I475" i="3"/>
  <c r="J475" i="3" s="1"/>
  <c r="I476" i="3"/>
  <c r="J476" i="3" s="1"/>
  <c r="I477" i="3"/>
  <c r="J477" i="3" s="1"/>
  <c r="I478" i="3"/>
  <c r="J478" i="3" s="1"/>
  <c r="I479" i="3"/>
  <c r="J479" i="3" s="1"/>
  <c r="I480" i="3"/>
  <c r="J480" i="3" s="1"/>
  <c r="I481" i="3"/>
  <c r="J481" i="3" s="1"/>
  <c r="I482" i="3"/>
  <c r="J482" i="3" s="1"/>
  <c r="I483" i="3"/>
  <c r="J483" i="3" s="1"/>
  <c r="I484" i="3"/>
  <c r="J484" i="3" s="1"/>
  <c r="I485" i="3"/>
  <c r="J485" i="3" s="1"/>
  <c r="I486" i="3"/>
  <c r="J486" i="3" s="1"/>
  <c r="I184" i="3"/>
  <c r="J184" i="3" s="1"/>
  <c r="I185" i="3"/>
  <c r="J185" i="3" s="1"/>
  <c r="I186" i="3"/>
  <c r="J186" i="3" s="1"/>
  <c r="I187" i="3"/>
  <c r="J187" i="3" s="1"/>
  <c r="I188" i="3"/>
  <c r="J188" i="3" s="1"/>
  <c r="I189" i="3"/>
  <c r="J189" i="3" s="1"/>
  <c r="I190" i="3"/>
  <c r="J190" i="3" s="1"/>
  <c r="I191" i="3"/>
  <c r="J191" i="3" s="1"/>
  <c r="I192" i="3"/>
  <c r="J192" i="3" s="1"/>
  <c r="I193" i="3"/>
  <c r="J193" i="3" s="1"/>
  <c r="I194" i="3"/>
  <c r="J194" i="3" s="1"/>
  <c r="I195" i="3"/>
  <c r="J195" i="3" s="1"/>
  <c r="I196" i="3"/>
  <c r="J196" i="3" s="1"/>
  <c r="I197" i="3"/>
  <c r="J197" i="3" s="1"/>
  <c r="I198" i="3"/>
  <c r="J198" i="3" s="1"/>
  <c r="I199" i="3"/>
  <c r="J199" i="3" s="1"/>
  <c r="I200" i="3"/>
  <c r="J200" i="3" s="1"/>
  <c r="I201" i="3"/>
  <c r="J201" i="3" s="1"/>
  <c r="I202" i="3"/>
  <c r="J202" i="3" s="1"/>
  <c r="I203" i="3"/>
  <c r="J203" i="3" s="1"/>
  <c r="I204" i="3"/>
  <c r="J204" i="3" s="1"/>
  <c r="I205" i="3"/>
  <c r="J205" i="3" s="1"/>
  <c r="I206" i="3"/>
  <c r="J206" i="3" s="1"/>
  <c r="I207" i="3"/>
  <c r="J207" i="3" s="1"/>
  <c r="I208" i="3"/>
  <c r="J208" i="3" s="1"/>
  <c r="I209" i="3"/>
  <c r="J209" i="3" s="1"/>
  <c r="I210" i="3"/>
  <c r="J210" i="3" s="1"/>
  <c r="I211" i="3"/>
  <c r="J211" i="3" s="1"/>
  <c r="I212" i="3"/>
  <c r="J212" i="3" s="1"/>
  <c r="I213" i="3"/>
  <c r="J213" i="3" s="1"/>
  <c r="I214" i="3"/>
  <c r="J214" i="3" s="1"/>
  <c r="I215" i="3"/>
  <c r="J215" i="3" s="1"/>
  <c r="I216" i="3"/>
  <c r="J216" i="3" s="1"/>
  <c r="I217" i="3"/>
  <c r="J217" i="3" s="1"/>
  <c r="I218" i="3"/>
  <c r="J218" i="3" s="1"/>
  <c r="I219" i="3"/>
  <c r="J219" i="3" s="1"/>
  <c r="I220" i="3"/>
  <c r="J220" i="3" s="1"/>
  <c r="I221" i="3"/>
  <c r="J221" i="3" s="1"/>
  <c r="I222" i="3"/>
  <c r="J222" i="3" s="1"/>
  <c r="I223" i="3"/>
  <c r="J223" i="3" s="1"/>
  <c r="I224" i="3"/>
  <c r="J224" i="3" s="1"/>
  <c r="I225" i="3"/>
  <c r="J225" i="3" s="1"/>
  <c r="I226" i="3"/>
  <c r="J226" i="3" s="1"/>
  <c r="I227" i="3"/>
  <c r="J227" i="3" s="1"/>
  <c r="I228" i="3"/>
  <c r="J228" i="3" s="1"/>
  <c r="I229" i="3"/>
  <c r="J229" i="3" s="1"/>
  <c r="I230" i="3"/>
  <c r="J230" i="3" s="1"/>
  <c r="I231" i="3"/>
  <c r="J231" i="3" s="1"/>
  <c r="I232" i="3"/>
  <c r="J232" i="3" s="1"/>
  <c r="I233" i="3"/>
  <c r="J233" i="3" s="1"/>
  <c r="I234" i="3"/>
  <c r="J234" i="3" s="1"/>
  <c r="I235" i="3"/>
  <c r="J235" i="3" s="1"/>
  <c r="I236" i="3"/>
  <c r="J236" i="3" s="1"/>
  <c r="I237" i="3"/>
  <c r="J237" i="3" s="1"/>
  <c r="I238" i="3"/>
  <c r="J238" i="3" s="1"/>
  <c r="I239" i="3"/>
  <c r="J239" i="3" s="1"/>
  <c r="I240" i="3"/>
  <c r="J240" i="3" s="1"/>
  <c r="I241" i="3"/>
  <c r="J241" i="3" s="1"/>
  <c r="I242" i="3"/>
  <c r="J242" i="3" s="1"/>
  <c r="I243" i="3"/>
  <c r="J243" i="3" s="1"/>
  <c r="I244" i="3"/>
  <c r="J244" i="3" s="1"/>
  <c r="I245" i="3"/>
  <c r="J245" i="3" s="1"/>
  <c r="I246" i="3"/>
  <c r="J246" i="3" s="1"/>
  <c r="I247" i="3"/>
  <c r="J247" i="3" s="1"/>
  <c r="I248" i="3"/>
  <c r="J248" i="3" s="1"/>
  <c r="I249" i="3"/>
  <c r="J249" i="3" s="1"/>
  <c r="I250" i="3"/>
  <c r="J250" i="3" s="1"/>
  <c r="I251" i="3"/>
  <c r="J251" i="3" s="1"/>
  <c r="I252" i="3"/>
  <c r="J252" i="3" s="1"/>
  <c r="I253" i="3"/>
  <c r="J253" i="3" s="1"/>
  <c r="I254" i="3"/>
  <c r="J254" i="3" s="1"/>
  <c r="I255" i="3"/>
  <c r="J255" i="3" s="1"/>
  <c r="I256" i="3"/>
  <c r="J256" i="3" s="1"/>
  <c r="I257" i="3"/>
  <c r="J257" i="3" s="1"/>
  <c r="I258" i="3"/>
  <c r="J258" i="3" s="1"/>
  <c r="I259" i="3"/>
  <c r="J259" i="3" s="1"/>
  <c r="I260" i="3"/>
  <c r="J260" i="3" s="1"/>
  <c r="I261" i="3"/>
  <c r="J261" i="3" s="1"/>
  <c r="I262" i="3"/>
  <c r="J262" i="3" s="1"/>
  <c r="I263" i="3"/>
  <c r="J263" i="3" s="1"/>
  <c r="I264" i="3"/>
  <c r="J264" i="3" s="1"/>
  <c r="I265" i="3"/>
  <c r="J265" i="3" s="1"/>
  <c r="I266" i="3"/>
  <c r="J266" i="3" s="1"/>
  <c r="I267" i="3"/>
  <c r="J267" i="3" s="1"/>
  <c r="I268" i="3"/>
  <c r="J268" i="3" s="1"/>
  <c r="I269" i="3"/>
  <c r="J269" i="3" s="1"/>
  <c r="I270" i="3"/>
  <c r="J270" i="3" s="1"/>
  <c r="I271" i="3"/>
  <c r="J271" i="3" s="1"/>
  <c r="I272" i="3"/>
  <c r="J272" i="3" s="1"/>
  <c r="I273" i="3"/>
  <c r="J273" i="3" s="1"/>
  <c r="I274" i="3"/>
  <c r="J274" i="3" s="1"/>
  <c r="I275" i="3"/>
  <c r="J275" i="3" s="1"/>
  <c r="I276" i="3"/>
  <c r="J276" i="3" s="1"/>
  <c r="I277" i="3"/>
  <c r="J277" i="3" s="1"/>
  <c r="I278" i="3"/>
  <c r="J278" i="3" s="1"/>
  <c r="I279" i="3"/>
  <c r="J279" i="3" s="1"/>
  <c r="I280" i="3"/>
  <c r="J280" i="3" s="1"/>
  <c r="I281" i="3"/>
  <c r="J281" i="3" s="1"/>
  <c r="I282" i="3"/>
  <c r="J282" i="3" s="1"/>
  <c r="I283" i="3"/>
  <c r="J283" i="3" s="1"/>
  <c r="I284" i="3"/>
  <c r="J284" i="3" s="1"/>
  <c r="I285" i="3"/>
  <c r="J285" i="3" s="1"/>
  <c r="I286" i="3"/>
  <c r="J286" i="3" s="1"/>
  <c r="I287" i="3"/>
  <c r="J287" i="3" s="1"/>
  <c r="I288" i="3"/>
  <c r="J288" i="3" s="1"/>
  <c r="I289" i="3"/>
  <c r="J289" i="3" s="1"/>
  <c r="I290" i="3"/>
  <c r="J290" i="3" s="1"/>
  <c r="I291" i="3"/>
  <c r="J291" i="3" s="1"/>
  <c r="I292" i="3"/>
  <c r="J292" i="3" s="1"/>
  <c r="I293" i="3"/>
  <c r="J293" i="3" s="1"/>
  <c r="I294" i="3"/>
  <c r="J294" i="3" s="1"/>
  <c r="I295" i="3"/>
  <c r="J295" i="3" s="1"/>
  <c r="I296" i="3"/>
  <c r="J296" i="3" s="1"/>
  <c r="I297" i="3"/>
  <c r="J297" i="3" s="1"/>
  <c r="I298" i="3"/>
  <c r="J298" i="3" s="1"/>
  <c r="I299" i="3"/>
  <c r="J299" i="3" s="1"/>
  <c r="I300" i="3"/>
  <c r="J300" i="3" s="1"/>
  <c r="I301" i="3"/>
  <c r="J301" i="3" s="1"/>
  <c r="I302" i="3"/>
  <c r="J302" i="3" s="1"/>
  <c r="I303" i="3"/>
  <c r="J303" i="3" s="1"/>
  <c r="I304" i="3"/>
  <c r="J304" i="3" s="1"/>
  <c r="I305" i="3"/>
  <c r="J305" i="3" s="1"/>
  <c r="I306" i="3"/>
  <c r="J306" i="3" s="1"/>
  <c r="I307" i="3"/>
  <c r="J307" i="3" s="1"/>
  <c r="I308" i="3"/>
  <c r="J308" i="3" s="1"/>
  <c r="I309" i="3"/>
  <c r="J309" i="3" s="1"/>
  <c r="I310" i="3"/>
  <c r="J310" i="3" s="1"/>
  <c r="I311" i="3"/>
  <c r="J311" i="3" s="1"/>
  <c r="I312" i="3"/>
  <c r="J312" i="3" s="1"/>
  <c r="I313" i="3"/>
  <c r="J313" i="3" s="1"/>
  <c r="I314" i="3"/>
  <c r="J314" i="3" s="1"/>
  <c r="I315" i="3"/>
  <c r="J315" i="3" s="1"/>
  <c r="I316" i="3"/>
  <c r="J316" i="3" s="1"/>
  <c r="I317" i="3"/>
  <c r="J317" i="3" s="1"/>
  <c r="I318" i="3"/>
  <c r="J318" i="3" s="1"/>
  <c r="I319" i="3"/>
  <c r="J319" i="3" s="1"/>
  <c r="I320" i="3"/>
  <c r="J320" i="3" s="1"/>
  <c r="I321" i="3"/>
  <c r="J321" i="3" s="1"/>
  <c r="I322" i="3"/>
  <c r="J322" i="3" s="1"/>
  <c r="I323" i="3"/>
  <c r="J323" i="3" s="1"/>
  <c r="I324" i="3"/>
  <c r="J324" i="3" s="1"/>
  <c r="I325" i="3"/>
  <c r="J325" i="3" s="1"/>
  <c r="I326" i="3"/>
  <c r="J326" i="3" s="1"/>
  <c r="I327" i="3"/>
  <c r="J327" i="3" s="1"/>
  <c r="I328" i="3"/>
  <c r="J328" i="3" s="1"/>
  <c r="I329" i="3"/>
  <c r="J329" i="3" s="1"/>
  <c r="I330" i="3"/>
  <c r="J330" i="3" s="1"/>
  <c r="I331" i="3"/>
  <c r="J331" i="3" s="1"/>
  <c r="I332" i="3"/>
  <c r="J332" i="3" s="1"/>
  <c r="I333" i="3"/>
  <c r="J333" i="3" s="1"/>
  <c r="I334" i="3"/>
  <c r="J334" i="3" s="1"/>
  <c r="I335" i="3"/>
  <c r="J335" i="3" s="1"/>
  <c r="I336" i="3"/>
  <c r="J336" i="3" s="1"/>
  <c r="I337" i="3"/>
  <c r="J337" i="3" s="1"/>
  <c r="I338" i="3"/>
  <c r="J338" i="3" s="1"/>
  <c r="I339" i="3"/>
  <c r="J339" i="3" s="1"/>
  <c r="I340" i="3"/>
  <c r="J340" i="3" s="1"/>
  <c r="I341" i="3"/>
  <c r="J341" i="3" s="1"/>
  <c r="I342" i="3"/>
  <c r="J342" i="3" s="1"/>
  <c r="I343" i="3"/>
  <c r="J343" i="3" s="1"/>
  <c r="I344" i="3"/>
  <c r="J344" i="3" s="1"/>
  <c r="I345" i="3"/>
  <c r="J345" i="3" s="1"/>
  <c r="I346" i="3"/>
  <c r="J346" i="3" s="1"/>
  <c r="I347" i="3"/>
  <c r="J347" i="3" s="1"/>
  <c r="I348" i="3"/>
  <c r="J348" i="3" s="1"/>
  <c r="I349" i="3"/>
  <c r="J349" i="3" s="1"/>
  <c r="I350" i="3"/>
  <c r="J350" i="3" s="1"/>
  <c r="I351" i="3"/>
  <c r="J351" i="3" s="1"/>
  <c r="I352" i="3"/>
  <c r="J352" i="3" s="1"/>
  <c r="I353" i="3"/>
  <c r="J353" i="3" s="1"/>
  <c r="I354" i="3"/>
  <c r="J354" i="3" s="1"/>
  <c r="I355" i="3"/>
  <c r="J355" i="3" s="1"/>
  <c r="I356" i="3"/>
  <c r="J356" i="3" s="1"/>
  <c r="I357" i="3"/>
  <c r="J357" i="3" s="1"/>
  <c r="I358" i="3"/>
  <c r="J358" i="3" s="1"/>
  <c r="I359" i="3"/>
  <c r="J359" i="3" s="1"/>
  <c r="I360" i="3"/>
  <c r="J360" i="3" s="1"/>
  <c r="I361" i="3"/>
  <c r="J361" i="3" s="1"/>
  <c r="I362" i="3"/>
  <c r="J362" i="3" s="1"/>
  <c r="I363" i="3"/>
  <c r="J363" i="3" s="1"/>
  <c r="I364" i="3"/>
  <c r="J364" i="3" s="1"/>
  <c r="I365" i="3"/>
  <c r="J365" i="3" s="1"/>
  <c r="I366" i="3"/>
  <c r="J366" i="3" s="1"/>
  <c r="I367" i="3"/>
  <c r="J367" i="3" s="1"/>
  <c r="I368" i="3"/>
  <c r="J368" i="3" s="1"/>
  <c r="I369" i="3"/>
  <c r="J369" i="3" s="1"/>
  <c r="I370" i="3"/>
  <c r="J370" i="3" s="1"/>
  <c r="I371" i="3"/>
  <c r="J371" i="3" s="1"/>
  <c r="I372" i="3"/>
  <c r="J372" i="3" s="1"/>
  <c r="I373" i="3"/>
  <c r="J373" i="3" s="1"/>
  <c r="I374" i="3"/>
  <c r="J374" i="3" s="1"/>
  <c r="I375" i="3"/>
  <c r="J375" i="3" s="1"/>
  <c r="I376" i="3"/>
  <c r="J376" i="3" s="1"/>
  <c r="I377" i="3"/>
  <c r="J377" i="3" s="1"/>
  <c r="I378" i="3"/>
  <c r="J378" i="3" s="1"/>
  <c r="I379" i="3"/>
  <c r="J379" i="3" s="1"/>
  <c r="I380" i="3"/>
  <c r="J380" i="3" s="1"/>
  <c r="I381" i="3"/>
  <c r="J381" i="3" s="1"/>
  <c r="I382" i="3"/>
  <c r="J382" i="3" s="1"/>
  <c r="I383" i="3"/>
  <c r="J383" i="3" s="1"/>
  <c r="I384" i="3"/>
  <c r="J384" i="3" s="1"/>
  <c r="I385" i="3"/>
  <c r="J385" i="3" s="1"/>
  <c r="I386" i="3"/>
  <c r="J386" i="3" s="1"/>
  <c r="I387" i="3"/>
  <c r="J387" i="3" s="1"/>
  <c r="I388" i="3"/>
  <c r="J388" i="3" s="1"/>
  <c r="I389" i="3"/>
  <c r="J389" i="3" s="1"/>
  <c r="I390" i="3"/>
  <c r="J390" i="3" s="1"/>
  <c r="I391" i="3"/>
  <c r="J391" i="3" s="1"/>
  <c r="I392" i="3"/>
  <c r="J392" i="3" s="1"/>
  <c r="I393" i="3"/>
  <c r="J393" i="3" s="1"/>
  <c r="I394" i="3"/>
  <c r="J394" i="3" s="1"/>
  <c r="I395" i="3"/>
  <c r="J395" i="3" s="1"/>
  <c r="I396" i="3"/>
  <c r="J396" i="3" s="1"/>
  <c r="I397" i="3"/>
  <c r="J397" i="3" s="1"/>
  <c r="I398" i="3"/>
  <c r="J398" i="3" s="1"/>
  <c r="I399" i="3"/>
  <c r="J399" i="3" s="1"/>
  <c r="I400" i="3"/>
  <c r="J400" i="3" s="1"/>
  <c r="I401" i="3"/>
  <c r="J401" i="3" s="1"/>
  <c r="I402" i="3"/>
  <c r="J402" i="3" s="1"/>
  <c r="I403" i="3"/>
  <c r="J403" i="3" s="1"/>
  <c r="I404" i="3"/>
  <c r="J404" i="3" s="1"/>
  <c r="I405" i="3"/>
  <c r="J405" i="3" s="1"/>
  <c r="I406" i="3"/>
  <c r="J406" i="3" s="1"/>
  <c r="I407" i="3"/>
  <c r="J407" i="3" s="1"/>
  <c r="I408" i="3"/>
  <c r="J408" i="3" s="1"/>
  <c r="I409" i="3"/>
  <c r="J409" i="3" s="1"/>
  <c r="I410" i="3"/>
  <c r="J410" i="3" s="1"/>
  <c r="I411" i="3"/>
  <c r="J411" i="3" s="1"/>
  <c r="I412" i="3"/>
  <c r="J412" i="3" s="1"/>
  <c r="I413" i="3"/>
  <c r="J413" i="3" s="1"/>
  <c r="I414" i="3"/>
  <c r="J414" i="3" s="1"/>
  <c r="I415" i="3"/>
  <c r="J415" i="3" s="1"/>
  <c r="I416" i="3"/>
  <c r="J416" i="3" s="1"/>
  <c r="I417" i="3"/>
  <c r="J417" i="3" s="1"/>
  <c r="I418" i="3"/>
  <c r="J418" i="3" s="1"/>
  <c r="I419" i="3"/>
  <c r="J419" i="3" s="1"/>
  <c r="I420" i="3"/>
  <c r="J420" i="3" s="1"/>
  <c r="I421" i="3"/>
  <c r="J421" i="3" s="1"/>
  <c r="I422" i="3"/>
  <c r="J422" i="3" s="1"/>
  <c r="I423" i="3"/>
  <c r="J423" i="3" s="1"/>
  <c r="I424" i="3"/>
  <c r="J424" i="3" s="1"/>
  <c r="I425" i="3"/>
  <c r="J425" i="3" s="1"/>
  <c r="I426" i="3"/>
  <c r="J426" i="3" s="1"/>
  <c r="I427" i="3"/>
  <c r="J427" i="3" s="1"/>
  <c r="I428" i="3"/>
  <c r="J428" i="3" s="1"/>
  <c r="I429" i="3"/>
  <c r="J429" i="3" s="1"/>
  <c r="I430" i="3"/>
  <c r="J430" i="3" s="1"/>
  <c r="I158" i="3"/>
  <c r="J158" i="3" s="1"/>
  <c r="I159" i="3"/>
  <c r="J159" i="3" s="1"/>
  <c r="I160" i="3"/>
  <c r="J160" i="3" s="1"/>
  <c r="I161" i="3"/>
  <c r="J161" i="3" s="1"/>
  <c r="I162" i="3"/>
  <c r="J162" i="3" s="1"/>
  <c r="I163" i="3"/>
  <c r="J163" i="3" s="1"/>
  <c r="I164" i="3"/>
  <c r="J164" i="3" s="1"/>
  <c r="I165" i="3"/>
  <c r="J165" i="3" s="1"/>
  <c r="I166" i="3"/>
  <c r="J166" i="3" s="1"/>
  <c r="I167" i="3"/>
  <c r="J167" i="3" s="1"/>
  <c r="I168" i="3"/>
  <c r="J168" i="3" s="1"/>
  <c r="I169" i="3"/>
  <c r="J169" i="3" s="1"/>
  <c r="I170" i="3"/>
  <c r="J170" i="3" s="1"/>
  <c r="I171" i="3"/>
  <c r="J171" i="3" s="1"/>
  <c r="I172" i="3"/>
  <c r="J172" i="3" s="1"/>
  <c r="I173" i="3"/>
  <c r="J173" i="3" s="1"/>
  <c r="I174" i="3"/>
  <c r="J174" i="3" s="1"/>
  <c r="I175" i="3"/>
  <c r="J175" i="3" s="1"/>
  <c r="I176" i="3"/>
  <c r="J176" i="3" s="1"/>
  <c r="I177" i="3"/>
  <c r="J177" i="3" s="1"/>
  <c r="I178" i="3"/>
  <c r="J178" i="3" s="1"/>
  <c r="I179" i="3"/>
  <c r="J179" i="3" s="1"/>
  <c r="I180" i="3"/>
  <c r="J180" i="3" s="1"/>
  <c r="I86" i="3"/>
  <c r="J86" i="3" s="1"/>
  <c r="I87" i="3"/>
  <c r="J87" i="3" s="1"/>
  <c r="I88" i="3"/>
  <c r="J88" i="3" s="1"/>
  <c r="I89" i="3"/>
  <c r="J89" i="3" s="1"/>
  <c r="I90" i="3"/>
  <c r="J90" i="3" s="1"/>
  <c r="I91" i="3"/>
  <c r="J91" i="3" s="1"/>
  <c r="I92" i="3"/>
  <c r="J92" i="3" s="1"/>
  <c r="I93" i="3"/>
  <c r="J93" i="3" s="1"/>
  <c r="I94" i="3"/>
  <c r="J94" i="3" s="1"/>
  <c r="I95" i="3"/>
  <c r="J95" i="3" s="1"/>
  <c r="I96" i="3"/>
  <c r="J96" i="3" s="1"/>
  <c r="I97" i="3"/>
  <c r="J97" i="3" s="1"/>
  <c r="I98" i="3"/>
  <c r="J98" i="3" s="1"/>
  <c r="I99" i="3"/>
  <c r="J99" i="3" s="1"/>
  <c r="I100" i="3"/>
  <c r="J100" i="3" s="1"/>
  <c r="I101" i="3"/>
  <c r="J101" i="3" s="1"/>
  <c r="I102" i="3"/>
  <c r="J102" i="3" s="1"/>
  <c r="I103" i="3"/>
  <c r="J103" i="3" s="1"/>
  <c r="I104" i="3"/>
  <c r="J104" i="3" s="1"/>
  <c r="I105" i="3"/>
  <c r="J105" i="3" s="1"/>
  <c r="I106" i="3"/>
  <c r="J106" i="3" s="1"/>
  <c r="I107" i="3"/>
  <c r="J107" i="3" s="1"/>
  <c r="I108" i="3"/>
  <c r="J108" i="3" s="1"/>
  <c r="I109" i="3"/>
  <c r="J109" i="3" s="1"/>
  <c r="I110" i="3"/>
  <c r="J110" i="3" s="1"/>
  <c r="I111" i="3"/>
  <c r="J111" i="3" s="1"/>
  <c r="I112" i="3"/>
  <c r="J112" i="3" s="1"/>
  <c r="I113" i="3"/>
  <c r="J113" i="3" s="1"/>
  <c r="I114" i="3"/>
  <c r="J114" i="3" s="1"/>
  <c r="I115" i="3"/>
  <c r="J115" i="3" s="1"/>
  <c r="I116" i="3"/>
  <c r="J116" i="3" s="1"/>
  <c r="I117" i="3"/>
  <c r="J117" i="3" s="1"/>
  <c r="I118" i="3"/>
  <c r="J118" i="3" s="1"/>
  <c r="I119" i="3"/>
  <c r="J119" i="3" s="1"/>
  <c r="I120" i="3"/>
  <c r="J120" i="3" s="1"/>
  <c r="I121" i="3"/>
  <c r="J121" i="3" s="1"/>
  <c r="I122" i="3"/>
  <c r="J122" i="3" s="1"/>
  <c r="I123" i="3"/>
  <c r="J123" i="3" s="1"/>
  <c r="I124" i="3"/>
  <c r="J124" i="3" s="1"/>
  <c r="I125" i="3"/>
  <c r="J125" i="3" s="1"/>
  <c r="I126" i="3"/>
  <c r="J126" i="3" s="1"/>
  <c r="I127" i="3"/>
  <c r="J127" i="3" s="1"/>
  <c r="I128" i="3"/>
  <c r="J128" i="3" s="1"/>
  <c r="I129" i="3"/>
  <c r="J129" i="3" s="1"/>
  <c r="I130" i="3"/>
  <c r="J130" i="3" s="1"/>
  <c r="I131" i="3"/>
  <c r="J131" i="3" s="1"/>
  <c r="I132" i="3"/>
  <c r="J132" i="3" s="1"/>
  <c r="I133" i="3"/>
  <c r="J133" i="3" s="1"/>
  <c r="I134" i="3"/>
  <c r="J134" i="3" s="1"/>
  <c r="I135" i="3"/>
  <c r="J135" i="3" s="1"/>
  <c r="I136" i="3"/>
  <c r="J136" i="3" s="1"/>
  <c r="I137" i="3"/>
  <c r="J137" i="3" s="1"/>
  <c r="I138" i="3"/>
  <c r="J138" i="3" s="1"/>
  <c r="I139" i="3"/>
  <c r="J139" i="3" s="1"/>
  <c r="I140" i="3"/>
  <c r="J140" i="3" s="1"/>
  <c r="I141" i="3"/>
  <c r="J141" i="3" s="1"/>
  <c r="I142" i="3"/>
  <c r="J142" i="3" s="1"/>
  <c r="I143" i="3"/>
  <c r="J143" i="3" s="1"/>
  <c r="I144" i="3"/>
  <c r="J144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73" i="3"/>
  <c r="J73" i="3" s="1"/>
  <c r="I74" i="3"/>
  <c r="J74" i="3" s="1"/>
  <c r="I75" i="3"/>
  <c r="J75" i="3" s="1"/>
  <c r="I76" i="3"/>
  <c r="J76" i="3" s="1"/>
  <c r="I77" i="3"/>
  <c r="J77" i="3" s="1"/>
  <c r="I78" i="3"/>
  <c r="J78" i="3" s="1"/>
  <c r="I79" i="3"/>
  <c r="J79" i="3" s="1"/>
  <c r="I80" i="3"/>
  <c r="J80" i="3" s="1"/>
  <c r="I81" i="3"/>
  <c r="J81" i="3" s="1"/>
  <c r="I82" i="3"/>
  <c r="J82" i="3" s="1"/>
  <c r="I83" i="3"/>
  <c r="J83" i="3" s="1"/>
  <c r="I3" i="3"/>
  <c r="J3" i="3" s="1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Q6032" i="3"/>
  <c r="Q6033" i="3"/>
  <c r="Q6034" i="3"/>
  <c r="Q6035" i="3"/>
  <c r="Q6036" i="3"/>
  <c r="Q6037" i="3"/>
  <c r="Q6038" i="3"/>
  <c r="Q6039" i="3"/>
  <c r="Q6040" i="3"/>
  <c r="Q6041" i="3"/>
  <c r="Q6042" i="3"/>
  <c r="Q6043" i="3"/>
  <c r="Q6044" i="3"/>
  <c r="Q6045" i="3"/>
  <c r="Q6046" i="3"/>
  <c r="Q6047" i="3"/>
  <c r="Q6048" i="3"/>
  <c r="Q6049" i="3"/>
  <c r="Q6050" i="3"/>
  <c r="Q6051" i="3"/>
  <c r="Q6052" i="3"/>
  <c r="Q6053" i="3"/>
  <c r="Q6054" i="3"/>
  <c r="Q6055" i="3"/>
  <c r="Q6031" i="3"/>
  <c r="I6031" i="3"/>
  <c r="J6031" i="3" s="1"/>
  <c r="Q5530" i="3"/>
  <c r="Q5529" i="3"/>
  <c r="Q5528" i="3"/>
  <c r="Q5527" i="3"/>
  <c r="Q5524" i="3"/>
  <c r="Q5521" i="3"/>
  <c r="Q5516" i="3"/>
  <c r="Q5515" i="3"/>
  <c r="Q5512" i="3"/>
  <c r="Q5510" i="3"/>
  <c r="Q5509" i="3"/>
  <c r="Q5504" i="3"/>
  <c r="Q5501" i="3"/>
  <c r="Q5499" i="3"/>
  <c r="Q5497" i="3"/>
  <c r="Q5494" i="3"/>
  <c r="Q5492" i="3"/>
  <c r="Q5491" i="3"/>
  <c r="Q5488" i="3"/>
  <c r="Q5487" i="3"/>
  <c r="Q5486" i="3"/>
  <c r="Q5482" i="3"/>
  <c r="Q5478" i="3"/>
  <c r="Q5472" i="3"/>
  <c r="Q5469" i="3"/>
  <c r="Q5468" i="3"/>
  <c r="Q5466" i="3"/>
  <c r="Q5463" i="3"/>
  <c r="Q5461" i="3"/>
  <c r="Q5459" i="3"/>
  <c r="Q5458" i="3"/>
  <c r="Q5457" i="3"/>
  <c r="Q5456" i="3"/>
  <c r="Q5453" i="3"/>
  <c r="Q5451" i="3"/>
  <c r="Q5450" i="3"/>
  <c r="Q5448" i="3"/>
  <c r="Q5447" i="3"/>
  <c r="Q5445" i="3"/>
  <c r="Q5444" i="3"/>
  <c r="Q5440" i="3"/>
  <c r="Q5430" i="3"/>
  <c r="Q5429" i="3"/>
  <c r="Q5428" i="3"/>
  <c r="Q5427" i="3"/>
  <c r="Q5424" i="3"/>
  <c r="Q5422" i="3"/>
  <c r="Q5420" i="3"/>
  <c r="Q5418" i="3"/>
  <c r="Q5417" i="3"/>
  <c r="Q5414" i="3"/>
  <c r="Q5413" i="3"/>
  <c r="Q5412" i="3"/>
  <c r="Q5409" i="3"/>
  <c r="Q5407" i="3"/>
  <c r="Q5405" i="3"/>
  <c r="Q5402" i="3"/>
  <c r="Q5401" i="3"/>
  <c r="Q5400" i="3"/>
  <c r="Q5399" i="3"/>
  <c r="Q5397" i="3"/>
  <c r="Q5396" i="3"/>
  <c r="Q5395" i="3"/>
  <c r="Q5394" i="3"/>
  <c r="Q5391" i="3"/>
  <c r="Q5388" i="3"/>
  <c r="Q5386" i="3"/>
  <c r="Q5381" i="3"/>
  <c r="Q5379" i="3"/>
  <c r="Q5378" i="3"/>
  <c r="Q5374" i="3"/>
  <c r="Q5372" i="3"/>
  <c r="Q5369" i="3"/>
  <c r="Q5367" i="3"/>
  <c r="Q5366" i="3"/>
  <c r="Q5365" i="3"/>
  <c r="Q5363" i="3"/>
  <c r="Q5360" i="3"/>
  <c r="Q5358" i="3"/>
  <c r="Q5352" i="3"/>
  <c r="Q5349" i="3"/>
  <c r="Q5347" i="3"/>
  <c r="Q5342" i="3"/>
  <c r="Q5339" i="3"/>
  <c r="Q5337" i="3"/>
  <c r="Q5336" i="3"/>
  <c r="Q5338" i="3"/>
  <c r="Q5353" i="3"/>
  <c r="Q5350" i="3"/>
  <c r="Q5335" i="3"/>
  <c r="Q5333" i="3"/>
  <c r="Q5348" i="3"/>
  <c r="Q5332" i="3"/>
  <c r="Q5346" i="3"/>
  <c r="Q5328" i="3"/>
  <c r="Q5325" i="3"/>
  <c r="Q5321" i="3"/>
  <c r="Q5319" i="3"/>
  <c r="Q5317" i="3"/>
  <c r="Q5315" i="3"/>
  <c r="Q5314" i="3"/>
  <c r="Q5313" i="3"/>
  <c r="Q5311" i="3"/>
  <c r="Q5310" i="3"/>
  <c r="Q5309" i="3"/>
  <c r="Q5307" i="3"/>
  <c r="Q5306" i="3"/>
  <c r="Q5305" i="3"/>
  <c r="Q5304" i="3"/>
  <c r="Q5301" i="3"/>
  <c r="Q5299" i="3"/>
  <c r="Q5298" i="3"/>
  <c r="Q5296" i="3"/>
  <c r="Q5295" i="3"/>
  <c r="Q5293" i="3"/>
  <c r="Q5283" i="3"/>
  <c r="Q5282" i="3"/>
  <c r="Q2770" i="3"/>
  <c r="Q2769" i="3"/>
  <c r="Q2768" i="3"/>
  <c r="Q2767" i="3"/>
  <c r="Q2766" i="3"/>
  <c r="Q2765" i="3"/>
  <c r="Q2764" i="3"/>
  <c r="Q2763" i="3"/>
  <c r="Q2762" i="3"/>
  <c r="Q2761" i="3"/>
  <c r="Q2759" i="3"/>
  <c r="Q2757" i="3"/>
  <c r="Q2756" i="3"/>
  <c r="Q2755" i="3"/>
  <c r="Q2754" i="3"/>
  <c r="Q2753" i="3"/>
  <c r="Q2752" i="3"/>
  <c r="Q2751" i="3"/>
  <c r="Q2750" i="3"/>
  <c r="Q2749" i="3"/>
  <c r="Q2748" i="3"/>
  <c r="Q2747" i="3"/>
  <c r="Q2745" i="3"/>
  <c r="Q2744" i="3"/>
  <c r="Q2743" i="3"/>
  <c r="Q2740" i="3"/>
  <c r="Q2736" i="3"/>
  <c r="Q2730" i="3"/>
  <c r="Q2727" i="3"/>
  <c r="Q2724" i="3"/>
  <c r="Q2722" i="3"/>
  <c r="Q2718" i="3"/>
  <c r="Q2716" i="3"/>
  <c r="Q2714" i="3"/>
  <c r="Q2712" i="3"/>
  <c r="Q2709" i="3"/>
  <c r="Q2706" i="3"/>
  <c r="Q2705" i="3"/>
  <c r="Q2700" i="3"/>
  <c r="Q2697" i="3"/>
  <c r="Q2691" i="3"/>
  <c r="I2691" i="3"/>
  <c r="J2691" i="3" s="1"/>
  <c r="Q2685" i="3"/>
  <c r="Q2684" i="3"/>
  <c r="Q2683" i="3"/>
  <c r="Q2682" i="3"/>
  <c r="Q2681" i="3"/>
  <c r="Q2680" i="3"/>
  <c r="Q2679" i="3"/>
  <c r="Q2677" i="3"/>
  <c r="Q2676" i="3"/>
  <c r="Q2675" i="3"/>
  <c r="Q2673" i="3"/>
  <c r="Q2672" i="3"/>
  <c r="Q2670" i="3"/>
  <c r="Q2669" i="3"/>
  <c r="Q2668" i="3"/>
  <c r="Q2667" i="3"/>
  <c r="Q2666" i="3"/>
  <c r="Q2665" i="3"/>
  <c r="Q2663" i="3"/>
  <c r="Q2662" i="3"/>
  <c r="Q2661" i="3"/>
  <c r="I2661" i="3"/>
  <c r="J2661" i="3" s="1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35" i="3"/>
  <c r="I2635" i="3"/>
  <c r="J2635" i="3" s="1"/>
  <c r="I4759" i="3" l="1"/>
  <c r="J4759" i="3" s="1"/>
  <c r="Q5541" i="3"/>
  <c r="J5541" i="3"/>
  <c r="Q5205" i="3"/>
  <c r="I4743" i="3"/>
  <c r="J4743" i="3" s="1"/>
  <c r="Q4742" i="3"/>
  <c r="Q4719" i="3"/>
  <c r="Q4714" i="3"/>
  <c r="J4714" i="3"/>
  <c r="Q4743" i="3"/>
  <c r="Q4720" i="3"/>
  <c r="Q4715" i="3"/>
  <c r="Q3073" i="3"/>
  <c r="I3070" i="3"/>
  <c r="J3070" i="3" s="1"/>
  <c r="Q3069" i="3"/>
  <c r="J3069" i="3"/>
  <c r="Q3068" i="3"/>
  <c r="J3068" i="3"/>
  <c r="Q3067" i="3"/>
  <c r="Q4871" i="3"/>
  <c r="Q4867" i="3"/>
  <c r="I2884" i="3"/>
  <c r="J2884" i="3" s="1"/>
  <c r="Q2882" i="3"/>
  <c r="J2882" i="3"/>
  <c r="I2881" i="3"/>
  <c r="J2881" i="3" s="1"/>
  <c r="I2878" i="3"/>
  <c r="J2878" i="3" s="1"/>
  <c r="I2873" i="3"/>
  <c r="J2873" i="3" s="1"/>
  <c r="I3667" i="3"/>
  <c r="J3667" i="3" s="1"/>
  <c r="Q3009" i="3"/>
  <c r="I3009" i="3"/>
  <c r="J3009" i="3" s="1"/>
  <c r="I3010" i="3"/>
  <c r="J3010" i="3" s="1"/>
  <c r="J3008" i="3"/>
  <c r="Q5960" i="3"/>
  <c r="Q5961" i="3"/>
  <c r="Q5962" i="3"/>
  <c r="Q5963" i="3"/>
  <c r="Q5964" i="3"/>
  <c r="Q5965" i="3"/>
  <c r="Q5959" i="3"/>
  <c r="Q5329" i="3"/>
  <c r="Q5330" i="3"/>
  <c r="Q5327" i="3"/>
  <c r="Q5322" i="3"/>
  <c r="Q5320" i="3"/>
  <c r="Q5312" i="3"/>
  <c r="Q5302" i="3"/>
  <c r="Q5300" i="3"/>
  <c r="Q5294" i="3"/>
  <c r="Q5290" i="3"/>
  <c r="Q5287" i="3"/>
  <c r="Q5285" i="3"/>
  <c r="Q4292" i="3"/>
  <c r="Q4290" i="3"/>
  <c r="Q4289" i="3"/>
  <c r="Q4232" i="3" l="1"/>
  <c r="Q4212" i="3"/>
  <c r="Q4238" i="3"/>
  <c r="I4184" i="3"/>
  <c r="J4184" i="3" s="1"/>
  <c r="J4183" i="3"/>
  <c r="I4182" i="3"/>
  <c r="J4182" i="3" s="1"/>
  <c r="I4181" i="3"/>
  <c r="J4181" i="3" s="1"/>
  <c r="J4180" i="3"/>
  <c r="I4179" i="3"/>
  <c r="J4179" i="3" s="1"/>
  <c r="I4178" i="3"/>
  <c r="J4178" i="3" s="1"/>
  <c r="J4177" i="3"/>
  <c r="Q4175" i="3"/>
  <c r="Q4174" i="3"/>
  <c r="Q4173" i="3"/>
  <c r="Q4172" i="3"/>
  <c r="Q4171" i="3"/>
  <c r="Q4170" i="3"/>
  <c r="Q4169" i="3"/>
  <c r="I4116" i="3"/>
  <c r="J4116" i="3" s="1"/>
  <c r="I4103" i="3" l="1"/>
  <c r="J4103" i="3" s="1"/>
  <c r="I4121" i="3"/>
  <c r="J4121" i="3" s="1"/>
  <c r="J4120" i="3"/>
  <c r="J4119" i="3"/>
  <c r="I4118" i="3"/>
  <c r="J4118" i="3" s="1"/>
  <c r="I4117" i="3"/>
  <c r="J4117" i="3" s="1"/>
  <c r="J4115" i="3"/>
  <c r="J4114" i="3"/>
  <c r="I4113" i="3"/>
  <c r="J4113" i="3" s="1"/>
  <c r="I4112" i="3"/>
  <c r="J4112" i="3" s="1"/>
  <c r="J4111" i="3"/>
  <c r="I4110" i="3"/>
  <c r="J4110" i="3" s="1"/>
  <c r="J4109" i="3"/>
  <c r="I4108" i="3"/>
  <c r="J4108" i="3" s="1"/>
  <c r="J4107" i="3"/>
  <c r="I4106" i="3"/>
  <c r="J4106" i="3" s="1"/>
  <c r="J4105" i="3"/>
  <c r="I4104" i="3"/>
  <c r="J4104" i="3" s="1"/>
  <c r="J4102" i="3"/>
  <c r="J4101" i="3"/>
  <c r="I4100" i="3"/>
  <c r="J4100" i="3" s="1"/>
  <c r="J4099" i="3"/>
  <c r="I4098" i="3"/>
  <c r="J4098" i="3" s="1"/>
  <c r="J4097" i="3"/>
  <c r="I4035" i="3"/>
  <c r="J4035" i="3" s="1"/>
  <c r="J4034" i="3"/>
  <c r="I4033" i="3"/>
  <c r="J4033" i="3" s="1"/>
  <c r="J4032" i="3"/>
  <c r="Q4019" i="3"/>
  <c r="Q4016" i="3"/>
  <c r="Q4015" i="3"/>
  <c r="Q4013" i="3"/>
  <c r="Q4012" i="3"/>
  <c r="J4016" i="3"/>
  <c r="J4015" i="3"/>
  <c r="J4013" i="3"/>
  <c r="J4012" i="3"/>
  <c r="Q4025" i="3"/>
  <c r="Q4024" i="3"/>
  <c r="Q4023" i="3"/>
  <c r="Q4022" i="3"/>
  <c r="Q4021" i="3"/>
  <c r="Q4020" i="3"/>
  <c r="Q4018" i="3"/>
  <c r="I4018" i="3"/>
  <c r="J4018" i="3" s="1"/>
  <c r="Q4030" i="3"/>
  <c r="Q4029" i="3"/>
  <c r="Q4028" i="3"/>
  <c r="Q4027" i="3"/>
  <c r="Q4026" i="3"/>
  <c r="Q4017" i="3"/>
  <c r="Q4014" i="3"/>
  <c r="J4014" i="3"/>
  <c r="J4017" i="3"/>
  <c r="Q4011" i="3"/>
  <c r="Q4004" i="3"/>
  <c r="Q4003" i="3"/>
  <c r="Q4002" i="3"/>
  <c r="Q3998" i="3"/>
  <c r="Q3997" i="3"/>
  <c r="Q3993" i="3"/>
  <c r="J3993" i="3"/>
  <c r="Q4010" i="3"/>
  <c r="Q4006" i="3"/>
  <c r="Q4001" i="3"/>
  <c r="Q3996" i="3"/>
  <c r="Q3994" i="3"/>
  <c r="J3994" i="3"/>
  <c r="Q4009" i="3"/>
  <c r="Q4008" i="3"/>
  <c r="Q4007" i="3"/>
  <c r="Q4005" i="3"/>
  <c r="Q4000" i="3"/>
  <c r="Q3999" i="3"/>
  <c r="Q3995" i="3"/>
  <c r="Q3992" i="3"/>
  <c r="J3992" i="3"/>
  <c r="I3995" i="3"/>
  <c r="J3995" i="3" s="1"/>
  <c r="Q3984" i="3"/>
  <c r="Q3972" i="3"/>
  <c r="Q3960" i="3"/>
  <c r="Q3956" i="3"/>
  <c r="Q3952" i="3"/>
  <c r="Q3951" i="3"/>
  <c r="Q3949" i="3"/>
  <c r="Q3943" i="3"/>
  <c r="Q3942" i="3"/>
  <c r="I3939" i="3"/>
  <c r="J3939" i="3" s="1"/>
  <c r="J3938" i="3"/>
  <c r="J3937" i="3"/>
  <c r="Q3887" i="3"/>
  <c r="Q3886" i="3"/>
  <c r="J3886" i="3"/>
  <c r="Q3934" i="3"/>
  <c r="Q3929" i="3"/>
  <c r="Q3928" i="3"/>
  <c r="Q3888" i="3"/>
  <c r="I3890" i="3"/>
  <c r="J3890" i="3" s="1"/>
  <c r="J3889" i="3"/>
  <c r="J3888" i="3"/>
  <c r="J3887" i="3"/>
  <c r="J3885" i="3"/>
  <c r="J3884" i="3"/>
  <c r="J3883" i="3"/>
  <c r="I3882" i="3"/>
  <c r="J3882" i="3" s="1"/>
  <c r="J3881" i="3"/>
  <c r="J3880" i="3"/>
  <c r="Q3874" i="3"/>
  <c r="Q3875" i="3"/>
  <c r="Q3876" i="3"/>
  <c r="Q3877" i="3"/>
  <c r="Q3878" i="3"/>
  <c r="Q3879" i="3"/>
  <c r="Q3873" i="3"/>
  <c r="I3874" i="3"/>
  <c r="J3874" i="3" s="1"/>
  <c r="J3873" i="3"/>
  <c r="Q3871" i="3"/>
  <c r="J3871" i="3"/>
  <c r="I3803" i="3"/>
  <c r="J3803" i="3" s="1"/>
  <c r="Q3870" i="3"/>
  <c r="I3872" i="3"/>
  <c r="J3872" i="3" s="1"/>
  <c r="I3810" i="3"/>
  <c r="J3810" i="3" s="1"/>
  <c r="J3809" i="3"/>
  <c r="I3808" i="3"/>
  <c r="J3808" i="3" s="1"/>
  <c r="J3807" i="3"/>
  <c r="I3806" i="3"/>
  <c r="J3806" i="3" s="1"/>
  <c r="J3805" i="3"/>
  <c r="I3804" i="3"/>
  <c r="J3804" i="3" s="1"/>
  <c r="J3802" i="3"/>
  <c r="J3801" i="3"/>
  <c r="Q3799" i="3"/>
  <c r="Q3796" i="3"/>
  <c r="Q3795" i="3"/>
  <c r="Q3793" i="3"/>
  <c r="Q3792" i="3"/>
  <c r="Q3789" i="3"/>
  <c r="Q3788" i="3"/>
  <c r="I3788" i="3"/>
  <c r="J3788" i="3" s="1"/>
  <c r="Q3800" i="3"/>
  <c r="Q3798" i="3"/>
  <c r="Q3797" i="3"/>
  <c r="Q3794" i="3"/>
  <c r="Q3791" i="3"/>
  <c r="Q3790" i="3"/>
  <c r="Q3787" i="3"/>
  <c r="J3787" i="3"/>
  <c r="J3659" i="3" l="1"/>
  <c r="I3673" i="3"/>
  <c r="J3673" i="3" s="1"/>
  <c r="J3672" i="3"/>
  <c r="J3671" i="3"/>
  <c r="J3670" i="3"/>
  <c r="J3669" i="3"/>
  <c r="J3668" i="3"/>
  <c r="J3666" i="3"/>
  <c r="J3665" i="3"/>
  <c r="J3664" i="3"/>
  <c r="J3663" i="3"/>
  <c r="I3662" i="3"/>
  <c r="J3662" i="3" s="1"/>
  <c r="J3661" i="3"/>
  <c r="I3660" i="3"/>
  <c r="J3660" i="3" s="1"/>
  <c r="I3658" i="3"/>
  <c r="J3658" i="3" s="1"/>
  <c r="J3657" i="3"/>
  <c r="J3656" i="3"/>
  <c r="J3655" i="3"/>
  <c r="Q3649" i="3"/>
  <c r="Q3647" i="3"/>
  <c r="Q3643" i="3"/>
  <c r="Q3641" i="3"/>
  <c r="Q3636" i="3"/>
  <c r="Q3635" i="3"/>
  <c r="Q3633" i="3"/>
  <c r="Q3648" i="3"/>
  <c r="Q3650" i="3"/>
  <c r="Q3646" i="3"/>
  <c r="Q3645" i="3"/>
  <c r="Q3642" i="3"/>
  <c r="Q3634" i="3"/>
  <c r="Q3653" i="3"/>
  <c r="Q3652" i="3"/>
  <c r="Q3651" i="3"/>
  <c r="Q3644" i="3"/>
  <c r="Q3639" i="3"/>
  <c r="Q3638" i="3"/>
  <c r="Q3637" i="3"/>
  <c r="Q3625" i="3"/>
  <c r="Q3624" i="3"/>
  <c r="Q3607" i="3"/>
  <c r="Q3596" i="3"/>
  <c r="Q3594" i="3"/>
  <c r="Q3591" i="3"/>
  <c r="Q3590" i="3"/>
  <c r="Q3589" i="3"/>
  <c r="Q3621" i="3"/>
  <c r="Q3616" i="3"/>
  <c r="Q3614" i="3"/>
  <c r="Q3601" i="3"/>
  <c r="Q3586" i="3"/>
  <c r="Q3580" i="3"/>
  <c r="Q3572" i="3"/>
  <c r="Q3573" i="3"/>
  <c r="Q3574" i="3"/>
  <c r="Q3575" i="3"/>
  <c r="Q3576" i="3"/>
  <c r="Q3577" i="3"/>
  <c r="Q3571" i="3"/>
  <c r="J3572" i="3"/>
  <c r="J3573" i="3"/>
  <c r="J3574" i="3"/>
  <c r="J3575" i="3"/>
  <c r="I3576" i="3"/>
  <c r="J3576" i="3" s="1"/>
  <c r="J3571" i="3"/>
  <c r="Q3470" i="3"/>
  <c r="Q3457" i="3" l="1"/>
  <c r="Q3454" i="3"/>
  <c r="Q3453" i="3"/>
  <c r="Q3452" i="3"/>
  <c r="Q3451" i="3"/>
  <c r="Q3450" i="3"/>
  <c r="Q3449" i="3"/>
  <c r="I3449" i="3"/>
  <c r="J3449" i="3" s="1"/>
  <c r="Q3459" i="3"/>
  <c r="Q3458" i="3"/>
  <c r="Q3456" i="3"/>
  <c r="Q3455" i="3"/>
  <c r="Q3448" i="3"/>
  <c r="Q3447" i="3"/>
  <c r="Q3446" i="3"/>
  <c r="J3448" i="3"/>
  <c r="J3447" i="3"/>
  <c r="J3446" i="3"/>
  <c r="I3429" i="3"/>
  <c r="J3429" i="3" s="1"/>
  <c r="J3428" i="3"/>
  <c r="J3427" i="3"/>
  <c r="I3400" i="3"/>
  <c r="J3400" i="3" s="1"/>
  <c r="J3399" i="3"/>
  <c r="J3398" i="3"/>
  <c r="J3397" i="3"/>
  <c r="J3396" i="3"/>
  <c r="J3395" i="3"/>
  <c r="J3394" i="3"/>
  <c r="Q3393" i="3"/>
  <c r="Q3392" i="3"/>
  <c r="I3338" i="3"/>
  <c r="J3338" i="3" s="1"/>
  <c r="J3337" i="3"/>
  <c r="I3284" i="3"/>
  <c r="J3284" i="3" s="1"/>
  <c r="J3283" i="3"/>
  <c r="I3282" i="3"/>
  <c r="J3282" i="3" s="1"/>
  <c r="I3281" i="3"/>
  <c r="J3281" i="3" s="1"/>
  <c r="J3280" i="3"/>
  <c r="I3279" i="3"/>
  <c r="J3279" i="3" s="1"/>
  <c r="I3276" i="3"/>
  <c r="J3276" i="3" s="1"/>
  <c r="J3275" i="3"/>
  <c r="Q3213" i="3"/>
  <c r="Q3212" i="3"/>
  <c r="I3212" i="3"/>
  <c r="J3212" i="3" s="1"/>
  <c r="I3278" i="3"/>
  <c r="J3278" i="3" s="1"/>
  <c r="I3277" i="3"/>
  <c r="J3277" i="3" s="1"/>
  <c r="I3215" i="3"/>
  <c r="J3215" i="3" s="1"/>
  <c r="J3214" i="3"/>
  <c r="J3213" i="3"/>
  <c r="I3211" i="3"/>
  <c r="J3211" i="3" s="1"/>
  <c r="J3210" i="3"/>
  <c r="I3209" i="3"/>
  <c r="J3209" i="3" s="1"/>
  <c r="J3208" i="3"/>
  <c r="I3207" i="3"/>
  <c r="J3207" i="3" s="1"/>
  <c r="J3206" i="3"/>
  <c r="J3205" i="3"/>
  <c r="I3204" i="3"/>
  <c r="J3204" i="3" s="1"/>
  <c r="J3203" i="3"/>
  <c r="J3202" i="3"/>
  <c r="Q3196" i="3" l="1"/>
  <c r="Q3195" i="3"/>
  <c r="Q3193" i="3"/>
  <c r="Q3192" i="3"/>
  <c r="Q3140" i="3"/>
  <c r="Q3139" i="3"/>
  <c r="Q3136" i="3"/>
  <c r="Q3135" i="3"/>
  <c r="Q3164" i="3"/>
  <c r="Q3156" i="3"/>
  <c r="I3139" i="3"/>
  <c r="J3139" i="3" s="1"/>
  <c r="I3135" i="3"/>
  <c r="J3135" i="3" s="1"/>
  <c r="Q3191" i="3"/>
  <c r="Q3189" i="3"/>
  <c r="I3142" i="3"/>
  <c r="J3142" i="3" s="1"/>
  <c r="J3141" i="3"/>
  <c r="J3140" i="3"/>
  <c r="I3138" i="3"/>
  <c r="J3138" i="3" s="1"/>
  <c r="J3137" i="3"/>
  <c r="J3136" i="3"/>
  <c r="I3134" i="3"/>
  <c r="J3134" i="3" s="1"/>
  <c r="J3133" i="3"/>
  <c r="Q3124" i="3"/>
  <c r="Q3123" i="3"/>
  <c r="J3012" i="3"/>
  <c r="Q3066" i="3"/>
  <c r="I3013" i="3"/>
  <c r="J3013" i="3" s="1"/>
  <c r="I3011" i="3"/>
  <c r="J3011" i="3" s="1"/>
  <c r="J3007" i="3"/>
  <c r="J3006" i="3"/>
  <c r="J3005" i="3"/>
  <c r="Q2953" i="3"/>
  <c r="Q2948" i="3"/>
  <c r="Q2987" i="3"/>
  <c r="Q2994" i="3"/>
  <c r="I2945" i="3"/>
  <c r="J2945" i="3" s="1"/>
  <c r="J2944" i="3"/>
  <c r="J2870" i="3"/>
  <c r="I2917" i="3"/>
  <c r="J2917" i="3" s="1"/>
  <c r="I2869" i="3"/>
  <c r="J2869" i="3" s="1"/>
  <c r="I2865" i="3"/>
  <c r="J2865" i="3" s="1"/>
  <c r="I2889" i="3"/>
  <c r="J2889" i="3" s="1"/>
  <c r="I2887" i="3"/>
  <c r="J2887" i="3" s="1"/>
  <c r="I2874" i="3"/>
  <c r="J2874" i="3" s="1"/>
  <c r="I2885" i="3"/>
  <c r="J2885" i="3" s="1"/>
  <c r="I2883" i="3"/>
  <c r="J2883" i="3" s="1"/>
  <c r="J2868" i="3"/>
  <c r="J2864" i="3"/>
  <c r="Q2876" i="3"/>
  <c r="J2888" i="3"/>
  <c r="I2879" i="3"/>
  <c r="J2879" i="3" s="1"/>
  <c r="J2876" i="3"/>
  <c r="J2872" i="3"/>
  <c r="J2916" i="3"/>
  <c r="I2867" i="3"/>
  <c r="J2867" i="3" s="1"/>
  <c r="Q2915" i="3"/>
  <c r="Q2895" i="3"/>
  <c r="Q2880" i="3"/>
  <c r="J2880" i="3"/>
  <c r="J2886" i="3"/>
  <c r="Q2896" i="3"/>
  <c r="Q2898" i="3"/>
  <c r="Q2903" i="3"/>
  <c r="Q2909" i="3"/>
  <c r="Q2923" i="3"/>
  <c r="J2877" i="3"/>
  <c r="I2871" i="3"/>
  <c r="J2871" i="3" s="1"/>
  <c r="I2866" i="3"/>
  <c r="J2866" i="3" s="1"/>
  <c r="J2863" i="3"/>
  <c r="Q2906" i="3"/>
  <c r="Q2875" i="3"/>
  <c r="I2875" i="3"/>
  <c r="J2875" i="3" s="1"/>
  <c r="Q2857" i="3"/>
  <c r="Q2858" i="3"/>
  <c r="Q2859" i="3"/>
  <c r="Q2860" i="3"/>
  <c r="Q2861" i="3"/>
  <c r="Q2862" i="3"/>
  <c r="Q2856" i="3"/>
  <c r="J2857" i="3"/>
  <c r="J2858" i="3"/>
  <c r="J2859" i="3"/>
  <c r="I2860" i="3"/>
  <c r="J2860" i="3" s="1"/>
  <c r="I2861" i="3"/>
  <c r="J2861" i="3" s="1"/>
  <c r="I2862" i="3"/>
  <c r="J2862" i="3" s="1"/>
  <c r="J2856" i="3"/>
  <c r="Q2854" i="3"/>
  <c r="Q2852" i="3"/>
  <c r="Q2850" i="3"/>
  <c r="Q2849" i="3"/>
  <c r="Q2848" i="3"/>
  <c r="Q2843" i="3"/>
  <c r="Q2838" i="3"/>
  <c r="Q2855" i="3"/>
  <c r="Q2853" i="3"/>
  <c r="Q2847" i="3"/>
  <c r="Q2842" i="3"/>
  <c r="Q2841" i="3"/>
  <c r="Q2839" i="3"/>
  <c r="Q2837" i="3"/>
  <c r="Q2829" i="3"/>
  <c r="Q2830" i="3"/>
  <c r="Q2831" i="3"/>
  <c r="Q2832" i="3"/>
  <c r="Q2833" i="3"/>
  <c r="Q2834" i="3"/>
  <c r="Q2828" i="3"/>
  <c r="J2829" i="3"/>
  <c r="J2830" i="3"/>
  <c r="J2831" i="3"/>
  <c r="J2832" i="3"/>
  <c r="I2833" i="3"/>
  <c r="J2833" i="3" s="1"/>
  <c r="J2828" i="3"/>
  <c r="Q6023" i="3"/>
  <c r="Q6020" i="3"/>
  <c r="Q6019" i="3"/>
  <c r="Q6017" i="3"/>
  <c r="Q6016" i="3"/>
  <c r="Q6015" i="3"/>
  <c r="Q6013" i="3"/>
  <c r="I6016" i="3"/>
  <c r="J6016" i="3" s="1"/>
  <c r="J6015" i="3"/>
  <c r="J6013" i="3"/>
  <c r="Q6027" i="3"/>
  <c r="Q6026" i="3"/>
  <c r="Q6025" i="3"/>
  <c r="Q6024" i="3"/>
  <c r="Q6022" i="3"/>
  <c r="Q6021" i="3"/>
  <c r="Q6018" i="3"/>
  <c r="Q6014" i="3"/>
  <c r="J6027" i="3"/>
  <c r="J6014" i="3"/>
  <c r="Q5968" i="3"/>
  <c r="Q6001" i="3"/>
  <c r="Q5953" i="3"/>
  <c r="Q5954" i="3"/>
  <c r="Q5955" i="3"/>
  <c r="Q5956" i="3"/>
  <c r="Q5957" i="3"/>
  <c r="Q5958" i="3"/>
  <c r="Q5952" i="3"/>
  <c r="I5957" i="3"/>
  <c r="J5957" i="3" s="1"/>
  <c r="J5956" i="3"/>
  <c r="J5955" i="3"/>
  <c r="J5954" i="3"/>
  <c r="J5953" i="3"/>
  <c r="J5952" i="3"/>
  <c r="I5951" i="3"/>
  <c r="J5951" i="3" s="1"/>
  <c r="I5950" i="3"/>
  <c r="J5950" i="3" s="1"/>
  <c r="J5949" i="3"/>
  <c r="J5948" i="3"/>
  <c r="J5947" i="3"/>
  <c r="J5946" i="3"/>
  <c r="J5945" i="3"/>
  <c r="Q5946" i="3"/>
  <c r="Q5947" i="3"/>
  <c r="Q5948" i="3"/>
  <c r="Q5949" i="3"/>
  <c r="Q5950" i="3"/>
  <c r="Q5951" i="3"/>
  <c r="Q5945" i="3"/>
  <c r="Q5914" i="3"/>
  <c r="Q5933" i="3"/>
  <c r="Q5912" i="3"/>
  <c r="Q5909" i="3"/>
  <c r="Q5887" i="3"/>
  <c r="Q5877" i="3"/>
  <c r="Q5875" i="3"/>
  <c r="Q5864" i="3"/>
  <c r="Q5850" i="3"/>
  <c r="Q5843" i="3"/>
  <c r="Q5841" i="3"/>
  <c r="Q5839" i="3"/>
  <c r="I5721" i="3"/>
  <c r="J5721" i="3" s="1"/>
  <c r="J5718" i="3"/>
  <c r="Q5714" i="3"/>
  <c r="J5714" i="3"/>
  <c r="Q5715" i="3"/>
  <c r="J5715" i="3"/>
  <c r="Q5725" i="3"/>
  <c r="I5716" i="3"/>
  <c r="J5716" i="3" s="1"/>
  <c r="Q5737" i="3"/>
  <c r="J5719" i="3"/>
  <c r="J5717" i="3"/>
  <c r="J5720" i="3"/>
  <c r="Q5730" i="3"/>
  <c r="Q6058" i="3"/>
  <c r="Q6057" i="3"/>
  <c r="Q6056" i="3"/>
  <c r="Q6030" i="3"/>
  <c r="Q6029" i="3"/>
  <c r="Q6028" i="3"/>
  <c r="J6058" i="3"/>
  <c r="J6030" i="3"/>
  <c r="J6029" i="3"/>
  <c r="J6028" i="3"/>
  <c r="Q5708" i="3"/>
  <c r="Q5709" i="3"/>
  <c r="Q5710" i="3"/>
  <c r="Q5711" i="3"/>
  <c r="Q5712" i="3"/>
  <c r="Q5713" i="3"/>
  <c r="Q5707" i="3"/>
  <c r="Q5706" i="3"/>
  <c r="Q5702" i="3"/>
  <c r="Q5700" i="3"/>
  <c r="Q5698" i="3"/>
  <c r="Q5701" i="3"/>
  <c r="Q5657" i="3"/>
  <c r="Q5666" i="3"/>
  <c r="Q5654" i="3"/>
  <c r="Q5651" i="3"/>
  <c r="Q5638" i="3"/>
  <c r="Q5636" i="3"/>
  <c r="Q5634" i="3"/>
  <c r="Q5616" i="3"/>
  <c r="Q5665" i="3"/>
  <c r="Q5660" i="3"/>
  <c r="Q5655" i="3"/>
  <c r="Q5652" i="3"/>
  <c r="Q5640" i="3"/>
  <c r="Q5637" i="3"/>
  <c r="Q5635" i="3"/>
  <c r="Q5621" i="3"/>
  <c r="Q5659" i="3"/>
  <c r="Q5653" i="3"/>
  <c r="Q5650" i="3"/>
  <c r="Q5639" i="3"/>
  <c r="Q5615" i="3"/>
  <c r="Q5614" i="3"/>
  <c r="Q5611" i="3"/>
  <c r="Q5610" i="3"/>
  <c r="Q5663" i="3"/>
  <c r="Q5656" i="3"/>
  <c r="Q5645" i="3"/>
  <c r="Q5662" i="3"/>
  <c r="Q5649" i="3"/>
  <c r="Q5647" i="3"/>
  <c r="Q5644" i="3"/>
  <c r="Q5632" i="3"/>
  <c r="Q5630" i="3"/>
  <c r="Q5627" i="3"/>
  <c r="Q5623" i="3"/>
  <c r="Q5664" i="3"/>
  <c r="Q5641" i="3"/>
  <c r="Q5633" i="3"/>
  <c r="Q5628" i="3"/>
  <c r="Q5624" i="3"/>
  <c r="Q5620" i="3"/>
  <c r="Q5619" i="3"/>
  <c r="Q5617" i="3"/>
  <c r="Q5613" i="3"/>
  <c r="Q5648" i="3"/>
  <c r="Q5646" i="3"/>
  <c r="Q5643" i="3"/>
  <c r="Q5626" i="3"/>
  <c r="Q5618" i="3"/>
  <c r="Q5612" i="3"/>
  <c r="Q5661" i="3"/>
  <c r="Q5642" i="3"/>
  <c r="Q5631" i="3"/>
  <c r="Q5629" i="3"/>
  <c r="Q5625" i="3"/>
  <c r="Q5622" i="3"/>
  <c r="Q5595" i="3"/>
  <c r="Q5583" i="3"/>
  <c r="Q5561" i="3" l="1"/>
  <c r="Q5575" i="3"/>
  <c r="J5575" i="3"/>
  <c r="Q5607" i="3"/>
  <c r="Q5606" i="3"/>
  <c r="Q5604" i="3"/>
  <c r="Q5601" i="3"/>
  <c r="Q5589" i="3"/>
  <c r="Q5577" i="3"/>
  <c r="Q5573" i="3"/>
  <c r="Q5558" i="3"/>
  <c r="Q5588" i="3"/>
  <c r="Q5603" i="3"/>
  <c r="Q5600" i="3"/>
  <c r="Q5581" i="3"/>
  <c r="Q5567" i="3"/>
  <c r="Q5602" i="3"/>
  <c r="Q5605" i="3"/>
  <c r="Q5594" i="3"/>
  <c r="Q5593" i="3"/>
  <c r="Q5580" i="3"/>
  <c r="Q5563" i="3"/>
  <c r="Q5560" i="3"/>
  <c r="Q5597" i="3"/>
  <c r="Q5592" i="3"/>
  <c r="Q5591" i="3"/>
  <c r="Q5590" i="3"/>
  <c r="Q5565" i="3"/>
  <c r="Q5554" i="3"/>
  <c r="Q5547" i="3"/>
  <c r="I5554" i="3"/>
  <c r="J5554" i="3" s="1"/>
  <c r="Q5572" i="3"/>
  <c r="Q5569" i="3"/>
  <c r="Q5556" i="3"/>
  <c r="Q5549" i="3"/>
  <c r="Q5546" i="3"/>
  <c r="Q5544" i="3"/>
  <c r="Q5535" i="3"/>
  <c r="I5546" i="3"/>
  <c r="J5546" i="3" s="1"/>
  <c r="I5544" i="3"/>
  <c r="J5544" i="3" s="1"/>
  <c r="J5535" i="3"/>
  <c r="Q5543" i="3"/>
  <c r="J5543" i="3"/>
  <c r="Q5582" i="3"/>
  <c r="Q5571" i="3"/>
  <c r="Q5570" i="3"/>
  <c r="Q5557" i="3"/>
  <c r="Q5538" i="3"/>
  <c r="I5538" i="3"/>
  <c r="J5538" i="3" s="1"/>
  <c r="Q5537" i="3"/>
  <c r="J5537" i="3"/>
  <c r="Q5609" i="3"/>
  <c r="Q5599" i="3"/>
  <c r="Q5587" i="3"/>
  <c r="Q5566" i="3"/>
  <c r="Q5552" i="3"/>
  <c r="Q5551" i="3"/>
  <c r="Q5540" i="3"/>
  <c r="I5540" i="3"/>
  <c r="J5540" i="3" s="1"/>
  <c r="Q5608" i="3"/>
  <c r="Q5539" i="3"/>
  <c r="J5539" i="3"/>
  <c r="Q5598" i="3"/>
  <c r="Q5586" i="3"/>
  <c r="Q5568" i="3"/>
  <c r="Q5555" i="3"/>
  <c r="I5542" i="3"/>
  <c r="J5542" i="3" s="1"/>
  <c r="Q5585" i="3"/>
  <c r="Q5576" i="3"/>
  <c r="Q5550" i="3"/>
  <c r="Q5548" i="3"/>
  <c r="Q5545" i="3"/>
  <c r="I5576" i="3"/>
  <c r="J5576" i="3" s="1"/>
  <c r="J5545" i="3"/>
  <c r="Q5579" i="3"/>
  <c r="Q5578" i="3"/>
  <c r="Q5574" i="3"/>
  <c r="Q5564" i="3"/>
  <c r="Q5562" i="3"/>
  <c r="Q5559" i="3"/>
  <c r="Q5553" i="3"/>
  <c r="Q5536" i="3"/>
  <c r="J5553" i="3"/>
  <c r="I5536" i="3"/>
  <c r="J5536" i="3" s="1"/>
  <c r="Q5226" i="3" l="1"/>
  <c r="I5226" i="3"/>
  <c r="J5226" i="3" s="1"/>
  <c r="Q5230" i="3"/>
  <c r="I5230" i="3"/>
  <c r="J5230" i="3" s="1"/>
  <c r="Q5234" i="3"/>
  <c r="I5234" i="3"/>
  <c r="J5234" i="3" s="1"/>
  <c r="Q5224" i="3"/>
  <c r="I5224" i="3"/>
  <c r="J5224" i="3" s="1"/>
  <c r="Q5233" i="3"/>
  <c r="Q5278" i="3"/>
  <c r="Q5232" i="3"/>
  <c r="I5232" i="3"/>
  <c r="J5232" i="3" s="1"/>
  <c r="Q5223" i="3"/>
  <c r="Q5231" i="3"/>
  <c r="Q5229" i="3"/>
  <c r="Q5277" i="3"/>
  <c r="Q5222" i="3"/>
  <c r="Q5225" i="3"/>
  <c r="Q5276" i="3"/>
  <c r="Q5221" i="3"/>
  <c r="Q5279" i="3"/>
  <c r="Q5258" i="3"/>
  <c r="Q5255" i="3"/>
  <c r="Q5246" i="3"/>
  <c r="Q5281" i="3"/>
  <c r="Q5269" i="3"/>
  <c r="Q5263" i="3"/>
  <c r="Q5220" i="3"/>
  <c r="Q5274" i="3"/>
  <c r="Q5260" i="3"/>
  <c r="Q5251" i="3"/>
  <c r="Q5228" i="3"/>
  <c r="Q5219" i="3"/>
  <c r="Q5266" i="3"/>
  <c r="Q5264" i="3"/>
  <c r="Q5237" i="3"/>
  <c r="Q5280" i="3"/>
  <c r="Q5275" i="3"/>
  <c r="Q5268" i="3"/>
  <c r="Q5262" i="3"/>
  <c r="Q5254" i="3"/>
  <c r="Q5253" i="3"/>
  <c r="Q5248" i="3"/>
  <c r="Q5267" i="3"/>
  <c r="Q5265" i="3"/>
  <c r="Q5261" i="3"/>
  <c r="Q5250" i="3"/>
  <c r="Q5239" i="3"/>
  <c r="Q5238" i="3"/>
  <c r="Q5271" i="3"/>
  <c r="Q5257" i="3"/>
  <c r="Q5245" i="3"/>
  <c r="Q5243" i="3"/>
  <c r="Q5235" i="3"/>
  <c r="Q5241" i="3"/>
  <c r="Q5227" i="3"/>
  <c r="Q5273" i="3"/>
  <c r="Q5272" i="3"/>
  <c r="Q5270" i="3"/>
  <c r="Q5259" i="3"/>
  <c r="Q5256" i="3"/>
  <c r="Q5252" i="3"/>
  <c r="Q5249" i="3"/>
  <c r="Q5247" i="3"/>
  <c r="Q5244" i="3"/>
  <c r="Q5242" i="3"/>
  <c r="Q5240" i="3"/>
  <c r="Q5236" i="3"/>
  <c r="Q5217" i="3"/>
  <c r="Q5215" i="3"/>
  <c r="Q5211" i="3"/>
  <c r="Q5209" i="3"/>
  <c r="Q5202" i="3"/>
  <c r="Q5207" i="3"/>
  <c r="Q5204" i="3"/>
  <c r="Q5195" i="3"/>
  <c r="Q5182" i="3"/>
  <c r="Q5173" i="3"/>
  <c r="Q5171" i="3"/>
  <c r="Q5166" i="3"/>
  <c r="Q5192" i="3"/>
  <c r="Q5189" i="3"/>
  <c r="Q5180" i="3"/>
  <c r="Q5178" i="3"/>
  <c r="Q5198" i="3"/>
  <c r="Q5185" i="3"/>
  <c r="Q5184" i="3"/>
  <c r="Q5176" i="3"/>
  <c r="Q5174" i="3"/>
  <c r="Q5167" i="3"/>
  <c r="Q5196" i="3"/>
  <c r="Q5190" i="3"/>
  <c r="Q5183" i="3"/>
  <c r="Q5170" i="3"/>
  <c r="Q5164" i="3"/>
  <c r="Q5162" i="3"/>
  <c r="Q5208" i="3"/>
  <c r="Q5200" i="3"/>
  <c r="Q5199" i="3"/>
  <c r="Q5168" i="3"/>
  <c r="Q5161" i="3"/>
  <c r="Q5214" i="3"/>
  <c r="Q5206" i="3"/>
  <c r="Q5203" i="3"/>
  <c r="Q5197" i="3"/>
  <c r="Q5194" i="3"/>
  <c r="Q5181" i="3"/>
  <c r="Q5172" i="3"/>
  <c r="Q5165" i="3"/>
  <c r="Q5193" i="3"/>
  <c r="Q5191" i="3"/>
  <c r="Q5188" i="3"/>
  <c r="Q5177" i="3"/>
  <c r="Q5163" i="3"/>
  <c r="Q5213" i="3"/>
  <c r="Q5201" i="3"/>
  <c r="Q5187" i="3"/>
  <c r="Q5186" i="3"/>
  <c r="Q5179" i="3"/>
  <c r="Q5175" i="3"/>
  <c r="Q5169" i="3"/>
  <c r="I5095" i="3" l="1"/>
  <c r="J5095" i="3" s="1"/>
  <c r="Q5159" i="3"/>
  <c r="Q5152" i="3"/>
  <c r="Q5150" i="3"/>
  <c r="Q5147" i="3"/>
  <c r="Q5094" i="3"/>
  <c r="I5157" i="3"/>
  <c r="J5157" i="3" s="1"/>
  <c r="I5097" i="3"/>
  <c r="J5097" i="3" s="1"/>
  <c r="I5099" i="3"/>
  <c r="J5099" i="3" s="1"/>
  <c r="I5092" i="3"/>
  <c r="J5092" i="3" s="1"/>
  <c r="Q5154" i="3"/>
  <c r="Q5091" i="3"/>
  <c r="I5101" i="3"/>
  <c r="J5101" i="3" s="1"/>
  <c r="Q5138" i="3"/>
  <c r="Q5136" i="3"/>
  <c r="Q5129" i="3"/>
  <c r="Q5126" i="3"/>
  <c r="Q5124" i="3"/>
  <c r="Q5104" i="3"/>
  <c r="Q5158" i="3"/>
  <c r="Q5142" i="3"/>
  <c r="Q5140" i="3"/>
  <c r="Q5132" i="3"/>
  <c r="Q5118" i="3"/>
  <c r="Q5114" i="3"/>
  <c r="Q5113" i="3"/>
  <c r="Q5109" i="3"/>
  <c r="Q5107" i="3"/>
  <c r="Q5146" i="3"/>
  <c r="Q5137" i="3"/>
  <c r="Q5130" i="3"/>
  <c r="Q5127" i="3"/>
  <c r="Q5125" i="3"/>
  <c r="Q5106" i="3"/>
  <c r="Q5105" i="3"/>
  <c r="Q5100" i="3"/>
  <c r="Q5157" i="3"/>
  <c r="Q5143" i="3"/>
  <c r="Q5139" i="3"/>
  <c r="Q5133" i="3"/>
  <c r="Q5123" i="3"/>
  <c r="Q5122" i="3"/>
  <c r="Q5120" i="3"/>
  <c r="Q5112" i="3"/>
  <c r="Q5111" i="3"/>
  <c r="Q5145" i="3"/>
  <c r="Q5135" i="3"/>
  <c r="Q5134" i="3"/>
  <c r="Q5128" i="3"/>
  <c r="Q5110" i="3"/>
  <c r="Q5108" i="3"/>
  <c r="Q5121" i="3"/>
  <c r="Q5116" i="3"/>
  <c r="Q5103" i="3"/>
  <c r="Q5099" i="3"/>
  <c r="Q5097" i="3"/>
  <c r="Q5092" i="3"/>
  <c r="Q5144" i="3"/>
  <c r="Q5131" i="3"/>
  <c r="Q5119" i="3"/>
  <c r="Q5115" i="3"/>
  <c r="Q5102" i="3"/>
  <c r="Q5098" i="3"/>
  <c r="Q5096" i="3"/>
  <c r="Q5093" i="3"/>
  <c r="Q5155" i="3"/>
  <c r="Q5149" i="3"/>
  <c r="Q5141" i="3"/>
  <c r="Q5101" i="3"/>
  <c r="I5118" i="3"/>
  <c r="J5118" i="3" s="1"/>
  <c r="J5100" i="3"/>
  <c r="Q5533" i="3"/>
  <c r="Q5526" i="3"/>
  <c r="Q5523" i="3"/>
  <c r="Q5520" i="3"/>
  <c r="Q5518" i="3"/>
  <c r="Q5507" i="3"/>
  <c r="Q5505" i="3"/>
  <c r="Q5490" i="3"/>
  <c r="Q5532" i="3"/>
  <c r="Q5531" i="3"/>
  <c r="Q5517" i="3"/>
  <c r="Q5514" i="3"/>
  <c r="Q5513" i="3"/>
  <c r="Q5511" i="3"/>
  <c r="Q5503" i="3"/>
  <c r="Q5500" i="3"/>
  <c r="Q5498" i="3"/>
  <c r="Q5496" i="3"/>
  <c r="Q5534" i="3"/>
  <c r="Q5525" i="3"/>
  <c r="Q5495" i="3"/>
  <c r="Q5489" i="3"/>
  <c r="Q5522" i="3"/>
  <c r="Q5519" i="3"/>
  <c r="Q5508" i="3"/>
  <c r="Q5506" i="3"/>
  <c r="Q5502" i="3"/>
  <c r="Q5493" i="3"/>
  <c r="Q5485" i="3"/>
  <c r="Q5479" i="3"/>
  <c r="Q5475" i="3"/>
  <c r="Q5474" i="3"/>
  <c r="Q5467" i="3"/>
  <c r="Q5465" i="3"/>
  <c r="Q5464" i="3"/>
  <c r="Q5454" i="3"/>
  <c r="Q5452" i="3"/>
  <c r="Q5470" i="3"/>
  <c r="Q5455" i="3"/>
  <c r="Q5442" i="3"/>
  <c r="Q5484" i="3"/>
  <c r="Q5483" i="3"/>
  <c r="Q5481" i="3"/>
  <c r="Q5473" i="3"/>
  <c r="Q5471" i="3"/>
  <c r="Q5462" i="3"/>
  <c r="Q5460" i="3"/>
  <c r="Q5449" i="3"/>
  <c r="Q5446" i="3"/>
  <c r="Q5443" i="3"/>
  <c r="Q5437" i="3"/>
  <c r="Q5480" i="3"/>
  <c r="Q5477" i="3"/>
  <c r="Q5476" i="3"/>
  <c r="Q5441" i="3"/>
  <c r="Q5439" i="3"/>
  <c r="Q5438" i="3"/>
  <c r="Q5090" i="3"/>
  <c r="Q5089" i="3"/>
  <c r="Q5088" i="3"/>
  <c r="Q5087" i="3"/>
  <c r="Q5083" i="3"/>
  <c r="Q5081" i="3"/>
  <c r="Q5079" i="3"/>
  <c r="Q5086" i="3"/>
  <c r="Q5085" i="3"/>
  <c r="Q5084" i="3"/>
  <c r="Q5082" i="3"/>
  <c r="Q5080" i="3"/>
  <c r="Q5078" i="3"/>
  <c r="Q5077" i="3"/>
  <c r="Q5073" i="3"/>
  <c r="Q5069" i="3"/>
  <c r="Q5065" i="3"/>
  <c r="Q5063" i="3"/>
  <c r="Q5060" i="3"/>
  <c r="Q5076" i="3"/>
  <c r="Q5072" i="3"/>
  <c r="Q5071" i="3"/>
  <c r="Q5070" i="3"/>
  <c r="Q5067" i="3"/>
  <c r="Q5066" i="3"/>
  <c r="Q5058" i="3"/>
  <c r="Q5075" i="3"/>
  <c r="Q5074" i="3"/>
  <c r="Q5068" i="3"/>
  <c r="Q5064" i="3"/>
  <c r="Q5062" i="3"/>
  <c r="Q5061" i="3"/>
  <c r="Q5059" i="3"/>
  <c r="I5069" i="3"/>
  <c r="J5069" i="3" s="1"/>
  <c r="J5068" i="3"/>
  <c r="J5067" i="3"/>
  <c r="J5066" i="3"/>
  <c r="J5061" i="3"/>
  <c r="J5058" i="3"/>
  <c r="Q5052" i="3"/>
  <c r="Q5051" i="3"/>
  <c r="Q5050" i="3"/>
  <c r="Q5049" i="3"/>
  <c r="Q5048" i="3"/>
  <c r="Q5044" i="3"/>
  <c r="Q5039" i="3"/>
  <c r="Q5029" i="3"/>
  <c r="Q5004" i="3"/>
  <c r="Q5038" i="3"/>
  <c r="Q5027" i="3"/>
  <c r="Q5025" i="3"/>
  <c r="Q5012" i="3"/>
  <c r="Q5013" i="3"/>
  <c r="Q5047" i="3"/>
  <c r="Q5041" i="3"/>
  <c r="Q5035" i="3"/>
  <c r="Q5032" i="3"/>
  <c r="Q5020" i="3"/>
  <c r="Q5045" i="3"/>
  <c r="Q5031" i="3"/>
  <c r="Q5028" i="3"/>
  <c r="Q5026" i="3"/>
  <c r="Q5017" i="3"/>
  <c r="Q5014" i="3"/>
  <c r="Q5011" i="3"/>
  <c r="Q5042" i="3"/>
  <c r="Q5036" i="3"/>
  <c r="Q5033" i="3"/>
  <c r="Q5023" i="3"/>
  <c r="Q5021" i="3"/>
  <c r="Q5009" i="3"/>
  <c r="Q5005" i="3"/>
  <c r="Q5046" i="3"/>
  <c r="Q5043" i="3"/>
  <c r="Q5018" i="3"/>
  <c r="Q5015" i="3"/>
  <c r="Q5006" i="3"/>
  <c r="Q5003" i="3"/>
  <c r="Q5037" i="3"/>
  <c r="Q5034" i="3"/>
  <c r="Q5024" i="3"/>
  <c r="Q5022" i="3"/>
  <c r="Q5010" i="3"/>
  <c r="Q5002" i="3"/>
  <c r="Q5040" i="3"/>
  <c r="Q5030" i="3"/>
  <c r="Q5019" i="3"/>
  <c r="Q5016" i="3"/>
  <c r="Q5008" i="3"/>
  <c r="Q5007" i="3"/>
  <c r="Q4996" i="3"/>
  <c r="Q4997" i="3"/>
  <c r="Q4998" i="3"/>
  <c r="Q4999" i="3"/>
  <c r="Q5000" i="3"/>
  <c r="Q5001" i="3"/>
  <c r="Q4995" i="3"/>
  <c r="I4997" i="3"/>
  <c r="J4997" i="3" s="1"/>
  <c r="J4996" i="3"/>
  <c r="J4995" i="3"/>
  <c r="Q4994" i="3"/>
  <c r="Q4993" i="3"/>
  <c r="Q4990" i="3"/>
  <c r="Q4962" i="3"/>
  <c r="Q4986" i="3"/>
  <c r="Q4983" i="3"/>
  <c r="Q4971" i="3"/>
  <c r="Q4958" i="3"/>
  <c r="Q4946" i="3"/>
  <c r="Q4943" i="3"/>
  <c r="Q4988" i="3"/>
  <c r="Q4981" i="3"/>
  <c r="Q4982" i="3"/>
  <c r="Q4969" i="3"/>
  <c r="Q4967" i="3"/>
  <c r="Q4964" i="3"/>
  <c r="Q4954" i="3"/>
  <c r="Q4951" i="3"/>
  <c r="Q4950" i="3"/>
  <c r="Q4984" i="3"/>
  <c r="Q4974" i="3"/>
  <c r="Q4972" i="3"/>
  <c r="Q4960" i="3"/>
  <c r="Q4956" i="3"/>
  <c r="Q4949" i="3"/>
  <c r="Q4944" i="3"/>
  <c r="Q4992" i="3"/>
  <c r="Q4979" i="3"/>
  <c r="Q4977" i="3"/>
  <c r="Q4965" i="3"/>
  <c r="Q4955" i="3"/>
  <c r="Q4952" i="3"/>
  <c r="Q4942" i="3"/>
  <c r="Q4941" i="3"/>
  <c r="Q4985" i="3"/>
  <c r="Q4976" i="3"/>
  <c r="Q4975" i="3"/>
  <c r="Q4973" i="3"/>
  <c r="Q4961" i="3"/>
  <c r="Q4957" i="3"/>
  <c r="Q4945" i="3"/>
  <c r="Q4980" i="3"/>
  <c r="Q4978" i="3"/>
  <c r="Q4970" i="3"/>
  <c r="Q4968" i="3"/>
  <c r="Q4966" i="3"/>
  <c r="Q4953" i="3"/>
  <c r="Q4991" i="3"/>
  <c r="Q4989" i="3"/>
  <c r="Q4987" i="3"/>
  <c r="Q4963" i="3"/>
  <c r="Q4959" i="3"/>
  <c r="Q4948" i="3"/>
  <c r="Q4947" i="3"/>
  <c r="Q4935" i="3"/>
  <c r="Q4936" i="3"/>
  <c r="Q4937" i="3"/>
  <c r="Q4938" i="3"/>
  <c r="Q4939" i="3"/>
  <c r="Q4940" i="3"/>
  <c r="Q4934" i="3"/>
  <c r="I4939" i="3"/>
  <c r="J4939" i="3" s="1"/>
  <c r="J4938" i="3"/>
  <c r="J4937" i="3"/>
  <c r="J4936" i="3"/>
  <c r="J4935" i="3"/>
  <c r="J4934" i="3"/>
  <c r="Q4928" i="3"/>
  <c r="Q4927" i="3"/>
  <c r="Q4926" i="3"/>
  <c r="Q4925" i="3"/>
  <c r="Q4924" i="3"/>
  <c r="Q4922" i="3"/>
  <c r="Q4903" i="3"/>
  <c r="Q4891" i="3"/>
  <c r="Q4913" i="3"/>
  <c r="Q4909" i="3"/>
  <c r="Q4900" i="3"/>
  <c r="Q4898" i="3"/>
  <c r="Q4896" i="3"/>
  <c r="Q4887" i="3"/>
  <c r="Q4921" i="3"/>
  <c r="Q4916" i="3"/>
  <c r="Q4914" i="3"/>
  <c r="Q4906" i="3"/>
  <c r="Q4901" i="3"/>
  <c r="Q4894" i="3"/>
  <c r="Q4893" i="3"/>
  <c r="Q4892" i="3"/>
  <c r="Q4884" i="3"/>
  <c r="Q4920" i="3"/>
  <c r="Q4911" i="3"/>
  <c r="Q4910" i="3"/>
  <c r="Q4907" i="3"/>
  <c r="Q4899" i="3"/>
  <c r="Q4897" i="3"/>
  <c r="Q4888" i="3"/>
  <c r="Q4879" i="3"/>
  <c r="Q4878" i="3"/>
  <c r="Q4918" i="3"/>
  <c r="Q4915" i="3"/>
  <c r="Q4905" i="3"/>
  <c r="Q4904" i="3"/>
  <c r="Q4902" i="3"/>
  <c r="Q4890" i="3"/>
  <c r="Q4889" i="3"/>
  <c r="Q4919" i="3"/>
  <c r="Q4912" i="3"/>
  <c r="Q4908" i="3"/>
  <c r="Q4895" i="3"/>
  <c r="Q4886" i="3"/>
  <c r="Q4880" i="3"/>
  <c r="Q4923" i="3"/>
  <c r="Q4917" i="3"/>
  <c r="Q4885" i="3"/>
  <c r="Q4883" i="3"/>
  <c r="Q4882" i="3"/>
  <c r="Q4881" i="3"/>
  <c r="Q4877" i="3"/>
  <c r="Q5434" i="3"/>
  <c r="Q5431" i="3"/>
  <c r="Q5415" i="3"/>
  <c r="Q5404" i="3"/>
  <c r="Q5403" i="3"/>
  <c r="Q5433" i="3"/>
  <c r="Q5421" i="3"/>
  <c r="Q5408" i="3"/>
  <c r="Q5406" i="3"/>
  <c r="Q5435" i="3"/>
  <c r="Q5436" i="3"/>
  <c r="Q5411" i="3"/>
  <c r="Q5410" i="3"/>
  <c r="Q5398" i="3"/>
  <c r="Q5392" i="3"/>
  <c r="Q5385" i="3"/>
  <c r="Q5387" i="3"/>
  <c r="Q5425" i="3"/>
  <c r="Q5416" i="3"/>
  <c r="Q5389" i="3"/>
  <c r="Q5393" i="3"/>
  <c r="Q5390" i="3"/>
  <c r="Q5419" i="3"/>
  <c r="Q5423" i="3"/>
  <c r="Q5426" i="3"/>
  <c r="Q5432" i="3"/>
  <c r="Q5383" i="3"/>
  <c r="Q5376" i="3"/>
  <c r="Q5375" i="3"/>
  <c r="Q5364" i="3"/>
  <c r="Q5362" i="3"/>
  <c r="Q5351" i="3"/>
  <c r="Q5334" i="3"/>
  <c r="Q5382" i="3"/>
  <c r="Q5377" i="3"/>
  <c r="Q5368" i="3"/>
  <c r="Q5357" i="3"/>
  <c r="Q5355" i="3"/>
  <c r="Q5345" i="3"/>
  <c r="Q5344" i="3"/>
  <c r="Q5341" i="3"/>
  <c r="Q5384" i="3"/>
  <c r="Q5373" i="3"/>
  <c r="Q5370" i="3"/>
  <c r="Q5361" i="3"/>
  <c r="Q5359" i="3"/>
  <c r="Q5356" i="3"/>
  <c r="Q5343" i="3"/>
  <c r="Q5380" i="3"/>
  <c r="Q5371" i="3"/>
  <c r="Q5354" i="3"/>
  <c r="Q5340" i="3"/>
  <c r="Q4875" i="3"/>
  <c r="Q4873" i="3"/>
  <c r="Q4868" i="3"/>
  <c r="Q4865" i="3"/>
  <c r="Q4863" i="3"/>
  <c r="Q4861" i="3"/>
  <c r="Q4859" i="3"/>
  <c r="Q4821" i="3"/>
  <c r="Q4857" i="3"/>
  <c r="Q4849" i="3"/>
  <c r="Q4848" i="3"/>
  <c r="Q4846" i="3"/>
  <c r="Q4832" i="3"/>
  <c r="Q4829" i="3"/>
  <c r="Q4856" i="3"/>
  <c r="Q4854" i="3"/>
  <c r="Q4843" i="3"/>
  <c r="Q4840" i="3"/>
  <c r="Q4838" i="3"/>
  <c r="Q4837" i="3"/>
  <c r="Q4852" i="3"/>
  <c r="Q4850" i="3"/>
  <c r="Q4836" i="3"/>
  <c r="Q4834" i="3"/>
  <c r="Q4833" i="3"/>
  <c r="Q4824" i="3"/>
  <c r="Q4860" i="3"/>
  <c r="Q4855" i="3"/>
  <c r="Q4847" i="3"/>
  <c r="Q4844" i="3"/>
  <c r="Q4841" i="3"/>
  <c r="Q4830" i="3"/>
  <c r="Q4825" i="3"/>
  <c r="Q4870" i="3"/>
  <c r="Q4866" i="3"/>
  <c r="Q4858" i="3"/>
  <c r="Q4853" i="3"/>
  <c r="Q4851" i="3"/>
  <c r="Q4820" i="3"/>
  <c r="Q4845" i="3"/>
  <c r="Q4842" i="3"/>
  <c r="Q4831" i="3"/>
  <c r="Q4828" i="3"/>
  <c r="Q4819" i="3"/>
  <c r="Q4864" i="3"/>
  <c r="Q4862" i="3"/>
  <c r="Q4839" i="3"/>
  <c r="Q4835" i="3"/>
  <c r="Q4826" i="3"/>
  <c r="Q4823" i="3"/>
  <c r="Q4822" i="3"/>
  <c r="Q4815" i="3"/>
  <c r="Q4814" i="3"/>
  <c r="Q4813" i="3"/>
  <c r="Q4811" i="3"/>
  <c r="Q4809" i="3"/>
  <c r="Q4794" i="3"/>
  <c r="Q4801" i="3"/>
  <c r="Q4796" i="3"/>
  <c r="Q4803" i="3"/>
  <c r="Q4790" i="3"/>
  <c r="Q4759" i="3"/>
  <c r="Q4758" i="3"/>
  <c r="Q4797" i="3"/>
  <c r="Q4786" i="3"/>
  <c r="Q4772" i="3"/>
  <c r="Q4757" i="3"/>
  <c r="Q4782" i="3"/>
  <c r="Q4769" i="3"/>
  <c r="Q4767" i="3"/>
  <c r="Q4756" i="3"/>
  <c r="Q4807" i="3"/>
  <c r="Q4804" i="3"/>
  <c r="Q4793" i="3"/>
  <c r="Q4780" i="3"/>
  <c r="Q4778" i="3"/>
  <c r="Q4760" i="3"/>
  <c r="Q4755" i="3"/>
  <c r="Q4798" i="3"/>
  <c r="Q4788" i="3"/>
  <c r="Q4785" i="3"/>
  <c r="Q4783" i="3"/>
  <c r="Q4781" i="3"/>
  <c r="Q4773" i="3"/>
  <c r="Q4771" i="3"/>
  <c r="Q4768" i="3"/>
  <c r="Q4805" i="3"/>
  <c r="Q4800" i="3"/>
  <c r="Q4799" i="3"/>
  <c r="Q4791" i="3"/>
  <c r="Q4766" i="3"/>
  <c r="Q4765" i="3"/>
  <c r="Q4763" i="3"/>
  <c r="Q4808" i="3"/>
  <c r="Q4806" i="3"/>
  <c r="Q4802" i="3"/>
  <c r="Q4789" i="3"/>
  <c r="Q4774" i="3"/>
  <c r="Q4764" i="3"/>
  <c r="Q4792" i="3"/>
  <c r="Q4787" i="3"/>
  <c r="Q4777" i="3"/>
  <c r="Q4776" i="3"/>
  <c r="Q4775" i="3"/>
  <c r="Q4784" i="3"/>
  <c r="Q4779" i="3"/>
  <c r="Q4770" i="3"/>
  <c r="Q4762" i="3"/>
  <c r="Q4761" i="3"/>
  <c r="J4757" i="3"/>
  <c r="Q4749" i="3"/>
  <c r="Q4750" i="3"/>
  <c r="Q4751" i="3"/>
  <c r="Q4752" i="3"/>
  <c r="Q4753" i="3"/>
  <c r="Q4754" i="3"/>
  <c r="Q4748" i="3"/>
  <c r="I4754" i="3"/>
  <c r="J4754" i="3" s="1"/>
  <c r="I4753" i="3"/>
  <c r="J4753" i="3" s="1"/>
  <c r="J4752" i="3"/>
  <c r="J4751" i="3"/>
  <c r="J4750" i="3"/>
  <c r="J4749" i="3"/>
  <c r="J4748" i="3"/>
  <c r="Q4734" i="3"/>
  <c r="Q4730" i="3"/>
  <c r="Q4713" i="3"/>
  <c r="Q4712" i="3"/>
  <c r="Q4747" i="3"/>
  <c r="Q4746" i="3"/>
  <c r="Q4717" i="3"/>
  <c r="Q4716" i="3"/>
  <c r="Q4745" i="3"/>
  <c r="Q4744" i="3"/>
  <c r="Q4736" i="3"/>
  <c r="Q4735" i="3"/>
  <c r="Q4733" i="3"/>
  <c r="Q4731" i="3"/>
  <c r="Q4725" i="3"/>
  <c r="Q4724" i="3"/>
  <c r="Q4741" i="3"/>
  <c r="Q4740" i="3"/>
  <c r="Q4739" i="3"/>
  <c r="Q4732" i="3"/>
  <c r="Q4729" i="3"/>
  <c r="Q4728" i="3"/>
  <c r="Q4723" i="3"/>
  <c r="Q4738" i="3"/>
  <c r="Q4737" i="3"/>
  <c r="Q4727" i="3"/>
  <c r="Q4726" i="3"/>
  <c r="Q4722" i="3"/>
  <c r="Q4721" i="3"/>
  <c r="Q4718" i="3"/>
  <c r="I4747" i="3"/>
  <c r="J4747" i="3" s="1"/>
  <c r="I4746" i="3"/>
  <c r="J4746" i="3" s="1"/>
  <c r="I4745" i="3"/>
  <c r="J4745" i="3" s="1"/>
  <c r="I4744" i="3"/>
  <c r="J4744" i="3" s="1"/>
  <c r="I4721" i="3"/>
  <c r="J4721" i="3" s="1"/>
  <c r="J4718" i="3"/>
  <c r="J4717" i="3"/>
  <c r="J4716" i="3"/>
  <c r="J4715" i="3"/>
  <c r="J4713" i="3"/>
  <c r="J4712" i="3"/>
  <c r="Q4668" i="3"/>
  <c r="Q4658" i="3"/>
  <c r="Q4654" i="3"/>
  <c r="Q4709" i="3"/>
  <c r="Q4707" i="3"/>
  <c r="Q4705" i="3"/>
  <c r="Q4703" i="3"/>
  <c r="Q4676" i="3"/>
  <c r="Q4675" i="3"/>
  <c r="Q4711" i="3"/>
  <c r="Q4702" i="3"/>
  <c r="Q4685" i="3"/>
  <c r="Q4683" i="3"/>
  <c r="Q4674" i="3"/>
  <c r="Q4655" i="3"/>
  <c r="Q4706" i="3"/>
  <c r="Q4699" i="3"/>
  <c r="Q4692" i="3"/>
  <c r="Q4670" i="3"/>
  <c r="Q4660" i="3"/>
  <c r="Q4659" i="3"/>
  <c r="Q4695" i="3"/>
  <c r="Q4687" i="3"/>
  <c r="Q4677" i="3"/>
  <c r="Q4666" i="3"/>
  <c r="Q4664" i="3"/>
  <c r="Q4663" i="3"/>
  <c r="Q4653" i="3"/>
  <c r="Q4694" i="3"/>
  <c r="Q4690" i="3"/>
  <c r="Q4681" i="3"/>
  <c r="Q4672" i="3"/>
  <c r="Q4662" i="3"/>
  <c r="Q4661" i="3"/>
  <c r="Q4656" i="3"/>
  <c r="Q4710" i="3"/>
  <c r="Q4704" i="3"/>
  <c r="Q4696" i="3"/>
  <c r="Q4688" i="3"/>
  <c r="Q4678" i="3"/>
  <c r="Q4667" i="3"/>
  <c r="Q4708" i="3"/>
  <c r="Q4700" i="3"/>
  <c r="Q4686" i="3"/>
  <c r="Q4684" i="3"/>
  <c r="Q4682" i="3"/>
  <c r="Q4673" i="3"/>
  <c r="Q4657" i="3"/>
  <c r="Q4651" i="3"/>
  <c r="Q4698" i="3"/>
  <c r="Q4697" i="3"/>
  <c r="Q4689" i="3"/>
  <c r="Q4680" i="3"/>
  <c r="Q4671" i="3"/>
  <c r="Q4669" i="3"/>
  <c r="Q4665" i="3"/>
  <c r="Q4649" i="3"/>
  <c r="Q4647" i="3"/>
  <c r="Q4645" i="3"/>
  <c r="Q4625" i="3"/>
  <c r="Q4623" i="3"/>
  <c r="Q4612" i="3"/>
  <c r="Q4598" i="3"/>
  <c r="Q4643" i="3"/>
  <c r="Q4641" i="3"/>
  <c r="Q4632" i="3"/>
  <c r="Q4628" i="3"/>
  <c r="Q4616" i="3"/>
  <c r="Q4602" i="3"/>
  <c r="Q4600" i="3"/>
  <c r="Q4597" i="3"/>
  <c r="Q4639" i="3"/>
  <c r="Q4636" i="3"/>
  <c r="Q4633" i="3"/>
  <c r="Q4626" i="3"/>
  <c r="Q4621" i="3"/>
  <c r="Q4619" i="3"/>
  <c r="Q4613" i="3"/>
  <c r="Q4605" i="3"/>
  <c r="Q4642" i="3"/>
  <c r="Q4630" i="3"/>
  <c r="Q4629" i="3"/>
  <c r="Q4617" i="3"/>
  <c r="Q4614" i="3"/>
  <c r="Q4610" i="3"/>
  <c r="Q4608" i="3"/>
  <c r="Q4599" i="3"/>
  <c r="Q4648" i="3"/>
  <c r="Q4637" i="3"/>
  <c r="Q4635" i="3"/>
  <c r="Q4634" i="3"/>
  <c r="Q4624" i="3"/>
  <c r="Q4622" i="3"/>
  <c r="Q4620" i="3"/>
  <c r="Q4611" i="3"/>
  <c r="Q4640" i="3"/>
  <c r="Q4631" i="3"/>
  <c r="Q4618" i="3"/>
  <c r="Q4615" i="3"/>
  <c r="Q4609" i="3"/>
  <c r="Q4607" i="3"/>
  <c r="Q4601" i="3"/>
  <c r="Q4646" i="3"/>
  <c r="Q4644" i="3"/>
  <c r="Q4638" i="3"/>
  <c r="Q4627" i="3"/>
  <c r="Q4606" i="3"/>
  <c r="Q4604" i="3"/>
  <c r="Q4603" i="3"/>
  <c r="I4598" i="3"/>
  <c r="J4598" i="3" s="1"/>
  <c r="J4597" i="3"/>
  <c r="Q4596" i="3"/>
  <c r="Q4595" i="3"/>
  <c r="Q4591" i="3"/>
  <c r="Q4589" i="3"/>
  <c r="Q4588" i="3"/>
  <c r="Q4585" i="3"/>
  <c r="Q4583" i="3"/>
  <c r="Q4594" i="3"/>
  <c r="Q4593" i="3"/>
  <c r="Q4592" i="3"/>
  <c r="Q4590" i="3"/>
  <c r="Q4587" i="3"/>
  <c r="Q4586" i="3"/>
  <c r="Q4584" i="3"/>
  <c r="Q4582" i="3"/>
  <c r="Q4581" i="3"/>
  <c r="Q4576" i="3"/>
  <c r="Q4566" i="3"/>
  <c r="Q4579" i="3"/>
  <c r="Q4578" i="3"/>
  <c r="Q4577" i="3"/>
  <c r="Q4574" i="3"/>
  <c r="Q4572" i="3"/>
  <c r="Q4571" i="3"/>
  <c r="Q4570" i="3"/>
  <c r="Q4565" i="3"/>
  <c r="Q4580" i="3"/>
  <c r="Q4575" i="3"/>
  <c r="Q4573" i="3"/>
  <c r="Q4569" i="3"/>
  <c r="Q4568" i="3"/>
  <c r="Q4567" i="3"/>
  <c r="I4582" i="3"/>
  <c r="J4582" i="3" s="1"/>
  <c r="J4581" i="3"/>
  <c r="I4568" i="3"/>
  <c r="J4568" i="3" s="1"/>
  <c r="J4567" i="3"/>
  <c r="J4566" i="3"/>
  <c r="Q4563" i="3"/>
  <c r="Q4556" i="3"/>
  <c r="Q4547" i="3"/>
  <c r="Q4531" i="3"/>
  <c r="Q4516" i="3"/>
  <c r="Q4508" i="3"/>
  <c r="Q4562" i="3"/>
  <c r="Q4560" i="3"/>
  <c r="Q4549" i="3"/>
  <c r="Q4541" i="3"/>
  <c r="Q4537" i="3"/>
  <c r="Q4529" i="3"/>
  <c r="Q4526" i="3"/>
  <c r="Q4507" i="3"/>
  <c r="Q4553" i="3"/>
  <c r="Q4535" i="3"/>
  <c r="Q4532" i="3"/>
  <c r="Q4530" i="3"/>
  <c r="Q4522" i="3"/>
  <c r="Q4518" i="3"/>
  <c r="Q4517" i="3"/>
  <c r="Q4515" i="3"/>
  <c r="Q4555" i="3"/>
  <c r="Q4550" i="3"/>
  <c r="Q4542" i="3"/>
  <c r="Q4527" i="3"/>
  <c r="Q4525" i="3"/>
  <c r="Q4509" i="3"/>
  <c r="Q4552" i="3"/>
  <c r="Q4544" i="3"/>
  <c r="Q4538" i="3"/>
  <c r="Q4533" i="3"/>
  <c r="Q4523" i="3"/>
  <c r="Q4519" i="3"/>
  <c r="Q4514" i="3"/>
  <c r="Q4543" i="3"/>
  <c r="Q4540" i="3"/>
  <c r="Q4539" i="3"/>
  <c r="Q4528" i="3"/>
  <c r="Q4513" i="3"/>
  <c r="Q4512" i="3"/>
  <c r="Q4510" i="3"/>
  <c r="Q4551" i="3"/>
  <c r="Q4546" i="3"/>
  <c r="Q4536" i="3"/>
  <c r="Q4534" i="3"/>
  <c r="Q4524" i="3"/>
  <c r="Q4521" i="3"/>
  <c r="Q4511" i="3"/>
  <c r="I4508" i="3"/>
  <c r="J4508" i="3" s="1"/>
  <c r="J4507" i="3"/>
  <c r="Q4470" i="3"/>
  <c r="Q4459" i="3"/>
  <c r="Q4479" i="3"/>
  <c r="Q4467" i="3"/>
  <c r="Q4465" i="3"/>
  <c r="Q4457" i="3"/>
  <c r="Q4505" i="3"/>
  <c r="Q4488" i="3"/>
  <c r="Q4487" i="3"/>
  <c r="Q4484" i="3"/>
  <c r="Q4476" i="3"/>
  <c r="Q4474" i="3"/>
  <c r="Q4454" i="3"/>
  <c r="Q4452" i="3"/>
  <c r="Q4449" i="3"/>
  <c r="Q4504" i="3"/>
  <c r="Q4494" i="3"/>
  <c r="Q4482" i="3"/>
  <c r="Q4478" i="3"/>
  <c r="Q4472" i="3"/>
  <c r="Q4468" i="3"/>
  <c r="Q4466" i="3"/>
  <c r="Q4463" i="3"/>
  <c r="Q4495" i="3"/>
  <c r="Q4492" i="3"/>
  <c r="Q4489" i="3"/>
  <c r="Q4486" i="3"/>
  <c r="Q4477" i="3"/>
  <c r="Q4455" i="3"/>
  <c r="Q4450" i="3"/>
  <c r="Q4503" i="3"/>
  <c r="Q4498" i="3"/>
  <c r="Q4493" i="3"/>
  <c r="Q4490" i="3"/>
  <c r="Q4480" i="3"/>
  <c r="Q4469" i="3"/>
  <c r="Q4464" i="3"/>
  <c r="Q4460" i="3"/>
  <c r="Q4500" i="3"/>
  <c r="Q4475" i="3"/>
  <c r="Q4462" i="3"/>
  <c r="Q4461" i="3"/>
  <c r="Q4456" i="3"/>
  <c r="Q4453" i="3"/>
  <c r="Q4451" i="3"/>
  <c r="Q4501" i="3"/>
  <c r="Q4485" i="3"/>
  <c r="Q4483" i="3"/>
  <c r="Q4481" i="3"/>
  <c r="Q4473" i="3"/>
  <c r="Q4471" i="3"/>
  <c r="Q4458" i="3"/>
  <c r="Q4443" i="3"/>
  <c r="Q4444" i="3"/>
  <c r="Q4445" i="3"/>
  <c r="Q4446" i="3"/>
  <c r="Q4447" i="3"/>
  <c r="Q4448" i="3"/>
  <c r="Q4442" i="3"/>
  <c r="I4445" i="3"/>
  <c r="J4445" i="3" s="1"/>
  <c r="J4444" i="3"/>
  <c r="J4443" i="3"/>
  <c r="J4442" i="3"/>
  <c r="Q4438" i="3"/>
  <c r="Q4436" i="3"/>
  <c r="Q4386" i="3"/>
  <c r="Q4385" i="3"/>
  <c r="Q4435" i="3"/>
  <c r="Q4431" i="3"/>
  <c r="Q4430" i="3"/>
  <c r="Q4401" i="3"/>
  <c r="Q4388" i="3"/>
  <c r="Q4441" i="3"/>
  <c r="Q4387" i="3"/>
  <c r="Q4422" i="3"/>
  <c r="Q4420" i="3"/>
  <c r="Q4419" i="3"/>
  <c r="Q4409" i="3"/>
  <c r="Q4407" i="3"/>
  <c r="Q4392" i="3"/>
  <c r="Q4391" i="3"/>
  <c r="Q4440" i="3"/>
  <c r="Q4416" i="3"/>
  <c r="Q4405" i="3"/>
  <c r="Q4396" i="3"/>
  <c r="Q4425" i="3"/>
  <c r="Q4423" i="3"/>
  <c r="Q4412" i="3"/>
  <c r="Q4411" i="3"/>
  <c r="Q4402" i="3"/>
  <c r="Q4399" i="3"/>
  <c r="Q4394" i="3"/>
  <c r="Q4434" i="3"/>
  <c r="Q4433" i="3"/>
  <c r="Q4417" i="3"/>
  <c r="Q4406" i="3"/>
  <c r="Q4404" i="3"/>
  <c r="Q4397" i="3"/>
  <c r="Q4390" i="3"/>
  <c r="Q4427" i="3"/>
  <c r="Q4426" i="3"/>
  <c r="Q4424" i="3"/>
  <c r="Q4415" i="3"/>
  <c r="Q4414" i="3"/>
  <c r="Q4393" i="3"/>
  <c r="Q4429" i="3"/>
  <c r="Q4428" i="3"/>
  <c r="Q4421" i="3"/>
  <c r="Q4410" i="3"/>
  <c r="Q4408" i="3"/>
  <c r="Q4398" i="3"/>
  <c r="Q4432" i="3"/>
  <c r="Q4418" i="3"/>
  <c r="Q4413" i="3"/>
  <c r="Q4403" i="3"/>
  <c r="Q4400" i="3"/>
  <c r="Q4395" i="3"/>
  <c r="Q4389" i="3"/>
  <c r="I4388" i="3"/>
  <c r="J4388" i="3" s="1"/>
  <c r="J4387" i="3"/>
  <c r="I4386" i="3"/>
  <c r="J4386" i="3" s="1"/>
  <c r="J4385" i="3"/>
  <c r="Q4384" i="3"/>
  <c r="Q4382" i="3"/>
  <c r="Q4380" i="3"/>
  <c r="Q4376" i="3"/>
  <c r="Q4373" i="3"/>
  <c r="Q4369" i="3"/>
  <c r="Q4361" i="3"/>
  <c r="Q4375" i="3"/>
  <c r="Q4372" i="3"/>
  <c r="Q4366" i="3"/>
  <c r="Q4362" i="3"/>
  <c r="Q4359" i="3"/>
  <c r="Q4383" i="3"/>
  <c r="Q4381" i="3"/>
  <c r="Q4378" i="3"/>
  <c r="Q4377" i="3"/>
  <c r="Q4371" i="3"/>
  <c r="Q4370" i="3"/>
  <c r="Q4365" i="3"/>
  <c r="Q4379" i="3"/>
  <c r="Q4374" i="3"/>
  <c r="Q4368" i="3"/>
  <c r="Q4367" i="3"/>
  <c r="Q4364" i="3"/>
  <c r="Q4363" i="3"/>
  <c r="Q4360" i="3"/>
  <c r="I4360" i="3"/>
  <c r="J4360" i="3" s="1"/>
  <c r="J4359" i="3"/>
  <c r="Q4356" i="3"/>
  <c r="Q4354" i="3"/>
  <c r="Q4351" i="3"/>
  <c r="Q4347" i="3"/>
  <c r="Q4298" i="3"/>
  <c r="Q4302" i="3"/>
  <c r="Q4297" i="3"/>
  <c r="Q4325" i="3"/>
  <c r="Q4296" i="3"/>
  <c r="Q4301" i="3"/>
  <c r="Q4295" i="3"/>
  <c r="Q4346" i="3"/>
  <c r="Q4336" i="3"/>
  <c r="Q4334" i="3"/>
  <c r="Q4333" i="3"/>
  <c r="Q4332" i="3"/>
  <c r="Q4330" i="3"/>
  <c r="Q4321" i="3"/>
  <c r="Q4320" i="3"/>
  <c r="Q4318" i="3"/>
  <c r="Q4294" i="3"/>
  <c r="Q4350" i="3"/>
  <c r="Q4344" i="3"/>
  <c r="Q4342" i="3"/>
  <c r="Q4339" i="3"/>
  <c r="Q4327" i="3"/>
  <c r="Q4326" i="3"/>
  <c r="Q4323" i="3"/>
  <c r="Q4316" i="3"/>
  <c r="Q4337" i="3"/>
  <c r="Q4335" i="3"/>
  <c r="Q4331" i="3"/>
  <c r="Q4309" i="3"/>
  <c r="Q4307" i="3"/>
  <c r="Q4306" i="3"/>
  <c r="Q4304" i="3"/>
  <c r="Q4303" i="3"/>
  <c r="Q4345" i="3"/>
  <c r="Q4329" i="3"/>
  <c r="Q4319" i="3"/>
  <c r="Q4315" i="3"/>
  <c r="Q4314" i="3"/>
  <c r="Q4305" i="3"/>
  <c r="Q4343" i="3"/>
  <c r="Q4338" i="3"/>
  <c r="Q4317" i="3"/>
  <c r="Q4313" i="3"/>
  <c r="Q4311" i="3"/>
  <c r="Q4310" i="3"/>
  <c r="Q4349" i="3"/>
  <c r="Q4341" i="3"/>
  <c r="Q4340" i="3"/>
  <c r="Q4328" i="3"/>
  <c r="Q4324" i="3"/>
  <c r="Q4322" i="3"/>
  <c r="Q4312" i="3"/>
  <c r="Q4308" i="3"/>
  <c r="I4300" i="3"/>
  <c r="J4300" i="3" s="1"/>
  <c r="J4299" i="3"/>
  <c r="J4298" i="3"/>
  <c r="I4297" i="3"/>
  <c r="J4297" i="3" s="1"/>
  <c r="Q426" i="3" l="1"/>
  <c r="Q422" i="3"/>
  <c r="Q420" i="3"/>
  <c r="Q416" i="3"/>
  <c r="Q407" i="3"/>
  <c r="Q392" i="3"/>
  <c r="Q412" i="3"/>
  <c r="Q424" i="3"/>
  <c r="Q418" i="3"/>
  <c r="Q405" i="3"/>
  <c r="Q368" i="3"/>
  <c r="Q379" i="3"/>
  <c r="Q366" i="3"/>
  <c r="Q413" i="3"/>
  <c r="Q419" i="3"/>
  <c r="Q425" i="3"/>
  <c r="Q402" i="3"/>
  <c r="Q401" i="3"/>
  <c r="Q396" i="3"/>
  <c r="Q386" i="3"/>
  <c r="Q373" i="3"/>
  <c r="Q395" i="3"/>
  <c r="Q411" i="3"/>
  <c r="Q390" i="3"/>
  <c r="Q376" i="3"/>
  <c r="Q371" i="3"/>
  <c r="Q410" i="3"/>
  <c r="Q415" i="3"/>
  <c r="Q409" i="3"/>
  <c r="Q400" i="3"/>
  <c r="Q414" i="3"/>
  <c r="Q391" i="3"/>
  <c r="Q388" i="3"/>
  <c r="Q374" i="3"/>
  <c r="Q372" i="3"/>
  <c r="Q389" i="3"/>
  <c r="Q378" i="3"/>
  <c r="Q377" i="3"/>
  <c r="Q375" i="3"/>
  <c r="Q365" i="3"/>
  <c r="Q403" i="3"/>
  <c r="Q383" i="3"/>
  <c r="Q380" i="3"/>
  <c r="Q369" i="3"/>
  <c r="Q367" i="3"/>
  <c r="Q430" i="3"/>
  <c r="Q398" i="3"/>
  <c r="Q384" i="3"/>
  <c r="Q381" i="3"/>
  <c r="Q370" i="3"/>
  <c r="Q397" i="3"/>
  <c r="Q429" i="3"/>
  <c r="Q404" i="3"/>
  <c r="Q399" i="3"/>
  <c r="Q394" i="3"/>
  <c r="Q387" i="3"/>
  <c r="Q385" i="3"/>
  <c r="Q382" i="3"/>
  <c r="Q363" i="3"/>
  <c r="Q406" i="3"/>
  <c r="Q364" i="3"/>
  <c r="Q359" i="3"/>
  <c r="Q353" i="3"/>
  <c r="Q340" i="3"/>
  <c r="Q339" i="3"/>
  <c r="Q337" i="3"/>
  <c r="Q335" i="3"/>
  <c r="Q332" i="3"/>
  <c r="Q323" i="3"/>
  <c r="Q321" i="3"/>
  <c r="Q310" i="3"/>
  <c r="Q308" i="3"/>
  <c r="Q351" i="3"/>
  <c r="Q350" i="3"/>
  <c r="Q341" i="3"/>
  <c r="Q338" i="3"/>
  <c r="Q336" i="3"/>
  <c r="Q355" i="3"/>
  <c r="Q352" i="3"/>
  <c r="Q342" i="3"/>
  <c r="Q324" i="3"/>
  <c r="Q316" i="3"/>
  <c r="Q315" i="3"/>
  <c r="Q358" i="3"/>
  <c r="Q349" i="3"/>
  <c r="Q346" i="3"/>
  <c r="Q344" i="3"/>
  <c r="Q329" i="3"/>
  <c r="Q326" i="3"/>
  <c r="Q319" i="3"/>
  <c r="Q311" i="3"/>
  <c r="Q362" i="3"/>
  <c r="Q348" i="3"/>
  <c r="Q345" i="3"/>
  <c r="Q333" i="3"/>
  <c r="Q330" i="3"/>
  <c r="Q328" i="3"/>
  <c r="Q322" i="3"/>
  <c r="Q361" i="3"/>
  <c r="Q357" i="3"/>
  <c r="Q347" i="3"/>
  <c r="Q334" i="3"/>
  <c r="Q331" i="3"/>
  <c r="Q320" i="3"/>
  <c r="Q314" i="3"/>
  <c r="Q309" i="3"/>
  <c r="Q307" i="3"/>
  <c r="Q356" i="3"/>
  <c r="Q343" i="3"/>
  <c r="Q327" i="3"/>
  <c r="Q325" i="3"/>
  <c r="Q318" i="3"/>
  <c r="Q317" i="3"/>
  <c r="Q313" i="3"/>
  <c r="Q312" i="3"/>
  <c r="Q305" i="3"/>
  <c r="Q301" i="3"/>
  <c r="Q276" i="3"/>
  <c r="Q299" i="3"/>
  <c r="Q304" i="3"/>
  <c r="Q275" i="3"/>
  <c r="Q271" i="3"/>
  <c r="Q251" i="3"/>
  <c r="Q270" i="3"/>
  <c r="Q303" i="3"/>
  <c r="Q298" i="3"/>
  <c r="Q274" i="3"/>
  <c r="Q295" i="3"/>
  <c r="Q269" i="3"/>
  <c r="Q258" i="3"/>
  <c r="Q256" i="3"/>
  <c r="Q254" i="3"/>
  <c r="Q240" i="3"/>
  <c r="Q294" i="3"/>
  <c r="Q297" i="3"/>
  <c r="Q286" i="3"/>
  <c r="Q260" i="3"/>
  <c r="Q246" i="3"/>
  <c r="Q242" i="3"/>
  <c r="Q285" i="3"/>
  <c r="Q273" i="3"/>
  <c r="Q264" i="3"/>
  <c r="Q259" i="3"/>
  <c r="Q245" i="3"/>
  <c r="Q272" i="3"/>
  <c r="Q296" i="3"/>
  <c r="Q252" i="3"/>
  <c r="Q288" i="3"/>
  <c r="Q263" i="3"/>
  <c r="Q261" i="3"/>
  <c r="Q249" i="3"/>
  <c r="Q247" i="3"/>
  <c r="Q282" i="3"/>
  <c r="Q280" i="3"/>
  <c r="Q266" i="3"/>
  <c r="Q265" i="3"/>
  <c r="Q262" i="3"/>
  <c r="Q250" i="3"/>
  <c r="Q248" i="3"/>
  <c r="Q281" i="3"/>
  <c r="Q293" i="3"/>
  <c r="Q289" i="3"/>
  <c r="Q279" i="3"/>
  <c r="Q268" i="3"/>
  <c r="Q253" i="3"/>
  <c r="Q241" i="3"/>
  <c r="Q292" i="3"/>
  <c r="Q278" i="3"/>
  <c r="Q290" i="3"/>
  <c r="Q287" i="3"/>
  <c r="Q284" i="3"/>
  <c r="Q267" i="3"/>
  <c r="Q257" i="3"/>
  <c r="Q255" i="3"/>
  <c r="Q244" i="3"/>
  <c r="Q243" i="3"/>
  <c r="Q283" i="3"/>
  <c r="Q291" i="3"/>
  <c r="Q238" i="3"/>
  <c r="Q234" i="3"/>
  <c r="Q230" i="3"/>
  <c r="Q184" i="3"/>
  <c r="Q182" i="3"/>
  <c r="J182" i="3"/>
  <c r="Q181" i="3"/>
  <c r="J181" i="3"/>
  <c r="Q232" i="3"/>
  <c r="Q229" i="3"/>
  <c r="Q228" i="3"/>
  <c r="Q226" i="3"/>
  <c r="Q225" i="3"/>
  <c r="Q223" i="3"/>
  <c r="Q213" i="3"/>
  <c r="Q210" i="3"/>
  <c r="Q207" i="3"/>
  <c r="Q233" i="3"/>
  <c r="Q227" i="3"/>
  <c r="Q224" i="3"/>
  <c r="Q211" i="3"/>
  <c r="Q208" i="3"/>
  <c r="Q206" i="3"/>
  <c r="Q198" i="3"/>
  <c r="Q196" i="3"/>
  <c r="Q212" i="3"/>
  <c r="Q209" i="3"/>
  <c r="Q199" i="3"/>
  <c r="Q197" i="3"/>
  <c r="Q185" i="3"/>
  <c r="Q221" i="3"/>
  <c r="Q219" i="3"/>
  <c r="Q216" i="3"/>
  <c r="Q205" i="3"/>
  <c r="Q201" i="3"/>
  <c r="Q192" i="3"/>
  <c r="Q190" i="3"/>
  <c r="Q186" i="3"/>
  <c r="Q222" i="3"/>
  <c r="Q217" i="3"/>
  <c r="Q214" i="3"/>
  <c r="Q203" i="3"/>
  <c r="Q189" i="3"/>
  <c r="Q187" i="3"/>
  <c r="Q237" i="3"/>
  <c r="Q220" i="3"/>
  <c r="Q218" i="3"/>
  <c r="Q204" i="3"/>
  <c r="Q202" i="3"/>
  <c r="Q195" i="3"/>
  <c r="Q191" i="3"/>
  <c r="Q236" i="3"/>
  <c r="Q215" i="3"/>
  <c r="Q200" i="3"/>
  <c r="Q194" i="3"/>
  <c r="Q193" i="3"/>
  <c r="Q188" i="3"/>
  <c r="Q183" i="3"/>
  <c r="I183" i="3"/>
  <c r="J183" i="3" s="1"/>
  <c r="Q180" i="3"/>
  <c r="Q177" i="3"/>
  <c r="Q172" i="3"/>
  <c r="Q171" i="3"/>
  <c r="Q170" i="3"/>
  <c r="Q167" i="3"/>
  <c r="Q179" i="3"/>
  <c r="Q178" i="3"/>
  <c r="Q176" i="3"/>
  <c r="Q175" i="3"/>
  <c r="Q174" i="3"/>
  <c r="Q173" i="3"/>
  <c r="Q169" i="3"/>
  <c r="Q168" i="3"/>
  <c r="Q166" i="3"/>
  <c r="Q161" i="3"/>
  <c r="Q156" i="3"/>
  <c r="Q155" i="3"/>
  <c r="Q154" i="3"/>
  <c r="Q153" i="3"/>
  <c r="J156" i="3"/>
  <c r="J155" i="3"/>
  <c r="J154" i="3"/>
  <c r="J153" i="3"/>
  <c r="Q165" i="3"/>
  <c r="Q164" i="3"/>
  <c r="Q163" i="3"/>
  <c r="Q162" i="3"/>
  <c r="Q160" i="3"/>
  <c r="Q159" i="3"/>
  <c r="Q158" i="3"/>
  <c r="Q157" i="3"/>
  <c r="I157" i="3"/>
  <c r="J157" i="3" s="1"/>
  <c r="Q141" i="3"/>
  <c r="Q136" i="3"/>
  <c r="Q133" i="3"/>
  <c r="Q129" i="3"/>
  <c r="Q144" i="3"/>
  <c r="Q140" i="3"/>
  <c r="Q132" i="3"/>
  <c r="Q126" i="3"/>
  <c r="Q89" i="3"/>
  <c r="Q139" i="3"/>
  <c r="Q125" i="3"/>
  <c r="Q131" i="3"/>
  <c r="Q128" i="3"/>
  <c r="Q124" i="3"/>
  <c r="Q111" i="3"/>
  <c r="Q109" i="3"/>
  <c r="Q106" i="3"/>
  <c r="Q96" i="3"/>
  <c r="Q127" i="3"/>
  <c r="Q115" i="3"/>
  <c r="Q113" i="3"/>
  <c r="Q112" i="3"/>
  <c r="Q110" i="3"/>
  <c r="Q97" i="3"/>
  <c r="Q117" i="3"/>
  <c r="Q102" i="3"/>
  <c r="Q91" i="3"/>
  <c r="Q84" i="3"/>
  <c r="J84" i="3"/>
  <c r="Q120" i="3"/>
  <c r="Q118" i="3"/>
  <c r="Q114" i="3"/>
  <c r="Q104" i="3"/>
  <c r="Q103" i="3"/>
  <c r="Q100" i="3"/>
  <c r="Q99" i="3"/>
  <c r="Q92" i="3"/>
  <c r="Q143" i="3"/>
  <c r="Q121" i="3"/>
  <c r="Q116" i="3"/>
  <c r="Q101" i="3"/>
  <c r="Q87" i="3"/>
  <c r="Q135" i="3"/>
  <c r="Q122" i="3"/>
  <c r="Q119" i="3"/>
  <c r="Q107" i="3"/>
  <c r="Q93" i="3"/>
  <c r="Q88" i="3"/>
  <c r="Q138" i="3"/>
  <c r="Q123" i="3"/>
  <c r="Q108" i="3"/>
  <c r="Q105" i="3"/>
  <c r="Q98" i="3"/>
  <c r="Q95" i="3"/>
  <c r="Q90" i="3"/>
  <c r="Q86" i="3"/>
  <c r="Q94" i="3"/>
  <c r="Q85" i="3"/>
  <c r="I85" i="3"/>
  <c r="J85" i="3" s="1"/>
  <c r="Q82" i="3"/>
  <c r="Q78" i="3"/>
  <c r="Q65" i="3"/>
  <c r="Q51" i="3"/>
  <c r="Q16" i="3"/>
  <c r="J16" i="3"/>
  <c r="Q81" i="3"/>
  <c r="Q77" i="3"/>
  <c r="Q72" i="3"/>
  <c r="Q63" i="3"/>
  <c r="Q49" i="3"/>
  <c r="Q29" i="3"/>
  <c r="Q21" i="3"/>
  <c r="Q19" i="3"/>
  <c r="Q71" i="3"/>
  <c r="Q76" i="3"/>
  <c r="Q48" i="3"/>
  <c r="Q80" i="3"/>
  <c r="Q62" i="3"/>
  <c r="Q45" i="3"/>
  <c r="Q34" i="3"/>
  <c r="Q32" i="3"/>
  <c r="Q30" i="3"/>
  <c r="Q61" i="3"/>
  <c r="Q36" i="3"/>
  <c r="Q26" i="3"/>
  <c r="Q24" i="3"/>
  <c r="Q50" i="3"/>
  <c r="Q41" i="3"/>
  <c r="Q37" i="3"/>
  <c r="Q25" i="3"/>
  <c r="Q74" i="3"/>
  <c r="Q68" i="3"/>
  <c r="Q40" i="3"/>
  <c r="Q38" i="3"/>
  <c r="Q35" i="3"/>
  <c r="Q28" i="3"/>
  <c r="Q27" i="3"/>
  <c r="Q18" i="3"/>
  <c r="Q73" i="3"/>
  <c r="Q67" i="3"/>
  <c r="Q57" i="3"/>
  <c r="Q54" i="3"/>
  <c r="Q42" i="3"/>
  <c r="Q39" i="3"/>
  <c r="Q53" i="3"/>
  <c r="Q70" i="3"/>
  <c r="Q59" i="3"/>
  <c r="Q56" i="3"/>
  <c r="Q31" i="3"/>
  <c r="Q58" i="3"/>
  <c r="Q69" i="3"/>
  <c r="Q55" i="3"/>
  <c r="Q75" i="3"/>
  <c r="Q64" i="3"/>
  <c r="Q60" i="3"/>
  <c r="Q47" i="3"/>
  <c r="Q43" i="3"/>
  <c r="Q33" i="3"/>
  <c r="Q23" i="3"/>
  <c r="Q20" i="3"/>
  <c r="Q46" i="3"/>
  <c r="Q44" i="3"/>
  <c r="Q22" i="3"/>
  <c r="Q17" i="3"/>
  <c r="I17" i="3"/>
  <c r="J17" i="3" s="1"/>
  <c r="Q15" i="3"/>
  <c r="Q14" i="3"/>
  <c r="Q12" i="3"/>
  <c r="Q10" i="3"/>
  <c r="Q4" i="3"/>
  <c r="Q3" i="3"/>
  <c r="Q13" i="3"/>
  <c r="Q11" i="3"/>
  <c r="Q9" i="3"/>
  <c r="Q8" i="3"/>
  <c r="Q7" i="3"/>
  <c r="Q6" i="3"/>
  <c r="Q5" i="3"/>
  <c r="Q2" i="3"/>
  <c r="I2" i="3"/>
  <c r="J2" i="3" s="1"/>
  <c r="Q2774" i="3"/>
  <c r="Q2773" i="3"/>
  <c r="Q2772" i="3"/>
  <c r="Q2771" i="3"/>
  <c r="Q2760" i="3"/>
  <c r="Q2758" i="3"/>
  <c r="Q2746" i="3"/>
  <c r="Q2359" i="3"/>
  <c r="Q2358" i="3"/>
  <c r="Q2321" i="3"/>
  <c r="Q2355" i="3"/>
  <c r="Q2340" i="3"/>
  <c r="Q2336" i="3"/>
  <c r="Q2334" i="3"/>
  <c r="Q2324" i="3"/>
  <c r="Q2322" i="3"/>
  <c r="Q2320" i="3"/>
  <c r="Q2314" i="3"/>
  <c r="Q2304" i="3"/>
  <c r="Q2354" i="3"/>
  <c r="Q2353" i="3"/>
  <c r="Q2351" i="3"/>
  <c r="Q2332" i="3"/>
  <c r="Q2329" i="3"/>
  <c r="Q2352" i="3"/>
  <c r="Q2338" i="3"/>
  <c r="Q2337" i="3"/>
  <c r="Q2335" i="3"/>
  <c r="Q2323" i="3"/>
  <c r="Q2341" i="3"/>
  <c r="Q2339" i="3"/>
  <c r="Q2313" i="3"/>
  <c r="Q2305" i="3"/>
  <c r="Q2303" i="3"/>
  <c r="Q2310" i="3"/>
  <c r="Q2349" i="3"/>
  <c r="Q2346" i="3"/>
  <c r="Q2343" i="3"/>
  <c r="Q2328" i="3"/>
  <c r="Q2318" i="3"/>
  <c r="Q2315" i="3"/>
  <c r="Q2311" i="3"/>
  <c r="Q2307" i="3"/>
  <c r="Q2306" i="3"/>
  <c r="Q2350" i="3"/>
  <c r="Q2347" i="3"/>
  <c r="Q2344" i="3"/>
  <c r="Q2331" i="3"/>
  <c r="Q2326" i="3"/>
  <c r="Q2325" i="3"/>
  <c r="Q2357" i="3"/>
  <c r="Q2348" i="3"/>
  <c r="Q2333" i="3"/>
  <c r="Q2330" i="3"/>
  <c r="Q2327" i="3"/>
  <c r="Q2319" i="3"/>
  <c r="Q2317" i="3"/>
  <c r="Q2312" i="3"/>
  <c r="Q2356" i="3"/>
  <c r="Q2345" i="3"/>
  <c r="Q2342" i="3"/>
  <c r="Q2316" i="3"/>
  <c r="Q2309" i="3"/>
  <c r="Q2308" i="3"/>
  <c r="Q2302" i="3"/>
  <c r="Q2301" i="3"/>
  <c r="Q2299" i="3"/>
  <c r="Q2298" i="3"/>
  <c r="Q2296" i="3"/>
  <c r="Q2295" i="3"/>
  <c r="Q2300" i="3"/>
  <c r="Q2297" i="3"/>
  <c r="Q2294" i="3"/>
  <c r="Q2293" i="3"/>
  <c r="Q2292" i="3"/>
  <c r="Q2291" i="3"/>
  <c r="Q2290" i="3"/>
  <c r="Q2289" i="3"/>
  <c r="Q2288" i="3"/>
  <c r="Q2287" i="3"/>
  <c r="Q2286" i="3"/>
  <c r="Q2285" i="3"/>
  <c r="Q2282" i="3"/>
  <c r="Q2278" i="3"/>
  <c r="Q2284" i="3"/>
  <c r="Q2283" i="3"/>
  <c r="Q2281" i="3"/>
  <c r="Q2280" i="3"/>
  <c r="Q2279" i="3"/>
  <c r="Q2277" i="3"/>
  <c r="Q2276" i="3"/>
  <c r="Q2275" i="3"/>
  <c r="Q2273" i="3"/>
  <c r="Q2267" i="3"/>
  <c r="Q2264" i="3"/>
  <c r="Q2256" i="3"/>
  <c r="Q2247" i="3"/>
  <c r="Q2243" i="3"/>
  <c r="Q2241" i="3"/>
  <c r="Q2227" i="3"/>
  <c r="Q2224" i="3"/>
  <c r="Q2274" i="3"/>
  <c r="Q2266" i="3"/>
  <c r="Q2265" i="3"/>
  <c r="Q2263" i="3"/>
  <c r="Q2257" i="3"/>
  <c r="Q2244" i="3"/>
  <c r="Q2225" i="3"/>
  <c r="Q2245" i="3"/>
  <c r="Q2242" i="3"/>
  <c r="Q2240" i="3"/>
  <c r="Q2229" i="3"/>
  <c r="Q2226" i="3"/>
  <c r="Q2223" i="3"/>
  <c r="I2222" i="3"/>
  <c r="J2222" i="3" s="1"/>
  <c r="Q2222" i="3"/>
  <c r="Q2221" i="3"/>
  <c r="J2221" i="3"/>
  <c r="Q2271" i="3"/>
  <c r="Q2270" i="3"/>
  <c r="Q2262" i="3"/>
  <c r="Q2260" i="3"/>
  <c r="Q2248" i="3"/>
  <c r="Q2246" i="3"/>
  <c r="Q2237" i="3"/>
  <c r="Q2234" i="3"/>
  <c r="Q2231" i="3"/>
  <c r="Q2228" i="3"/>
  <c r="Q2268" i="3"/>
  <c r="Q2254" i="3"/>
  <c r="Q2251" i="3"/>
  <c r="Q2249" i="3"/>
  <c r="Q2235" i="3"/>
  <c r="Q2232" i="3"/>
  <c r="Q2269" i="3"/>
  <c r="Q2261" i="3"/>
  <c r="Q2258" i="3"/>
  <c r="Q2255" i="3"/>
  <c r="Q2253" i="3"/>
  <c r="Q2239" i="3"/>
  <c r="Q2236" i="3"/>
  <c r="Q2230" i="3"/>
  <c r="Q2272" i="3"/>
  <c r="Q2259" i="3"/>
  <c r="Q2252" i="3"/>
  <c r="Q2250" i="3"/>
  <c r="Q2238" i="3"/>
  <c r="Q2233" i="3"/>
  <c r="Q2219" i="3"/>
  <c r="Q2216" i="3"/>
  <c r="Q2215" i="3"/>
  <c r="Q2196" i="3"/>
  <c r="Q2211" i="3"/>
  <c r="I2211" i="3"/>
  <c r="J2211" i="3" s="1"/>
  <c r="Q2155" i="3"/>
  <c r="I2155" i="3"/>
  <c r="J2155" i="3" s="1"/>
  <c r="Q2208" i="3"/>
  <c r="Q2214" i="3"/>
  <c r="Q2194" i="3"/>
  <c r="Q2184" i="3"/>
  <c r="Q2180" i="3"/>
  <c r="Q2172" i="3"/>
  <c r="Q2169" i="3"/>
  <c r="I2208" i="3"/>
  <c r="J2208" i="3" s="1"/>
  <c r="Q2207" i="3"/>
  <c r="J2207" i="3"/>
  <c r="Q2193" i="3"/>
  <c r="Q2199" i="3"/>
  <c r="Q2185" i="3"/>
  <c r="Q2183" i="3"/>
  <c r="Q2174" i="3"/>
  <c r="Q2170" i="3"/>
  <c r="I2199" i="3"/>
  <c r="J2199" i="3" s="1"/>
  <c r="Q2198" i="3"/>
  <c r="J2198" i="3"/>
  <c r="Q2192" i="3"/>
  <c r="Q2182" i="3"/>
  <c r="Q2178" i="3"/>
  <c r="Q2175" i="3"/>
  <c r="Q2168" i="3"/>
  <c r="Q2213" i="3"/>
  <c r="Q2210" i="3"/>
  <c r="J2210" i="3"/>
  <c r="Q2191" i="3"/>
  <c r="Q2166" i="3"/>
  <c r="I2153" i="3"/>
  <c r="J2153" i="3" s="1"/>
  <c r="Q2203" i="3"/>
  <c r="Q2152" i="3"/>
  <c r="J2152" i="3"/>
  <c r="Q2201" i="3"/>
  <c r="Q2190" i="3"/>
  <c r="Q2179" i="3"/>
  <c r="Q2167" i="3"/>
  <c r="Q2200" i="3"/>
  <c r="Q2154" i="3"/>
  <c r="J2154" i="3"/>
  <c r="Q2151" i="3"/>
  <c r="J2151" i="3"/>
  <c r="Q2189" i="3"/>
  <c r="Q2206" i="3"/>
  <c r="Q2188" i="3"/>
  <c r="Q2173" i="3"/>
  <c r="Q2171" i="3"/>
  <c r="Q2209" i="3"/>
  <c r="Q2205" i="3"/>
  <c r="Q2186" i="3"/>
  <c r="Q2164" i="3"/>
  <c r="Q2162" i="3"/>
  <c r="I2209" i="3"/>
  <c r="J2209" i="3" s="1"/>
  <c r="Q2202" i="3"/>
  <c r="Q2187" i="3"/>
  <c r="Q2176" i="3"/>
  <c r="Q2163" i="3"/>
  <c r="Q2159" i="3"/>
  <c r="Q2177" i="3"/>
  <c r="Q2165" i="3"/>
  <c r="Q2161" i="3"/>
  <c r="Q2160" i="3"/>
  <c r="Q2158" i="3"/>
  <c r="Q2157" i="3"/>
  <c r="Q2150" i="3"/>
  <c r="Q2148" i="3"/>
  <c r="Q2146" i="3"/>
  <c r="Q2145" i="3"/>
  <c r="Q2142" i="3"/>
  <c r="Q2138" i="3"/>
  <c r="Q2149" i="3"/>
  <c r="Q2147" i="3"/>
  <c r="Q2144" i="3"/>
  <c r="Q2143" i="3"/>
  <c r="Q2141" i="3"/>
  <c r="Q2140" i="3"/>
  <c r="Q2139" i="3"/>
  <c r="Q2137" i="3"/>
  <c r="Q2134" i="3"/>
  <c r="Q2133" i="3"/>
  <c r="Q2132" i="3"/>
  <c r="Q2125" i="3"/>
  <c r="Q2123" i="3"/>
  <c r="Q2100" i="3"/>
  <c r="Q2097" i="3"/>
  <c r="Q2089" i="3"/>
  <c r="Q2088" i="3"/>
  <c r="Q2085" i="3"/>
  <c r="Q2131" i="3"/>
  <c r="Q2124" i="3"/>
  <c r="Q2114" i="3"/>
  <c r="Q2111" i="3"/>
  <c r="Q2103" i="3"/>
  <c r="Q2102" i="3"/>
  <c r="Q2099" i="3"/>
  <c r="Q2093" i="3"/>
  <c r="Q2090" i="3"/>
  <c r="Q2087" i="3"/>
  <c r="Q2115" i="3"/>
  <c r="Q2113" i="3"/>
  <c r="Q2101" i="3"/>
  <c r="Q2098" i="3"/>
  <c r="Q2092" i="3"/>
  <c r="Q2129" i="3"/>
  <c r="Q2128" i="3"/>
  <c r="Q2122" i="3"/>
  <c r="Q2110" i="3"/>
  <c r="Q2105" i="3"/>
  <c r="Q2086" i="3"/>
  <c r="Q2077" i="3"/>
  <c r="Q2127" i="3"/>
  <c r="Q2126" i="3"/>
  <c r="Q2117" i="3"/>
  <c r="Q2106" i="3"/>
  <c r="Q2104" i="3"/>
  <c r="Q2095" i="3"/>
  <c r="Q2084" i="3"/>
  <c r="Q2081" i="3"/>
  <c r="Q2130" i="3"/>
  <c r="Q2120" i="3"/>
  <c r="Q2118" i="3"/>
  <c r="Q2116" i="3"/>
  <c r="Q2108" i="3"/>
  <c r="Q2091" i="3"/>
  <c r="Q2083" i="3"/>
  <c r="Q2080" i="3"/>
  <c r="Q2078" i="3"/>
  <c r="Q2121" i="3"/>
  <c r="Q2119" i="3"/>
  <c r="Q2112" i="3"/>
  <c r="Q2109" i="3"/>
  <c r="Q2107" i="3"/>
  <c r="Q2096" i="3"/>
  <c r="Q2094" i="3"/>
  <c r="Q2082" i="3"/>
  <c r="Q2079" i="3"/>
  <c r="Q2076" i="3"/>
  <c r="Q2073" i="3"/>
  <c r="Q2072" i="3"/>
  <c r="Q2069" i="3"/>
  <c r="Q2068" i="3"/>
  <c r="Q2066" i="3"/>
  <c r="Q2075" i="3"/>
  <c r="Q2074" i="3"/>
  <c r="Q2071" i="3"/>
  <c r="Q2070" i="3"/>
  <c r="Q2067" i="3"/>
  <c r="Q2065" i="3"/>
  <c r="Q2064" i="3"/>
  <c r="Q2063" i="3"/>
  <c r="Q2058" i="3"/>
  <c r="Q2038" i="3"/>
  <c r="Q2035" i="3"/>
  <c r="Q2033" i="3"/>
  <c r="Q2021" i="3"/>
  <c r="Q2019" i="3"/>
  <c r="Q2011" i="3"/>
  <c r="I2008" i="3"/>
  <c r="J2008" i="3" s="1"/>
  <c r="Q2008" i="3"/>
  <c r="Q2061" i="3"/>
  <c r="Q2056" i="3"/>
  <c r="Q2028" i="3"/>
  <c r="Q2009" i="3"/>
  <c r="J2028" i="3"/>
  <c r="J2009" i="3"/>
  <c r="Q2027" i="3"/>
  <c r="Q2060" i="3"/>
  <c r="Q2057" i="3"/>
  <c r="Q2053" i="3"/>
  <c r="Q2062" i="3"/>
  <c r="Q2049" i="3"/>
  <c r="Q2045" i="3"/>
  <c r="Q2042" i="3"/>
  <c r="Q2024" i="3"/>
  <c r="Q2050" i="3"/>
  <c r="Q2032" i="3"/>
  <c r="Q2031" i="3"/>
  <c r="Q2018" i="3"/>
  <c r="Q2016" i="3"/>
  <c r="Q2048" i="3"/>
  <c r="Q2044" i="3"/>
  <c r="Q2030" i="3"/>
  <c r="Q2026" i="3"/>
  <c r="Q2017" i="3"/>
  <c r="Q2015" i="3"/>
  <c r="Q2012" i="3"/>
  <c r="Q2052" i="3"/>
  <c r="Q2051" i="3"/>
  <c r="Q2039" i="3"/>
  <c r="Q2036" i="3"/>
  <c r="Q2020" i="3"/>
  <c r="Q2013" i="3"/>
  <c r="Q2040" i="3"/>
  <c r="Q2037" i="3"/>
  <c r="Q2034" i="3"/>
  <c r="Q2022" i="3"/>
  <c r="Q2010" i="3"/>
  <c r="I2010" i="3"/>
  <c r="J2010" i="3" s="1"/>
  <c r="Q2047" i="3"/>
  <c r="Q2041" i="3"/>
  <c r="Q2029" i="3"/>
  <c r="Q2025" i="3"/>
  <c r="Q2023" i="3"/>
  <c r="Q2014" i="3"/>
  <c r="I2029" i="3"/>
  <c r="J2029" i="3" s="1"/>
  <c r="Q2729" i="3"/>
  <c r="Q2715" i="3"/>
  <c r="Q2707" i="3"/>
  <c r="Q2704" i="3"/>
  <c r="Q2702" i="3"/>
  <c r="Q2696" i="3"/>
  <c r="Q2694" i="3"/>
  <c r="Q2693" i="3"/>
  <c r="Q2732" i="3"/>
  <c r="Q2719" i="3"/>
  <c r="Q2711" i="3"/>
  <c r="Q2698" i="3"/>
  <c r="Q2741" i="3"/>
  <c r="Q2738" i="3"/>
  <c r="Q2737" i="3"/>
  <c r="Q2731" i="3"/>
  <c r="Q2728" i="3"/>
  <c r="Q2703" i="3"/>
  <c r="Q2695" i="3"/>
  <c r="Q2692" i="3"/>
  <c r="Q2742" i="3"/>
  <c r="Q2735" i="3"/>
  <c r="Q2726" i="3"/>
  <c r="Q2725" i="3"/>
  <c r="Q2721" i="3"/>
  <c r="Q2713" i="3"/>
  <c r="Q2708" i="3"/>
  <c r="Q2699" i="3"/>
  <c r="Q2739" i="3"/>
  <c r="Q2734" i="3"/>
  <c r="Q2733" i="3"/>
  <c r="Q2723" i="3"/>
  <c r="Q2720" i="3"/>
  <c r="Q2717" i="3"/>
  <c r="Q2710" i="3"/>
  <c r="Q2701" i="3"/>
  <c r="Q2690" i="3"/>
  <c r="Q2689" i="3"/>
  <c r="Q2659" i="3"/>
  <c r="Q2658" i="3"/>
  <c r="Q2657" i="3"/>
  <c r="J2690" i="3"/>
  <c r="J2659" i="3"/>
  <c r="J2658" i="3"/>
  <c r="J2657" i="3"/>
  <c r="Q2688" i="3"/>
  <c r="Q2687" i="3"/>
  <c r="Q2686" i="3"/>
  <c r="Q2678" i="3"/>
  <c r="Q2674" i="3"/>
  <c r="Q2671" i="3"/>
  <c r="Q2664" i="3"/>
  <c r="Q2660" i="3"/>
  <c r="J2660" i="3"/>
  <c r="Q2001" i="3"/>
  <c r="Q2002" i="3"/>
  <c r="Q2003" i="3"/>
  <c r="Q2004" i="3"/>
  <c r="Q2005" i="3"/>
  <c r="Q2006" i="3"/>
  <c r="Q2007" i="3"/>
  <c r="Q2000" i="3"/>
  <c r="J2001" i="3"/>
  <c r="J2002" i="3"/>
  <c r="J2003" i="3"/>
  <c r="J2004" i="3"/>
  <c r="J2005" i="3"/>
  <c r="J2006" i="3"/>
  <c r="I2007" i="3"/>
  <c r="J2007" i="3" s="1"/>
  <c r="J2000" i="3"/>
  <c r="Q1998" i="3"/>
  <c r="Q1993" i="3"/>
  <c r="Q1988" i="3"/>
  <c r="Q1984" i="3"/>
  <c r="Q1983" i="3"/>
  <c r="Q1942" i="3"/>
  <c r="I1942" i="3"/>
  <c r="J1942" i="3" s="1"/>
  <c r="Q1941" i="3"/>
  <c r="I1941" i="3"/>
  <c r="J1941" i="3" s="1"/>
  <c r="Q1991" i="3"/>
  <c r="Q1982" i="3"/>
  <c r="Q1980" i="3"/>
  <c r="Q1971" i="3"/>
  <c r="Q1968" i="3"/>
  <c r="Q1967" i="3"/>
  <c r="Q1953" i="3"/>
  <c r="Q1992" i="3"/>
  <c r="Q1981" i="3"/>
  <c r="Q1969" i="3"/>
  <c r="Q1952" i="3"/>
  <c r="Q1947" i="3"/>
  <c r="Q1945" i="3"/>
  <c r="I1945" i="3"/>
  <c r="J1945" i="3" s="1"/>
  <c r="Q1972" i="3"/>
  <c r="Q1970" i="3"/>
  <c r="Q1956" i="3"/>
  <c r="Q1954" i="3"/>
  <c r="Q1940" i="3"/>
  <c r="J1940" i="3"/>
  <c r="Q1944" i="3"/>
  <c r="Q1943" i="3"/>
  <c r="J1944" i="3"/>
  <c r="J1943" i="3"/>
  <c r="Q1990" i="3"/>
  <c r="Q1979" i="3"/>
  <c r="Q1976" i="3"/>
  <c r="Q1965" i="3"/>
  <c r="Q1964" i="3"/>
  <c r="Q1951" i="3"/>
  <c r="Q1950" i="3"/>
  <c r="Q1946" i="3"/>
  <c r="Q1997" i="3"/>
  <c r="Q1966" i="3"/>
  <c r="Q1962" i="3"/>
  <c r="Q1959" i="3"/>
  <c r="Q1948" i="3"/>
  <c r="Q1949" i="3"/>
  <c r="Q1996" i="3"/>
  <c r="Q1987" i="3"/>
  <c r="Q1978" i="3"/>
  <c r="Q1975" i="3"/>
  <c r="Q1974" i="3"/>
  <c r="Q1963" i="3"/>
  <c r="Q1960" i="3"/>
  <c r="Q1957" i="3"/>
  <c r="Q1995" i="3"/>
  <c r="Q1977" i="3"/>
  <c r="Q1973" i="3"/>
  <c r="Q1961" i="3"/>
  <c r="Q1958" i="3"/>
  <c r="Q1955" i="3"/>
  <c r="Q1872" i="3"/>
  <c r="Q1873" i="3"/>
  <c r="Q1874" i="3"/>
  <c r="Q1875" i="3"/>
  <c r="Q1876" i="3"/>
  <c r="Q1877" i="3"/>
  <c r="Q1878" i="3"/>
  <c r="Q1871" i="3"/>
  <c r="J1872" i="3"/>
  <c r="J1873" i="3"/>
  <c r="J1874" i="3"/>
  <c r="J1875" i="3"/>
  <c r="J1876" i="3"/>
  <c r="I1877" i="3"/>
  <c r="J1877" i="3" s="1"/>
  <c r="I1878" i="3"/>
  <c r="J1878" i="3" s="1"/>
  <c r="J1871" i="3"/>
  <c r="Q1937" i="3"/>
  <c r="Q1936" i="3"/>
  <c r="Q1927" i="3"/>
  <c r="Q1935" i="3"/>
  <c r="Q1911" i="3"/>
  <c r="Q1909" i="3"/>
  <c r="Q1907" i="3"/>
  <c r="Q1898" i="3"/>
  <c r="Q1897" i="3"/>
  <c r="Q1893" i="3"/>
  <c r="Q1886" i="3"/>
  <c r="Q1934" i="3"/>
  <c r="Q1924" i="3"/>
  <c r="Q1917" i="3"/>
  <c r="Q1914" i="3"/>
  <c r="Q1906" i="3"/>
  <c r="Q1895" i="3"/>
  <c r="Q1929" i="3"/>
  <c r="Q1921" i="3"/>
  <c r="Q1918" i="3"/>
  <c r="Q1916" i="3"/>
  <c r="Q1908" i="3"/>
  <c r="Q1896" i="3"/>
  <c r="Q1894" i="3"/>
  <c r="Q1920" i="3"/>
  <c r="Q1919" i="3"/>
  <c r="Q1910" i="3"/>
  <c r="Q1881" i="3"/>
  <c r="Q1933" i="3"/>
  <c r="Q1926" i="3"/>
  <c r="Q1905" i="3"/>
  <c r="Q1892" i="3"/>
  <c r="Q1891" i="3"/>
  <c r="Q1885" i="3"/>
  <c r="Q1884" i="3"/>
  <c r="Q1880" i="3"/>
  <c r="I1880" i="3"/>
  <c r="J1880" i="3" s="1"/>
  <c r="Q1925" i="3"/>
  <c r="Q1932" i="3"/>
  <c r="Q1931" i="3"/>
  <c r="Q1904" i="3"/>
  <c r="Q1901" i="3"/>
  <c r="Q1890" i="3"/>
  <c r="Q1888" i="3"/>
  <c r="Q1883" i="3"/>
  <c r="Q1930" i="3"/>
  <c r="Q1923" i="3"/>
  <c r="Q1915" i="3"/>
  <c r="Q1912" i="3"/>
  <c r="Q1903" i="3"/>
  <c r="Q1899" i="3"/>
  <c r="Q1882" i="3"/>
  <c r="Q1879" i="3"/>
  <c r="I1879" i="3"/>
  <c r="J1879" i="3" s="1"/>
  <c r="Q1922" i="3"/>
  <c r="Q1913" i="3"/>
  <c r="Q1902" i="3"/>
  <c r="Q1900" i="3"/>
  <c r="Q1889" i="3"/>
  <c r="Q1887" i="3"/>
  <c r="Q1868" i="3"/>
  <c r="Q1867" i="3"/>
  <c r="Q1866" i="3"/>
  <c r="Q1864" i="3"/>
  <c r="Q1863" i="3"/>
  <c r="Q1861" i="3"/>
  <c r="Q1860" i="3"/>
  <c r="Q1859" i="3"/>
  <c r="I1859" i="3"/>
  <c r="J1859" i="3" s="1"/>
  <c r="Q1870" i="3"/>
  <c r="Q1869" i="3"/>
  <c r="Q1865" i="3"/>
  <c r="Q1862" i="3"/>
  <c r="Q1858" i="3"/>
  <c r="Q1857" i="3"/>
  <c r="J1858" i="3"/>
  <c r="J1857" i="3"/>
  <c r="Q1850" i="3"/>
  <c r="Q1851" i="3"/>
  <c r="Q1852" i="3"/>
  <c r="Q1853" i="3"/>
  <c r="Q1854" i="3"/>
  <c r="Q1855" i="3"/>
  <c r="Q1856" i="3"/>
  <c r="Q1849" i="3"/>
  <c r="I1850" i="3"/>
  <c r="J1850" i="3" s="1"/>
  <c r="J1849" i="3"/>
  <c r="Q1848" i="3"/>
  <c r="Q1847" i="3"/>
  <c r="Q1838" i="3"/>
  <c r="Q1837" i="3"/>
  <c r="Q1836" i="3"/>
  <c r="J1838" i="3"/>
  <c r="J1837" i="3"/>
  <c r="J1836" i="3"/>
  <c r="Q1840" i="3"/>
  <c r="Q1841" i="3"/>
  <c r="Q1842" i="3"/>
  <c r="Q1843" i="3"/>
  <c r="Q1844" i="3"/>
  <c r="Q1845" i="3"/>
  <c r="Q1846" i="3"/>
  <c r="Q1839" i="3"/>
  <c r="I1839" i="3"/>
  <c r="J1839" i="3" s="1"/>
  <c r="Q1830" i="3"/>
  <c r="Q1829" i="3"/>
  <c r="Q1828" i="3"/>
  <c r="Q1825" i="3"/>
  <c r="Q1824" i="3"/>
  <c r="Q1817" i="3"/>
  <c r="Q1796" i="3"/>
  <c r="Q1793" i="3"/>
  <c r="Q1823" i="3"/>
  <c r="Q1822" i="3"/>
  <c r="Q1809" i="3"/>
  <c r="Q1804" i="3"/>
  <c r="Q1784" i="3"/>
  <c r="J1809" i="3"/>
  <c r="Q1808" i="3"/>
  <c r="Q1835" i="3"/>
  <c r="Q1820" i="3"/>
  <c r="Q1818" i="3"/>
  <c r="Q1802" i="3"/>
  <c r="Q1800" i="3"/>
  <c r="Q1797" i="3"/>
  <c r="Q1794" i="3"/>
  <c r="Q1782" i="3"/>
  <c r="Q1781" i="3"/>
  <c r="I1835" i="3"/>
  <c r="J1835" i="3" s="1"/>
  <c r="Q1834" i="3"/>
  <c r="J1834" i="3"/>
  <c r="Q1813" i="3"/>
  <c r="Q1789" i="3"/>
  <c r="Q1786" i="3"/>
  <c r="Q1775" i="3"/>
  <c r="J1775" i="3"/>
  <c r="Q1774" i="3"/>
  <c r="J1774" i="3"/>
  <c r="Q1819" i="3"/>
  <c r="Q1799" i="3"/>
  <c r="Q1777" i="3"/>
  <c r="Q1776" i="3"/>
  <c r="I1776" i="3"/>
  <c r="J1776" i="3" s="1"/>
  <c r="Q1821" i="3"/>
  <c r="Q1806" i="3"/>
  <c r="Q1803" i="3"/>
  <c r="Q1801" i="3"/>
  <c r="Q1785" i="3"/>
  <c r="Q1783" i="3"/>
  <c r="Q1778" i="3"/>
  <c r="Q1816" i="3"/>
  <c r="Q1798" i="3"/>
  <c r="Q1795" i="3"/>
  <c r="Q1780" i="3"/>
  <c r="Q1815" i="3"/>
  <c r="Q1812" i="3"/>
  <c r="Q1807" i="3"/>
  <c r="Q1792" i="3"/>
  <c r="Q1788" i="3"/>
  <c r="Q1779" i="3"/>
  <c r="I1792" i="3"/>
  <c r="J1792" i="3" s="1"/>
  <c r="Q1791" i="3"/>
  <c r="J1791" i="3"/>
  <c r="Q1827" i="3"/>
  <c r="Q1814" i="3"/>
  <c r="Q1811" i="3"/>
  <c r="Q1810" i="3"/>
  <c r="Q1805" i="3"/>
  <c r="Q1790" i="3"/>
  <c r="Q1787" i="3"/>
  <c r="I1810" i="3"/>
  <c r="J1810" i="3" s="1"/>
  <c r="Q2656" i="3"/>
  <c r="Q2655" i="3"/>
  <c r="Q2634" i="3"/>
  <c r="Q2633" i="3"/>
  <c r="Q2632" i="3"/>
  <c r="Q2631" i="3"/>
  <c r="Q2630" i="3"/>
  <c r="Q2629" i="3"/>
  <c r="J2634" i="3"/>
  <c r="J2633" i="3"/>
  <c r="J2632" i="3"/>
  <c r="J2631" i="3"/>
  <c r="J2630" i="3"/>
  <c r="J2629" i="3"/>
  <c r="Q1771" i="3"/>
  <c r="Q1762" i="3"/>
  <c r="Q1760" i="3"/>
  <c r="Q1745" i="3"/>
  <c r="Q1736" i="3"/>
  <c r="Q1727" i="3"/>
  <c r="Q1725" i="3"/>
  <c r="Q1773" i="3"/>
  <c r="Q1763" i="3"/>
  <c r="Q1761" i="3"/>
  <c r="Q1758" i="3"/>
  <c r="Q1752" i="3"/>
  <c r="Q1751" i="3"/>
  <c r="Q1748" i="3"/>
  <c r="Q1746" i="3"/>
  <c r="I1751" i="3"/>
  <c r="J1751" i="3" s="1"/>
  <c r="Q1750" i="3"/>
  <c r="J1750" i="3"/>
  <c r="Q1759" i="3"/>
  <c r="Q1749" i="3"/>
  <c r="Q1747" i="3"/>
  <c r="Q1738" i="3"/>
  <c r="Q1737" i="3"/>
  <c r="Q1726" i="3"/>
  <c r="Q1769" i="3"/>
  <c r="Q1722" i="3"/>
  <c r="Q1720" i="3"/>
  <c r="I1722" i="3"/>
  <c r="J1722" i="3" s="1"/>
  <c r="I1720" i="3"/>
  <c r="J1720" i="3" s="1"/>
  <c r="Q1719" i="3"/>
  <c r="J1719" i="3"/>
  <c r="Q1721" i="3"/>
  <c r="J1721" i="3"/>
  <c r="Q1772" i="3"/>
  <c r="Q1766" i="3"/>
  <c r="Q1764" i="3"/>
  <c r="Q1753" i="3"/>
  <c r="Q1770" i="3"/>
  <c r="Q1757" i="3"/>
  <c r="Q1756" i="3"/>
  <c r="Q1742" i="3"/>
  <c r="Q1740" i="3"/>
  <c r="Q1734" i="3"/>
  <c r="Q1731" i="3"/>
  <c r="Q1724" i="3"/>
  <c r="Q1755" i="3"/>
  <c r="Q1744" i="3"/>
  <c r="Q1741" i="3"/>
  <c r="Q1739" i="3"/>
  <c r="Q1733" i="3"/>
  <c r="Q1730" i="3"/>
  <c r="Q1728" i="3"/>
  <c r="Q1723" i="3"/>
  <c r="Q1768" i="3"/>
  <c r="Q1767" i="3"/>
  <c r="Q1765" i="3"/>
  <c r="Q1754" i="3"/>
  <c r="Q1743" i="3"/>
  <c r="Q1735" i="3"/>
  <c r="Q1732" i="3"/>
  <c r="Q1729" i="3"/>
  <c r="Q1717" i="3"/>
  <c r="Q1716" i="3"/>
  <c r="Q1709" i="3"/>
  <c r="Q1700" i="3"/>
  <c r="Q1698" i="3"/>
  <c r="Q1682" i="3"/>
  <c r="Q1680" i="3"/>
  <c r="Q1667" i="3"/>
  <c r="Q1708" i="3"/>
  <c r="Q1701" i="3"/>
  <c r="Q1699" i="3"/>
  <c r="Q1697" i="3"/>
  <c r="Q1687" i="3"/>
  <c r="Q1684" i="3"/>
  <c r="Q1681" i="3"/>
  <c r="Q1679" i="3"/>
  <c r="Q1669" i="3"/>
  <c r="Q1711" i="3"/>
  <c r="Q1710" i="3"/>
  <c r="Q1683" i="3"/>
  <c r="Q1668" i="3"/>
  <c r="Q1666" i="3"/>
  <c r="Q1665" i="3"/>
  <c r="Q1715" i="3"/>
  <c r="Q1707" i="3"/>
  <c r="Q1703" i="3"/>
  <c r="Q1689" i="3"/>
  <c r="Q1674" i="3"/>
  <c r="Q1712" i="3"/>
  <c r="Q1705" i="3"/>
  <c r="Q1695" i="3"/>
  <c r="Q1692" i="3"/>
  <c r="Q1690" i="3"/>
  <c r="Q1678" i="3"/>
  <c r="Q1676" i="3"/>
  <c r="Q1672" i="3"/>
  <c r="Q1704" i="3"/>
  <c r="Q1702" i="3"/>
  <c r="Q1694" i="3"/>
  <c r="Q1691" i="3"/>
  <c r="Q1688" i="3"/>
  <c r="Q1686" i="3"/>
  <c r="Q1675" i="3"/>
  <c r="Q1670" i="3"/>
  <c r="Q1714" i="3"/>
  <c r="Q1713" i="3"/>
  <c r="Q1706" i="3"/>
  <c r="Q1696" i="3"/>
  <c r="Q1693" i="3"/>
  <c r="Q1685" i="3"/>
  <c r="Q1677" i="3"/>
  <c r="Q1673" i="3"/>
  <c r="Q1671" i="3"/>
  <c r="Q1657" i="3"/>
  <c r="Q1655" i="3"/>
  <c r="Q1651" i="3"/>
  <c r="Q1650" i="3"/>
  <c r="Q1648" i="3"/>
  <c r="Q1639" i="3"/>
  <c r="Q1638" i="3"/>
  <c r="Q1628" i="3"/>
  <c r="Q1619" i="3"/>
  <c r="Q1618" i="3"/>
  <c r="Q1654" i="3"/>
  <c r="Q1662" i="3"/>
  <c r="Q1659" i="3"/>
  <c r="Q1649" i="3"/>
  <c r="Q1647" i="3"/>
  <c r="Q1629" i="3"/>
  <c r="Q1617" i="3"/>
  <c r="Q1663" i="3"/>
  <c r="Q1656" i="3"/>
  <c r="Q1653" i="3"/>
  <c r="Q1631" i="3"/>
  <c r="Q1625" i="3"/>
  <c r="Q1620" i="3"/>
  <c r="Q1664" i="3"/>
  <c r="Q1636" i="3"/>
  <c r="Q1661" i="3"/>
  <c r="Q1634" i="3"/>
  <c r="Q1623" i="3"/>
  <c r="Q1621" i="3"/>
  <c r="Q1612" i="3"/>
  <c r="Q1610" i="3"/>
  <c r="Q1660" i="3"/>
  <c r="Q1652" i="3"/>
  <c r="Q1640" i="3"/>
  <c r="Q1630" i="3"/>
  <c r="Q1624" i="3"/>
  <c r="Q1622" i="3"/>
  <c r="Q1614" i="3"/>
  <c r="Q1613" i="3"/>
  <c r="Q1646" i="3"/>
  <c r="Q1644" i="3"/>
  <c r="Q1642" i="3"/>
  <c r="Q1632" i="3"/>
  <c r="Q1626" i="3"/>
  <c r="Q1616" i="3"/>
  <c r="Q1615" i="3"/>
  <c r="Q1645" i="3"/>
  <c r="Q1643" i="3"/>
  <c r="Q1641" i="3"/>
  <c r="Q1637" i="3"/>
  <c r="Q1635" i="3"/>
  <c r="Q1633" i="3"/>
  <c r="Q1627" i="3"/>
  <c r="Q1611" i="3"/>
  <c r="Q1607" i="3"/>
  <c r="Q1606" i="3"/>
  <c r="Q1588" i="3"/>
  <c r="Q1586" i="3"/>
  <c r="Q1603" i="3"/>
  <c r="Q1600" i="3"/>
  <c r="Q1596" i="3"/>
  <c r="Q1585" i="3"/>
  <c r="Q1595" i="3"/>
  <c r="Q1584" i="3"/>
  <c r="Q1602" i="3"/>
  <c r="Q1546" i="3"/>
  <c r="J1546" i="3"/>
  <c r="Q1575" i="3"/>
  <c r="Q1574" i="3"/>
  <c r="Q1558" i="3"/>
  <c r="Q1551" i="3"/>
  <c r="Q1549" i="3"/>
  <c r="Q1605" i="3"/>
  <c r="Q1594" i="3"/>
  <c r="Q1582" i="3"/>
  <c r="Q1580" i="3"/>
  <c r="Q1569" i="3"/>
  <c r="Q1566" i="3"/>
  <c r="Q1554" i="3"/>
  <c r="Q1604" i="3"/>
  <c r="Q1572" i="3"/>
  <c r="Q1570" i="3"/>
  <c r="Q1555" i="3"/>
  <c r="Q1599" i="3"/>
  <c r="Q1593" i="3"/>
  <c r="Q1598" i="3"/>
  <c r="Q1581" i="3"/>
  <c r="Q1567" i="3"/>
  <c r="Q1565" i="3"/>
  <c r="Q1553" i="3"/>
  <c r="Q1550" i="3"/>
  <c r="Q1548" i="3"/>
  <c r="Q1592" i="3"/>
  <c r="Q1591" i="3"/>
  <c r="Q1583" i="3"/>
  <c r="Q1579" i="3"/>
  <c r="Q1577" i="3"/>
  <c r="Q1568" i="3"/>
  <c r="Q1562" i="3"/>
  <c r="Q1560" i="3"/>
  <c r="Q1552" i="3"/>
  <c r="Q1590" i="3"/>
  <c r="Q1578" i="3"/>
  <c r="Q1576" i="3"/>
  <c r="Q1564" i="3"/>
  <c r="Q1559" i="3"/>
  <c r="Q1573" i="3"/>
  <c r="Q1571" i="3"/>
  <c r="Q1563" i="3"/>
  <c r="Q1561" i="3"/>
  <c r="Q1557" i="3"/>
  <c r="Q1556" i="3"/>
  <c r="Q1597" i="3"/>
  <c r="Q1601" i="3"/>
  <c r="Q1547" i="3"/>
  <c r="I1547" i="3"/>
  <c r="J1547" i="3" s="1"/>
  <c r="Q1539" i="3"/>
  <c r="Q1540" i="3"/>
  <c r="Q1541" i="3"/>
  <c r="Q1542" i="3"/>
  <c r="Q1543" i="3"/>
  <c r="Q1544" i="3"/>
  <c r="Q1545" i="3"/>
  <c r="Q1538" i="3"/>
  <c r="J1539" i="3"/>
  <c r="J1540" i="3"/>
  <c r="J1541" i="3"/>
  <c r="J1542" i="3"/>
  <c r="J1543" i="3"/>
  <c r="I1544" i="3"/>
  <c r="J1544" i="3" s="1"/>
  <c r="I1545" i="3"/>
  <c r="J1545" i="3" s="1"/>
  <c r="J1538" i="3"/>
  <c r="Q1532" i="3"/>
  <c r="Q1530" i="3"/>
  <c r="Q1528" i="3"/>
  <c r="Q1520" i="3"/>
  <c r="Q1486" i="3"/>
  <c r="Q1474" i="3"/>
  <c r="Q1535" i="3"/>
  <c r="Q1523" i="3"/>
  <c r="Q1511" i="3"/>
  <c r="Q1497" i="3"/>
  <c r="Q1476" i="3"/>
  <c r="Q1522" i="3"/>
  <c r="Q1475" i="3"/>
  <c r="Q1534" i="3"/>
  <c r="Q1510" i="3"/>
  <c r="Q1517" i="3"/>
  <c r="Q1502" i="3"/>
  <c r="Q1473" i="3"/>
  <c r="Q1470" i="3"/>
  <c r="Q1516" i="3"/>
  <c r="Q1507" i="3"/>
  <c r="Q1499" i="3"/>
  <c r="Q1472" i="3"/>
  <c r="Q1498" i="3"/>
  <c r="Q1506" i="3"/>
  <c r="Q1518" i="3"/>
  <c r="Q1489" i="3"/>
  <c r="Q1487" i="3"/>
  <c r="Q1478" i="3"/>
  <c r="Q1519" i="3"/>
  <c r="Q1503" i="3"/>
  <c r="Q1477" i="3"/>
  <c r="Q1537" i="3"/>
  <c r="Q1525" i="3"/>
  <c r="Q1515" i="3"/>
  <c r="Q1513" i="3"/>
  <c r="Q1509" i="3"/>
  <c r="Q1505" i="3"/>
  <c r="Q1501" i="3"/>
  <c r="Q1500" i="3"/>
  <c r="Q1514" i="3"/>
  <c r="Q1512" i="3"/>
  <c r="Q1508" i="3"/>
  <c r="Q1524" i="3"/>
  <c r="Q1504" i="3"/>
  <c r="Q1536" i="3"/>
  <c r="Q1527" i="3"/>
  <c r="Q1488" i="3"/>
  <c r="Q1485" i="3"/>
  <c r="Q1484" i="3"/>
  <c r="Q1469" i="3"/>
  <c r="Q1468" i="3"/>
  <c r="Q1526" i="3"/>
  <c r="Q1496" i="3"/>
  <c r="Q1471" i="3"/>
  <c r="Q1495" i="3"/>
  <c r="Q1494" i="3"/>
  <c r="Q1492" i="3"/>
  <c r="Q1490" i="3"/>
  <c r="Q1483" i="3"/>
  <c r="Q1482" i="3"/>
  <c r="Q1481" i="3"/>
  <c r="Q1493" i="3"/>
  <c r="Q1491" i="3"/>
  <c r="Q1480" i="3"/>
  <c r="Q1479" i="3"/>
  <c r="Q1466" i="3"/>
  <c r="Q1463" i="3"/>
  <c r="Q1456" i="3"/>
  <c r="Q1442" i="3"/>
  <c r="J1456" i="3"/>
  <c r="J1442" i="3"/>
  <c r="Q1455" i="3"/>
  <c r="J1455" i="3"/>
  <c r="Q1465" i="3"/>
  <c r="Q1441" i="3"/>
  <c r="J1441" i="3"/>
  <c r="Q1464" i="3"/>
  <c r="Q1452" i="3"/>
  <c r="J1452" i="3"/>
  <c r="Q1451" i="3"/>
  <c r="J1451" i="3"/>
  <c r="Q1440" i="3"/>
  <c r="J1440" i="3"/>
  <c r="Q1462" i="3"/>
  <c r="Q1450" i="3"/>
  <c r="Q1439" i="3"/>
  <c r="J1450" i="3"/>
  <c r="J1439" i="3"/>
  <c r="Q1458" i="3"/>
  <c r="Q1447" i="3"/>
  <c r="Q1444" i="3"/>
  <c r="J1458" i="3"/>
  <c r="J1447" i="3"/>
  <c r="J1444" i="3"/>
  <c r="Q1443" i="3"/>
  <c r="J1443" i="3"/>
  <c r="Q1467" i="3"/>
  <c r="Q1461" i="3"/>
  <c r="Q1460" i="3"/>
  <c r="Q1457" i="3"/>
  <c r="Q1449" i="3"/>
  <c r="Q1448" i="3"/>
  <c r="Q1446" i="3"/>
  <c r="Q1445" i="3"/>
  <c r="I1461" i="3"/>
  <c r="J1461" i="3" s="1"/>
  <c r="J1460" i="3"/>
  <c r="J1457" i="3"/>
  <c r="J1449" i="3"/>
  <c r="J1448" i="3"/>
  <c r="J1446" i="3"/>
  <c r="J1445" i="3"/>
  <c r="Q1459" i="3"/>
  <c r="J1459" i="3"/>
  <c r="Q1454" i="3"/>
  <c r="Q1453" i="3"/>
  <c r="J1454" i="3"/>
  <c r="J1453" i="3"/>
  <c r="I1429" i="3"/>
  <c r="J1429" i="3" s="1"/>
  <c r="J1428" i="3"/>
  <c r="J1378" i="3"/>
  <c r="I1377" i="3"/>
  <c r="J1377" i="3" s="1"/>
  <c r="J1376" i="3"/>
  <c r="J1380" i="3"/>
  <c r="J1379" i="3"/>
  <c r="J1375" i="3"/>
  <c r="I1381" i="3"/>
  <c r="J1381" i="3" s="1"/>
  <c r="I1368" i="3"/>
  <c r="J1368" i="3" s="1"/>
  <c r="J1367" i="3"/>
  <c r="I1314" i="3"/>
  <c r="J1314" i="3" s="1"/>
  <c r="J1307" i="3"/>
  <c r="J1308" i="3"/>
  <c r="J1309" i="3"/>
  <c r="I1310" i="3"/>
  <c r="J1310" i="3" s="1"/>
  <c r="I1311" i="3"/>
  <c r="J1311" i="3" s="1"/>
  <c r="I1312" i="3"/>
  <c r="J1312" i="3" s="1"/>
  <c r="I1313" i="3"/>
  <c r="J1313" i="3" s="1"/>
  <c r="J1306" i="3"/>
  <c r="J1305" i="3"/>
  <c r="J1294" i="3"/>
  <c r="J1293" i="3"/>
  <c r="J1292" i="3"/>
  <c r="I1295" i="3"/>
  <c r="J1295" i="3" s="1"/>
  <c r="J1145" i="3"/>
  <c r="I1146" i="3"/>
  <c r="J1146" i="3" s="1"/>
  <c r="J1131" i="3"/>
  <c r="I1132" i="3"/>
  <c r="J1132" i="3" s="1"/>
  <c r="I1075" i="3"/>
  <c r="J1075" i="3" s="1"/>
  <c r="J1074" i="3"/>
  <c r="J1011" i="3"/>
  <c r="J1010" i="3"/>
  <c r="I1012" i="3"/>
  <c r="J1012" i="3" s="1"/>
  <c r="J1009" i="3"/>
  <c r="J1008" i="3"/>
  <c r="J954" i="3"/>
  <c r="J953" i="3"/>
  <c r="I955" i="3"/>
  <c r="J955" i="3" s="1"/>
  <c r="M950" i="3"/>
  <c r="M946" i="3"/>
  <c r="M945" i="3"/>
  <c r="M941" i="3"/>
  <c r="M940" i="3"/>
  <c r="M937" i="3"/>
  <c r="M916" i="3"/>
  <c r="I915" i="3"/>
  <c r="J915" i="3" s="1"/>
  <c r="J919" i="3"/>
  <c r="I884" i="3"/>
  <c r="J884" i="3" s="1"/>
  <c r="J883" i="3"/>
  <c r="J914" i="3"/>
  <c r="J882" i="3"/>
  <c r="J881" i="3"/>
  <c r="I920" i="3"/>
  <c r="J920" i="3" s="1"/>
  <c r="J853" i="3"/>
  <c r="I857" i="3"/>
  <c r="J857" i="3" s="1"/>
  <c r="J849" i="3"/>
  <c r="I848" i="3"/>
  <c r="J848" i="3" s="1"/>
  <c r="J862" i="3"/>
  <c r="I855" i="3"/>
  <c r="J855" i="3" s="1"/>
  <c r="J852" i="3"/>
  <c r="J854" i="3"/>
  <c r="I851" i="3"/>
  <c r="J851" i="3" s="1"/>
  <c r="I864" i="3"/>
  <c r="J864" i="3" s="1"/>
  <c r="J860" i="3"/>
  <c r="J866" i="3"/>
  <c r="I867" i="3"/>
  <c r="J867" i="3" s="1"/>
  <c r="I776" i="3"/>
  <c r="J776" i="3" s="1"/>
  <c r="I708" i="3"/>
  <c r="I707" i="3"/>
  <c r="J707" i="3" s="1"/>
  <c r="I713" i="3"/>
  <c r="J713" i="3" s="1"/>
  <c r="I710" i="3"/>
  <c r="J710" i="3" s="1"/>
  <c r="I730" i="3"/>
  <c r="J730" i="3" s="1"/>
  <c r="J711" i="3"/>
  <c r="I2422" i="3"/>
  <c r="J2422" i="3" s="1"/>
  <c r="I2419" i="3"/>
  <c r="J2419" i="3" s="1"/>
  <c r="J2420" i="3"/>
  <c r="I2363" i="3"/>
  <c r="J2363" i="3" s="1"/>
  <c r="I698" i="3"/>
  <c r="J698" i="3" s="1"/>
  <c r="I561" i="3"/>
  <c r="J561" i="3" s="1"/>
  <c r="I492" i="3"/>
  <c r="J492" i="3" s="1"/>
  <c r="J491" i="3"/>
  <c r="J490" i="3"/>
  <c r="I493" i="3"/>
  <c r="J493" i="3" s="1"/>
  <c r="J489" i="3"/>
  <c r="J494" i="3"/>
  <c r="I495" i="3"/>
  <c r="J495" i="3" s="1"/>
  <c r="I433" i="3"/>
  <c r="J433" i="3" s="1"/>
  <c r="I488" i="3"/>
  <c r="J488" i="3" s="1"/>
</calcChain>
</file>

<file path=xl/sharedStrings.xml><?xml version="1.0" encoding="utf-8"?>
<sst xmlns="http://schemas.openxmlformats.org/spreadsheetml/2006/main" count="40051" uniqueCount="598">
  <si>
    <t>Program Studi</t>
  </si>
  <si>
    <t>NPM</t>
  </si>
  <si>
    <t>Nama</t>
  </si>
  <si>
    <t>MKKode</t>
  </si>
  <si>
    <t>Mata Kuliah</t>
  </si>
  <si>
    <t>SKS</t>
  </si>
  <si>
    <t>Nilai Huruf</t>
  </si>
  <si>
    <t>Bobot</t>
  </si>
  <si>
    <t>Sistem Informasi</t>
  </si>
  <si>
    <t xml:space="preserve">Nurman </t>
  </si>
  <si>
    <t>SI312</t>
  </si>
  <si>
    <t>Kerja Praktek</t>
  </si>
  <si>
    <t>Teknik Informatika</t>
  </si>
  <si>
    <t>M. Nur Al Maghribhi</t>
  </si>
  <si>
    <t>TI330</t>
  </si>
  <si>
    <t>Praskripsi</t>
  </si>
  <si>
    <t>Rizky Amelia</t>
  </si>
  <si>
    <t>SI311</t>
  </si>
  <si>
    <t>Tahara Lokananta</t>
  </si>
  <si>
    <t>SI501</t>
  </si>
  <si>
    <t>Skripsi</t>
  </si>
  <si>
    <t>Diandy Hidayat</t>
  </si>
  <si>
    <t>SI214</t>
  </si>
  <si>
    <t>Perilaku Dalam Berorganisasi</t>
  </si>
  <si>
    <t>Sistem Komputer</t>
  </si>
  <si>
    <t>Evrianto</t>
  </si>
  <si>
    <t>MBB311001</t>
  </si>
  <si>
    <t>Sandesta Reza</t>
  </si>
  <si>
    <t>M. Ludfi Rizki. P</t>
  </si>
  <si>
    <t>2016110017P</t>
  </si>
  <si>
    <t>Ria Syafitri</t>
  </si>
  <si>
    <t>TI334</t>
  </si>
  <si>
    <t>Muhammad Reydisyah Putra</t>
  </si>
  <si>
    <t>Fahri Gunawan</t>
  </si>
  <si>
    <t>Hendro Prayogo</t>
  </si>
  <si>
    <t>Jodi Alfalah Lobih</t>
  </si>
  <si>
    <t>Ahmad Ikhsan</t>
  </si>
  <si>
    <t>Muti Lestari</t>
  </si>
  <si>
    <t>Ghaitsa Jalalikram</t>
  </si>
  <si>
    <t>TI401</t>
  </si>
  <si>
    <t>2016110037P</t>
  </si>
  <si>
    <t>Endah Puspita Sari</t>
  </si>
  <si>
    <t>Andi Saputra</t>
  </si>
  <si>
    <t>Muhammad Ilham Fardiansyah</t>
  </si>
  <si>
    <t>SI215</t>
  </si>
  <si>
    <t>Aljabar Linier</t>
  </si>
  <si>
    <t>Riki Ramadhan</t>
  </si>
  <si>
    <t>2016110018P</t>
  </si>
  <si>
    <t>Modi Sertian Amanda</t>
  </si>
  <si>
    <t>Abdur Rohim</t>
  </si>
  <si>
    <t>Muhammad Ismail Reza</t>
  </si>
  <si>
    <t>Julius Sesar</t>
  </si>
  <si>
    <t>Agung Prakesakwa</t>
  </si>
  <si>
    <t>Juwita Permata Sari</t>
  </si>
  <si>
    <t>Rahmat Zulian Dini</t>
  </si>
  <si>
    <t>Jusman</t>
  </si>
  <si>
    <t>Yogi Destrian</t>
  </si>
  <si>
    <t>Sela Aulia</t>
  </si>
  <si>
    <t xml:space="preserve">Adam </t>
  </si>
  <si>
    <t>Muhammad Akbar Pribadi</t>
  </si>
  <si>
    <t>Egi Anggara</t>
  </si>
  <si>
    <t>Djodi Nugroho</t>
  </si>
  <si>
    <t>Muhammad Abdurrahim Alfaizi</t>
  </si>
  <si>
    <t>Siti Fatimah</t>
  </si>
  <si>
    <t>Arif Sugianto</t>
  </si>
  <si>
    <t>Ferry Irawan</t>
  </si>
  <si>
    <t>Nia Rahmawati Fadillah</t>
  </si>
  <si>
    <t>MPBSI131</t>
  </si>
  <si>
    <t>MBB31101</t>
  </si>
  <si>
    <t>Yolanda</t>
  </si>
  <si>
    <t>Baida</t>
  </si>
  <si>
    <t>Efrin</t>
  </si>
  <si>
    <t>Satira Aruni</t>
  </si>
  <si>
    <t>TOEIC 01</t>
  </si>
  <si>
    <t>English for International Communication</t>
  </si>
  <si>
    <t>Ari Seto Mulya</t>
  </si>
  <si>
    <t>Riananda Angeraini</t>
  </si>
  <si>
    <t>IGM101</t>
  </si>
  <si>
    <t>Pendidikan Agama</t>
  </si>
  <si>
    <t>Richard Gurning</t>
  </si>
  <si>
    <t>SI412</t>
  </si>
  <si>
    <t>Pengelolaan Proyek Sistem Informasi</t>
  </si>
  <si>
    <t xml:space="preserve">Ade Pratama Putra </t>
  </si>
  <si>
    <t>Chairul Lutfhi</t>
  </si>
  <si>
    <t>SK204</t>
  </si>
  <si>
    <t>Pengantar Sistem Komputer</t>
  </si>
  <si>
    <t>Ido Alwi</t>
  </si>
  <si>
    <t>FK108</t>
  </si>
  <si>
    <t>Ilmu Sosial Dasar</t>
  </si>
  <si>
    <t>Roni Martha Yudha</t>
  </si>
  <si>
    <t>TI301</t>
  </si>
  <si>
    <t>Pengantar Teknologi Informasi</t>
  </si>
  <si>
    <t>Fedro Alvaro</t>
  </si>
  <si>
    <t>SI304</t>
  </si>
  <si>
    <t>Analisa Sistem Informasi</t>
  </si>
  <si>
    <t>2016110056P</t>
  </si>
  <si>
    <t>Andika Oktaviardi</t>
  </si>
  <si>
    <t>TI207</t>
  </si>
  <si>
    <t>Algoritma &amp; Pemrograman II</t>
  </si>
  <si>
    <t>Wahid Sodikin</t>
  </si>
  <si>
    <t>TI206</t>
  </si>
  <si>
    <t>Pemrograman Visual</t>
  </si>
  <si>
    <t>Ari Muhammad Yunus</t>
  </si>
  <si>
    <t>TI205</t>
  </si>
  <si>
    <t>Kalkulus II</t>
  </si>
  <si>
    <t>SI213</t>
  </si>
  <si>
    <t>Matematika Diskrit</t>
  </si>
  <si>
    <t>SI212</t>
  </si>
  <si>
    <t>Metodologi Penelitian</t>
  </si>
  <si>
    <t>Ayu Puspita Oktriana</t>
  </si>
  <si>
    <t>SI208</t>
  </si>
  <si>
    <t>Algoritma dan Pemrograman</t>
  </si>
  <si>
    <t>SI305</t>
  </si>
  <si>
    <t>Pemrograman Visual II</t>
  </si>
  <si>
    <t>Fhadel Muhammad Irvan</t>
  </si>
  <si>
    <t>SI209</t>
  </si>
  <si>
    <t>Struktur Data</t>
  </si>
  <si>
    <t>SI204</t>
  </si>
  <si>
    <t>Dasar-Dasar Akuntansi</t>
  </si>
  <si>
    <t>SI403</t>
  </si>
  <si>
    <t>Testing dan Implementasi</t>
  </si>
  <si>
    <t>Fitria Reza</t>
  </si>
  <si>
    <t>TI204</t>
  </si>
  <si>
    <t>Algoritma &amp; Pemrograman I</t>
  </si>
  <si>
    <t>Bahrain Alfath Maulana</t>
  </si>
  <si>
    <t>SI307</t>
  </si>
  <si>
    <t>Pemrograman Visual I (Delphi)</t>
  </si>
  <si>
    <t>Muhammad Rhidho</t>
  </si>
  <si>
    <t>SK202</t>
  </si>
  <si>
    <t>Kalkulus</t>
  </si>
  <si>
    <t xml:space="preserve">Chindy Ayu Savitri </t>
  </si>
  <si>
    <t>FK102</t>
  </si>
  <si>
    <t>Bahasa Inggris I</t>
  </si>
  <si>
    <t>2016110047P</t>
  </si>
  <si>
    <t>M. Alfan Nurrachman</t>
  </si>
  <si>
    <t>Rina Juliasari</t>
  </si>
  <si>
    <t>SI313</t>
  </si>
  <si>
    <t>Sistem Operasi</t>
  </si>
  <si>
    <t>Susanto</t>
  </si>
  <si>
    <t>FK104</t>
  </si>
  <si>
    <t>Tata Tulis Karya Ilmiah</t>
  </si>
  <si>
    <t>Muhamad Adhil Fhadilah</t>
  </si>
  <si>
    <t>TI202</t>
  </si>
  <si>
    <t>Kalkulus I</t>
  </si>
  <si>
    <t>Caca Andela</t>
  </si>
  <si>
    <t>SK203</t>
  </si>
  <si>
    <t>Elektronika Dasar</t>
  </si>
  <si>
    <t>SI301</t>
  </si>
  <si>
    <t>Pengenalan Internet</t>
  </si>
  <si>
    <t>MKB311008</t>
  </si>
  <si>
    <t>Keamanan Komputer</t>
  </si>
  <si>
    <t>TI203</t>
  </si>
  <si>
    <t>Logika Informatika</t>
  </si>
  <si>
    <t>Afriansya</t>
  </si>
  <si>
    <t>MKB311004</t>
  </si>
  <si>
    <t>Jaringan Komputer I</t>
  </si>
  <si>
    <t>Nyayu Nara Pradiah</t>
  </si>
  <si>
    <t>SI202</t>
  </si>
  <si>
    <t>Probabilitas dan Statistika</t>
  </si>
  <si>
    <t>M. Yunus Nusantara</t>
  </si>
  <si>
    <t>Dede Firmansyah</t>
  </si>
  <si>
    <t>Rista Purnama Sari</t>
  </si>
  <si>
    <t>M. Andri Afriansyah</t>
  </si>
  <si>
    <t>SI203</t>
  </si>
  <si>
    <t>Manajemen Umum</t>
  </si>
  <si>
    <t>FK103</t>
  </si>
  <si>
    <t>Pendidikan Kewarganegaraan</t>
  </si>
  <si>
    <t xml:space="preserve">Maulana Tri Bakti </t>
  </si>
  <si>
    <t>SK201</t>
  </si>
  <si>
    <t>Fisika Dasar</t>
  </si>
  <si>
    <t>TI304</t>
  </si>
  <si>
    <t>Jaringan Komputer</t>
  </si>
  <si>
    <t>Ramdhan Jihad Pangestu</t>
  </si>
  <si>
    <t>TI303</t>
  </si>
  <si>
    <t>MKK311016</t>
  </si>
  <si>
    <t>Pengantar Teknologi Komputer</t>
  </si>
  <si>
    <t>SI219</t>
  </si>
  <si>
    <t>Pemrograman C</t>
  </si>
  <si>
    <t>Deni Hariyanto</t>
  </si>
  <si>
    <t>Suci Seysutaba</t>
  </si>
  <si>
    <t>SI308</t>
  </si>
  <si>
    <t>Pemrograman Visual III</t>
  </si>
  <si>
    <t>SI217</t>
  </si>
  <si>
    <t>2016310006P</t>
  </si>
  <si>
    <t>Engla Oktacika Yanti</t>
  </si>
  <si>
    <t>SI406</t>
  </si>
  <si>
    <t>Rekayasa Perangkat Lunak</t>
  </si>
  <si>
    <t>Muhammad Rafli</t>
  </si>
  <si>
    <t>SI310</t>
  </si>
  <si>
    <t>Pengembangan Sistem Informasi</t>
  </si>
  <si>
    <t>TI305</t>
  </si>
  <si>
    <t>Basis Data</t>
  </si>
  <si>
    <t>TI211</t>
  </si>
  <si>
    <t>SI409</t>
  </si>
  <si>
    <t>Rekayasa Sistem Informasi</t>
  </si>
  <si>
    <t>MKK31204</t>
  </si>
  <si>
    <t>Pemrograman I</t>
  </si>
  <si>
    <t>TOEIC 02</t>
  </si>
  <si>
    <t>English for International Communication II</t>
  </si>
  <si>
    <t>Titik Roini</t>
  </si>
  <si>
    <t>Allanda Ary Kusnandar</t>
  </si>
  <si>
    <t>Stephanus Kuswandi Pasaribu</t>
  </si>
  <si>
    <t>SI205</t>
  </si>
  <si>
    <t>Sistem Informasi Manajemen</t>
  </si>
  <si>
    <t>Gusti Hendri</t>
  </si>
  <si>
    <t>TI209</t>
  </si>
  <si>
    <t xml:space="preserve">Robby Syurdan </t>
  </si>
  <si>
    <t>Rahayu Nurli Agustina</t>
  </si>
  <si>
    <t>TI320</t>
  </si>
  <si>
    <t>TI &amp; Telekomunikasi (RJ)</t>
  </si>
  <si>
    <t>Wahyu Eka Pratama</t>
  </si>
  <si>
    <t>TI314</t>
  </si>
  <si>
    <t>Rahmad Apriliansyah</t>
  </si>
  <si>
    <t>SI402</t>
  </si>
  <si>
    <t>Pemrograman Web</t>
  </si>
  <si>
    <t>MPB311007</t>
  </si>
  <si>
    <t>SI410</t>
  </si>
  <si>
    <t>Sekuriti Komputer</t>
  </si>
  <si>
    <t>Muhammad Ruhdiyansyah Hidayat</t>
  </si>
  <si>
    <t>SI224</t>
  </si>
  <si>
    <t>IT Audit</t>
  </si>
  <si>
    <t>Septy Anggraini</t>
  </si>
  <si>
    <t>SI405</t>
  </si>
  <si>
    <t>Komputer Audit</t>
  </si>
  <si>
    <t>SK301</t>
  </si>
  <si>
    <t>Algoritma dan Pemrograman I</t>
  </si>
  <si>
    <t xml:space="preserve">Abdul Rozak </t>
  </si>
  <si>
    <t>SI206</t>
  </si>
  <si>
    <t>Interaksi Manusia dan Komputer</t>
  </si>
  <si>
    <t>Yustika</t>
  </si>
  <si>
    <t xml:space="preserve">TOEIC 03 </t>
  </si>
  <si>
    <t>English for International Communication III</t>
  </si>
  <si>
    <t>SI201</t>
  </si>
  <si>
    <t>Statistika Bisnis</t>
  </si>
  <si>
    <t>TI302</t>
  </si>
  <si>
    <t>Arsitektur &amp; Organisasi Komputer</t>
  </si>
  <si>
    <t>TI312</t>
  </si>
  <si>
    <t>Sistem Berkas</t>
  </si>
  <si>
    <t>SI314</t>
  </si>
  <si>
    <t>Mobile Programming</t>
  </si>
  <si>
    <t>MPB311008</t>
  </si>
  <si>
    <t>TI210</t>
  </si>
  <si>
    <t>IGM103</t>
  </si>
  <si>
    <t>Pendidikan Pancasila</t>
  </si>
  <si>
    <t>TI311</t>
  </si>
  <si>
    <t>Statistik Bisnis</t>
  </si>
  <si>
    <t>SI303</t>
  </si>
  <si>
    <t>Sistem Basis Data</t>
  </si>
  <si>
    <t>TI309</t>
  </si>
  <si>
    <t>Sistem Informasi Lanjutan</t>
  </si>
  <si>
    <t>SI316</t>
  </si>
  <si>
    <t>e-Commerce</t>
  </si>
  <si>
    <t>MPK311001</t>
  </si>
  <si>
    <t>SI315</t>
  </si>
  <si>
    <t>Komunikasi Data (Prak)</t>
  </si>
  <si>
    <t>SI309</t>
  </si>
  <si>
    <t>Hania Rahma Atika</t>
  </si>
  <si>
    <t>TI322</t>
  </si>
  <si>
    <t>Pemrograman Berorientasi Objek</t>
  </si>
  <si>
    <t>Ivan Rivaldo</t>
  </si>
  <si>
    <t>A</t>
  </si>
  <si>
    <t>Gelsy Nelvin Dhea</t>
  </si>
  <si>
    <t>TI321</t>
  </si>
  <si>
    <t>Pemodelan dan Simulasi</t>
  </si>
  <si>
    <t>TI315</t>
  </si>
  <si>
    <t>Teknik Kompilasi</t>
  </si>
  <si>
    <t>SI302</t>
  </si>
  <si>
    <t>Nurhadi</t>
  </si>
  <si>
    <t>2016210051P</t>
  </si>
  <si>
    <t xml:space="preserve">Novan Krisdiyanto </t>
  </si>
  <si>
    <t>Desti Erfina Sari</t>
  </si>
  <si>
    <t>2016110032P</t>
  </si>
  <si>
    <t>Vivi Angraini</t>
  </si>
  <si>
    <t>TI214</t>
  </si>
  <si>
    <t>Teknik Riset Operasional</t>
  </si>
  <si>
    <t>Technopreneurship</t>
  </si>
  <si>
    <t>TI308</t>
  </si>
  <si>
    <t>Jorgie Campos</t>
  </si>
  <si>
    <t xml:space="preserve">Meta Amalia </t>
  </si>
  <si>
    <t>FK105</t>
  </si>
  <si>
    <t>Bahasa Inggris II</t>
  </si>
  <si>
    <t>2016110021P</t>
  </si>
  <si>
    <t>Julli Santiae</t>
  </si>
  <si>
    <t>TI402</t>
  </si>
  <si>
    <t>Etika Profesi</t>
  </si>
  <si>
    <t xml:space="preserve">Aditya Nugraha Putra </t>
  </si>
  <si>
    <t>2016110057P</t>
  </si>
  <si>
    <t>Abdi Riyanto</t>
  </si>
  <si>
    <t>Kasino</t>
  </si>
  <si>
    <t>MKK31208</t>
  </si>
  <si>
    <t>TI208</t>
  </si>
  <si>
    <t>Statistika dan Probabilitas</t>
  </si>
  <si>
    <t>Rangga Alfatihah</t>
  </si>
  <si>
    <t>TI318</t>
  </si>
  <si>
    <t>Sistem Basis Data (RBD)</t>
  </si>
  <si>
    <t>SI211</t>
  </si>
  <si>
    <t>Manajemen Keuangan</t>
  </si>
  <si>
    <t>TI324</t>
  </si>
  <si>
    <t>Wireless / Mobile Computing</t>
  </si>
  <si>
    <t>2016210059P</t>
  </si>
  <si>
    <t>Juana Permata Sari</t>
  </si>
  <si>
    <t xml:space="preserve">Ahmad Malik Fajar </t>
  </si>
  <si>
    <t>TI329</t>
  </si>
  <si>
    <t>Keamanan Komputer (RJ)</t>
  </si>
  <si>
    <t>Oktaviyani Lestari</t>
  </si>
  <si>
    <t>Wilza Nadia</t>
  </si>
  <si>
    <t>FK401</t>
  </si>
  <si>
    <t>Kewirausahaan</t>
  </si>
  <si>
    <t>Boy Gilang Ramadhan</t>
  </si>
  <si>
    <t>TI310</t>
  </si>
  <si>
    <t>Pemrograman Internet</t>
  </si>
  <si>
    <t>SI221</t>
  </si>
  <si>
    <t>Manajemen Sumber Daya Manusia</t>
  </si>
  <si>
    <t>Edo Yogastara</t>
  </si>
  <si>
    <t>Ade Suryani</t>
  </si>
  <si>
    <t xml:space="preserve">Wiwinda Juned Purba </t>
  </si>
  <si>
    <t>TI501</t>
  </si>
  <si>
    <t>Komputer dan Masyarakat</t>
  </si>
  <si>
    <t>SI407</t>
  </si>
  <si>
    <t>Data Mining (pilihan EB)</t>
  </si>
  <si>
    <t>Irvan Septian Pratama</t>
  </si>
  <si>
    <t>2016210041P</t>
  </si>
  <si>
    <t>Putu Yolanda Mutiara Devi</t>
  </si>
  <si>
    <t>Edo Prahaski</t>
  </si>
  <si>
    <t>2016210050P</t>
  </si>
  <si>
    <t>Doni Saputra</t>
  </si>
  <si>
    <t>Feby Triandani</t>
  </si>
  <si>
    <t>Statistik dan Probabilitas</t>
  </si>
  <si>
    <t>Ahmad Aldo</t>
  </si>
  <si>
    <t>Yogi Wahyu Pranata</t>
  </si>
  <si>
    <t>TI332</t>
  </si>
  <si>
    <t>Geru Brillian Ruditya</t>
  </si>
  <si>
    <t>2016210060P</t>
  </si>
  <si>
    <t>Doni Eransa</t>
  </si>
  <si>
    <t>TI317</t>
  </si>
  <si>
    <t>Basis Data Non Relasional (RBD)</t>
  </si>
  <si>
    <t>Mitha Sofiana</t>
  </si>
  <si>
    <t>TI319</t>
  </si>
  <si>
    <t>Jaringan Wireless (RJ)</t>
  </si>
  <si>
    <t>Rezza Fitricia Fahrira</t>
  </si>
  <si>
    <t xml:space="preserve">Ahmad Aditya Febrian </t>
  </si>
  <si>
    <t>Hukman Akbaro</t>
  </si>
  <si>
    <t>Mobile Computing</t>
  </si>
  <si>
    <t>Letri Inra Sari</t>
  </si>
  <si>
    <t>TI331</t>
  </si>
  <si>
    <t>Manajemen Proyek Perangkat Lunak</t>
  </si>
  <si>
    <t>MPK312005</t>
  </si>
  <si>
    <t>Praktek Keriwausahaan</t>
  </si>
  <si>
    <t>TI212</t>
  </si>
  <si>
    <t>Teori Bahasa dan Automata</t>
  </si>
  <si>
    <t>Erwin Triansyah</t>
  </si>
  <si>
    <t>MPK311002</t>
  </si>
  <si>
    <t>FK109</t>
  </si>
  <si>
    <t>Prak. Kewirausahaan</t>
  </si>
  <si>
    <t xml:space="preserve">Winda Wulandari </t>
  </si>
  <si>
    <t>SI216</t>
  </si>
  <si>
    <t>IGM 103</t>
  </si>
  <si>
    <t>TI213</t>
  </si>
  <si>
    <t>Metode Numerik</t>
  </si>
  <si>
    <t>Melinda Susilarini Ardillah</t>
  </si>
  <si>
    <t>TI326</t>
  </si>
  <si>
    <t>Teknologi Basis Data (RBD)</t>
  </si>
  <si>
    <t>SI404</t>
  </si>
  <si>
    <t>Sistem Informasi Akuntansi</t>
  </si>
  <si>
    <t xml:space="preserve">Sukma Hansen </t>
  </si>
  <si>
    <t>MKB311010</t>
  </si>
  <si>
    <t>Sistem Embeded I</t>
  </si>
  <si>
    <t>Mita Andriyana</t>
  </si>
  <si>
    <t>Wike Maya Sari</t>
  </si>
  <si>
    <t>FK107</t>
  </si>
  <si>
    <t>TI313</t>
  </si>
  <si>
    <t>Pengantar Robotika</t>
  </si>
  <si>
    <t>TI328</t>
  </si>
  <si>
    <t>Perancangan Jaringan (RJ)</t>
  </si>
  <si>
    <t>TI306</t>
  </si>
  <si>
    <t>Kecerdasan Buatan</t>
  </si>
  <si>
    <t>SK302</t>
  </si>
  <si>
    <t>MPK31207</t>
  </si>
  <si>
    <t>Etika dan Moral Profesi</t>
  </si>
  <si>
    <t>MKB312014</t>
  </si>
  <si>
    <t>MKK311002</t>
  </si>
  <si>
    <t>Prak. Fisika Dasar</t>
  </si>
  <si>
    <t>TI316</t>
  </si>
  <si>
    <t>Pembelajaran Mesin</t>
  </si>
  <si>
    <t>MKK311014</t>
  </si>
  <si>
    <t>Mekatronika Dasar</t>
  </si>
  <si>
    <t>Pemrograman Visual III (VB)</t>
  </si>
  <si>
    <t>TI327</t>
  </si>
  <si>
    <t>Basis Data Terdistribusi (RBD)</t>
  </si>
  <si>
    <t>MPB31201</t>
  </si>
  <si>
    <t>Sistem Kendali</t>
  </si>
  <si>
    <t>SI220</t>
  </si>
  <si>
    <t>Pengolahan Data Terdistribusi</t>
  </si>
  <si>
    <t>SI226</t>
  </si>
  <si>
    <t>Data Mining (Pilihan EB)</t>
  </si>
  <si>
    <t>SI207</t>
  </si>
  <si>
    <t>Logika Matematika</t>
  </si>
  <si>
    <t>MKK311013</t>
  </si>
  <si>
    <t>Rangkaian Digital</t>
  </si>
  <si>
    <t>MPB311005</t>
  </si>
  <si>
    <t>Troubleshooting</t>
  </si>
  <si>
    <t>SI306</t>
  </si>
  <si>
    <t>Teori Bahasa Otomata</t>
  </si>
  <si>
    <t>SI411</t>
  </si>
  <si>
    <t>Sistem Informasi Manufaktur</t>
  </si>
  <si>
    <t>MPB313018</t>
  </si>
  <si>
    <t>Jaringan Nirkabel</t>
  </si>
  <si>
    <t>SI210</t>
  </si>
  <si>
    <t>TOEIC 04</t>
  </si>
  <si>
    <t>English for International Communication IV</t>
  </si>
  <si>
    <t>Statistik Deskriptif</t>
  </si>
  <si>
    <t>MKB311001</t>
  </si>
  <si>
    <t>Pikram Agustin</t>
  </si>
  <si>
    <t>2016110068P</t>
  </si>
  <si>
    <t>Aliansyah</t>
  </si>
  <si>
    <t>Febriyono Gultom</t>
  </si>
  <si>
    <t>Algoritma dan Pemrograman II</t>
  </si>
  <si>
    <t>MKB312012</t>
  </si>
  <si>
    <t>Komunikasi Data</t>
  </si>
  <si>
    <t>Prak Kewirausahaan</t>
  </si>
  <si>
    <t>Feri Hartadi</t>
  </si>
  <si>
    <t>SK401</t>
  </si>
  <si>
    <t>MKK31209</t>
  </si>
  <si>
    <t>SI223</t>
  </si>
  <si>
    <t>IGM102</t>
  </si>
  <si>
    <t>SK402</t>
  </si>
  <si>
    <t>FIK402</t>
  </si>
  <si>
    <t>TI325</t>
  </si>
  <si>
    <t>Pengolahan Citra</t>
  </si>
  <si>
    <t>E-Commerce</t>
  </si>
  <si>
    <t>MKB312013</t>
  </si>
  <si>
    <t>Programmable Logic Control</t>
  </si>
  <si>
    <t>TI307</t>
  </si>
  <si>
    <t>Grafika Komputer</t>
  </si>
  <si>
    <t>FK106</t>
  </si>
  <si>
    <t>Bahasa Indonesia</t>
  </si>
  <si>
    <t>Business Inteligence</t>
  </si>
  <si>
    <t>TI201</t>
  </si>
  <si>
    <t>B</t>
  </si>
  <si>
    <t>SI225</t>
  </si>
  <si>
    <t>Information Retrieval</t>
  </si>
  <si>
    <t>MKK311005</t>
  </si>
  <si>
    <t>Pemrograman II</t>
  </si>
  <si>
    <t>MPK311003</t>
  </si>
  <si>
    <t>MPB312002</t>
  </si>
  <si>
    <t>Teknik Interfacing dan Peripheral</t>
  </si>
  <si>
    <t>TI323</t>
  </si>
  <si>
    <t>Aplikasi Kecerdasan Buatan</t>
  </si>
  <si>
    <t>TOEIC 03</t>
  </si>
  <si>
    <t>SI401</t>
  </si>
  <si>
    <t>Pemrograman WEB + MYSQL</t>
  </si>
  <si>
    <t>SK222</t>
  </si>
  <si>
    <t>Robotika</t>
  </si>
  <si>
    <t>MKB311011</t>
  </si>
  <si>
    <t>Sistem Embedded II</t>
  </si>
  <si>
    <t>MKK31207</t>
  </si>
  <si>
    <t>MKK31212</t>
  </si>
  <si>
    <t>Rangkaian Listrik</t>
  </si>
  <si>
    <t>MKB312005</t>
  </si>
  <si>
    <t>Jaringan Komputer II (VLAN)</t>
  </si>
  <si>
    <t>Perancangan Sistem Informasi</t>
  </si>
  <si>
    <t>MKB312015</t>
  </si>
  <si>
    <t>MKB31207</t>
  </si>
  <si>
    <t>SI408</t>
  </si>
  <si>
    <t>MKK311015</t>
  </si>
  <si>
    <t>IGM 106</t>
  </si>
  <si>
    <t>SK218</t>
  </si>
  <si>
    <t>Interface Peripheral Komputer</t>
  </si>
  <si>
    <t>Kelvin Alvino</t>
  </si>
  <si>
    <t>MPB313016</t>
  </si>
  <si>
    <t>Keamanan Jaringan Komputer</t>
  </si>
  <si>
    <t>MBP313018</t>
  </si>
  <si>
    <t>Kriptografi &amp; Keamanan Informasi (Network System)</t>
  </si>
  <si>
    <t>IT Audit (Mk. Pilihan)</t>
  </si>
  <si>
    <t>Pemrograman Terstruktur</t>
  </si>
  <si>
    <t>SK304</t>
  </si>
  <si>
    <t>MKB311009</t>
  </si>
  <si>
    <t>Mikrotronika Dasar</t>
  </si>
  <si>
    <t>MKB311002</t>
  </si>
  <si>
    <t>Muhammad Syaifullah</t>
  </si>
  <si>
    <t>MKB311003</t>
  </si>
  <si>
    <t>Bahasa Rakitan</t>
  </si>
  <si>
    <t>MPB313021</t>
  </si>
  <si>
    <t>Rekayasa Trafik (Mk. Pilihan)</t>
  </si>
  <si>
    <t>MPK312004</t>
  </si>
  <si>
    <t>Kewirausahaan Teknologi</t>
  </si>
  <si>
    <t>MKB312006</t>
  </si>
  <si>
    <t>Pemrograman Visual II (Foxpro)</t>
  </si>
  <si>
    <t>Pemrograman Visual I</t>
  </si>
  <si>
    <t>MPK311006</t>
  </si>
  <si>
    <t>MPB312005</t>
  </si>
  <si>
    <t>SK403</t>
  </si>
  <si>
    <t>Business Inteligence (Mk. Pilihan)</t>
  </si>
  <si>
    <t>Teori Bahasa Automata</t>
  </si>
  <si>
    <t>MKB312008</t>
  </si>
  <si>
    <t>Arsitektur dan Organisasi Komputer</t>
  </si>
  <si>
    <t>MKB312007</t>
  </si>
  <si>
    <t>Testing Implementasi Sistem</t>
  </si>
  <si>
    <t>Web Programming</t>
  </si>
  <si>
    <t>Sistem Informasi Lanjut</t>
  </si>
  <si>
    <t>SK211</t>
  </si>
  <si>
    <t>Sistem Informasi Akuntansi (Mk. Pilihan)</t>
  </si>
  <si>
    <t>SK221</t>
  </si>
  <si>
    <t>Mikrokontroller</t>
  </si>
  <si>
    <t>Information Retrievel</t>
  </si>
  <si>
    <t>MBB311002</t>
  </si>
  <si>
    <t>Proposal Skripsi</t>
  </si>
  <si>
    <t>TI3345</t>
  </si>
  <si>
    <t>TI232</t>
  </si>
  <si>
    <t>IGM 102</t>
  </si>
  <si>
    <t>SI228</t>
  </si>
  <si>
    <t>Business Inteligence (Pil. EB)</t>
  </si>
  <si>
    <t>SK312</t>
  </si>
  <si>
    <t>SK208</t>
  </si>
  <si>
    <t>Wireless/Mobile Computing</t>
  </si>
  <si>
    <t>IGM 101</t>
  </si>
  <si>
    <t>MKK311010</t>
  </si>
  <si>
    <t>SK210</t>
  </si>
  <si>
    <t>MPB312012</t>
  </si>
  <si>
    <t>Permodelan dan Simulasi (Mk. Pilihan)</t>
  </si>
  <si>
    <t>MBP313022</t>
  </si>
  <si>
    <t>Proyek Jaringan (Network System)</t>
  </si>
  <si>
    <t>SK306</t>
  </si>
  <si>
    <t>SK308</t>
  </si>
  <si>
    <t>C</t>
  </si>
  <si>
    <t>MBB312003</t>
  </si>
  <si>
    <t>MPB312003</t>
  </si>
  <si>
    <t>SK207</t>
  </si>
  <si>
    <t>Peralatan Elektronika</t>
  </si>
  <si>
    <t>SK209</t>
  </si>
  <si>
    <t>MPB312014</t>
  </si>
  <si>
    <t>Proyek Sistem Embedid</t>
  </si>
  <si>
    <t>MKK312009</t>
  </si>
  <si>
    <t>SK205</t>
  </si>
  <si>
    <t>Pengenalan Pengaturan</t>
  </si>
  <si>
    <t>D</t>
  </si>
  <si>
    <t>MKK311003</t>
  </si>
  <si>
    <t>SK213</t>
  </si>
  <si>
    <t>Teori Rangkaian Listrik</t>
  </si>
  <si>
    <t>E</t>
  </si>
  <si>
    <t>IGM 105</t>
  </si>
  <si>
    <t>English for International Communication I</t>
  </si>
  <si>
    <t>MKK311001</t>
  </si>
  <si>
    <t>SK219</t>
  </si>
  <si>
    <t>Programmable Logic Controller</t>
  </si>
  <si>
    <t>SK311</t>
  </si>
  <si>
    <t>SK220</t>
  </si>
  <si>
    <t>Yogi Julinanda</t>
  </si>
  <si>
    <t>Dinda Dianta Wijaya</t>
  </si>
  <si>
    <t>Dasar Akuntansi</t>
  </si>
  <si>
    <t>Manajemen Sumbe Daya Manusia</t>
  </si>
  <si>
    <t>2016110069P</t>
  </si>
  <si>
    <t>Irma Yuliawati</t>
  </si>
  <si>
    <t>Total SKS</t>
  </si>
  <si>
    <t>Total Bobot</t>
  </si>
  <si>
    <t>Bobot Nilai</t>
  </si>
  <si>
    <t>IP</t>
  </si>
  <si>
    <t>IPK</t>
  </si>
  <si>
    <t>2016/2017-Ganjil</t>
  </si>
  <si>
    <t>2016/2017-Genap</t>
  </si>
  <si>
    <t>2020/2021-Genap</t>
  </si>
  <si>
    <t>TA Ambil</t>
  </si>
  <si>
    <t>Smt Ambil</t>
  </si>
  <si>
    <t>2017/2018-Ganjil</t>
  </si>
  <si>
    <t>Ulang Ke-</t>
  </si>
  <si>
    <t>2017/2018-Genap</t>
  </si>
  <si>
    <t>2018/2019-Ganjil</t>
  </si>
  <si>
    <t>2018/2019-Genap</t>
  </si>
  <si>
    <t>2019/2020-Ganjil</t>
  </si>
  <si>
    <t>2019/2020-Genap</t>
  </si>
  <si>
    <t>2020/2021-Ganjil</t>
  </si>
  <si>
    <t>2019/2020-Genap SP</t>
  </si>
  <si>
    <t>2018/2019-Genap SP</t>
  </si>
  <si>
    <t>2021/2022-Ganjil</t>
  </si>
  <si>
    <t>nan</t>
  </si>
  <si>
    <t>2021/2022-Genap</t>
  </si>
  <si>
    <t>2022/2023-Ganjil</t>
  </si>
  <si>
    <t>2021/2022-Genap SP</t>
  </si>
  <si>
    <t>2020/2021-Genap SP</t>
  </si>
  <si>
    <t>2019/2020 Genap</t>
  </si>
  <si>
    <t>2020/2021 Genap</t>
  </si>
  <si>
    <t>2019/2019 Genap</t>
  </si>
  <si>
    <t>2017/2018-Genap SP</t>
  </si>
  <si>
    <t>Multimedia</t>
  </si>
  <si>
    <t>2018/1019-Genap</t>
  </si>
  <si>
    <t>2018/1019-Ganjil</t>
  </si>
  <si>
    <t>0 ,00</t>
  </si>
  <si>
    <t>2.92</t>
  </si>
  <si>
    <t xml:space="preserve">2016/2017-Genap </t>
  </si>
  <si>
    <t xml:space="preserve">2019/2020-Genap </t>
  </si>
  <si>
    <t xml:space="preserve">2018/2019-Genap </t>
  </si>
  <si>
    <t>2019/2022-Genap</t>
  </si>
  <si>
    <t>Dosen Wali</t>
  </si>
  <si>
    <t>Status(D,G)</t>
  </si>
  <si>
    <t>Label(PA,FA,NX)</t>
  </si>
  <si>
    <t>NX</t>
  </si>
  <si>
    <t>G</t>
  </si>
  <si>
    <t>FK110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</si>
</sst>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9" fillId="0" borderId="0"/>
  </cellStyleXfs>
  <cellXfs count="9">
    <xf numFmtId="0" fontId="0" fillId="0" borderId="0" xfId="0"/>
    <xf numFmtId="0" fontId="0" fillId="33" borderId="0" xfId="0" applyFill="1"/>
    <xf numFmtId="2" fontId="0" fillId="0" borderId="0" xfId="0" applyNumberFormat="1"/>
    <xf numFmtId="0" fontId="18" fillId="0" borderId="0" xfId="0" applyFont="1"/>
    <xf numFmtId="0" fontId="0" fillId="0" borderId="0" xfId="0" quotePrefix="1"/>
    <xf numFmtId="0" fontId="0" fillId="33" borderId="0" xfId="0" quotePrefix="1" applyFill="1"/>
    <xf numFmtId="2" fontId="0" fillId="33" borderId="0" xfId="0" applyNumberFormat="1" applyFill="1"/>
    <xf numFmtId="0" fontId="0" fillId="34" borderId="0" xfId="0" applyFill="1"/>
    <xf numFmtId="0" fontId="20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F98EC6D8-0599-4B4C-8A75-058C5950840A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58"/>
  <sheetViews>
    <sheetView tabSelected="1" zoomScale="115" zoomScaleNormal="115" workbookViewId="0">
      <pane ySplit="1" topLeftCell="A4122" activePane="bottomLeft" state="frozen"/>
      <selection pane="bottomLeft" activeCell="F4127" sqref="F4127"/>
    </sheetView>
  </sheetViews>
  <sheetFormatPr defaultRowHeight="14.4" x14ac:dyDescent="0.3"/>
  <cols>
    <col min="1" max="1" width="16.33203125" customWidth="1"/>
    <col min="2" max="2" width="12" bestFit="1" customWidth="1"/>
    <col min="3" max="3" width="29.5546875" bestFit="1" customWidth="1"/>
    <col min="4" max="4" width="12.44140625" bestFit="1" customWidth="1"/>
    <col min="5" max="5" width="10.88671875" customWidth="1"/>
    <col min="6" max="6" width="44.33203125" bestFit="1" customWidth="1"/>
    <col min="7" max="7" width="3.77734375" customWidth="1"/>
    <col min="8" max="8" width="9.6640625" customWidth="1"/>
    <col min="9" max="9" width="6" customWidth="1"/>
    <col min="10" max="10" width="10.109375" customWidth="1"/>
    <col min="11" max="11" width="10.6640625" customWidth="1"/>
    <col min="12" max="12" width="8.44140625" customWidth="1"/>
    <col min="13" max="13" width="4.88671875" customWidth="1"/>
    <col min="14" max="14" width="5" customWidth="1"/>
    <col min="15" max="15" width="8.77734375" customWidth="1"/>
    <col min="16" max="16" width="9.109375" bestFit="1" customWidth="1"/>
    <col min="17" max="17" width="18.21875" bestFit="1" customWidth="1"/>
    <col min="18" max="18" width="10" bestFit="1" customWidth="1"/>
    <col min="19" max="19" width="13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592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555</v>
      </c>
      <c r="K1" t="s">
        <v>554</v>
      </c>
      <c r="L1" t="s">
        <v>553</v>
      </c>
      <c r="M1" t="s">
        <v>556</v>
      </c>
      <c r="N1" t="s">
        <v>557</v>
      </c>
      <c r="O1" t="s">
        <v>564</v>
      </c>
      <c r="P1" t="s">
        <v>562</v>
      </c>
      <c r="Q1" t="s">
        <v>561</v>
      </c>
      <c r="R1" t="s">
        <v>593</v>
      </c>
      <c r="S1" t="s">
        <v>594</v>
      </c>
    </row>
    <row r="2" spans="1:19" x14ac:dyDescent="0.3">
      <c r="A2" t="s">
        <v>12</v>
      </c>
      <c r="B2">
        <v>2016110001</v>
      </c>
      <c r="C2" t="s">
        <v>315</v>
      </c>
      <c r="E2" t="s">
        <v>131</v>
      </c>
      <c r="F2" t="s">
        <v>132</v>
      </c>
      <c r="G2">
        <v>2</v>
      </c>
      <c r="H2" t="s">
        <v>260</v>
      </c>
      <c r="I2" s="4">
        <f t="shared" ref="I2:I17" si="0">IF(H2="A",4,IF(H2="B",3,IF(H2="C",2,IF(H2="D",1,0))))</f>
        <v>4</v>
      </c>
      <c r="J2">
        <f t="shared" ref="J2:J17" si="1">G2*I2</f>
        <v>8</v>
      </c>
      <c r="K2">
        <v>70</v>
      </c>
      <c r="L2">
        <v>20</v>
      </c>
      <c r="M2" s="2">
        <v>3.5</v>
      </c>
      <c r="N2" s="2">
        <v>3.2</v>
      </c>
      <c r="O2">
        <v>0</v>
      </c>
      <c r="P2">
        <v>1</v>
      </c>
      <c r="Q2" s="4" t="str">
        <f t="shared" ref="Q2:Q33" si="2">IF(P2=1,"2016/2017-Ganjil",IF(P2=2,"2016/2017-Genap",IF(P2=3,"2017/2018-Ganjil",IF(P2=4,"2017/2018-Genap",IF(P2=5,"2018/2019-Ganjil",IF(P2=6,"2018/2019-Genap",IF(P2=7,"2019/2020-Ganjil",IF(P2=8,"2019/2020-Genap",IF(P2=9,"2020/2021-Ganjil",IF(P2=10,"2020/2021-Genap",IF(P2=11,"2021/2022-Ganjil",IF(P2=12,"2021/2022-Genap",IF(P2=13,"2022/2023-Ganjil","2022/2023-Genap")))))))))))))</f>
        <v>2016/2017-Ganjil</v>
      </c>
      <c r="R2" t="s">
        <v>260</v>
      </c>
      <c r="S2" t="str">
        <f>IF(OR(H2="A",H2="B",H2="C"),"PA","FA")</f>
        <v>PA</v>
      </c>
    </row>
    <row r="3" spans="1:19" x14ac:dyDescent="0.3">
      <c r="A3" t="s">
        <v>12</v>
      </c>
      <c r="B3">
        <v>2016110001</v>
      </c>
      <c r="C3" t="s">
        <v>315</v>
      </c>
      <c r="E3" t="s">
        <v>290</v>
      </c>
      <c r="F3" t="s">
        <v>327</v>
      </c>
      <c r="G3">
        <v>4</v>
      </c>
      <c r="H3" t="s">
        <v>260</v>
      </c>
      <c r="I3" s="4">
        <f t="shared" ref="I3:I15" si="3">IF(H3="A",4,IF(H3="B",3,IF(H3="C",2,IF(H3="D",1,0))))</f>
        <v>4</v>
      </c>
      <c r="J3">
        <f t="shared" ref="J3:J15" si="4">G3*I3</f>
        <v>16</v>
      </c>
      <c r="K3">
        <v>58</v>
      </c>
      <c r="L3">
        <v>20</v>
      </c>
      <c r="M3" s="2">
        <v>2.9</v>
      </c>
      <c r="N3" s="2">
        <v>3.2</v>
      </c>
      <c r="O3">
        <v>0</v>
      </c>
      <c r="P3">
        <v>2</v>
      </c>
      <c r="Q3" s="4" t="str">
        <f t="shared" si="2"/>
        <v>2016/2017-Genap</v>
      </c>
      <c r="R3" t="s">
        <v>535</v>
      </c>
      <c r="S3" t="str">
        <f t="shared" ref="S3:S15" si="5">IF(OR(H3="A",H3="B",H3="C"),"PA","FA")</f>
        <v>PA</v>
      </c>
    </row>
    <row r="4" spans="1:19" x14ac:dyDescent="0.3">
      <c r="A4" t="s">
        <v>12</v>
      </c>
      <c r="B4">
        <v>2016110001</v>
      </c>
      <c r="C4" t="s">
        <v>315</v>
      </c>
      <c r="E4" t="s">
        <v>103</v>
      </c>
      <c r="F4" t="s">
        <v>104</v>
      </c>
      <c r="G4">
        <v>4</v>
      </c>
      <c r="H4" t="s">
        <v>260</v>
      </c>
      <c r="I4" s="4">
        <f t="shared" si="3"/>
        <v>4</v>
      </c>
      <c r="J4">
        <f t="shared" si="4"/>
        <v>16</v>
      </c>
      <c r="K4">
        <v>58</v>
      </c>
      <c r="L4">
        <v>20</v>
      </c>
      <c r="M4" s="2">
        <v>2.9</v>
      </c>
      <c r="N4" s="2">
        <v>3.2</v>
      </c>
      <c r="O4">
        <v>0</v>
      </c>
      <c r="P4">
        <v>2</v>
      </c>
      <c r="Q4" s="4" t="str">
        <f t="shared" si="2"/>
        <v>2016/2017-Genap</v>
      </c>
      <c r="R4" t="s">
        <v>535</v>
      </c>
      <c r="S4" t="str">
        <f t="shared" si="5"/>
        <v>PA</v>
      </c>
    </row>
    <row r="5" spans="1:19" x14ac:dyDescent="0.3">
      <c r="A5" t="s">
        <v>12</v>
      </c>
      <c r="B5">
        <v>2016110001</v>
      </c>
      <c r="C5" t="s">
        <v>315</v>
      </c>
      <c r="E5" t="s">
        <v>122</v>
      </c>
      <c r="F5" t="s">
        <v>123</v>
      </c>
      <c r="G5">
        <v>4</v>
      </c>
      <c r="H5" t="s">
        <v>260</v>
      </c>
      <c r="I5" s="4">
        <f t="shared" si="3"/>
        <v>4</v>
      </c>
      <c r="J5">
        <f t="shared" si="4"/>
        <v>16</v>
      </c>
      <c r="K5">
        <v>70</v>
      </c>
      <c r="L5">
        <v>20</v>
      </c>
      <c r="M5" s="2">
        <v>3.5</v>
      </c>
      <c r="N5" s="2">
        <v>3.2</v>
      </c>
      <c r="O5">
        <v>0</v>
      </c>
      <c r="P5">
        <v>1</v>
      </c>
      <c r="Q5" s="4" t="str">
        <f t="shared" si="2"/>
        <v>2016/2017-Ganjil</v>
      </c>
      <c r="R5" t="s">
        <v>260</v>
      </c>
      <c r="S5" t="str">
        <f t="shared" si="5"/>
        <v>PA</v>
      </c>
    </row>
    <row r="6" spans="1:19" x14ac:dyDescent="0.3">
      <c r="A6" t="s">
        <v>12</v>
      </c>
      <c r="B6">
        <v>2016110001</v>
      </c>
      <c r="C6" t="s">
        <v>315</v>
      </c>
      <c r="E6" t="s">
        <v>151</v>
      </c>
      <c r="F6" t="s">
        <v>152</v>
      </c>
      <c r="G6">
        <v>2</v>
      </c>
      <c r="H6" t="s">
        <v>260</v>
      </c>
      <c r="I6" s="4">
        <f t="shared" si="3"/>
        <v>4</v>
      </c>
      <c r="J6">
        <f t="shared" si="4"/>
        <v>8</v>
      </c>
      <c r="K6">
        <v>70</v>
      </c>
      <c r="L6">
        <v>20</v>
      </c>
      <c r="M6" s="2">
        <v>3.5</v>
      </c>
      <c r="N6" s="2">
        <v>3.2</v>
      </c>
      <c r="O6">
        <v>0</v>
      </c>
      <c r="P6">
        <v>1</v>
      </c>
      <c r="Q6" s="4" t="str">
        <f t="shared" si="2"/>
        <v>2016/2017-Ganjil</v>
      </c>
      <c r="R6" t="s">
        <v>260</v>
      </c>
      <c r="S6" t="str">
        <f t="shared" si="5"/>
        <v>PA</v>
      </c>
    </row>
    <row r="7" spans="1:19" x14ac:dyDescent="0.3">
      <c r="A7" t="s">
        <v>12</v>
      </c>
      <c r="B7">
        <v>2016110001</v>
      </c>
      <c r="C7" t="s">
        <v>315</v>
      </c>
      <c r="E7" t="s">
        <v>77</v>
      </c>
      <c r="F7" t="s">
        <v>78</v>
      </c>
      <c r="G7">
        <v>2</v>
      </c>
      <c r="H7" t="s">
        <v>260</v>
      </c>
      <c r="I7" s="4">
        <f t="shared" si="3"/>
        <v>4</v>
      </c>
      <c r="J7">
        <f t="shared" si="4"/>
        <v>8</v>
      </c>
      <c r="K7">
        <v>70</v>
      </c>
      <c r="L7">
        <v>20</v>
      </c>
      <c r="M7" s="2">
        <v>3.5</v>
      </c>
      <c r="N7" s="2">
        <v>3.2</v>
      </c>
      <c r="O7">
        <v>0</v>
      </c>
      <c r="P7">
        <v>1</v>
      </c>
      <c r="Q7" s="4" t="str">
        <f t="shared" si="2"/>
        <v>2016/2017-Ganjil</v>
      </c>
      <c r="R7" t="s">
        <v>260</v>
      </c>
      <c r="S7" t="str">
        <f t="shared" si="5"/>
        <v>PA</v>
      </c>
    </row>
    <row r="8" spans="1:19" x14ac:dyDescent="0.3">
      <c r="A8" t="s">
        <v>12</v>
      </c>
      <c r="B8">
        <v>2016110001</v>
      </c>
      <c r="C8" t="s">
        <v>315</v>
      </c>
      <c r="E8" t="s">
        <v>142</v>
      </c>
      <c r="F8" t="s">
        <v>143</v>
      </c>
      <c r="G8">
        <v>2</v>
      </c>
      <c r="H8" t="s">
        <v>260</v>
      </c>
      <c r="I8" s="4">
        <f t="shared" si="3"/>
        <v>4</v>
      </c>
      <c r="J8">
        <f t="shared" si="4"/>
        <v>8</v>
      </c>
      <c r="K8">
        <v>70</v>
      </c>
      <c r="L8">
        <v>20</v>
      </c>
      <c r="M8" s="2">
        <v>3.5</v>
      </c>
      <c r="N8" s="2">
        <v>3.2</v>
      </c>
      <c r="O8">
        <v>0</v>
      </c>
      <c r="P8">
        <v>1</v>
      </c>
      <c r="Q8" s="4" t="str">
        <f t="shared" si="2"/>
        <v>2016/2017-Ganjil</v>
      </c>
      <c r="R8" t="s">
        <v>260</v>
      </c>
      <c r="S8" t="str">
        <f t="shared" si="5"/>
        <v>PA</v>
      </c>
    </row>
    <row r="9" spans="1:19" x14ac:dyDescent="0.3">
      <c r="A9" t="s">
        <v>12</v>
      </c>
      <c r="B9">
        <v>2016110001</v>
      </c>
      <c r="C9" t="s">
        <v>315</v>
      </c>
      <c r="E9" t="s">
        <v>437</v>
      </c>
      <c r="F9" t="s">
        <v>169</v>
      </c>
      <c r="G9">
        <v>4</v>
      </c>
      <c r="H9" t="s">
        <v>438</v>
      </c>
      <c r="I9" s="4">
        <f t="shared" si="3"/>
        <v>3</v>
      </c>
      <c r="J9">
        <f t="shared" si="4"/>
        <v>12</v>
      </c>
      <c r="K9">
        <v>70</v>
      </c>
      <c r="L9">
        <v>20</v>
      </c>
      <c r="M9" s="2">
        <v>3.5</v>
      </c>
      <c r="N9" s="2">
        <v>3.2</v>
      </c>
      <c r="O9">
        <v>0</v>
      </c>
      <c r="P9">
        <v>1</v>
      </c>
      <c r="Q9" s="4" t="str">
        <f t="shared" si="2"/>
        <v>2016/2017-Ganjil</v>
      </c>
      <c r="R9" t="s">
        <v>260</v>
      </c>
      <c r="S9" t="str">
        <f t="shared" si="5"/>
        <v>PA</v>
      </c>
    </row>
    <row r="10" spans="1:19" x14ac:dyDescent="0.3">
      <c r="A10" t="s">
        <v>12</v>
      </c>
      <c r="B10">
        <v>2016110001</v>
      </c>
      <c r="C10" t="s">
        <v>315</v>
      </c>
      <c r="E10" t="s">
        <v>279</v>
      </c>
      <c r="F10" t="s">
        <v>280</v>
      </c>
      <c r="G10">
        <v>2</v>
      </c>
      <c r="H10" t="s">
        <v>438</v>
      </c>
      <c r="I10" s="4">
        <f t="shared" si="3"/>
        <v>3</v>
      </c>
      <c r="J10">
        <f t="shared" si="4"/>
        <v>6</v>
      </c>
      <c r="K10">
        <v>58</v>
      </c>
      <c r="L10">
        <v>20</v>
      </c>
      <c r="M10" s="2">
        <v>2.9</v>
      </c>
      <c r="N10" s="2">
        <v>3.2</v>
      </c>
      <c r="O10">
        <v>0</v>
      </c>
      <c r="P10">
        <v>2</v>
      </c>
      <c r="Q10" s="4" t="str">
        <f t="shared" si="2"/>
        <v>2016/2017-Genap</v>
      </c>
      <c r="R10" t="s">
        <v>535</v>
      </c>
      <c r="S10" t="str">
        <f t="shared" si="5"/>
        <v>PA</v>
      </c>
    </row>
    <row r="11" spans="1:19" x14ac:dyDescent="0.3">
      <c r="A11" t="s">
        <v>12</v>
      </c>
      <c r="B11">
        <v>2016110001</v>
      </c>
      <c r="C11" t="s">
        <v>315</v>
      </c>
      <c r="E11" t="s">
        <v>165</v>
      </c>
      <c r="F11" t="s">
        <v>166</v>
      </c>
      <c r="G11">
        <v>2</v>
      </c>
      <c r="H11" t="s">
        <v>438</v>
      </c>
      <c r="I11" s="4">
        <f t="shared" si="3"/>
        <v>3</v>
      </c>
      <c r="J11">
        <f t="shared" si="4"/>
        <v>6</v>
      </c>
      <c r="K11">
        <v>70</v>
      </c>
      <c r="L11">
        <v>20</v>
      </c>
      <c r="M11" s="2">
        <v>3.5</v>
      </c>
      <c r="N11" s="2">
        <v>3.2</v>
      </c>
      <c r="O11">
        <v>0</v>
      </c>
      <c r="P11">
        <v>1</v>
      </c>
      <c r="Q11" s="4" t="str">
        <f t="shared" si="2"/>
        <v>2016/2017-Ganjil</v>
      </c>
      <c r="R11" t="s">
        <v>260</v>
      </c>
      <c r="S11" t="str">
        <f t="shared" si="5"/>
        <v>PA</v>
      </c>
    </row>
    <row r="12" spans="1:19" x14ac:dyDescent="0.3">
      <c r="A12" t="s">
        <v>12</v>
      </c>
      <c r="B12">
        <v>2016110001</v>
      </c>
      <c r="C12" t="s">
        <v>315</v>
      </c>
      <c r="E12" t="s">
        <v>97</v>
      </c>
      <c r="F12" t="s">
        <v>98</v>
      </c>
      <c r="G12">
        <v>4</v>
      </c>
      <c r="H12" t="s">
        <v>524</v>
      </c>
      <c r="I12" s="4">
        <f t="shared" si="3"/>
        <v>2</v>
      </c>
      <c r="J12">
        <f t="shared" si="4"/>
        <v>8</v>
      </c>
      <c r="K12">
        <v>58</v>
      </c>
      <c r="L12">
        <v>20</v>
      </c>
      <c r="M12" s="2">
        <v>2.9</v>
      </c>
      <c r="N12" s="2">
        <v>3.2</v>
      </c>
      <c r="O12">
        <v>0</v>
      </c>
      <c r="P12">
        <v>2</v>
      </c>
      <c r="Q12" s="4" t="str">
        <f t="shared" si="2"/>
        <v>2016/2017-Genap</v>
      </c>
      <c r="R12" t="s">
        <v>535</v>
      </c>
      <c r="S12" t="str">
        <f t="shared" si="5"/>
        <v>PA</v>
      </c>
    </row>
    <row r="13" spans="1:19" x14ac:dyDescent="0.3">
      <c r="A13" t="s">
        <v>12</v>
      </c>
      <c r="B13">
        <v>2016110001</v>
      </c>
      <c r="C13" t="s">
        <v>315</v>
      </c>
      <c r="E13" t="s">
        <v>90</v>
      </c>
      <c r="F13" t="s">
        <v>91</v>
      </c>
      <c r="G13">
        <v>2</v>
      </c>
      <c r="H13" t="s">
        <v>524</v>
      </c>
      <c r="I13" s="4">
        <f t="shared" si="3"/>
        <v>2</v>
      </c>
      <c r="J13">
        <f t="shared" si="4"/>
        <v>4</v>
      </c>
      <c r="K13">
        <v>70</v>
      </c>
      <c r="L13">
        <v>20</v>
      </c>
      <c r="M13" s="2">
        <v>3.5</v>
      </c>
      <c r="N13" s="2">
        <v>3.2</v>
      </c>
      <c r="O13">
        <v>0</v>
      </c>
      <c r="P13">
        <v>1</v>
      </c>
      <c r="Q13" s="4" t="str">
        <f t="shared" si="2"/>
        <v>2016/2017-Ganjil</v>
      </c>
      <c r="R13" t="s">
        <v>260</v>
      </c>
      <c r="S13" t="str">
        <f t="shared" si="5"/>
        <v>PA</v>
      </c>
    </row>
    <row r="14" spans="1:19" x14ac:dyDescent="0.3">
      <c r="A14" t="s">
        <v>12</v>
      </c>
      <c r="B14">
        <v>2016110001</v>
      </c>
      <c r="C14" t="s">
        <v>315</v>
      </c>
      <c r="E14" t="s">
        <v>139</v>
      </c>
      <c r="F14" t="s">
        <v>140</v>
      </c>
      <c r="G14">
        <v>2</v>
      </c>
      <c r="H14" t="s">
        <v>524</v>
      </c>
      <c r="I14" s="4">
        <f t="shared" si="3"/>
        <v>2</v>
      </c>
      <c r="J14">
        <f t="shared" si="4"/>
        <v>4</v>
      </c>
      <c r="K14">
        <v>58</v>
      </c>
      <c r="L14">
        <v>20</v>
      </c>
      <c r="M14" s="2">
        <v>2.9</v>
      </c>
      <c r="N14" s="2">
        <v>3.2</v>
      </c>
      <c r="O14">
        <v>0</v>
      </c>
      <c r="P14">
        <v>2</v>
      </c>
      <c r="Q14" s="4" t="str">
        <f t="shared" si="2"/>
        <v>2016/2017-Genap</v>
      </c>
      <c r="R14" t="s">
        <v>535</v>
      </c>
      <c r="S14" t="str">
        <f t="shared" si="5"/>
        <v>PA</v>
      </c>
    </row>
    <row r="15" spans="1:19" x14ac:dyDescent="0.3">
      <c r="A15" t="s">
        <v>12</v>
      </c>
      <c r="B15">
        <v>2016110001</v>
      </c>
      <c r="C15" t="s">
        <v>315</v>
      </c>
      <c r="E15" t="s">
        <v>100</v>
      </c>
      <c r="F15" t="s">
        <v>101</v>
      </c>
      <c r="G15">
        <v>4</v>
      </c>
      <c r="H15" t="s">
        <v>524</v>
      </c>
      <c r="I15" s="4">
        <f t="shared" si="3"/>
        <v>2</v>
      </c>
      <c r="J15">
        <f t="shared" si="4"/>
        <v>8</v>
      </c>
      <c r="K15">
        <v>58</v>
      </c>
      <c r="L15">
        <v>20</v>
      </c>
      <c r="M15" s="2">
        <v>2.9</v>
      </c>
      <c r="N15" s="2">
        <v>3.2</v>
      </c>
      <c r="O15">
        <v>0</v>
      </c>
      <c r="P15">
        <v>2</v>
      </c>
      <c r="Q15" s="4" t="str">
        <f t="shared" si="2"/>
        <v>2016/2017-Genap</v>
      </c>
      <c r="R15" t="s">
        <v>535</v>
      </c>
      <c r="S15" t="str">
        <f t="shared" si="5"/>
        <v>PA</v>
      </c>
    </row>
    <row r="16" spans="1:19" x14ac:dyDescent="0.3">
      <c r="A16" t="s">
        <v>12</v>
      </c>
      <c r="B16">
        <v>2016110002</v>
      </c>
      <c r="C16" t="s">
        <v>54</v>
      </c>
      <c r="E16" t="s">
        <v>31</v>
      </c>
      <c r="F16" t="s">
        <v>20</v>
      </c>
      <c r="G16">
        <v>4</v>
      </c>
      <c r="I16" s="4"/>
      <c r="J16">
        <f t="shared" si="1"/>
        <v>0</v>
      </c>
      <c r="K16">
        <v>50</v>
      </c>
      <c r="L16">
        <v>16</v>
      </c>
      <c r="M16" s="2">
        <v>3.13</v>
      </c>
      <c r="N16" s="2">
        <v>2.97</v>
      </c>
      <c r="O16">
        <v>0</v>
      </c>
      <c r="P16">
        <v>9</v>
      </c>
      <c r="Q16" s="4" t="str">
        <f t="shared" si="2"/>
        <v>2020/2021-Ganjil</v>
      </c>
      <c r="R16" t="s">
        <v>260</v>
      </c>
      <c r="S16" t="s">
        <v>595</v>
      </c>
    </row>
    <row r="17" spans="1:19" x14ac:dyDescent="0.3">
      <c r="A17" t="s">
        <v>12</v>
      </c>
      <c r="B17">
        <v>2016110002</v>
      </c>
      <c r="C17" t="s">
        <v>54</v>
      </c>
      <c r="E17" t="s">
        <v>31</v>
      </c>
      <c r="F17" t="s">
        <v>20</v>
      </c>
      <c r="G17">
        <v>4</v>
      </c>
      <c r="H17" t="s">
        <v>438</v>
      </c>
      <c r="I17" s="4">
        <f t="shared" si="0"/>
        <v>3</v>
      </c>
      <c r="J17">
        <f t="shared" si="1"/>
        <v>12</v>
      </c>
      <c r="K17">
        <v>12</v>
      </c>
      <c r="L17">
        <v>4</v>
      </c>
      <c r="M17" s="2">
        <v>3</v>
      </c>
      <c r="N17" s="2">
        <v>2.97</v>
      </c>
      <c r="O17">
        <v>1</v>
      </c>
      <c r="P17">
        <v>10</v>
      </c>
      <c r="Q17" s="4" t="str">
        <f t="shared" si="2"/>
        <v>2020/2021-Genap</v>
      </c>
      <c r="R17" t="s">
        <v>596</v>
      </c>
      <c r="S17" t="str">
        <f t="shared" ref="S17:S80" si="6">IF(OR(H17="A",H17="B",H17="C"),"PA","FA")</f>
        <v>PA</v>
      </c>
    </row>
    <row r="18" spans="1:19" x14ac:dyDescent="0.3">
      <c r="A18" t="s">
        <v>12</v>
      </c>
      <c r="B18">
        <v>2016110002</v>
      </c>
      <c r="C18" t="s">
        <v>54</v>
      </c>
      <c r="E18" t="s">
        <v>306</v>
      </c>
      <c r="F18" t="s">
        <v>307</v>
      </c>
      <c r="G18">
        <v>2</v>
      </c>
      <c r="H18" t="s">
        <v>260</v>
      </c>
      <c r="I18" s="4">
        <f t="shared" ref="I18:I81" si="7">IF(H18="A",4,IF(H18="B",3,IF(H18="C",2,IF(H18="D",1,0))))</f>
        <v>4</v>
      </c>
      <c r="J18">
        <f t="shared" ref="J18:J81" si="8">G18*I18</f>
        <v>8</v>
      </c>
      <c r="K18">
        <v>54</v>
      </c>
      <c r="L18">
        <v>18</v>
      </c>
      <c r="M18" s="2">
        <v>3</v>
      </c>
      <c r="N18" s="2">
        <v>2.97</v>
      </c>
      <c r="O18">
        <v>0</v>
      </c>
      <c r="P18">
        <v>7</v>
      </c>
      <c r="Q18" s="4" t="str">
        <f t="shared" si="2"/>
        <v>2019/2020-Ganjil</v>
      </c>
      <c r="R18" t="s">
        <v>260</v>
      </c>
      <c r="S18" t="str">
        <f t="shared" si="6"/>
        <v>PA</v>
      </c>
    </row>
    <row r="19" spans="1:19" x14ac:dyDescent="0.3">
      <c r="A19" t="s">
        <v>12</v>
      </c>
      <c r="B19">
        <v>2016110002</v>
      </c>
      <c r="C19" t="s">
        <v>54</v>
      </c>
      <c r="E19" t="s">
        <v>297</v>
      </c>
      <c r="F19" t="s">
        <v>342</v>
      </c>
      <c r="G19">
        <v>4</v>
      </c>
      <c r="H19" t="s">
        <v>260</v>
      </c>
      <c r="I19" s="4">
        <f t="shared" si="7"/>
        <v>4</v>
      </c>
      <c r="J19">
        <f t="shared" si="8"/>
        <v>16</v>
      </c>
      <c r="K19">
        <v>80</v>
      </c>
      <c r="L19">
        <v>24</v>
      </c>
      <c r="M19" s="2">
        <v>3.33</v>
      </c>
      <c r="N19" s="2">
        <v>2.97</v>
      </c>
      <c r="O19">
        <v>0</v>
      </c>
      <c r="P19">
        <v>8</v>
      </c>
      <c r="Q19" s="4" t="str">
        <f t="shared" si="2"/>
        <v>2019/2020-Genap</v>
      </c>
      <c r="R19" t="s">
        <v>260</v>
      </c>
      <c r="S19" t="str">
        <f t="shared" si="6"/>
        <v>PA</v>
      </c>
    </row>
    <row r="20" spans="1:19" x14ac:dyDescent="0.3">
      <c r="A20" t="s">
        <v>12</v>
      </c>
      <c r="B20">
        <v>2016110002</v>
      </c>
      <c r="C20" t="s">
        <v>54</v>
      </c>
      <c r="E20" t="s">
        <v>165</v>
      </c>
      <c r="F20" t="s">
        <v>166</v>
      </c>
      <c r="G20">
        <v>2</v>
      </c>
      <c r="H20" t="s">
        <v>260</v>
      </c>
      <c r="I20" s="4">
        <f t="shared" si="7"/>
        <v>4</v>
      </c>
      <c r="J20">
        <f t="shared" si="8"/>
        <v>8</v>
      </c>
      <c r="K20">
        <v>54</v>
      </c>
      <c r="L20">
        <v>20</v>
      </c>
      <c r="M20" s="2">
        <v>2.7</v>
      </c>
      <c r="N20" s="2">
        <v>2.97</v>
      </c>
      <c r="O20">
        <v>0</v>
      </c>
      <c r="P20">
        <v>1</v>
      </c>
      <c r="Q20" s="4" t="str">
        <f t="shared" si="2"/>
        <v>2016/2017-Ganjil</v>
      </c>
      <c r="R20" t="s">
        <v>260</v>
      </c>
      <c r="S20" t="str">
        <f t="shared" si="6"/>
        <v>PA</v>
      </c>
    </row>
    <row r="21" spans="1:19" x14ac:dyDescent="0.3">
      <c r="A21" t="s">
        <v>12</v>
      </c>
      <c r="B21">
        <v>2016110002</v>
      </c>
      <c r="C21" t="s">
        <v>54</v>
      </c>
      <c r="E21" t="s">
        <v>302</v>
      </c>
      <c r="F21" t="s">
        <v>303</v>
      </c>
      <c r="G21">
        <v>2</v>
      </c>
      <c r="H21" t="s">
        <v>260</v>
      </c>
      <c r="I21" s="4">
        <f t="shared" si="7"/>
        <v>4</v>
      </c>
      <c r="J21">
        <f t="shared" si="8"/>
        <v>8</v>
      </c>
      <c r="K21">
        <v>80</v>
      </c>
      <c r="L21">
        <v>24</v>
      </c>
      <c r="M21" s="2">
        <v>3.33</v>
      </c>
      <c r="N21" s="2">
        <v>2.97</v>
      </c>
      <c r="O21">
        <v>0</v>
      </c>
      <c r="P21">
        <v>8</v>
      </c>
      <c r="Q21" s="4" t="str">
        <f t="shared" si="2"/>
        <v>2019/2020-Genap</v>
      </c>
      <c r="R21" t="s">
        <v>260</v>
      </c>
      <c r="S21" t="str">
        <f t="shared" si="6"/>
        <v>PA</v>
      </c>
    </row>
    <row r="22" spans="1:19" x14ac:dyDescent="0.3">
      <c r="A22" t="s">
        <v>12</v>
      </c>
      <c r="B22">
        <v>2016110002</v>
      </c>
      <c r="C22" t="s">
        <v>54</v>
      </c>
      <c r="E22" t="s">
        <v>208</v>
      </c>
      <c r="F22" t="s">
        <v>209</v>
      </c>
      <c r="G22">
        <v>2</v>
      </c>
      <c r="H22" t="s">
        <v>260</v>
      </c>
      <c r="I22" s="4">
        <f t="shared" si="7"/>
        <v>4</v>
      </c>
      <c r="J22">
        <f t="shared" si="8"/>
        <v>8</v>
      </c>
      <c r="K22">
        <v>50</v>
      </c>
      <c r="L22">
        <v>16</v>
      </c>
      <c r="M22" s="2">
        <v>3.13</v>
      </c>
      <c r="N22" s="2">
        <v>2.97</v>
      </c>
      <c r="O22">
        <v>0</v>
      </c>
      <c r="P22">
        <v>9</v>
      </c>
      <c r="Q22" s="4" t="str">
        <f t="shared" si="2"/>
        <v>2020/2021-Ganjil</v>
      </c>
      <c r="R22" t="s">
        <v>260</v>
      </c>
      <c r="S22" t="str">
        <f t="shared" si="6"/>
        <v>PA</v>
      </c>
    </row>
    <row r="23" spans="1:19" x14ac:dyDescent="0.3">
      <c r="A23" t="s">
        <v>12</v>
      </c>
      <c r="B23">
        <v>2016110002</v>
      </c>
      <c r="C23" t="s">
        <v>54</v>
      </c>
      <c r="E23" t="s">
        <v>77</v>
      </c>
      <c r="F23" t="s">
        <v>78</v>
      </c>
      <c r="G23">
        <v>2</v>
      </c>
      <c r="H23" t="s">
        <v>260</v>
      </c>
      <c r="I23" s="4">
        <f t="shared" si="7"/>
        <v>4</v>
      </c>
      <c r="J23">
        <f t="shared" si="8"/>
        <v>8</v>
      </c>
      <c r="K23">
        <v>54</v>
      </c>
      <c r="L23">
        <v>20</v>
      </c>
      <c r="M23" s="2">
        <v>2.7</v>
      </c>
      <c r="N23" s="2">
        <v>2.97</v>
      </c>
      <c r="O23">
        <v>0</v>
      </c>
      <c r="P23">
        <v>1</v>
      </c>
      <c r="Q23" s="4" t="str">
        <f t="shared" si="2"/>
        <v>2016/2017-Ganjil</v>
      </c>
      <c r="R23" t="s">
        <v>260</v>
      </c>
      <c r="S23" t="str">
        <f t="shared" si="6"/>
        <v>PA</v>
      </c>
    </row>
    <row r="24" spans="1:19" x14ac:dyDescent="0.3">
      <c r="A24" t="s">
        <v>12</v>
      </c>
      <c r="B24">
        <v>2016110002</v>
      </c>
      <c r="C24" t="s">
        <v>54</v>
      </c>
      <c r="E24" t="s">
        <v>244</v>
      </c>
      <c r="F24" t="s">
        <v>228</v>
      </c>
      <c r="G24">
        <v>2</v>
      </c>
      <c r="H24" t="s">
        <v>438</v>
      </c>
      <c r="I24" s="4">
        <f t="shared" si="7"/>
        <v>3</v>
      </c>
      <c r="J24">
        <f t="shared" si="8"/>
        <v>6</v>
      </c>
      <c r="K24">
        <v>44</v>
      </c>
      <c r="L24">
        <v>18</v>
      </c>
      <c r="M24" s="2">
        <v>2.44</v>
      </c>
      <c r="N24" s="2">
        <v>2.97</v>
      </c>
      <c r="O24">
        <v>0</v>
      </c>
      <c r="P24">
        <v>4</v>
      </c>
      <c r="Q24" s="4" t="str">
        <f t="shared" si="2"/>
        <v>2017/2018-Genap</v>
      </c>
      <c r="R24" t="s">
        <v>260</v>
      </c>
      <c r="S24" t="str">
        <f t="shared" si="6"/>
        <v>PA</v>
      </c>
    </row>
    <row r="25" spans="1:19" x14ac:dyDescent="0.3">
      <c r="A25" t="s">
        <v>12</v>
      </c>
      <c r="B25">
        <v>2016110002</v>
      </c>
      <c r="C25" t="s">
        <v>54</v>
      </c>
      <c r="E25" t="s">
        <v>97</v>
      </c>
      <c r="F25" t="s">
        <v>98</v>
      </c>
      <c r="G25">
        <v>4</v>
      </c>
      <c r="H25" t="s">
        <v>438</v>
      </c>
      <c r="I25" s="4">
        <f t="shared" si="7"/>
        <v>3</v>
      </c>
      <c r="J25">
        <f t="shared" si="8"/>
        <v>12</v>
      </c>
      <c r="K25">
        <v>44</v>
      </c>
      <c r="L25">
        <v>20</v>
      </c>
      <c r="M25" s="2">
        <v>2.2000000000000002</v>
      </c>
      <c r="N25" s="2">
        <v>2.97</v>
      </c>
      <c r="O25">
        <v>0</v>
      </c>
      <c r="P25">
        <v>2</v>
      </c>
      <c r="Q25" s="4" t="str">
        <f t="shared" si="2"/>
        <v>2016/2017-Genap</v>
      </c>
      <c r="R25" t="s">
        <v>260</v>
      </c>
      <c r="S25" t="str">
        <f t="shared" si="6"/>
        <v>PA</v>
      </c>
    </row>
    <row r="26" spans="1:19" x14ac:dyDescent="0.3">
      <c r="A26" t="s">
        <v>12</v>
      </c>
      <c r="B26">
        <v>2016110002</v>
      </c>
      <c r="C26" t="s">
        <v>54</v>
      </c>
      <c r="E26" t="s">
        <v>276</v>
      </c>
      <c r="F26" t="s">
        <v>137</v>
      </c>
      <c r="G26">
        <v>4</v>
      </c>
      <c r="H26" t="s">
        <v>438</v>
      </c>
      <c r="I26" s="4">
        <f t="shared" si="7"/>
        <v>3</v>
      </c>
      <c r="J26">
        <f t="shared" si="8"/>
        <v>12</v>
      </c>
      <c r="K26">
        <v>44</v>
      </c>
      <c r="L26">
        <v>18</v>
      </c>
      <c r="M26" s="2">
        <v>2.44</v>
      </c>
      <c r="N26" s="2">
        <v>2.97</v>
      </c>
      <c r="O26">
        <v>0</v>
      </c>
      <c r="P26">
        <v>4</v>
      </c>
      <c r="Q26" s="4" t="str">
        <f t="shared" si="2"/>
        <v>2017/2018-Genap</v>
      </c>
      <c r="R26" t="s">
        <v>260</v>
      </c>
      <c r="S26" t="str">
        <f t="shared" si="6"/>
        <v>PA</v>
      </c>
    </row>
    <row r="27" spans="1:19" x14ac:dyDescent="0.3">
      <c r="A27" t="s">
        <v>12</v>
      </c>
      <c r="B27">
        <v>2016110002</v>
      </c>
      <c r="C27" t="s">
        <v>54</v>
      </c>
      <c r="E27" t="s">
        <v>283</v>
      </c>
      <c r="F27" t="s">
        <v>284</v>
      </c>
      <c r="G27">
        <v>2</v>
      </c>
      <c r="H27" t="s">
        <v>438</v>
      </c>
      <c r="I27" s="4">
        <f t="shared" si="7"/>
        <v>3</v>
      </c>
      <c r="J27">
        <f t="shared" si="8"/>
        <v>6</v>
      </c>
      <c r="K27">
        <v>54</v>
      </c>
      <c r="L27">
        <v>18</v>
      </c>
      <c r="M27" s="2">
        <v>3</v>
      </c>
      <c r="N27" s="2">
        <v>2.97</v>
      </c>
      <c r="O27">
        <v>0</v>
      </c>
      <c r="P27">
        <v>7</v>
      </c>
      <c r="Q27" s="4" t="str">
        <f t="shared" si="2"/>
        <v>2019/2020-Ganjil</v>
      </c>
      <c r="R27" t="s">
        <v>260</v>
      </c>
      <c r="S27" t="str">
        <f t="shared" si="6"/>
        <v>PA</v>
      </c>
    </row>
    <row r="28" spans="1:19" x14ac:dyDescent="0.3">
      <c r="A28" t="s">
        <v>12</v>
      </c>
      <c r="B28">
        <v>2016110002</v>
      </c>
      <c r="C28" t="s">
        <v>54</v>
      </c>
      <c r="E28" t="s">
        <v>330</v>
      </c>
      <c r="F28" t="s">
        <v>108</v>
      </c>
      <c r="G28">
        <v>2</v>
      </c>
      <c r="H28" t="s">
        <v>438</v>
      </c>
      <c r="I28" s="4">
        <f t="shared" si="7"/>
        <v>3</v>
      </c>
      <c r="J28">
        <f t="shared" si="8"/>
        <v>6</v>
      </c>
      <c r="K28">
        <v>54</v>
      </c>
      <c r="L28">
        <v>18</v>
      </c>
      <c r="M28" s="2">
        <v>3</v>
      </c>
      <c r="N28" s="2">
        <v>2.97</v>
      </c>
      <c r="O28">
        <v>0</v>
      </c>
      <c r="P28">
        <v>7</v>
      </c>
      <c r="Q28" s="4" t="str">
        <f t="shared" si="2"/>
        <v>2019/2020-Ganjil</v>
      </c>
      <c r="R28" t="s">
        <v>260</v>
      </c>
      <c r="S28" t="str">
        <f t="shared" si="6"/>
        <v>PA</v>
      </c>
    </row>
    <row r="29" spans="1:19" x14ac:dyDescent="0.3">
      <c r="A29" t="s">
        <v>12</v>
      </c>
      <c r="B29">
        <v>2016110002</v>
      </c>
      <c r="C29" t="s">
        <v>54</v>
      </c>
      <c r="E29" t="s">
        <v>39</v>
      </c>
      <c r="F29" t="s">
        <v>11</v>
      </c>
      <c r="G29">
        <v>2</v>
      </c>
      <c r="H29" t="s">
        <v>438</v>
      </c>
      <c r="I29" s="4">
        <f t="shared" si="7"/>
        <v>3</v>
      </c>
      <c r="J29">
        <f t="shared" si="8"/>
        <v>6</v>
      </c>
      <c r="K29">
        <v>80</v>
      </c>
      <c r="L29">
        <v>24</v>
      </c>
      <c r="M29" s="2">
        <v>3.33</v>
      </c>
      <c r="N29" s="2">
        <v>2.97</v>
      </c>
      <c r="O29">
        <v>0</v>
      </c>
      <c r="P29">
        <v>8</v>
      </c>
      <c r="Q29" s="4" t="str">
        <f t="shared" si="2"/>
        <v>2019/2020-Genap</v>
      </c>
      <c r="R29" t="s">
        <v>260</v>
      </c>
      <c r="S29" t="str">
        <f t="shared" si="6"/>
        <v>PA</v>
      </c>
    </row>
    <row r="30" spans="1:19" x14ac:dyDescent="0.3">
      <c r="A30" t="s">
        <v>12</v>
      </c>
      <c r="B30">
        <v>2016110002</v>
      </c>
      <c r="C30" t="s">
        <v>54</v>
      </c>
      <c r="E30" t="s">
        <v>427</v>
      </c>
      <c r="F30" t="s">
        <v>428</v>
      </c>
      <c r="G30">
        <v>2</v>
      </c>
      <c r="H30" t="s">
        <v>438</v>
      </c>
      <c r="I30" s="4">
        <f t="shared" si="7"/>
        <v>3</v>
      </c>
      <c r="J30">
        <f t="shared" si="8"/>
        <v>6</v>
      </c>
      <c r="K30">
        <v>44</v>
      </c>
      <c r="L30">
        <v>18</v>
      </c>
      <c r="M30" s="2">
        <v>2.44</v>
      </c>
      <c r="N30" s="2">
        <v>2.97</v>
      </c>
      <c r="O30">
        <v>0</v>
      </c>
      <c r="P30">
        <v>6</v>
      </c>
      <c r="Q30" s="4" t="str">
        <f t="shared" si="2"/>
        <v>2018/2019-Genap</v>
      </c>
      <c r="R30" t="s">
        <v>260</v>
      </c>
      <c r="S30" t="str">
        <f t="shared" si="6"/>
        <v>PA</v>
      </c>
    </row>
    <row r="31" spans="1:19" x14ac:dyDescent="0.3">
      <c r="A31" t="s">
        <v>12</v>
      </c>
      <c r="B31">
        <v>2016110002</v>
      </c>
      <c r="C31" t="s">
        <v>54</v>
      </c>
      <c r="E31" t="s">
        <v>190</v>
      </c>
      <c r="F31" t="s">
        <v>191</v>
      </c>
      <c r="G31">
        <v>4</v>
      </c>
      <c r="H31" t="s">
        <v>438</v>
      </c>
      <c r="I31" s="4">
        <f t="shared" si="7"/>
        <v>3</v>
      </c>
      <c r="J31">
        <f t="shared" si="8"/>
        <v>12</v>
      </c>
      <c r="K31">
        <v>40</v>
      </c>
      <c r="L31">
        <v>18</v>
      </c>
      <c r="M31" s="2">
        <v>2.2200000000000002</v>
      </c>
      <c r="N31" s="2">
        <v>2.97</v>
      </c>
      <c r="O31">
        <v>0</v>
      </c>
      <c r="P31">
        <v>3</v>
      </c>
      <c r="Q31" s="4" t="str">
        <f t="shared" si="2"/>
        <v>2017/2018-Ganjil</v>
      </c>
      <c r="R31" t="s">
        <v>260</v>
      </c>
      <c r="S31" t="str">
        <f t="shared" si="6"/>
        <v>PA</v>
      </c>
    </row>
    <row r="32" spans="1:19" x14ac:dyDescent="0.3">
      <c r="A32" t="s">
        <v>12</v>
      </c>
      <c r="B32">
        <v>2016110002</v>
      </c>
      <c r="C32" t="s">
        <v>54</v>
      </c>
      <c r="E32" t="s">
        <v>372</v>
      </c>
      <c r="F32" t="s">
        <v>373</v>
      </c>
      <c r="G32">
        <v>2</v>
      </c>
      <c r="H32" t="s">
        <v>438</v>
      </c>
      <c r="I32" s="4">
        <f t="shared" si="7"/>
        <v>3</v>
      </c>
      <c r="J32">
        <f t="shared" si="8"/>
        <v>6</v>
      </c>
      <c r="K32">
        <v>44</v>
      </c>
      <c r="L32">
        <v>18</v>
      </c>
      <c r="M32" s="2">
        <v>2.44</v>
      </c>
      <c r="N32" s="2">
        <v>2.97</v>
      </c>
      <c r="O32">
        <v>0</v>
      </c>
      <c r="P32">
        <v>6</v>
      </c>
      <c r="Q32" s="4" t="str">
        <f t="shared" si="2"/>
        <v>2018/2019-Genap</v>
      </c>
      <c r="R32" t="s">
        <v>260</v>
      </c>
      <c r="S32" t="str">
        <f t="shared" si="6"/>
        <v>PA</v>
      </c>
    </row>
    <row r="33" spans="1:19" x14ac:dyDescent="0.3">
      <c r="A33" t="s">
        <v>12</v>
      </c>
      <c r="B33">
        <v>2016110002</v>
      </c>
      <c r="C33" t="s">
        <v>54</v>
      </c>
      <c r="E33" t="s">
        <v>131</v>
      </c>
      <c r="F33" t="s">
        <v>132</v>
      </c>
      <c r="G33">
        <v>2</v>
      </c>
      <c r="H33" t="s">
        <v>438</v>
      </c>
      <c r="I33" s="4">
        <f t="shared" si="7"/>
        <v>3</v>
      </c>
      <c r="J33">
        <f t="shared" si="8"/>
        <v>6</v>
      </c>
      <c r="K33">
        <v>54</v>
      </c>
      <c r="L33">
        <v>20</v>
      </c>
      <c r="M33" s="2">
        <v>2.7</v>
      </c>
      <c r="N33" s="2">
        <v>2.97</v>
      </c>
      <c r="O33">
        <v>0</v>
      </c>
      <c r="P33">
        <v>1</v>
      </c>
      <c r="Q33" s="4" t="str">
        <f t="shared" si="2"/>
        <v>2016/2017-Ganjil</v>
      </c>
      <c r="R33" t="s">
        <v>260</v>
      </c>
      <c r="S33" t="str">
        <f t="shared" si="6"/>
        <v>PA</v>
      </c>
    </row>
    <row r="34" spans="1:19" x14ac:dyDescent="0.3">
      <c r="A34" t="s">
        <v>12</v>
      </c>
      <c r="B34">
        <v>2016110002</v>
      </c>
      <c r="C34" t="s">
        <v>54</v>
      </c>
      <c r="E34" t="s">
        <v>262</v>
      </c>
      <c r="F34" t="s">
        <v>263</v>
      </c>
      <c r="G34">
        <v>2</v>
      </c>
      <c r="H34" t="s">
        <v>438</v>
      </c>
      <c r="I34" s="4">
        <f t="shared" si="7"/>
        <v>3</v>
      </c>
      <c r="J34">
        <f t="shared" si="8"/>
        <v>6</v>
      </c>
      <c r="K34">
        <v>44</v>
      </c>
      <c r="L34">
        <v>18</v>
      </c>
      <c r="M34" s="2">
        <v>2.44</v>
      </c>
      <c r="N34" s="2">
        <v>2.97</v>
      </c>
      <c r="O34">
        <v>0</v>
      </c>
      <c r="P34">
        <v>6</v>
      </c>
      <c r="Q34" s="4" t="str">
        <f t="shared" ref="Q34:Q51" si="9">IF(P34=1,"2016/2017-Ganjil",IF(P34=2,"2016/2017-Genap",IF(P34=3,"2017/2018-Ganjil",IF(P34=4,"2017/2018-Genap",IF(P34=5,"2018/2019-Ganjil",IF(P34=6,"2018/2019-Genap",IF(P34=7,"2019/2020-Ganjil",IF(P34=8,"2019/2020-Genap",IF(P34=9,"2020/2021-Ganjil",IF(P34=10,"2020/2021-Genap",IF(P34=11,"2021/2022-Ganjil",IF(P34=12,"2021/2022-Genap",IF(P34=13,"2022/2023-Ganjil","2022/2023-Genap")))))))))))))</f>
        <v>2018/2019-Genap</v>
      </c>
      <c r="R34" t="s">
        <v>260</v>
      </c>
      <c r="S34" t="str">
        <f t="shared" si="6"/>
        <v>PA</v>
      </c>
    </row>
    <row r="35" spans="1:19" x14ac:dyDescent="0.3">
      <c r="A35" t="s">
        <v>12</v>
      </c>
      <c r="B35">
        <v>2016110002</v>
      </c>
      <c r="C35" t="s">
        <v>54</v>
      </c>
      <c r="E35" t="s">
        <v>337</v>
      </c>
      <c r="F35" t="s">
        <v>338</v>
      </c>
      <c r="G35">
        <v>2</v>
      </c>
      <c r="H35" t="s">
        <v>438</v>
      </c>
      <c r="I35" s="4">
        <f t="shared" si="7"/>
        <v>3</v>
      </c>
      <c r="J35">
        <f t="shared" si="8"/>
        <v>6</v>
      </c>
      <c r="K35">
        <v>54</v>
      </c>
      <c r="L35">
        <v>18</v>
      </c>
      <c r="M35" s="2">
        <v>3</v>
      </c>
      <c r="N35" s="2">
        <v>2.97</v>
      </c>
      <c r="O35">
        <v>0</v>
      </c>
      <c r="P35">
        <v>7</v>
      </c>
      <c r="Q35" s="4" t="str">
        <f t="shared" si="9"/>
        <v>2019/2020-Ganjil</v>
      </c>
      <c r="R35" t="s">
        <v>260</v>
      </c>
      <c r="S35" t="str">
        <f t="shared" si="6"/>
        <v>PA</v>
      </c>
    </row>
    <row r="36" spans="1:19" x14ac:dyDescent="0.3">
      <c r="A36" t="s">
        <v>12</v>
      </c>
      <c r="B36">
        <v>2016110002</v>
      </c>
      <c r="C36" t="s">
        <v>54</v>
      </c>
      <c r="E36" t="s">
        <v>248</v>
      </c>
      <c r="F36" t="s">
        <v>249</v>
      </c>
      <c r="G36">
        <v>2</v>
      </c>
      <c r="H36" t="s">
        <v>438</v>
      </c>
      <c r="I36" s="4">
        <f t="shared" si="7"/>
        <v>3</v>
      </c>
      <c r="J36">
        <f t="shared" si="8"/>
        <v>6</v>
      </c>
      <c r="K36">
        <v>44</v>
      </c>
      <c r="L36">
        <v>18</v>
      </c>
      <c r="M36" s="2">
        <v>2.44</v>
      </c>
      <c r="N36" s="2">
        <v>2.97</v>
      </c>
      <c r="O36">
        <v>0</v>
      </c>
      <c r="P36">
        <v>4</v>
      </c>
      <c r="Q36" s="4" t="str">
        <f t="shared" si="9"/>
        <v>2017/2018-Genap</v>
      </c>
      <c r="R36" t="s">
        <v>260</v>
      </c>
      <c r="S36" t="str">
        <f t="shared" si="6"/>
        <v>PA</v>
      </c>
    </row>
    <row r="37" spans="1:19" x14ac:dyDescent="0.3">
      <c r="A37" t="s">
        <v>12</v>
      </c>
      <c r="B37">
        <v>2016110002</v>
      </c>
      <c r="C37" t="s">
        <v>54</v>
      </c>
      <c r="E37" t="s">
        <v>139</v>
      </c>
      <c r="F37" t="s">
        <v>140</v>
      </c>
      <c r="G37">
        <v>2</v>
      </c>
      <c r="H37" t="s">
        <v>438</v>
      </c>
      <c r="I37" s="4">
        <f t="shared" si="7"/>
        <v>3</v>
      </c>
      <c r="J37">
        <f t="shared" si="8"/>
        <v>6</v>
      </c>
      <c r="K37">
        <v>44</v>
      </c>
      <c r="L37">
        <v>20</v>
      </c>
      <c r="M37" s="2">
        <v>2.2000000000000002</v>
      </c>
      <c r="N37" s="2">
        <v>2.97</v>
      </c>
      <c r="O37">
        <v>0</v>
      </c>
      <c r="P37">
        <v>2</v>
      </c>
      <c r="Q37" s="4" t="str">
        <f t="shared" si="9"/>
        <v>2016/2017-Genap</v>
      </c>
      <c r="R37" t="s">
        <v>260</v>
      </c>
      <c r="S37" t="str">
        <f t="shared" si="6"/>
        <v>PA</v>
      </c>
    </row>
    <row r="38" spans="1:19" x14ac:dyDescent="0.3">
      <c r="A38" t="s">
        <v>12</v>
      </c>
      <c r="B38">
        <v>2016110002</v>
      </c>
      <c r="C38" t="s">
        <v>54</v>
      </c>
      <c r="E38" t="s">
        <v>316</v>
      </c>
      <c r="F38" t="s">
        <v>317</v>
      </c>
      <c r="G38">
        <v>2</v>
      </c>
      <c r="H38" t="s">
        <v>438</v>
      </c>
      <c r="I38" s="4">
        <f t="shared" si="7"/>
        <v>3</v>
      </c>
      <c r="J38">
        <f t="shared" si="8"/>
        <v>6</v>
      </c>
      <c r="K38">
        <v>54</v>
      </c>
      <c r="L38">
        <v>18</v>
      </c>
      <c r="M38" s="2">
        <v>3</v>
      </c>
      <c r="N38" s="2">
        <v>2.97</v>
      </c>
      <c r="O38">
        <v>0</v>
      </c>
      <c r="P38">
        <v>7</v>
      </c>
      <c r="Q38" s="4" t="str">
        <f t="shared" si="9"/>
        <v>2019/2020-Ganjil</v>
      </c>
      <c r="R38" t="s">
        <v>260</v>
      </c>
      <c r="S38" t="str">
        <f t="shared" si="6"/>
        <v>PA</v>
      </c>
    </row>
    <row r="39" spans="1:19" x14ac:dyDescent="0.3">
      <c r="A39" t="s">
        <v>12</v>
      </c>
      <c r="B39">
        <v>2016110002</v>
      </c>
      <c r="C39" t="s">
        <v>54</v>
      </c>
      <c r="E39" t="s">
        <v>170</v>
      </c>
      <c r="F39" t="s">
        <v>171</v>
      </c>
      <c r="G39">
        <v>4</v>
      </c>
      <c r="H39" t="s">
        <v>438</v>
      </c>
      <c r="I39" s="4">
        <f t="shared" si="7"/>
        <v>3</v>
      </c>
      <c r="J39">
        <f t="shared" si="8"/>
        <v>12</v>
      </c>
      <c r="K39">
        <v>42</v>
      </c>
      <c r="L39">
        <v>18</v>
      </c>
      <c r="M39" s="2">
        <v>2.33</v>
      </c>
      <c r="N39" s="2">
        <v>2.97</v>
      </c>
      <c r="O39">
        <v>0</v>
      </c>
      <c r="P39">
        <v>5</v>
      </c>
      <c r="Q39" s="4" t="str">
        <f t="shared" si="9"/>
        <v>2018/2019-Ganjil</v>
      </c>
      <c r="R39" t="s">
        <v>260</v>
      </c>
      <c r="S39" t="str">
        <f t="shared" si="6"/>
        <v>PA</v>
      </c>
    </row>
    <row r="40" spans="1:19" x14ac:dyDescent="0.3">
      <c r="A40" t="s">
        <v>12</v>
      </c>
      <c r="B40">
        <v>2016110002</v>
      </c>
      <c r="C40" t="s">
        <v>54</v>
      </c>
      <c r="E40" t="s">
        <v>344</v>
      </c>
      <c r="F40" t="s">
        <v>345</v>
      </c>
      <c r="G40">
        <v>2</v>
      </c>
      <c r="H40" t="s">
        <v>438</v>
      </c>
      <c r="I40" s="4">
        <f t="shared" si="7"/>
        <v>3</v>
      </c>
      <c r="J40">
        <f t="shared" si="8"/>
        <v>6</v>
      </c>
      <c r="K40">
        <v>54</v>
      </c>
      <c r="L40">
        <v>18</v>
      </c>
      <c r="M40" s="2">
        <v>3</v>
      </c>
      <c r="N40" s="2">
        <v>2.97</v>
      </c>
      <c r="O40">
        <v>0</v>
      </c>
      <c r="P40">
        <v>7</v>
      </c>
      <c r="Q40" s="4" t="str">
        <f t="shared" si="9"/>
        <v>2019/2020-Ganjil</v>
      </c>
      <c r="R40" t="s">
        <v>260</v>
      </c>
      <c r="S40" t="str">
        <f t="shared" si="6"/>
        <v>PA</v>
      </c>
    </row>
    <row r="41" spans="1:19" x14ac:dyDescent="0.3">
      <c r="A41" t="s">
        <v>12</v>
      </c>
      <c r="B41">
        <v>2016110002</v>
      </c>
      <c r="C41" t="s">
        <v>54</v>
      </c>
      <c r="E41" t="s">
        <v>279</v>
      </c>
      <c r="F41" t="s">
        <v>280</v>
      </c>
      <c r="G41">
        <v>2</v>
      </c>
      <c r="H41" t="s">
        <v>438</v>
      </c>
      <c r="I41" s="4">
        <f t="shared" si="7"/>
        <v>3</v>
      </c>
      <c r="J41">
        <f t="shared" si="8"/>
        <v>6</v>
      </c>
      <c r="K41">
        <v>44</v>
      </c>
      <c r="L41">
        <v>20</v>
      </c>
      <c r="M41" s="2">
        <v>2.2000000000000002</v>
      </c>
      <c r="N41" s="2">
        <v>2.97</v>
      </c>
      <c r="O41">
        <v>0</v>
      </c>
      <c r="P41">
        <v>2</v>
      </c>
      <c r="Q41" s="4" t="str">
        <f t="shared" si="9"/>
        <v>2016/2017-Genap</v>
      </c>
      <c r="R41" t="s">
        <v>260</v>
      </c>
      <c r="S41" t="str">
        <f t="shared" si="6"/>
        <v>PA</v>
      </c>
    </row>
    <row r="42" spans="1:19" x14ac:dyDescent="0.3">
      <c r="A42" t="s">
        <v>12</v>
      </c>
      <c r="B42">
        <v>2016110002</v>
      </c>
      <c r="C42" t="s">
        <v>54</v>
      </c>
      <c r="E42" t="s">
        <v>370</v>
      </c>
      <c r="F42" t="s">
        <v>371</v>
      </c>
      <c r="G42">
        <v>2</v>
      </c>
      <c r="H42" t="s">
        <v>438</v>
      </c>
      <c r="I42" s="4">
        <f t="shared" si="7"/>
        <v>3</v>
      </c>
      <c r="J42">
        <f t="shared" si="8"/>
        <v>6</v>
      </c>
      <c r="K42">
        <v>42</v>
      </c>
      <c r="L42">
        <v>18</v>
      </c>
      <c r="M42" s="2">
        <v>2.33</v>
      </c>
      <c r="N42" s="2">
        <v>2.97</v>
      </c>
      <c r="O42">
        <v>0</v>
      </c>
      <c r="P42">
        <v>5</v>
      </c>
      <c r="Q42" s="4" t="str">
        <f t="shared" si="9"/>
        <v>2018/2019-Ganjil</v>
      </c>
      <c r="R42" t="s">
        <v>260</v>
      </c>
      <c r="S42" t="str">
        <f t="shared" si="6"/>
        <v>PA</v>
      </c>
    </row>
    <row r="43" spans="1:19" x14ac:dyDescent="0.3">
      <c r="A43" t="s">
        <v>12</v>
      </c>
      <c r="B43">
        <v>2016110002</v>
      </c>
      <c r="C43" t="s">
        <v>54</v>
      </c>
      <c r="E43" t="s">
        <v>122</v>
      </c>
      <c r="F43" t="s">
        <v>123</v>
      </c>
      <c r="G43">
        <v>4</v>
      </c>
      <c r="H43" t="s">
        <v>438</v>
      </c>
      <c r="I43" s="4">
        <f t="shared" si="7"/>
        <v>3</v>
      </c>
      <c r="J43">
        <f t="shared" si="8"/>
        <v>12</v>
      </c>
      <c r="K43">
        <v>54</v>
      </c>
      <c r="L43">
        <v>20</v>
      </c>
      <c r="M43" s="2">
        <v>2.7</v>
      </c>
      <c r="N43" s="2">
        <v>2.97</v>
      </c>
      <c r="O43">
        <v>0</v>
      </c>
      <c r="P43">
        <v>1</v>
      </c>
      <c r="Q43" s="4" t="str">
        <f t="shared" si="9"/>
        <v>2016/2017-Ganjil</v>
      </c>
      <c r="R43" t="s">
        <v>260</v>
      </c>
      <c r="S43" t="str">
        <f t="shared" si="6"/>
        <v>PA</v>
      </c>
    </row>
    <row r="44" spans="1:19" x14ac:dyDescent="0.3">
      <c r="A44" t="s">
        <v>12</v>
      </c>
      <c r="B44">
        <v>2016110002</v>
      </c>
      <c r="C44" t="s">
        <v>54</v>
      </c>
      <c r="E44" t="s">
        <v>14</v>
      </c>
      <c r="F44" t="s">
        <v>15</v>
      </c>
      <c r="G44">
        <v>2</v>
      </c>
      <c r="H44" t="s">
        <v>438</v>
      </c>
      <c r="I44" s="4">
        <f t="shared" si="7"/>
        <v>3</v>
      </c>
      <c r="J44">
        <f t="shared" si="8"/>
        <v>6</v>
      </c>
      <c r="K44">
        <v>50</v>
      </c>
      <c r="L44">
        <v>16</v>
      </c>
      <c r="M44" s="2">
        <v>3.13</v>
      </c>
      <c r="N44" s="2">
        <v>2.97</v>
      </c>
      <c r="O44">
        <v>0</v>
      </c>
      <c r="P44">
        <v>9</v>
      </c>
      <c r="Q44" s="4" t="str">
        <f t="shared" si="9"/>
        <v>2020/2021-Ganjil</v>
      </c>
      <c r="R44" t="s">
        <v>260</v>
      </c>
      <c r="S44" t="str">
        <f t="shared" si="6"/>
        <v>PA</v>
      </c>
    </row>
    <row r="45" spans="1:19" x14ac:dyDescent="0.3">
      <c r="A45" t="s">
        <v>12</v>
      </c>
      <c r="B45">
        <v>2016110002</v>
      </c>
      <c r="C45" t="s">
        <v>54</v>
      </c>
      <c r="E45" t="s">
        <v>446</v>
      </c>
      <c r="F45" t="s">
        <v>447</v>
      </c>
      <c r="G45">
        <v>2</v>
      </c>
      <c r="H45" t="s">
        <v>438</v>
      </c>
      <c r="I45" s="4">
        <f t="shared" si="7"/>
        <v>3</v>
      </c>
      <c r="J45">
        <f t="shared" si="8"/>
        <v>6</v>
      </c>
      <c r="K45">
        <v>44</v>
      </c>
      <c r="L45">
        <v>18</v>
      </c>
      <c r="M45" s="2">
        <v>2.44</v>
      </c>
      <c r="N45" s="2">
        <v>2.97</v>
      </c>
      <c r="O45">
        <v>0</v>
      </c>
      <c r="P45">
        <v>6</v>
      </c>
      <c r="Q45" s="4" t="str">
        <f t="shared" si="9"/>
        <v>2018/2019-Genap</v>
      </c>
      <c r="R45" t="s">
        <v>260</v>
      </c>
      <c r="S45" t="str">
        <f t="shared" si="6"/>
        <v>PA</v>
      </c>
    </row>
    <row r="46" spans="1:19" x14ac:dyDescent="0.3">
      <c r="A46" t="s">
        <v>12</v>
      </c>
      <c r="B46">
        <v>2016110002</v>
      </c>
      <c r="C46" t="s">
        <v>54</v>
      </c>
      <c r="E46" t="s">
        <v>90</v>
      </c>
      <c r="F46" t="s">
        <v>91</v>
      </c>
      <c r="G46">
        <v>2</v>
      </c>
      <c r="H46" t="s">
        <v>260</v>
      </c>
      <c r="I46" s="4">
        <f t="shared" si="7"/>
        <v>4</v>
      </c>
      <c r="J46">
        <f t="shared" si="8"/>
        <v>8</v>
      </c>
      <c r="K46">
        <v>50</v>
      </c>
      <c r="L46">
        <v>16</v>
      </c>
      <c r="M46" s="2">
        <v>3.13</v>
      </c>
      <c r="N46" s="2">
        <v>2.97</v>
      </c>
      <c r="O46">
        <v>1</v>
      </c>
      <c r="P46">
        <v>9</v>
      </c>
      <c r="Q46" s="4" t="str">
        <f t="shared" si="9"/>
        <v>2020/2021-Ganjil</v>
      </c>
      <c r="R46" t="s">
        <v>260</v>
      </c>
      <c r="S46" t="str">
        <f t="shared" si="6"/>
        <v>PA</v>
      </c>
    </row>
    <row r="47" spans="1:19" x14ac:dyDescent="0.3">
      <c r="A47" t="s">
        <v>12</v>
      </c>
      <c r="B47">
        <v>2016110002</v>
      </c>
      <c r="C47" t="s">
        <v>54</v>
      </c>
      <c r="E47" t="s">
        <v>90</v>
      </c>
      <c r="F47" t="s">
        <v>91</v>
      </c>
      <c r="G47">
        <v>2</v>
      </c>
      <c r="H47" t="s">
        <v>524</v>
      </c>
      <c r="I47" s="4">
        <f t="shared" si="7"/>
        <v>2</v>
      </c>
      <c r="J47">
        <f t="shared" si="8"/>
        <v>4</v>
      </c>
      <c r="K47">
        <v>54</v>
      </c>
      <c r="L47">
        <v>20</v>
      </c>
      <c r="M47" s="2">
        <v>2.7</v>
      </c>
      <c r="N47" s="2">
        <v>2.97</v>
      </c>
      <c r="O47">
        <v>0</v>
      </c>
      <c r="P47">
        <v>1</v>
      </c>
      <c r="Q47" s="4" t="str">
        <f t="shared" si="9"/>
        <v>2016/2017-Ganjil</v>
      </c>
      <c r="R47" t="s">
        <v>260</v>
      </c>
      <c r="S47" t="str">
        <f t="shared" si="6"/>
        <v>PA</v>
      </c>
    </row>
    <row r="48" spans="1:19" x14ac:dyDescent="0.3">
      <c r="A48" t="s">
        <v>12</v>
      </c>
      <c r="B48">
        <v>2016110002</v>
      </c>
      <c r="C48" t="s">
        <v>54</v>
      </c>
      <c r="E48" t="s">
        <v>257</v>
      </c>
      <c r="F48" t="s">
        <v>258</v>
      </c>
      <c r="G48">
        <v>4</v>
      </c>
      <c r="H48" t="s">
        <v>524</v>
      </c>
      <c r="I48" s="4">
        <f t="shared" si="7"/>
        <v>2</v>
      </c>
      <c r="J48">
        <f t="shared" si="8"/>
        <v>8</v>
      </c>
      <c r="K48">
        <v>44</v>
      </c>
      <c r="L48">
        <v>18</v>
      </c>
      <c r="M48" s="2">
        <v>2.44</v>
      </c>
      <c r="N48" s="2">
        <v>2.97</v>
      </c>
      <c r="O48">
        <v>0</v>
      </c>
      <c r="P48">
        <v>6</v>
      </c>
      <c r="Q48" s="4" t="str">
        <f t="shared" si="9"/>
        <v>2018/2019-Genap</v>
      </c>
      <c r="R48" t="s">
        <v>260</v>
      </c>
      <c r="S48" t="str">
        <f t="shared" si="6"/>
        <v>PA</v>
      </c>
    </row>
    <row r="49" spans="1:19" x14ac:dyDescent="0.3">
      <c r="A49" t="s">
        <v>12</v>
      </c>
      <c r="B49">
        <v>2016110002</v>
      </c>
      <c r="C49" t="s">
        <v>54</v>
      </c>
      <c r="E49" t="s">
        <v>257</v>
      </c>
      <c r="F49" t="s">
        <v>258</v>
      </c>
      <c r="G49">
        <v>4</v>
      </c>
      <c r="H49" t="s">
        <v>438</v>
      </c>
      <c r="I49" s="4">
        <f t="shared" si="7"/>
        <v>3</v>
      </c>
      <c r="J49">
        <f t="shared" si="8"/>
        <v>12</v>
      </c>
      <c r="K49">
        <v>80</v>
      </c>
      <c r="L49">
        <v>24</v>
      </c>
      <c r="M49" s="2">
        <v>3.33</v>
      </c>
      <c r="N49" s="2">
        <v>2.97</v>
      </c>
      <c r="O49">
        <v>1</v>
      </c>
      <c r="P49">
        <v>8</v>
      </c>
      <c r="Q49" s="4" t="str">
        <f t="shared" si="9"/>
        <v>2019/2020-Genap</v>
      </c>
      <c r="R49" t="s">
        <v>260</v>
      </c>
      <c r="S49" t="str">
        <f t="shared" si="6"/>
        <v>PA</v>
      </c>
    </row>
    <row r="50" spans="1:19" x14ac:dyDescent="0.3">
      <c r="A50" t="s">
        <v>12</v>
      </c>
      <c r="B50">
        <v>2016110002</v>
      </c>
      <c r="C50" t="s">
        <v>54</v>
      </c>
      <c r="E50" t="s">
        <v>290</v>
      </c>
      <c r="F50" t="s">
        <v>327</v>
      </c>
      <c r="G50">
        <v>4</v>
      </c>
      <c r="H50" t="s">
        <v>524</v>
      </c>
      <c r="I50" s="4">
        <f t="shared" si="7"/>
        <v>2</v>
      </c>
      <c r="J50">
        <f t="shared" si="8"/>
        <v>8</v>
      </c>
      <c r="K50">
        <v>44</v>
      </c>
      <c r="L50">
        <v>20</v>
      </c>
      <c r="M50" s="2">
        <v>2.2000000000000002</v>
      </c>
      <c r="N50" s="2">
        <v>2.97</v>
      </c>
      <c r="O50">
        <v>0</v>
      </c>
      <c r="P50">
        <v>2</v>
      </c>
      <c r="Q50" s="4" t="str">
        <f t="shared" si="9"/>
        <v>2016/2017-Genap</v>
      </c>
      <c r="R50" t="s">
        <v>260</v>
      </c>
      <c r="S50" t="str">
        <f t="shared" si="6"/>
        <v>PA</v>
      </c>
    </row>
    <row r="51" spans="1:19" x14ac:dyDescent="0.3">
      <c r="A51" t="s">
        <v>12</v>
      </c>
      <c r="B51">
        <v>2016110002</v>
      </c>
      <c r="C51" t="s">
        <v>54</v>
      </c>
      <c r="E51" t="s">
        <v>211</v>
      </c>
      <c r="F51" t="s">
        <v>186</v>
      </c>
      <c r="G51">
        <v>4</v>
      </c>
      <c r="H51" t="s">
        <v>524</v>
      </c>
      <c r="I51" s="4">
        <f t="shared" si="7"/>
        <v>2</v>
      </c>
      <c r="J51">
        <f t="shared" si="8"/>
        <v>8</v>
      </c>
      <c r="K51">
        <v>42</v>
      </c>
      <c r="L51">
        <v>18</v>
      </c>
      <c r="M51" s="2">
        <v>2.33</v>
      </c>
      <c r="N51" s="2">
        <v>2.97</v>
      </c>
      <c r="O51">
        <v>0</v>
      </c>
      <c r="P51">
        <v>5</v>
      </c>
      <c r="Q51" s="4" t="str">
        <f t="shared" si="9"/>
        <v>2018/2019-Ganjil</v>
      </c>
      <c r="R51" t="s">
        <v>260</v>
      </c>
      <c r="S51" t="str">
        <f t="shared" si="6"/>
        <v>PA</v>
      </c>
    </row>
    <row r="52" spans="1:19" x14ac:dyDescent="0.3">
      <c r="A52" t="s">
        <v>12</v>
      </c>
      <c r="B52">
        <v>2016110002</v>
      </c>
      <c r="C52" t="s">
        <v>54</v>
      </c>
      <c r="E52" t="s">
        <v>211</v>
      </c>
      <c r="F52" t="s">
        <v>186</v>
      </c>
      <c r="G52">
        <v>4</v>
      </c>
      <c r="H52" t="s">
        <v>260</v>
      </c>
      <c r="I52" s="4">
        <f t="shared" si="7"/>
        <v>4</v>
      </c>
      <c r="J52">
        <f t="shared" si="8"/>
        <v>16</v>
      </c>
      <c r="K52">
        <v>52</v>
      </c>
      <c r="L52">
        <v>16</v>
      </c>
      <c r="M52" s="2">
        <v>3.25</v>
      </c>
      <c r="N52" s="2">
        <v>2.97</v>
      </c>
      <c r="O52">
        <v>1</v>
      </c>
      <c r="P52">
        <v>8</v>
      </c>
      <c r="Q52" s="4" t="s">
        <v>571</v>
      </c>
      <c r="R52" t="s">
        <v>260</v>
      </c>
      <c r="S52" t="str">
        <f t="shared" si="6"/>
        <v>PA</v>
      </c>
    </row>
    <row r="53" spans="1:19" x14ac:dyDescent="0.3">
      <c r="A53" t="s">
        <v>12</v>
      </c>
      <c r="B53">
        <v>2016110002</v>
      </c>
      <c r="C53" t="s">
        <v>54</v>
      </c>
      <c r="E53" t="s">
        <v>264</v>
      </c>
      <c r="F53" t="s">
        <v>265</v>
      </c>
      <c r="G53">
        <v>2</v>
      </c>
      <c r="H53" t="s">
        <v>438</v>
      </c>
      <c r="I53" s="4">
        <f t="shared" si="7"/>
        <v>3</v>
      </c>
      <c r="J53">
        <f t="shared" si="8"/>
        <v>6</v>
      </c>
      <c r="K53">
        <v>50</v>
      </c>
      <c r="L53">
        <v>16</v>
      </c>
      <c r="M53" s="2">
        <v>3.13</v>
      </c>
      <c r="N53" s="2">
        <v>2.97</v>
      </c>
      <c r="O53">
        <v>1</v>
      </c>
      <c r="P53">
        <v>9</v>
      </c>
      <c r="Q53" s="4" t="str">
        <f t="shared" ref="Q53:Q65" si="10">IF(P53=1,"2016/2017-Ganjil",IF(P53=2,"2016/2017-Genap",IF(P53=3,"2017/2018-Ganjil",IF(P53=4,"2017/2018-Genap",IF(P53=5,"2018/2019-Ganjil",IF(P53=6,"2018/2019-Genap",IF(P53=7,"2019/2020-Ganjil",IF(P53=8,"2019/2020-Genap",IF(P53=9,"2020/2021-Ganjil",IF(P53=10,"2020/2021-Genap",IF(P53=11,"2021/2022-Ganjil",IF(P53=12,"2021/2022-Genap",IF(P53=13,"2022/2023-Ganjil","2022/2023-Genap")))))))))))))</f>
        <v>2020/2021-Ganjil</v>
      </c>
      <c r="R53" t="s">
        <v>260</v>
      </c>
      <c r="S53" t="str">
        <f t="shared" si="6"/>
        <v>PA</v>
      </c>
    </row>
    <row r="54" spans="1:19" x14ac:dyDescent="0.3">
      <c r="A54" t="s">
        <v>12</v>
      </c>
      <c r="B54">
        <v>2016110002</v>
      </c>
      <c r="C54" t="s">
        <v>54</v>
      </c>
      <c r="E54" t="s">
        <v>264</v>
      </c>
      <c r="F54" t="s">
        <v>265</v>
      </c>
      <c r="G54">
        <v>2</v>
      </c>
      <c r="H54" t="s">
        <v>524</v>
      </c>
      <c r="I54" s="4">
        <f t="shared" si="7"/>
        <v>2</v>
      </c>
      <c r="J54">
        <f t="shared" si="8"/>
        <v>4</v>
      </c>
      <c r="K54">
        <v>42</v>
      </c>
      <c r="L54">
        <v>18</v>
      </c>
      <c r="M54" s="2">
        <v>2.33</v>
      </c>
      <c r="N54" s="2">
        <v>2.97</v>
      </c>
      <c r="O54">
        <v>0</v>
      </c>
      <c r="P54">
        <v>5</v>
      </c>
      <c r="Q54" s="4" t="str">
        <f t="shared" si="10"/>
        <v>2018/2019-Ganjil</v>
      </c>
      <c r="R54" t="s">
        <v>260</v>
      </c>
      <c r="S54" t="str">
        <f t="shared" si="6"/>
        <v>PA</v>
      </c>
    </row>
    <row r="55" spans="1:19" x14ac:dyDescent="0.3">
      <c r="A55" t="s">
        <v>12</v>
      </c>
      <c r="B55">
        <v>2016110002</v>
      </c>
      <c r="C55" t="s">
        <v>54</v>
      </c>
      <c r="E55" t="s">
        <v>241</v>
      </c>
      <c r="F55" t="s">
        <v>45</v>
      </c>
      <c r="G55">
        <v>2</v>
      </c>
      <c r="H55" t="s">
        <v>524</v>
      </c>
      <c r="I55" s="4">
        <f t="shared" si="7"/>
        <v>2</v>
      </c>
      <c r="J55">
        <f t="shared" si="8"/>
        <v>4</v>
      </c>
      <c r="K55">
        <v>50</v>
      </c>
      <c r="L55">
        <v>16</v>
      </c>
      <c r="M55" s="2">
        <v>3.13</v>
      </c>
      <c r="N55" s="2">
        <v>2.97</v>
      </c>
      <c r="O55">
        <v>1</v>
      </c>
      <c r="P55">
        <v>9</v>
      </c>
      <c r="Q55" s="4" t="str">
        <f t="shared" si="10"/>
        <v>2020/2021-Ganjil</v>
      </c>
      <c r="R55" t="s">
        <v>260</v>
      </c>
      <c r="S55" t="str">
        <f t="shared" si="6"/>
        <v>PA</v>
      </c>
    </row>
    <row r="56" spans="1:19" x14ac:dyDescent="0.3">
      <c r="A56" t="s">
        <v>12</v>
      </c>
      <c r="B56">
        <v>2016110002</v>
      </c>
      <c r="C56" t="s">
        <v>54</v>
      </c>
      <c r="E56" t="s">
        <v>241</v>
      </c>
      <c r="F56" t="s">
        <v>45</v>
      </c>
      <c r="G56">
        <v>2</v>
      </c>
      <c r="H56" t="s">
        <v>524</v>
      </c>
      <c r="I56" s="4">
        <f t="shared" si="7"/>
        <v>2</v>
      </c>
      <c r="J56">
        <f t="shared" si="8"/>
        <v>4</v>
      </c>
      <c r="K56">
        <v>40</v>
      </c>
      <c r="L56">
        <v>18</v>
      </c>
      <c r="M56" s="2">
        <v>2.2200000000000002</v>
      </c>
      <c r="N56" s="2">
        <v>2.97</v>
      </c>
      <c r="O56">
        <v>0</v>
      </c>
      <c r="P56">
        <v>3</v>
      </c>
      <c r="Q56" s="4" t="str">
        <f t="shared" si="10"/>
        <v>2017/2018-Ganjil</v>
      </c>
      <c r="R56" t="s">
        <v>260</v>
      </c>
      <c r="S56" t="str">
        <f t="shared" si="6"/>
        <v>PA</v>
      </c>
    </row>
    <row r="57" spans="1:19" x14ac:dyDescent="0.3">
      <c r="A57" t="s">
        <v>12</v>
      </c>
      <c r="B57">
        <v>2016110002</v>
      </c>
      <c r="C57" t="s">
        <v>54</v>
      </c>
      <c r="E57" t="s">
        <v>236</v>
      </c>
      <c r="F57" t="s">
        <v>237</v>
      </c>
      <c r="G57">
        <v>2</v>
      </c>
      <c r="H57" t="s">
        <v>524</v>
      </c>
      <c r="I57" s="4">
        <f t="shared" si="7"/>
        <v>2</v>
      </c>
      <c r="J57">
        <f t="shared" si="8"/>
        <v>4</v>
      </c>
      <c r="K57">
        <v>42</v>
      </c>
      <c r="L57">
        <v>18</v>
      </c>
      <c r="M57" s="2">
        <v>2.33</v>
      </c>
      <c r="N57" s="2">
        <v>2.97</v>
      </c>
      <c r="O57">
        <v>0</v>
      </c>
      <c r="P57">
        <v>5</v>
      </c>
      <c r="Q57" s="4" t="str">
        <f t="shared" si="10"/>
        <v>2018/2019-Ganjil</v>
      </c>
      <c r="R57" t="s">
        <v>260</v>
      </c>
      <c r="S57" t="str">
        <f t="shared" si="6"/>
        <v>PA</v>
      </c>
    </row>
    <row r="58" spans="1:19" x14ac:dyDescent="0.3">
      <c r="A58" t="s">
        <v>12</v>
      </c>
      <c r="B58">
        <v>2016110002</v>
      </c>
      <c r="C58" t="s">
        <v>54</v>
      </c>
      <c r="E58" t="s">
        <v>192</v>
      </c>
      <c r="F58" t="s">
        <v>106</v>
      </c>
      <c r="G58">
        <v>2</v>
      </c>
      <c r="H58" t="s">
        <v>438</v>
      </c>
      <c r="I58" s="4">
        <f t="shared" si="7"/>
        <v>3</v>
      </c>
      <c r="J58">
        <f t="shared" si="8"/>
        <v>6</v>
      </c>
      <c r="K58">
        <v>50</v>
      </c>
      <c r="L58">
        <v>16</v>
      </c>
      <c r="M58" s="2">
        <v>3.13</v>
      </c>
      <c r="N58" s="2">
        <v>2.97</v>
      </c>
      <c r="O58">
        <v>1</v>
      </c>
      <c r="P58">
        <v>9</v>
      </c>
      <c r="Q58" s="4" t="str">
        <f t="shared" si="10"/>
        <v>2020/2021-Ganjil</v>
      </c>
      <c r="R58" t="s">
        <v>260</v>
      </c>
      <c r="S58" t="str">
        <f t="shared" si="6"/>
        <v>PA</v>
      </c>
    </row>
    <row r="59" spans="1:19" x14ac:dyDescent="0.3">
      <c r="A59" t="s">
        <v>12</v>
      </c>
      <c r="B59">
        <v>2016110002</v>
      </c>
      <c r="C59" t="s">
        <v>54</v>
      </c>
      <c r="E59" t="s">
        <v>192</v>
      </c>
      <c r="F59" t="s">
        <v>106</v>
      </c>
      <c r="G59">
        <v>2</v>
      </c>
      <c r="H59" t="s">
        <v>524</v>
      </c>
      <c r="I59" s="4">
        <f t="shared" si="7"/>
        <v>2</v>
      </c>
      <c r="J59">
        <f t="shared" si="8"/>
        <v>4</v>
      </c>
      <c r="K59">
        <v>40</v>
      </c>
      <c r="L59">
        <v>18</v>
      </c>
      <c r="M59" s="2">
        <v>2.2200000000000002</v>
      </c>
      <c r="N59" s="2">
        <v>2.97</v>
      </c>
      <c r="O59">
        <v>0</v>
      </c>
      <c r="P59">
        <v>3</v>
      </c>
      <c r="Q59" s="4" t="str">
        <f t="shared" si="10"/>
        <v>2017/2018-Ganjil</v>
      </c>
      <c r="R59" t="s">
        <v>260</v>
      </c>
      <c r="S59" t="str">
        <f t="shared" si="6"/>
        <v>PA</v>
      </c>
    </row>
    <row r="60" spans="1:19" x14ac:dyDescent="0.3">
      <c r="A60" t="s">
        <v>12</v>
      </c>
      <c r="B60">
        <v>2016110002</v>
      </c>
      <c r="C60" t="s">
        <v>54</v>
      </c>
      <c r="E60" t="s">
        <v>142</v>
      </c>
      <c r="F60" t="s">
        <v>143</v>
      </c>
      <c r="G60">
        <v>2</v>
      </c>
      <c r="H60" t="s">
        <v>524</v>
      </c>
      <c r="I60" s="4">
        <f t="shared" si="7"/>
        <v>2</v>
      </c>
      <c r="J60">
        <f t="shared" si="8"/>
        <v>4</v>
      </c>
      <c r="K60">
        <v>54</v>
      </c>
      <c r="L60">
        <v>20</v>
      </c>
      <c r="M60" s="2">
        <v>2.7</v>
      </c>
      <c r="N60" s="2">
        <v>2.97</v>
      </c>
      <c r="O60">
        <v>0</v>
      </c>
      <c r="P60">
        <v>1</v>
      </c>
      <c r="Q60" s="4" t="str">
        <f t="shared" si="10"/>
        <v>2016/2017-Ganjil</v>
      </c>
      <c r="R60" t="s">
        <v>260</v>
      </c>
      <c r="S60" t="str">
        <f t="shared" si="6"/>
        <v>PA</v>
      </c>
    </row>
    <row r="61" spans="1:19" x14ac:dyDescent="0.3">
      <c r="A61" t="s">
        <v>12</v>
      </c>
      <c r="B61">
        <v>2016110002</v>
      </c>
      <c r="C61" t="s">
        <v>54</v>
      </c>
      <c r="E61" t="s">
        <v>348</v>
      </c>
      <c r="F61" t="s">
        <v>402</v>
      </c>
      <c r="G61">
        <v>4</v>
      </c>
      <c r="H61" t="s">
        <v>524</v>
      </c>
      <c r="I61" s="4">
        <f t="shared" si="7"/>
        <v>2</v>
      </c>
      <c r="J61">
        <f t="shared" si="8"/>
        <v>8</v>
      </c>
      <c r="K61">
        <v>44</v>
      </c>
      <c r="L61">
        <v>18</v>
      </c>
      <c r="M61" s="2">
        <v>2.44</v>
      </c>
      <c r="N61" s="2">
        <v>2.97</v>
      </c>
      <c r="O61">
        <v>0</v>
      </c>
      <c r="P61">
        <v>4</v>
      </c>
      <c r="Q61" s="4" t="str">
        <f t="shared" si="10"/>
        <v>2017/2018-Genap</v>
      </c>
      <c r="R61" t="s">
        <v>260</v>
      </c>
      <c r="S61" t="str">
        <f t="shared" si="6"/>
        <v>PA</v>
      </c>
    </row>
    <row r="62" spans="1:19" x14ac:dyDescent="0.3">
      <c r="A62" t="s">
        <v>12</v>
      </c>
      <c r="B62">
        <v>2016110002</v>
      </c>
      <c r="C62" t="s">
        <v>54</v>
      </c>
      <c r="E62" t="s">
        <v>432</v>
      </c>
      <c r="F62" t="s">
        <v>433</v>
      </c>
      <c r="G62">
        <v>4</v>
      </c>
      <c r="H62" t="s">
        <v>524</v>
      </c>
      <c r="I62" s="4">
        <f t="shared" si="7"/>
        <v>2</v>
      </c>
      <c r="J62">
        <f t="shared" si="8"/>
        <v>8</v>
      </c>
      <c r="K62">
        <v>44</v>
      </c>
      <c r="L62">
        <v>18</v>
      </c>
      <c r="M62" s="2">
        <v>2.44</v>
      </c>
      <c r="N62" s="2">
        <v>2.97</v>
      </c>
      <c r="O62">
        <v>0</v>
      </c>
      <c r="P62">
        <v>4</v>
      </c>
      <c r="Q62" s="4" t="str">
        <f t="shared" si="10"/>
        <v>2017/2018-Genap</v>
      </c>
      <c r="R62" t="s">
        <v>260</v>
      </c>
      <c r="S62" t="str">
        <f t="shared" si="6"/>
        <v>PA</v>
      </c>
    </row>
    <row r="63" spans="1:19" x14ac:dyDescent="0.3">
      <c r="A63" t="s">
        <v>12</v>
      </c>
      <c r="B63">
        <v>2016110002</v>
      </c>
      <c r="C63" t="s">
        <v>54</v>
      </c>
      <c r="E63" t="s">
        <v>432</v>
      </c>
      <c r="F63" t="s">
        <v>433</v>
      </c>
      <c r="G63">
        <v>4</v>
      </c>
      <c r="H63" t="s">
        <v>524</v>
      </c>
      <c r="I63" s="4">
        <f t="shared" si="7"/>
        <v>2</v>
      </c>
      <c r="J63">
        <f t="shared" si="8"/>
        <v>8</v>
      </c>
      <c r="K63">
        <v>80</v>
      </c>
      <c r="L63">
        <v>24</v>
      </c>
      <c r="M63" s="2">
        <v>3.33</v>
      </c>
      <c r="N63" s="2">
        <v>2.97</v>
      </c>
      <c r="O63">
        <v>1</v>
      </c>
      <c r="P63">
        <v>8</v>
      </c>
      <c r="Q63" s="4" t="str">
        <f t="shared" si="10"/>
        <v>2019/2020-Genap</v>
      </c>
      <c r="R63" t="s">
        <v>260</v>
      </c>
      <c r="S63" t="str">
        <f t="shared" si="6"/>
        <v>PA</v>
      </c>
    </row>
    <row r="64" spans="1:19" x14ac:dyDescent="0.3">
      <c r="A64" t="s">
        <v>12</v>
      </c>
      <c r="B64">
        <v>2016110002</v>
      </c>
      <c r="C64" t="s">
        <v>54</v>
      </c>
      <c r="E64" t="s">
        <v>437</v>
      </c>
      <c r="F64" t="s">
        <v>169</v>
      </c>
      <c r="G64">
        <v>4</v>
      </c>
      <c r="H64" t="s">
        <v>524</v>
      </c>
      <c r="I64" s="4">
        <f t="shared" si="7"/>
        <v>2</v>
      </c>
      <c r="J64">
        <f t="shared" si="8"/>
        <v>8</v>
      </c>
      <c r="K64">
        <v>54</v>
      </c>
      <c r="L64">
        <v>20</v>
      </c>
      <c r="M64" s="2">
        <v>2.7</v>
      </c>
      <c r="N64" s="2">
        <v>2.97</v>
      </c>
      <c r="O64">
        <v>0</v>
      </c>
      <c r="P64">
        <v>1</v>
      </c>
      <c r="Q64" s="4" t="str">
        <f t="shared" si="10"/>
        <v>2016/2017-Ganjil</v>
      </c>
      <c r="R64" t="s">
        <v>260</v>
      </c>
      <c r="S64" t="str">
        <f t="shared" si="6"/>
        <v>PA</v>
      </c>
    </row>
    <row r="65" spans="1:19" x14ac:dyDescent="0.3">
      <c r="A65" t="s">
        <v>12</v>
      </c>
      <c r="B65">
        <v>2016110002</v>
      </c>
      <c r="C65" t="s">
        <v>54</v>
      </c>
      <c r="E65" t="s">
        <v>100</v>
      </c>
      <c r="F65" t="s">
        <v>101</v>
      </c>
      <c r="G65">
        <v>4</v>
      </c>
      <c r="H65" t="s">
        <v>524</v>
      </c>
      <c r="I65" s="4">
        <f t="shared" si="7"/>
        <v>2</v>
      </c>
      <c r="J65">
        <f t="shared" si="8"/>
        <v>8</v>
      </c>
      <c r="K65">
        <v>44</v>
      </c>
      <c r="L65">
        <v>20</v>
      </c>
      <c r="M65" s="2">
        <v>2.2000000000000002</v>
      </c>
      <c r="N65" s="2">
        <v>2.97</v>
      </c>
      <c r="O65">
        <v>0</v>
      </c>
      <c r="P65">
        <v>2</v>
      </c>
      <c r="Q65" s="4" t="str">
        <f t="shared" si="10"/>
        <v>2016/2017-Genap</v>
      </c>
      <c r="R65" t="s">
        <v>260</v>
      </c>
      <c r="S65" t="str">
        <f t="shared" si="6"/>
        <v>PA</v>
      </c>
    </row>
    <row r="66" spans="1:19" x14ac:dyDescent="0.3">
      <c r="A66" t="s">
        <v>12</v>
      </c>
      <c r="B66">
        <v>2016110002</v>
      </c>
      <c r="C66" t="s">
        <v>54</v>
      </c>
      <c r="E66" t="s">
        <v>100</v>
      </c>
      <c r="F66" t="s">
        <v>101</v>
      </c>
      <c r="G66">
        <v>4</v>
      </c>
      <c r="H66" t="s">
        <v>438</v>
      </c>
      <c r="I66" s="4">
        <f t="shared" si="7"/>
        <v>3</v>
      </c>
      <c r="J66">
        <f t="shared" si="8"/>
        <v>12</v>
      </c>
      <c r="K66">
        <v>52</v>
      </c>
      <c r="L66">
        <v>16</v>
      </c>
      <c r="M66" s="2">
        <v>3.25</v>
      </c>
      <c r="N66" s="2">
        <v>2.97</v>
      </c>
      <c r="O66">
        <v>1</v>
      </c>
      <c r="P66">
        <v>8</v>
      </c>
      <c r="Q66" s="4" t="s">
        <v>571</v>
      </c>
      <c r="R66" t="s">
        <v>260</v>
      </c>
      <c r="S66" t="str">
        <f t="shared" si="6"/>
        <v>PA</v>
      </c>
    </row>
    <row r="67" spans="1:19" x14ac:dyDescent="0.3">
      <c r="A67" t="s">
        <v>12</v>
      </c>
      <c r="B67">
        <v>2016110002</v>
      </c>
      <c r="C67" t="s">
        <v>54</v>
      </c>
      <c r="E67" t="s">
        <v>357</v>
      </c>
      <c r="F67" t="s">
        <v>358</v>
      </c>
      <c r="G67">
        <v>4</v>
      </c>
      <c r="H67" t="s">
        <v>524</v>
      </c>
      <c r="I67" s="4">
        <f t="shared" si="7"/>
        <v>2</v>
      </c>
      <c r="J67">
        <f t="shared" si="8"/>
        <v>8</v>
      </c>
      <c r="K67">
        <v>42</v>
      </c>
      <c r="L67">
        <v>18</v>
      </c>
      <c r="M67" s="2">
        <v>2.33</v>
      </c>
      <c r="N67" s="2">
        <v>2.97</v>
      </c>
      <c r="O67">
        <v>0</v>
      </c>
      <c r="P67">
        <v>5</v>
      </c>
      <c r="Q67" s="4" t="str">
        <f t="shared" ref="Q67:Q78" si="11">IF(P67=1,"2016/2017-Ganjil",IF(P67=2,"2016/2017-Genap",IF(P67=3,"2017/2018-Ganjil",IF(P67=4,"2017/2018-Genap",IF(P67=5,"2018/2019-Ganjil",IF(P67=6,"2018/2019-Genap",IF(P67=7,"2019/2020-Ganjil",IF(P67=8,"2019/2020-Genap",IF(P67=9,"2020/2021-Ganjil",IF(P67=10,"2020/2021-Genap",IF(P67=11,"2021/2022-Ganjil",IF(P67=12,"2021/2022-Genap",IF(P67=13,"2022/2023-Ganjil","2022/2023-Genap")))))))))))))</f>
        <v>2018/2019-Ganjil</v>
      </c>
      <c r="R67" t="s">
        <v>260</v>
      </c>
      <c r="S67" t="str">
        <f t="shared" si="6"/>
        <v>PA</v>
      </c>
    </row>
    <row r="68" spans="1:19" x14ac:dyDescent="0.3">
      <c r="A68" t="s">
        <v>12</v>
      </c>
      <c r="B68">
        <v>2016110002</v>
      </c>
      <c r="C68" t="s">
        <v>54</v>
      </c>
      <c r="E68" t="s">
        <v>382</v>
      </c>
      <c r="F68" t="s">
        <v>383</v>
      </c>
      <c r="G68">
        <v>4</v>
      </c>
      <c r="H68" t="s">
        <v>524</v>
      </c>
      <c r="I68" s="4">
        <f t="shared" si="7"/>
        <v>2</v>
      </c>
      <c r="J68">
        <f t="shared" si="8"/>
        <v>8</v>
      </c>
      <c r="K68">
        <v>54</v>
      </c>
      <c r="L68">
        <v>18</v>
      </c>
      <c r="M68" s="2">
        <v>3</v>
      </c>
      <c r="N68" s="2">
        <v>2.97</v>
      </c>
      <c r="O68">
        <v>0</v>
      </c>
      <c r="P68">
        <v>7</v>
      </c>
      <c r="Q68" s="4" t="str">
        <f t="shared" si="11"/>
        <v>2019/2020-Ganjil</v>
      </c>
      <c r="R68" t="s">
        <v>260</v>
      </c>
      <c r="S68" t="str">
        <f t="shared" si="6"/>
        <v>PA</v>
      </c>
    </row>
    <row r="69" spans="1:19" x14ac:dyDescent="0.3">
      <c r="A69" t="s">
        <v>12</v>
      </c>
      <c r="B69">
        <v>2016110002</v>
      </c>
      <c r="C69" t="s">
        <v>54</v>
      </c>
      <c r="E69" t="s">
        <v>234</v>
      </c>
      <c r="F69" t="s">
        <v>235</v>
      </c>
      <c r="G69">
        <v>4</v>
      </c>
      <c r="H69" t="s">
        <v>438</v>
      </c>
      <c r="I69" s="4">
        <f t="shared" si="7"/>
        <v>3</v>
      </c>
      <c r="J69">
        <f t="shared" si="8"/>
        <v>12</v>
      </c>
      <c r="K69">
        <v>50</v>
      </c>
      <c r="L69">
        <v>16</v>
      </c>
      <c r="M69" s="2">
        <v>3.13</v>
      </c>
      <c r="N69" s="2">
        <v>2.97</v>
      </c>
      <c r="O69">
        <v>1</v>
      </c>
      <c r="P69">
        <v>9</v>
      </c>
      <c r="Q69" s="4" t="str">
        <f t="shared" si="11"/>
        <v>2020/2021-Ganjil</v>
      </c>
      <c r="R69" t="s">
        <v>260</v>
      </c>
      <c r="S69" t="str">
        <f t="shared" si="6"/>
        <v>PA</v>
      </c>
    </row>
    <row r="70" spans="1:19" x14ac:dyDescent="0.3">
      <c r="A70" t="s">
        <v>12</v>
      </c>
      <c r="B70">
        <v>2016110002</v>
      </c>
      <c r="C70" t="s">
        <v>54</v>
      </c>
      <c r="E70" t="s">
        <v>234</v>
      </c>
      <c r="F70" t="s">
        <v>235</v>
      </c>
      <c r="G70">
        <v>4</v>
      </c>
      <c r="H70" t="s">
        <v>524</v>
      </c>
      <c r="I70" s="4">
        <f t="shared" si="7"/>
        <v>2</v>
      </c>
      <c r="J70">
        <f t="shared" si="8"/>
        <v>8</v>
      </c>
      <c r="K70">
        <v>40</v>
      </c>
      <c r="L70">
        <v>18</v>
      </c>
      <c r="M70" s="2">
        <v>2.2200000000000002</v>
      </c>
      <c r="N70" s="2">
        <v>2.97</v>
      </c>
      <c r="O70">
        <v>0</v>
      </c>
      <c r="P70">
        <v>3</v>
      </c>
      <c r="Q70" s="4" t="str">
        <f t="shared" si="11"/>
        <v>2017/2018-Ganjil</v>
      </c>
      <c r="R70" t="s">
        <v>260</v>
      </c>
      <c r="S70" t="str">
        <f t="shared" si="6"/>
        <v>PA</v>
      </c>
    </row>
    <row r="71" spans="1:19" x14ac:dyDescent="0.3">
      <c r="A71" t="s">
        <v>12</v>
      </c>
      <c r="B71">
        <v>2016110002</v>
      </c>
      <c r="C71" t="s">
        <v>54</v>
      </c>
      <c r="E71" t="s">
        <v>309</v>
      </c>
      <c r="F71" t="s">
        <v>310</v>
      </c>
      <c r="G71">
        <v>4</v>
      </c>
      <c r="H71" t="s">
        <v>524</v>
      </c>
      <c r="I71" s="4">
        <f t="shared" si="7"/>
        <v>2</v>
      </c>
      <c r="J71">
        <f t="shared" si="8"/>
        <v>8</v>
      </c>
      <c r="K71">
        <v>44</v>
      </c>
      <c r="L71">
        <v>18</v>
      </c>
      <c r="M71" s="2">
        <v>2.44</v>
      </c>
      <c r="N71" s="2">
        <v>2.97</v>
      </c>
      <c r="O71">
        <v>0</v>
      </c>
      <c r="P71">
        <v>6</v>
      </c>
      <c r="Q71" s="4" t="str">
        <f t="shared" si="11"/>
        <v>2018/2019-Genap</v>
      </c>
      <c r="R71" t="s">
        <v>260</v>
      </c>
      <c r="S71" t="str">
        <f t="shared" si="6"/>
        <v>PA</v>
      </c>
    </row>
    <row r="72" spans="1:19" x14ac:dyDescent="0.3">
      <c r="A72" t="s">
        <v>12</v>
      </c>
      <c r="B72">
        <v>2016110002</v>
      </c>
      <c r="C72" t="s">
        <v>54</v>
      </c>
      <c r="E72" t="s">
        <v>309</v>
      </c>
      <c r="F72" t="s">
        <v>310</v>
      </c>
      <c r="G72">
        <v>4</v>
      </c>
      <c r="H72" t="s">
        <v>260</v>
      </c>
      <c r="I72" s="4">
        <f t="shared" si="7"/>
        <v>4</v>
      </c>
      <c r="J72">
        <f t="shared" si="8"/>
        <v>16</v>
      </c>
      <c r="K72">
        <v>80</v>
      </c>
      <c r="L72">
        <v>24</v>
      </c>
      <c r="M72" s="2">
        <v>3.33</v>
      </c>
      <c r="N72" s="2">
        <v>2.97</v>
      </c>
      <c r="O72">
        <v>1</v>
      </c>
      <c r="P72">
        <v>8</v>
      </c>
      <c r="Q72" s="4" t="str">
        <f t="shared" si="11"/>
        <v>2019/2020-Genap</v>
      </c>
      <c r="R72" t="s">
        <v>260</v>
      </c>
      <c r="S72" t="str">
        <f t="shared" si="6"/>
        <v>PA</v>
      </c>
    </row>
    <row r="73" spans="1:19" x14ac:dyDescent="0.3">
      <c r="A73" t="s">
        <v>12</v>
      </c>
      <c r="B73">
        <v>2016110002</v>
      </c>
      <c r="C73" t="s">
        <v>54</v>
      </c>
      <c r="E73" t="s">
        <v>173</v>
      </c>
      <c r="F73" t="s">
        <v>8</v>
      </c>
      <c r="G73">
        <v>2</v>
      </c>
      <c r="H73" t="s">
        <v>524</v>
      </c>
      <c r="I73" s="4">
        <f t="shared" si="7"/>
        <v>2</v>
      </c>
      <c r="J73">
        <f t="shared" si="8"/>
        <v>4</v>
      </c>
      <c r="K73">
        <v>40</v>
      </c>
      <c r="L73">
        <v>18</v>
      </c>
      <c r="M73" s="2">
        <v>2.2200000000000002</v>
      </c>
      <c r="N73" s="2">
        <v>2.97</v>
      </c>
      <c r="O73">
        <v>0</v>
      </c>
      <c r="P73">
        <v>3</v>
      </c>
      <c r="Q73" s="4" t="str">
        <f t="shared" si="11"/>
        <v>2017/2018-Ganjil</v>
      </c>
      <c r="R73" t="s">
        <v>260</v>
      </c>
      <c r="S73" t="str">
        <f t="shared" si="6"/>
        <v>PA</v>
      </c>
    </row>
    <row r="74" spans="1:19" x14ac:dyDescent="0.3">
      <c r="A74" t="s">
        <v>12</v>
      </c>
      <c r="B74">
        <v>2016110002</v>
      </c>
      <c r="C74" t="s">
        <v>54</v>
      </c>
      <c r="E74" t="s">
        <v>173</v>
      </c>
      <c r="F74" t="s">
        <v>8</v>
      </c>
      <c r="G74">
        <v>2</v>
      </c>
      <c r="H74" t="s">
        <v>260</v>
      </c>
      <c r="I74" s="4">
        <f t="shared" si="7"/>
        <v>4</v>
      </c>
      <c r="J74">
        <f t="shared" si="8"/>
        <v>8</v>
      </c>
      <c r="K74">
        <v>54</v>
      </c>
      <c r="L74">
        <v>18</v>
      </c>
      <c r="M74" s="2">
        <v>3</v>
      </c>
      <c r="N74" s="2">
        <v>2.97</v>
      </c>
      <c r="O74">
        <v>1</v>
      </c>
      <c r="P74">
        <v>7</v>
      </c>
      <c r="Q74" s="4" t="str">
        <f t="shared" si="11"/>
        <v>2019/2020-Ganjil</v>
      </c>
      <c r="R74" t="s">
        <v>260</v>
      </c>
      <c r="S74" t="str">
        <f t="shared" si="6"/>
        <v>PA</v>
      </c>
    </row>
    <row r="75" spans="1:19" x14ac:dyDescent="0.3">
      <c r="A75" t="s">
        <v>12</v>
      </c>
      <c r="B75">
        <v>2016110002</v>
      </c>
      <c r="C75" t="s">
        <v>54</v>
      </c>
      <c r="E75" t="s">
        <v>151</v>
      </c>
      <c r="F75" t="s">
        <v>152</v>
      </c>
      <c r="G75">
        <v>2</v>
      </c>
      <c r="H75" t="s">
        <v>524</v>
      </c>
      <c r="I75" s="4">
        <f t="shared" si="7"/>
        <v>2</v>
      </c>
      <c r="J75">
        <f t="shared" si="8"/>
        <v>4</v>
      </c>
      <c r="K75">
        <v>54</v>
      </c>
      <c r="L75">
        <v>20</v>
      </c>
      <c r="M75" s="2">
        <v>2.7</v>
      </c>
      <c r="N75" s="2">
        <v>2.97</v>
      </c>
      <c r="O75">
        <v>0</v>
      </c>
      <c r="P75">
        <v>1</v>
      </c>
      <c r="Q75" s="4" t="str">
        <f t="shared" si="11"/>
        <v>2016/2017-Ganjil</v>
      </c>
      <c r="R75" t="s">
        <v>260</v>
      </c>
      <c r="S75" t="str">
        <f t="shared" si="6"/>
        <v>PA</v>
      </c>
    </row>
    <row r="76" spans="1:19" x14ac:dyDescent="0.3">
      <c r="A76" t="s">
        <v>12</v>
      </c>
      <c r="B76">
        <v>2016110002</v>
      </c>
      <c r="C76" t="s">
        <v>54</v>
      </c>
      <c r="E76" t="s">
        <v>273</v>
      </c>
      <c r="F76" t="s">
        <v>274</v>
      </c>
      <c r="G76">
        <v>2</v>
      </c>
      <c r="H76" t="s">
        <v>524</v>
      </c>
      <c r="I76" s="4">
        <f t="shared" si="7"/>
        <v>2</v>
      </c>
      <c r="J76">
        <f t="shared" si="8"/>
        <v>4</v>
      </c>
      <c r="K76">
        <v>44</v>
      </c>
      <c r="L76">
        <v>18</v>
      </c>
      <c r="M76" s="2">
        <v>2.44</v>
      </c>
      <c r="N76" s="2">
        <v>2.97</v>
      </c>
      <c r="O76">
        <v>0</v>
      </c>
      <c r="P76">
        <v>6</v>
      </c>
      <c r="Q76" s="4" t="str">
        <f t="shared" si="11"/>
        <v>2018/2019-Genap</v>
      </c>
      <c r="R76" t="s">
        <v>260</v>
      </c>
      <c r="S76" t="str">
        <f t="shared" si="6"/>
        <v>PA</v>
      </c>
    </row>
    <row r="77" spans="1:19" x14ac:dyDescent="0.3">
      <c r="A77" t="s">
        <v>12</v>
      </c>
      <c r="B77">
        <v>2016110002</v>
      </c>
      <c r="C77" t="s">
        <v>54</v>
      </c>
      <c r="E77" t="s">
        <v>273</v>
      </c>
      <c r="F77" t="s">
        <v>274</v>
      </c>
      <c r="G77">
        <v>2</v>
      </c>
      <c r="H77" t="s">
        <v>260</v>
      </c>
      <c r="I77" s="4">
        <f t="shared" si="7"/>
        <v>4</v>
      </c>
      <c r="J77">
        <f t="shared" si="8"/>
        <v>8</v>
      </c>
      <c r="K77">
        <v>80</v>
      </c>
      <c r="L77">
        <v>24</v>
      </c>
      <c r="M77" s="2">
        <v>3.33</v>
      </c>
      <c r="N77" s="2">
        <v>2.97</v>
      </c>
      <c r="O77">
        <v>1</v>
      </c>
      <c r="P77">
        <v>8</v>
      </c>
      <c r="Q77" s="4" t="str">
        <f t="shared" si="11"/>
        <v>2019/2020-Genap</v>
      </c>
      <c r="R77" t="s">
        <v>260</v>
      </c>
      <c r="S77" t="str">
        <f t="shared" si="6"/>
        <v>PA</v>
      </c>
    </row>
    <row r="78" spans="1:19" x14ac:dyDescent="0.3">
      <c r="A78" t="s">
        <v>12</v>
      </c>
      <c r="B78">
        <v>2016110002</v>
      </c>
      <c r="C78" t="s">
        <v>54</v>
      </c>
      <c r="E78" t="s">
        <v>205</v>
      </c>
      <c r="F78" t="s">
        <v>116</v>
      </c>
      <c r="G78">
        <v>4</v>
      </c>
      <c r="H78" t="s">
        <v>524</v>
      </c>
      <c r="I78" s="4">
        <f t="shared" si="7"/>
        <v>2</v>
      </c>
      <c r="J78">
        <f t="shared" si="8"/>
        <v>8</v>
      </c>
      <c r="K78">
        <v>40</v>
      </c>
      <c r="L78">
        <v>18</v>
      </c>
      <c r="M78" s="2">
        <v>2.2200000000000002</v>
      </c>
      <c r="N78" s="2">
        <v>2.97</v>
      </c>
      <c r="O78">
        <v>0</v>
      </c>
      <c r="P78">
        <v>3</v>
      </c>
      <c r="Q78" s="4" t="str">
        <f t="shared" si="11"/>
        <v>2017/2018-Ganjil</v>
      </c>
      <c r="R78" t="s">
        <v>260</v>
      </c>
      <c r="S78" t="str">
        <f t="shared" si="6"/>
        <v>PA</v>
      </c>
    </row>
    <row r="79" spans="1:19" x14ac:dyDescent="0.3">
      <c r="A79" t="s">
        <v>12</v>
      </c>
      <c r="B79">
        <v>2016110002</v>
      </c>
      <c r="C79" t="s">
        <v>54</v>
      </c>
      <c r="E79" t="s">
        <v>205</v>
      </c>
      <c r="F79" t="s">
        <v>116</v>
      </c>
      <c r="G79">
        <v>4</v>
      </c>
      <c r="H79" t="s">
        <v>438</v>
      </c>
      <c r="I79" s="4">
        <f t="shared" si="7"/>
        <v>3</v>
      </c>
      <c r="J79">
        <f t="shared" si="8"/>
        <v>12</v>
      </c>
      <c r="K79">
        <v>52</v>
      </c>
      <c r="L79">
        <v>16</v>
      </c>
      <c r="M79" s="2">
        <v>3.25</v>
      </c>
      <c r="N79" s="2">
        <v>2.97</v>
      </c>
      <c r="O79">
        <v>1</v>
      </c>
      <c r="P79">
        <v>8</v>
      </c>
      <c r="Q79" s="4" t="s">
        <v>571</v>
      </c>
      <c r="R79" t="s">
        <v>260</v>
      </c>
      <c r="S79" t="str">
        <f t="shared" si="6"/>
        <v>PA</v>
      </c>
    </row>
    <row r="80" spans="1:19" x14ac:dyDescent="0.3">
      <c r="A80" t="s">
        <v>12</v>
      </c>
      <c r="B80">
        <v>2016110002</v>
      </c>
      <c r="C80" t="s">
        <v>54</v>
      </c>
      <c r="E80" t="s">
        <v>374</v>
      </c>
      <c r="F80" t="s">
        <v>375</v>
      </c>
      <c r="G80">
        <v>2</v>
      </c>
      <c r="H80" t="s">
        <v>524</v>
      </c>
      <c r="I80" s="4">
        <f t="shared" si="7"/>
        <v>2</v>
      </c>
      <c r="J80">
        <f t="shared" si="8"/>
        <v>4</v>
      </c>
      <c r="K80">
        <v>44</v>
      </c>
      <c r="L80">
        <v>18</v>
      </c>
      <c r="M80" s="2">
        <v>2.44</v>
      </c>
      <c r="N80" s="2">
        <v>2.97</v>
      </c>
      <c r="O80">
        <v>0</v>
      </c>
      <c r="P80">
        <v>4</v>
      </c>
      <c r="Q80" s="4" t="str">
        <f>IF(P80=1,"2016/2017-Ganjil",IF(P80=2,"2016/2017-Genap",IF(P80=3,"2017/2018-Ganjil",IF(P80=4,"2017/2018-Genap",IF(P80=5,"2018/2019-Ganjil",IF(P80=6,"2018/2019-Genap",IF(P80=7,"2019/2020-Ganjil",IF(P80=8,"2019/2020-Genap",IF(P80=9,"2020/2021-Ganjil",IF(P80=10,"2020/2021-Genap",IF(P80=11,"2021/2022-Ganjil",IF(P80=12,"2021/2022-Genap",IF(P80=13,"2022/2023-Ganjil","2022/2023-Genap")))))))))))))</f>
        <v>2017/2018-Genap</v>
      </c>
      <c r="R80" t="s">
        <v>260</v>
      </c>
      <c r="S80" t="str">
        <f t="shared" si="6"/>
        <v>PA</v>
      </c>
    </row>
    <row r="81" spans="1:19" x14ac:dyDescent="0.3">
      <c r="A81" t="s">
        <v>12</v>
      </c>
      <c r="B81">
        <v>2016110002</v>
      </c>
      <c r="C81" t="s">
        <v>54</v>
      </c>
      <c r="E81" t="s">
        <v>374</v>
      </c>
      <c r="F81" t="s">
        <v>375</v>
      </c>
      <c r="G81">
        <v>2</v>
      </c>
      <c r="H81" t="s">
        <v>438</v>
      </c>
      <c r="I81" s="4">
        <f t="shared" si="7"/>
        <v>3</v>
      </c>
      <c r="J81">
        <f t="shared" si="8"/>
        <v>6</v>
      </c>
      <c r="K81">
        <v>80</v>
      </c>
      <c r="L81">
        <v>24</v>
      </c>
      <c r="M81" s="2">
        <v>3.33</v>
      </c>
      <c r="N81" s="2">
        <v>2.97</v>
      </c>
      <c r="O81">
        <v>1</v>
      </c>
      <c r="P81">
        <v>8</v>
      </c>
      <c r="Q81" s="4" t="str">
        <f>IF(P81=1,"2016/2017-Ganjil",IF(P81=2,"2016/2017-Genap",IF(P81=3,"2017/2018-Ganjil",IF(P81=4,"2017/2018-Genap",IF(P81=5,"2018/2019-Ganjil",IF(P81=6,"2018/2019-Genap",IF(P81=7,"2019/2020-Ganjil",IF(P81=8,"2019/2020-Genap",IF(P81=9,"2020/2021-Ganjil",IF(P81=10,"2020/2021-Genap",IF(P81=11,"2021/2022-Ganjil",IF(P81=12,"2021/2022-Genap",IF(P81=13,"2022/2023-Ganjil","2022/2023-Genap")))))))))))))</f>
        <v>2019/2020-Genap</v>
      </c>
      <c r="R81" t="s">
        <v>260</v>
      </c>
      <c r="S81" t="str">
        <f t="shared" ref="S81:S83" si="12">IF(OR(H81="A",H81="B",H81="C"),"PA","FA")</f>
        <v>PA</v>
      </c>
    </row>
    <row r="82" spans="1:19" x14ac:dyDescent="0.3">
      <c r="A82" t="s">
        <v>12</v>
      </c>
      <c r="B82">
        <v>2016110002</v>
      </c>
      <c r="C82" t="s">
        <v>54</v>
      </c>
      <c r="E82" t="s">
        <v>103</v>
      </c>
      <c r="F82" t="s">
        <v>104</v>
      </c>
      <c r="G82">
        <v>4</v>
      </c>
      <c r="H82" t="s">
        <v>535</v>
      </c>
      <c r="I82" s="4">
        <f t="shared" ref="I82:I83" si="13">IF(H82="A",4,IF(H82="B",3,IF(H82="C",2,IF(H82="D",1,0))))</f>
        <v>1</v>
      </c>
      <c r="J82">
        <f t="shared" ref="J82:J83" si="14">G82*I82</f>
        <v>4</v>
      </c>
      <c r="K82">
        <v>44</v>
      </c>
      <c r="L82">
        <v>20</v>
      </c>
      <c r="M82" s="2">
        <v>2.2000000000000002</v>
      </c>
      <c r="N82" s="2">
        <v>2.97</v>
      </c>
      <c r="O82">
        <v>0</v>
      </c>
      <c r="P82">
        <v>2</v>
      </c>
      <c r="Q82" s="4" t="str">
        <f>IF(P82=1,"2016/2017-Ganjil",IF(P82=2,"2016/2017-Genap",IF(P82=3,"2017/2018-Ganjil",IF(P82=4,"2017/2018-Genap",IF(P82=5,"2018/2019-Ganjil",IF(P82=6,"2018/2019-Genap",IF(P82=7,"2019/2020-Ganjil",IF(P82=8,"2019/2020-Genap",IF(P82=9,"2020/2021-Ganjil",IF(P82=10,"2020/2021-Genap",IF(P82=11,"2021/2022-Ganjil",IF(P82=12,"2021/2022-Genap",IF(P82=13,"2022/2023-Ganjil","2022/2023-Genap")))))))))))))</f>
        <v>2016/2017-Genap</v>
      </c>
      <c r="R82" t="s">
        <v>260</v>
      </c>
      <c r="S82" t="str">
        <f t="shared" si="12"/>
        <v>FA</v>
      </c>
    </row>
    <row r="83" spans="1:19" x14ac:dyDescent="0.3">
      <c r="A83" t="s">
        <v>12</v>
      </c>
      <c r="B83">
        <v>2016110002</v>
      </c>
      <c r="C83" t="s">
        <v>54</v>
      </c>
      <c r="E83" t="s">
        <v>103</v>
      </c>
      <c r="F83" t="s">
        <v>104</v>
      </c>
      <c r="G83">
        <v>4</v>
      </c>
      <c r="H83" t="s">
        <v>438</v>
      </c>
      <c r="I83" s="4">
        <f t="shared" si="13"/>
        <v>3</v>
      </c>
      <c r="J83">
        <f t="shared" si="14"/>
        <v>12</v>
      </c>
      <c r="K83">
        <v>52</v>
      </c>
      <c r="L83">
        <v>16</v>
      </c>
      <c r="M83" s="2">
        <v>3.25</v>
      </c>
      <c r="N83" s="2">
        <v>2.97</v>
      </c>
      <c r="O83">
        <v>1</v>
      </c>
      <c r="P83">
        <v>8</v>
      </c>
      <c r="Q83" s="4" t="s">
        <v>571</v>
      </c>
      <c r="R83" t="s">
        <v>260</v>
      </c>
      <c r="S83" t="str">
        <f t="shared" si="12"/>
        <v>PA</v>
      </c>
    </row>
    <row r="84" spans="1:19" x14ac:dyDescent="0.3">
      <c r="A84" t="s">
        <v>12</v>
      </c>
      <c r="B84">
        <v>2016110003</v>
      </c>
      <c r="C84" t="s">
        <v>62</v>
      </c>
      <c r="E84" t="s">
        <v>31</v>
      </c>
      <c r="F84" t="s">
        <v>20</v>
      </c>
      <c r="G84">
        <v>4</v>
      </c>
      <c r="H84" s="3"/>
      <c r="I84" s="4"/>
      <c r="J84">
        <f t="shared" ref="J84:J85" si="15">G84*I84</f>
        <v>0</v>
      </c>
      <c r="K84">
        <v>6</v>
      </c>
      <c r="L84">
        <v>2</v>
      </c>
      <c r="M84" s="2">
        <v>3</v>
      </c>
      <c r="N84" s="2">
        <v>3.08</v>
      </c>
      <c r="O84">
        <v>0</v>
      </c>
      <c r="P84">
        <v>9</v>
      </c>
      <c r="Q84" s="4" t="str">
        <f t="shared" ref="Q84:Q129" si="16">IF(P84=1,"2016/2017-Ganjil",IF(P84=2,"2016/2017-Genap",IF(P84=3,"2017/2018-Ganjil",IF(P84=4,"2017/2018-Genap",IF(P84=5,"2018/2019-Ganjil",IF(P84=6,"2018/2019-Genap",IF(P84=7,"2019/2020-Ganjil",IF(P84=8,"2019/2020-Genap",IF(P84=9,"2020/2021-Ganjil",IF(P84=10,"2020/2021-Genap",IF(P84=11,"2021/2022-Ganjil",IF(P84=12,"2021/2022-Genap",IF(P84=13,"2022/2023-Ganjil","2022/2023-Genap")))))))))))))</f>
        <v>2020/2021-Ganjil</v>
      </c>
      <c r="R84" t="s">
        <v>260</v>
      </c>
      <c r="S84" t="s">
        <v>595</v>
      </c>
    </row>
    <row r="85" spans="1:19" x14ac:dyDescent="0.3">
      <c r="A85" t="s">
        <v>12</v>
      </c>
      <c r="B85">
        <v>2016110003</v>
      </c>
      <c r="C85" t="s">
        <v>62</v>
      </c>
      <c r="E85" t="s">
        <v>31</v>
      </c>
      <c r="F85" t="s">
        <v>20</v>
      </c>
      <c r="G85">
        <v>4</v>
      </c>
      <c r="H85" s="3" t="s">
        <v>438</v>
      </c>
      <c r="I85" s="4">
        <f t="shared" ref="I85" si="17">IF(H85="A",4,IF(H85="B",3,IF(H85="C",2,IF(H85="D",1,0))))</f>
        <v>3</v>
      </c>
      <c r="J85">
        <f t="shared" si="15"/>
        <v>12</v>
      </c>
      <c r="K85">
        <v>12</v>
      </c>
      <c r="L85">
        <v>4</v>
      </c>
      <c r="M85" s="2">
        <v>3</v>
      </c>
      <c r="N85" s="2">
        <v>3.08</v>
      </c>
      <c r="O85">
        <v>1</v>
      </c>
      <c r="P85">
        <v>10</v>
      </c>
      <c r="Q85" s="4" t="str">
        <f t="shared" si="16"/>
        <v>2020/2021-Genap</v>
      </c>
      <c r="R85" t="s">
        <v>596</v>
      </c>
      <c r="S85" t="str">
        <f t="shared" ref="S85:S144" si="18">IF(OR(H85="A",H85="B",H85="C"),"PA","FA")</f>
        <v>PA</v>
      </c>
    </row>
    <row r="86" spans="1:19" x14ac:dyDescent="0.3">
      <c r="A86" t="s">
        <v>12</v>
      </c>
      <c r="B86">
        <v>2016110003</v>
      </c>
      <c r="C86" t="s">
        <v>62</v>
      </c>
      <c r="E86" t="s">
        <v>131</v>
      </c>
      <c r="F86" t="s">
        <v>132</v>
      </c>
      <c r="G86">
        <v>2</v>
      </c>
      <c r="H86" t="s">
        <v>260</v>
      </c>
      <c r="I86" s="4">
        <f t="shared" ref="I86:I144" si="19">IF(H86="A",4,IF(H86="B",3,IF(H86="C",2,IF(H86="D",1,0))))</f>
        <v>4</v>
      </c>
      <c r="J86">
        <f t="shared" ref="J86:J144" si="20">G86*I86</f>
        <v>8</v>
      </c>
      <c r="K86">
        <v>60</v>
      </c>
      <c r="L86">
        <v>20</v>
      </c>
      <c r="M86" s="2">
        <v>3</v>
      </c>
      <c r="N86" s="2">
        <v>3.08</v>
      </c>
      <c r="O86">
        <v>0</v>
      </c>
      <c r="P86">
        <v>1</v>
      </c>
      <c r="Q86" s="4" t="str">
        <f t="shared" si="16"/>
        <v>2016/2017-Ganjil</v>
      </c>
      <c r="R86" t="s">
        <v>260</v>
      </c>
      <c r="S86" t="str">
        <f t="shared" si="18"/>
        <v>PA</v>
      </c>
    </row>
    <row r="87" spans="1:19" x14ac:dyDescent="0.3">
      <c r="A87" t="s">
        <v>12</v>
      </c>
      <c r="B87">
        <v>2016110003</v>
      </c>
      <c r="C87" t="s">
        <v>62</v>
      </c>
      <c r="E87" t="s">
        <v>337</v>
      </c>
      <c r="F87" t="s">
        <v>338</v>
      </c>
      <c r="G87">
        <v>2</v>
      </c>
      <c r="H87" t="s">
        <v>260</v>
      </c>
      <c r="I87" s="4">
        <f t="shared" si="19"/>
        <v>4</v>
      </c>
      <c r="J87">
        <f t="shared" si="20"/>
        <v>8</v>
      </c>
      <c r="K87">
        <v>48</v>
      </c>
      <c r="L87">
        <v>18</v>
      </c>
      <c r="M87" s="2">
        <v>2.67</v>
      </c>
      <c r="N87" s="2">
        <v>3.08</v>
      </c>
      <c r="O87">
        <v>0</v>
      </c>
      <c r="P87">
        <v>5</v>
      </c>
      <c r="Q87" s="4" t="str">
        <f t="shared" si="16"/>
        <v>2018/2019-Ganjil</v>
      </c>
      <c r="R87" t="s">
        <v>260</v>
      </c>
      <c r="S87" t="str">
        <f t="shared" si="18"/>
        <v>PA</v>
      </c>
    </row>
    <row r="88" spans="1:19" x14ac:dyDescent="0.3">
      <c r="A88" t="s">
        <v>12</v>
      </c>
      <c r="B88">
        <v>2016110003</v>
      </c>
      <c r="C88" t="s">
        <v>62</v>
      </c>
      <c r="E88" t="s">
        <v>170</v>
      </c>
      <c r="F88" t="s">
        <v>171</v>
      </c>
      <c r="G88">
        <v>4</v>
      </c>
      <c r="H88" t="s">
        <v>260</v>
      </c>
      <c r="I88" s="4">
        <f t="shared" si="19"/>
        <v>4</v>
      </c>
      <c r="J88">
        <f t="shared" si="20"/>
        <v>16</v>
      </c>
      <c r="K88">
        <v>56</v>
      </c>
      <c r="L88">
        <v>18</v>
      </c>
      <c r="M88" s="2">
        <v>3.11</v>
      </c>
      <c r="N88" s="2">
        <v>3.08</v>
      </c>
      <c r="O88">
        <v>0</v>
      </c>
      <c r="P88">
        <v>3</v>
      </c>
      <c r="Q88" s="4" t="str">
        <f t="shared" si="16"/>
        <v>2017/2018-Ganjil</v>
      </c>
      <c r="R88" t="s">
        <v>260</v>
      </c>
      <c r="S88" t="str">
        <f t="shared" si="18"/>
        <v>PA</v>
      </c>
    </row>
    <row r="89" spans="1:19" x14ac:dyDescent="0.3">
      <c r="A89" t="s">
        <v>12</v>
      </c>
      <c r="B89">
        <v>2016110003</v>
      </c>
      <c r="C89" t="s">
        <v>62</v>
      </c>
      <c r="E89" t="s">
        <v>97</v>
      </c>
      <c r="F89" t="s">
        <v>416</v>
      </c>
      <c r="G89">
        <v>4</v>
      </c>
      <c r="H89" t="s">
        <v>260</v>
      </c>
      <c r="I89" s="4">
        <f t="shared" si="19"/>
        <v>4</v>
      </c>
      <c r="J89">
        <f t="shared" si="20"/>
        <v>16</v>
      </c>
      <c r="K89">
        <v>54</v>
      </c>
      <c r="L89">
        <v>18</v>
      </c>
      <c r="M89" s="2">
        <v>3</v>
      </c>
      <c r="N89" s="2">
        <v>3.08</v>
      </c>
      <c r="O89">
        <v>0</v>
      </c>
      <c r="P89">
        <v>8</v>
      </c>
      <c r="Q89" s="4" t="str">
        <f t="shared" si="16"/>
        <v>2019/2020-Genap</v>
      </c>
      <c r="R89" t="s">
        <v>260</v>
      </c>
      <c r="S89" t="str">
        <f t="shared" si="18"/>
        <v>PA</v>
      </c>
    </row>
    <row r="90" spans="1:19" x14ac:dyDescent="0.3">
      <c r="A90" t="s">
        <v>12</v>
      </c>
      <c r="B90">
        <v>2016110003</v>
      </c>
      <c r="C90" t="s">
        <v>62</v>
      </c>
      <c r="E90" t="s">
        <v>77</v>
      </c>
      <c r="F90" t="s">
        <v>78</v>
      </c>
      <c r="G90">
        <v>2</v>
      </c>
      <c r="H90" t="s">
        <v>260</v>
      </c>
      <c r="I90" s="4">
        <f t="shared" si="19"/>
        <v>4</v>
      </c>
      <c r="J90">
        <f t="shared" si="20"/>
        <v>8</v>
      </c>
      <c r="K90">
        <v>60</v>
      </c>
      <c r="L90">
        <v>20</v>
      </c>
      <c r="M90" s="2">
        <v>3</v>
      </c>
      <c r="N90" s="2">
        <v>3.08</v>
      </c>
      <c r="O90">
        <v>0</v>
      </c>
      <c r="P90">
        <v>1</v>
      </c>
      <c r="Q90" s="4" t="str">
        <f t="shared" si="16"/>
        <v>2016/2017-Ganjil</v>
      </c>
      <c r="R90" t="s">
        <v>260</v>
      </c>
      <c r="S90" t="str">
        <f t="shared" si="18"/>
        <v>PA</v>
      </c>
    </row>
    <row r="91" spans="1:19" x14ac:dyDescent="0.3">
      <c r="A91" t="s">
        <v>12</v>
      </c>
      <c r="B91">
        <v>2016110003</v>
      </c>
      <c r="C91" t="s">
        <v>62</v>
      </c>
      <c r="E91" t="s">
        <v>279</v>
      </c>
      <c r="F91" t="s">
        <v>280</v>
      </c>
      <c r="G91">
        <v>2</v>
      </c>
      <c r="H91" t="s">
        <v>260</v>
      </c>
      <c r="I91" s="4">
        <f t="shared" si="19"/>
        <v>4</v>
      </c>
      <c r="J91">
        <f t="shared" si="20"/>
        <v>8</v>
      </c>
      <c r="K91">
        <v>42</v>
      </c>
      <c r="L91">
        <v>16</v>
      </c>
      <c r="M91" s="2">
        <v>2.63</v>
      </c>
      <c r="N91" s="2">
        <v>3.08</v>
      </c>
      <c r="O91">
        <v>0</v>
      </c>
      <c r="P91">
        <v>2</v>
      </c>
      <c r="Q91" s="4" t="str">
        <f t="shared" si="16"/>
        <v>2016/2017-Genap</v>
      </c>
      <c r="R91" t="s">
        <v>260</v>
      </c>
      <c r="S91" t="str">
        <f t="shared" si="18"/>
        <v>PA</v>
      </c>
    </row>
    <row r="92" spans="1:19" x14ac:dyDescent="0.3">
      <c r="A92" t="s">
        <v>12</v>
      </c>
      <c r="B92">
        <v>2016110003</v>
      </c>
      <c r="C92" t="s">
        <v>62</v>
      </c>
      <c r="E92" t="s">
        <v>344</v>
      </c>
      <c r="F92" t="s">
        <v>345</v>
      </c>
      <c r="G92">
        <v>2</v>
      </c>
      <c r="H92" t="s">
        <v>260</v>
      </c>
      <c r="I92" s="4">
        <f t="shared" si="19"/>
        <v>4</v>
      </c>
      <c r="J92">
        <f t="shared" si="20"/>
        <v>8</v>
      </c>
      <c r="K92">
        <v>58</v>
      </c>
      <c r="L92">
        <v>20</v>
      </c>
      <c r="M92" s="2">
        <v>2.9</v>
      </c>
      <c r="N92" s="2">
        <v>3.08</v>
      </c>
      <c r="O92">
        <v>0</v>
      </c>
      <c r="P92">
        <v>7</v>
      </c>
      <c r="Q92" s="4" t="str">
        <f t="shared" si="16"/>
        <v>2019/2020-Ganjil</v>
      </c>
      <c r="R92" t="s">
        <v>260</v>
      </c>
      <c r="S92" t="str">
        <f t="shared" si="18"/>
        <v>PA</v>
      </c>
    </row>
    <row r="93" spans="1:19" x14ac:dyDescent="0.3">
      <c r="A93" t="s">
        <v>12</v>
      </c>
      <c r="B93">
        <v>2016110003</v>
      </c>
      <c r="C93" t="s">
        <v>62</v>
      </c>
      <c r="E93" t="s">
        <v>192</v>
      </c>
      <c r="F93" t="s">
        <v>106</v>
      </c>
      <c r="G93">
        <v>2</v>
      </c>
      <c r="H93" t="s">
        <v>438</v>
      </c>
      <c r="I93" s="4">
        <f t="shared" si="19"/>
        <v>3</v>
      </c>
      <c r="J93">
        <f t="shared" si="20"/>
        <v>6</v>
      </c>
      <c r="K93">
        <v>56</v>
      </c>
      <c r="L93">
        <v>18</v>
      </c>
      <c r="M93" s="2">
        <v>3.11</v>
      </c>
      <c r="N93" s="2">
        <v>3.08</v>
      </c>
      <c r="O93">
        <v>0</v>
      </c>
      <c r="P93">
        <v>3</v>
      </c>
      <c r="Q93" s="4" t="str">
        <f t="shared" si="16"/>
        <v>2017/2018-Ganjil</v>
      </c>
      <c r="R93" t="s">
        <v>260</v>
      </c>
      <c r="S93" t="str">
        <f t="shared" si="18"/>
        <v>PA</v>
      </c>
    </row>
    <row r="94" spans="1:19" x14ac:dyDescent="0.3">
      <c r="A94" t="s">
        <v>12</v>
      </c>
      <c r="B94">
        <v>2016110003</v>
      </c>
      <c r="C94" t="s">
        <v>62</v>
      </c>
      <c r="E94" t="s">
        <v>14</v>
      </c>
      <c r="F94" t="s">
        <v>15</v>
      </c>
      <c r="G94">
        <v>2</v>
      </c>
      <c r="H94" t="s">
        <v>438</v>
      </c>
      <c r="I94" s="4">
        <f t="shared" si="19"/>
        <v>3</v>
      </c>
      <c r="J94">
        <f t="shared" si="20"/>
        <v>6</v>
      </c>
      <c r="K94">
        <v>6</v>
      </c>
      <c r="L94">
        <v>2</v>
      </c>
      <c r="M94" s="2">
        <v>3</v>
      </c>
      <c r="N94" s="2">
        <v>3.08</v>
      </c>
      <c r="O94">
        <v>0</v>
      </c>
      <c r="P94">
        <v>9</v>
      </c>
      <c r="Q94" s="4" t="str">
        <f t="shared" si="16"/>
        <v>2020/2021-Ganjil</v>
      </c>
      <c r="R94" t="s">
        <v>260</v>
      </c>
      <c r="S94" t="str">
        <f t="shared" si="18"/>
        <v>PA</v>
      </c>
    </row>
    <row r="95" spans="1:19" x14ac:dyDescent="0.3">
      <c r="A95" t="s">
        <v>12</v>
      </c>
      <c r="B95">
        <v>2016110003</v>
      </c>
      <c r="C95" t="s">
        <v>62</v>
      </c>
      <c r="E95" t="s">
        <v>165</v>
      </c>
      <c r="F95" t="s">
        <v>166</v>
      </c>
      <c r="G95">
        <v>2</v>
      </c>
      <c r="H95" t="s">
        <v>438</v>
      </c>
      <c r="I95" s="4">
        <f t="shared" si="19"/>
        <v>3</v>
      </c>
      <c r="J95">
        <f t="shared" si="20"/>
        <v>6</v>
      </c>
      <c r="K95">
        <v>60</v>
      </c>
      <c r="L95">
        <v>20</v>
      </c>
      <c r="M95" s="2">
        <v>3</v>
      </c>
      <c r="N95" s="2">
        <v>3.08</v>
      </c>
      <c r="O95">
        <v>0</v>
      </c>
      <c r="P95">
        <v>1</v>
      </c>
      <c r="Q95" s="4" t="str">
        <f t="shared" si="16"/>
        <v>2016/2017-Ganjil</v>
      </c>
      <c r="R95" t="s">
        <v>260</v>
      </c>
      <c r="S95" t="str">
        <f t="shared" si="18"/>
        <v>PA</v>
      </c>
    </row>
    <row r="96" spans="1:19" x14ac:dyDescent="0.3">
      <c r="A96" t="s">
        <v>12</v>
      </c>
      <c r="B96">
        <v>2016110003</v>
      </c>
      <c r="C96" t="s">
        <v>62</v>
      </c>
      <c r="E96" t="s">
        <v>427</v>
      </c>
      <c r="F96" t="s">
        <v>428</v>
      </c>
      <c r="G96">
        <v>2</v>
      </c>
      <c r="H96" t="s">
        <v>438</v>
      </c>
      <c r="I96" s="4">
        <f t="shared" si="19"/>
        <v>3</v>
      </c>
      <c r="J96">
        <f t="shared" si="20"/>
        <v>6</v>
      </c>
      <c r="K96">
        <v>64</v>
      </c>
      <c r="L96">
        <v>22</v>
      </c>
      <c r="M96" s="2">
        <v>2.91</v>
      </c>
      <c r="N96" s="2">
        <v>3.08</v>
      </c>
      <c r="O96">
        <v>0</v>
      </c>
      <c r="P96">
        <v>6</v>
      </c>
      <c r="Q96" s="4" t="str">
        <f t="shared" si="16"/>
        <v>2018/2019-Genap</v>
      </c>
      <c r="R96" t="s">
        <v>260</v>
      </c>
      <c r="S96" t="str">
        <f t="shared" si="18"/>
        <v>PA</v>
      </c>
    </row>
    <row r="97" spans="1:19" x14ac:dyDescent="0.3">
      <c r="A97" t="s">
        <v>12</v>
      </c>
      <c r="B97">
        <v>2016110003</v>
      </c>
      <c r="C97" t="s">
        <v>62</v>
      </c>
      <c r="E97" t="s">
        <v>248</v>
      </c>
      <c r="F97" t="s">
        <v>249</v>
      </c>
      <c r="G97">
        <v>2</v>
      </c>
      <c r="H97" t="s">
        <v>438</v>
      </c>
      <c r="I97" s="4">
        <f t="shared" si="19"/>
        <v>3</v>
      </c>
      <c r="J97">
        <f t="shared" si="20"/>
        <v>6</v>
      </c>
      <c r="K97">
        <v>52</v>
      </c>
      <c r="L97">
        <v>20</v>
      </c>
      <c r="M97" s="2">
        <v>2.6</v>
      </c>
      <c r="N97" s="2">
        <v>3.08</v>
      </c>
      <c r="O97">
        <v>0</v>
      </c>
      <c r="P97">
        <v>4</v>
      </c>
      <c r="Q97" s="4" t="str">
        <f t="shared" si="16"/>
        <v>2017/2018-Genap</v>
      </c>
      <c r="R97" t="s">
        <v>260</v>
      </c>
      <c r="S97" t="str">
        <f t="shared" si="18"/>
        <v>PA</v>
      </c>
    </row>
    <row r="98" spans="1:19" x14ac:dyDescent="0.3">
      <c r="A98" t="s">
        <v>12</v>
      </c>
      <c r="B98">
        <v>2016110003</v>
      </c>
      <c r="C98" t="s">
        <v>62</v>
      </c>
      <c r="E98" t="s">
        <v>90</v>
      </c>
      <c r="F98" t="s">
        <v>91</v>
      </c>
      <c r="G98">
        <v>2</v>
      </c>
      <c r="H98" t="s">
        <v>438</v>
      </c>
      <c r="I98" s="4">
        <f t="shared" si="19"/>
        <v>3</v>
      </c>
      <c r="J98">
        <f t="shared" si="20"/>
        <v>6</v>
      </c>
      <c r="K98">
        <v>60</v>
      </c>
      <c r="L98">
        <v>20</v>
      </c>
      <c r="M98" s="2">
        <v>3</v>
      </c>
      <c r="N98" s="2">
        <v>3.08</v>
      </c>
      <c r="O98">
        <v>0</v>
      </c>
      <c r="P98">
        <v>1</v>
      </c>
      <c r="Q98" s="4" t="str">
        <f t="shared" si="16"/>
        <v>2016/2017-Ganjil</v>
      </c>
      <c r="R98" t="s">
        <v>260</v>
      </c>
      <c r="S98" t="str">
        <f t="shared" si="18"/>
        <v>PA</v>
      </c>
    </row>
    <row r="99" spans="1:19" x14ac:dyDescent="0.3">
      <c r="A99" t="s">
        <v>12</v>
      </c>
      <c r="B99">
        <v>2016110003</v>
      </c>
      <c r="C99" t="s">
        <v>62</v>
      </c>
      <c r="E99" t="s">
        <v>306</v>
      </c>
      <c r="F99" t="s">
        <v>307</v>
      </c>
      <c r="G99">
        <v>2</v>
      </c>
      <c r="H99" t="s">
        <v>438</v>
      </c>
      <c r="I99" s="4">
        <f t="shared" si="19"/>
        <v>3</v>
      </c>
      <c r="J99">
        <f t="shared" si="20"/>
        <v>6</v>
      </c>
      <c r="K99">
        <v>58</v>
      </c>
      <c r="L99">
        <v>20</v>
      </c>
      <c r="M99" s="2">
        <v>2.9</v>
      </c>
      <c r="N99" s="2">
        <v>3.08</v>
      </c>
      <c r="O99">
        <v>0</v>
      </c>
      <c r="P99">
        <v>7</v>
      </c>
      <c r="Q99" s="4" t="str">
        <f t="shared" si="16"/>
        <v>2019/2020-Ganjil</v>
      </c>
      <c r="R99" t="s">
        <v>260</v>
      </c>
      <c r="S99" t="str">
        <f t="shared" si="18"/>
        <v>PA</v>
      </c>
    </row>
    <row r="100" spans="1:19" x14ac:dyDescent="0.3">
      <c r="A100" t="s">
        <v>12</v>
      </c>
      <c r="B100">
        <v>2016110003</v>
      </c>
      <c r="C100" t="s">
        <v>62</v>
      </c>
      <c r="E100" t="s">
        <v>283</v>
      </c>
      <c r="F100" t="s">
        <v>284</v>
      </c>
      <c r="G100">
        <v>2</v>
      </c>
      <c r="H100" t="s">
        <v>438</v>
      </c>
      <c r="I100" s="4">
        <f t="shared" si="19"/>
        <v>3</v>
      </c>
      <c r="J100">
        <f t="shared" si="20"/>
        <v>6</v>
      </c>
      <c r="K100">
        <v>58</v>
      </c>
      <c r="L100">
        <v>20</v>
      </c>
      <c r="M100" s="2">
        <v>2.9</v>
      </c>
      <c r="N100" s="2">
        <v>3.08</v>
      </c>
      <c r="O100">
        <v>0</v>
      </c>
      <c r="P100">
        <v>7</v>
      </c>
      <c r="Q100" s="4" t="str">
        <f t="shared" si="16"/>
        <v>2019/2020-Ganjil</v>
      </c>
      <c r="R100" t="s">
        <v>260</v>
      </c>
      <c r="S100" t="str">
        <f t="shared" si="18"/>
        <v>PA</v>
      </c>
    </row>
    <row r="101" spans="1:19" x14ac:dyDescent="0.3">
      <c r="A101" t="s">
        <v>12</v>
      </c>
      <c r="B101">
        <v>2016110003</v>
      </c>
      <c r="C101" t="s">
        <v>62</v>
      </c>
      <c r="E101" t="s">
        <v>190</v>
      </c>
      <c r="F101" t="s">
        <v>191</v>
      </c>
      <c r="G101">
        <v>4</v>
      </c>
      <c r="H101" t="s">
        <v>438</v>
      </c>
      <c r="I101" s="4">
        <f t="shared" si="19"/>
        <v>3</v>
      </c>
      <c r="J101">
        <f t="shared" si="20"/>
        <v>12</v>
      </c>
      <c r="K101">
        <v>48</v>
      </c>
      <c r="L101">
        <v>18</v>
      </c>
      <c r="M101" s="2">
        <v>2.67</v>
      </c>
      <c r="N101" s="2">
        <v>3.08</v>
      </c>
      <c r="O101">
        <v>0</v>
      </c>
      <c r="P101">
        <v>5</v>
      </c>
      <c r="Q101" s="4" t="str">
        <f t="shared" si="16"/>
        <v>2018/2019-Ganjil</v>
      </c>
      <c r="R101" t="s">
        <v>260</v>
      </c>
      <c r="S101" t="str">
        <f t="shared" si="18"/>
        <v>PA</v>
      </c>
    </row>
    <row r="102" spans="1:19" x14ac:dyDescent="0.3">
      <c r="A102" t="s">
        <v>12</v>
      </c>
      <c r="B102">
        <v>2016110003</v>
      </c>
      <c r="C102" t="s">
        <v>62</v>
      </c>
      <c r="E102" t="s">
        <v>290</v>
      </c>
      <c r="F102" t="s">
        <v>327</v>
      </c>
      <c r="G102">
        <v>4</v>
      </c>
      <c r="H102" t="s">
        <v>438</v>
      </c>
      <c r="I102" s="4">
        <f t="shared" si="19"/>
        <v>3</v>
      </c>
      <c r="J102">
        <f t="shared" si="20"/>
        <v>12</v>
      </c>
      <c r="K102">
        <v>42</v>
      </c>
      <c r="L102">
        <v>16</v>
      </c>
      <c r="M102" s="2">
        <v>2.63</v>
      </c>
      <c r="N102" s="2">
        <v>3.08</v>
      </c>
      <c r="O102">
        <v>0</v>
      </c>
      <c r="P102">
        <v>2</v>
      </c>
      <c r="Q102" s="4" t="str">
        <f t="shared" si="16"/>
        <v>2016/2017-Genap</v>
      </c>
      <c r="R102" t="s">
        <v>260</v>
      </c>
      <c r="S102" t="str">
        <f t="shared" si="18"/>
        <v>PA</v>
      </c>
    </row>
    <row r="103" spans="1:19" x14ac:dyDescent="0.3">
      <c r="A103" t="s">
        <v>12</v>
      </c>
      <c r="B103">
        <v>2016110003</v>
      </c>
      <c r="C103" t="s">
        <v>62</v>
      </c>
      <c r="E103" t="s">
        <v>330</v>
      </c>
      <c r="F103" t="s">
        <v>108</v>
      </c>
      <c r="G103">
        <v>2</v>
      </c>
      <c r="H103" t="s">
        <v>438</v>
      </c>
      <c r="I103" s="4">
        <f t="shared" si="19"/>
        <v>3</v>
      </c>
      <c r="J103">
        <f t="shared" si="20"/>
        <v>6</v>
      </c>
      <c r="K103">
        <v>58</v>
      </c>
      <c r="L103">
        <v>20</v>
      </c>
      <c r="M103" s="2">
        <v>2.9</v>
      </c>
      <c r="N103" s="2">
        <v>3.08</v>
      </c>
      <c r="O103">
        <v>0</v>
      </c>
      <c r="P103">
        <v>7</v>
      </c>
      <c r="Q103" s="4" t="str">
        <f t="shared" si="16"/>
        <v>2019/2020-Ganjil</v>
      </c>
      <c r="R103" t="s">
        <v>260</v>
      </c>
      <c r="S103" t="str">
        <f t="shared" si="18"/>
        <v>PA</v>
      </c>
    </row>
    <row r="104" spans="1:19" x14ac:dyDescent="0.3">
      <c r="A104" t="s">
        <v>12</v>
      </c>
      <c r="B104">
        <v>2016110003</v>
      </c>
      <c r="C104" t="s">
        <v>62</v>
      </c>
      <c r="E104" t="s">
        <v>264</v>
      </c>
      <c r="F104" t="s">
        <v>265</v>
      </c>
      <c r="G104">
        <v>2</v>
      </c>
      <c r="H104" t="s">
        <v>438</v>
      </c>
      <c r="I104" s="4">
        <f t="shared" si="19"/>
        <v>3</v>
      </c>
      <c r="J104">
        <f t="shared" si="20"/>
        <v>6</v>
      </c>
      <c r="K104">
        <v>58</v>
      </c>
      <c r="L104">
        <v>20</v>
      </c>
      <c r="M104" s="2">
        <v>2.9</v>
      </c>
      <c r="N104" s="2">
        <v>3.08</v>
      </c>
      <c r="O104">
        <v>0</v>
      </c>
      <c r="P104">
        <v>7</v>
      </c>
      <c r="Q104" s="4" t="str">
        <f t="shared" si="16"/>
        <v>2019/2020-Ganjil</v>
      </c>
      <c r="R104" t="s">
        <v>260</v>
      </c>
      <c r="S104" t="str">
        <f t="shared" si="18"/>
        <v>PA</v>
      </c>
    </row>
    <row r="105" spans="1:19" x14ac:dyDescent="0.3">
      <c r="A105" t="s">
        <v>12</v>
      </c>
      <c r="B105">
        <v>2016110003</v>
      </c>
      <c r="C105" t="s">
        <v>62</v>
      </c>
      <c r="E105" t="s">
        <v>122</v>
      </c>
      <c r="F105" t="s">
        <v>123</v>
      </c>
      <c r="G105">
        <v>4</v>
      </c>
      <c r="H105" t="s">
        <v>438</v>
      </c>
      <c r="I105" s="4">
        <f t="shared" si="19"/>
        <v>3</v>
      </c>
      <c r="J105">
        <f t="shared" si="20"/>
        <v>12</v>
      </c>
      <c r="K105">
        <v>60</v>
      </c>
      <c r="L105">
        <v>20</v>
      </c>
      <c r="M105" s="2">
        <v>3</v>
      </c>
      <c r="N105" s="2">
        <v>3.08</v>
      </c>
      <c r="O105">
        <v>0</v>
      </c>
      <c r="P105">
        <v>1</v>
      </c>
      <c r="Q105" s="4" t="str">
        <f t="shared" si="16"/>
        <v>2016/2017-Ganjil</v>
      </c>
      <c r="R105" t="s">
        <v>260</v>
      </c>
      <c r="S105" t="str">
        <f t="shared" si="18"/>
        <v>PA</v>
      </c>
    </row>
    <row r="106" spans="1:19" x14ac:dyDescent="0.3">
      <c r="A106" t="s">
        <v>12</v>
      </c>
      <c r="B106">
        <v>2016110003</v>
      </c>
      <c r="C106" t="s">
        <v>62</v>
      </c>
      <c r="E106" t="s">
        <v>302</v>
      </c>
      <c r="F106" t="s">
        <v>303</v>
      </c>
      <c r="G106">
        <v>2</v>
      </c>
      <c r="H106" t="s">
        <v>438</v>
      </c>
      <c r="I106" s="4">
        <f t="shared" si="19"/>
        <v>3</v>
      </c>
      <c r="J106">
        <f t="shared" si="20"/>
        <v>6</v>
      </c>
      <c r="K106">
        <v>64</v>
      </c>
      <c r="L106">
        <v>22</v>
      </c>
      <c r="M106" s="2">
        <v>2.91</v>
      </c>
      <c r="N106" s="2">
        <v>3.08</v>
      </c>
      <c r="O106">
        <v>0</v>
      </c>
      <c r="P106">
        <v>6</v>
      </c>
      <c r="Q106" s="4" t="str">
        <f t="shared" si="16"/>
        <v>2018/2019-Genap</v>
      </c>
      <c r="R106" t="s">
        <v>260</v>
      </c>
      <c r="S106" t="str">
        <f t="shared" si="18"/>
        <v>PA</v>
      </c>
    </row>
    <row r="107" spans="1:19" x14ac:dyDescent="0.3">
      <c r="A107" t="s">
        <v>12</v>
      </c>
      <c r="B107">
        <v>2016110003</v>
      </c>
      <c r="C107" t="s">
        <v>62</v>
      </c>
      <c r="E107" t="s">
        <v>173</v>
      </c>
      <c r="F107" t="s">
        <v>8</v>
      </c>
      <c r="G107">
        <v>2</v>
      </c>
      <c r="H107" t="s">
        <v>438</v>
      </c>
      <c r="I107" s="4">
        <f t="shared" si="19"/>
        <v>3</v>
      </c>
      <c r="J107">
        <f t="shared" si="20"/>
        <v>6</v>
      </c>
      <c r="K107">
        <v>56</v>
      </c>
      <c r="L107">
        <v>18</v>
      </c>
      <c r="M107" s="2">
        <v>3.11</v>
      </c>
      <c r="N107" s="2">
        <v>3.08</v>
      </c>
      <c r="O107">
        <v>0</v>
      </c>
      <c r="P107">
        <v>3</v>
      </c>
      <c r="Q107" s="4" t="str">
        <f t="shared" si="16"/>
        <v>2017/2018-Ganjil</v>
      </c>
      <c r="R107" t="s">
        <v>260</v>
      </c>
      <c r="S107" t="str">
        <f t="shared" si="18"/>
        <v>PA</v>
      </c>
    </row>
    <row r="108" spans="1:19" x14ac:dyDescent="0.3">
      <c r="A108" t="s">
        <v>12</v>
      </c>
      <c r="B108">
        <v>2016110003</v>
      </c>
      <c r="C108" t="s">
        <v>62</v>
      </c>
      <c r="E108" t="s">
        <v>151</v>
      </c>
      <c r="F108" t="s">
        <v>152</v>
      </c>
      <c r="G108">
        <v>2</v>
      </c>
      <c r="H108" t="s">
        <v>438</v>
      </c>
      <c r="I108" s="4">
        <f t="shared" si="19"/>
        <v>3</v>
      </c>
      <c r="J108">
        <f t="shared" si="20"/>
        <v>6</v>
      </c>
      <c r="K108">
        <v>60</v>
      </c>
      <c r="L108">
        <v>20</v>
      </c>
      <c r="M108" s="2">
        <v>3</v>
      </c>
      <c r="N108" s="2">
        <v>3.08</v>
      </c>
      <c r="O108">
        <v>0</v>
      </c>
      <c r="P108">
        <v>1</v>
      </c>
      <c r="Q108" s="4" t="str">
        <f t="shared" si="16"/>
        <v>2016/2017-Ganjil</v>
      </c>
      <c r="R108" t="s">
        <v>260</v>
      </c>
      <c r="S108" t="str">
        <f t="shared" si="18"/>
        <v>PA</v>
      </c>
    </row>
    <row r="109" spans="1:19" x14ac:dyDescent="0.3">
      <c r="A109" t="s">
        <v>12</v>
      </c>
      <c r="B109">
        <v>2016110003</v>
      </c>
      <c r="C109" t="s">
        <v>62</v>
      </c>
      <c r="E109" t="s">
        <v>262</v>
      </c>
      <c r="F109" t="s">
        <v>263</v>
      </c>
      <c r="G109">
        <v>2</v>
      </c>
      <c r="H109" t="s">
        <v>438</v>
      </c>
      <c r="I109" s="4">
        <f t="shared" si="19"/>
        <v>3</v>
      </c>
      <c r="J109">
        <f t="shared" si="20"/>
        <v>6</v>
      </c>
      <c r="K109">
        <v>64</v>
      </c>
      <c r="L109">
        <v>22</v>
      </c>
      <c r="M109" s="2">
        <v>2.91</v>
      </c>
      <c r="N109" s="2">
        <v>3.08</v>
      </c>
      <c r="O109">
        <v>0</v>
      </c>
      <c r="P109">
        <v>6</v>
      </c>
      <c r="Q109" s="4" t="str">
        <f t="shared" si="16"/>
        <v>2018/2019-Genap</v>
      </c>
      <c r="R109" t="s">
        <v>260</v>
      </c>
      <c r="S109" t="str">
        <f t="shared" si="18"/>
        <v>PA</v>
      </c>
    </row>
    <row r="110" spans="1:19" x14ac:dyDescent="0.3">
      <c r="A110" t="s">
        <v>12</v>
      </c>
      <c r="B110">
        <v>2016110003</v>
      </c>
      <c r="C110" t="s">
        <v>62</v>
      </c>
      <c r="E110" t="s">
        <v>276</v>
      </c>
      <c r="F110" t="s">
        <v>137</v>
      </c>
      <c r="G110">
        <v>4</v>
      </c>
      <c r="H110" t="s">
        <v>438</v>
      </c>
      <c r="I110" s="4">
        <f t="shared" si="19"/>
        <v>3</v>
      </c>
      <c r="J110">
        <f t="shared" si="20"/>
        <v>12</v>
      </c>
      <c r="K110">
        <v>52</v>
      </c>
      <c r="L110">
        <v>20</v>
      </c>
      <c r="M110" s="2">
        <v>2.6</v>
      </c>
      <c r="N110" s="2">
        <v>3.08</v>
      </c>
      <c r="O110">
        <v>0</v>
      </c>
      <c r="P110">
        <v>4</v>
      </c>
      <c r="Q110" s="4" t="str">
        <f t="shared" si="16"/>
        <v>2017/2018-Genap</v>
      </c>
      <c r="R110" t="s">
        <v>260</v>
      </c>
      <c r="S110" t="str">
        <f t="shared" si="18"/>
        <v>PA</v>
      </c>
    </row>
    <row r="111" spans="1:19" x14ac:dyDescent="0.3">
      <c r="A111" t="s">
        <v>12</v>
      </c>
      <c r="B111">
        <v>2016110003</v>
      </c>
      <c r="C111" t="s">
        <v>62</v>
      </c>
      <c r="E111" t="s">
        <v>297</v>
      </c>
      <c r="F111" t="s">
        <v>342</v>
      </c>
      <c r="G111">
        <v>4</v>
      </c>
      <c r="H111" t="s">
        <v>438</v>
      </c>
      <c r="I111" s="4">
        <f t="shared" si="19"/>
        <v>3</v>
      </c>
      <c r="J111">
        <f t="shared" si="20"/>
        <v>12</v>
      </c>
      <c r="K111">
        <v>64</v>
      </c>
      <c r="L111">
        <v>22</v>
      </c>
      <c r="M111" s="2">
        <v>2.91</v>
      </c>
      <c r="N111" s="2">
        <v>3.08</v>
      </c>
      <c r="O111">
        <v>0</v>
      </c>
      <c r="P111">
        <v>6</v>
      </c>
      <c r="Q111" s="4" t="str">
        <f t="shared" si="16"/>
        <v>2018/2019-Genap</v>
      </c>
      <c r="R111" t="s">
        <v>260</v>
      </c>
      <c r="S111" t="str">
        <f t="shared" si="18"/>
        <v>PA</v>
      </c>
    </row>
    <row r="112" spans="1:19" x14ac:dyDescent="0.3">
      <c r="A112" t="s">
        <v>12</v>
      </c>
      <c r="B112">
        <v>2016110003</v>
      </c>
      <c r="C112" t="s">
        <v>62</v>
      </c>
      <c r="E112" t="s">
        <v>244</v>
      </c>
      <c r="F112" t="s">
        <v>228</v>
      </c>
      <c r="G112">
        <v>2</v>
      </c>
      <c r="H112" t="s">
        <v>438</v>
      </c>
      <c r="I112" s="4">
        <f t="shared" si="19"/>
        <v>3</v>
      </c>
      <c r="J112">
        <f t="shared" si="20"/>
        <v>6</v>
      </c>
      <c r="K112">
        <v>52</v>
      </c>
      <c r="L112">
        <v>20</v>
      </c>
      <c r="M112" s="2">
        <v>2.6</v>
      </c>
      <c r="N112" s="2">
        <v>3.08</v>
      </c>
      <c r="O112">
        <v>0</v>
      </c>
      <c r="P112">
        <v>4</v>
      </c>
      <c r="Q112" s="4" t="str">
        <f t="shared" si="16"/>
        <v>2017/2018-Genap</v>
      </c>
      <c r="R112" t="s">
        <v>260</v>
      </c>
      <c r="S112" t="str">
        <f t="shared" si="18"/>
        <v>PA</v>
      </c>
    </row>
    <row r="113" spans="1:19" x14ac:dyDescent="0.3">
      <c r="A113" t="s">
        <v>12</v>
      </c>
      <c r="B113">
        <v>2016110003</v>
      </c>
      <c r="C113" t="s">
        <v>62</v>
      </c>
      <c r="E113" t="s">
        <v>374</v>
      </c>
      <c r="F113" t="s">
        <v>375</v>
      </c>
      <c r="G113">
        <v>2</v>
      </c>
      <c r="H113" t="s">
        <v>438</v>
      </c>
      <c r="I113" s="4">
        <f t="shared" si="19"/>
        <v>3</v>
      </c>
      <c r="J113">
        <f t="shared" si="20"/>
        <v>6</v>
      </c>
      <c r="K113">
        <v>52</v>
      </c>
      <c r="L113">
        <v>20</v>
      </c>
      <c r="M113" s="2">
        <v>2.6</v>
      </c>
      <c r="N113" s="2">
        <v>3.08</v>
      </c>
      <c r="O113">
        <v>0</v>
      </c>
      <c r="P113">
        <v>4</v>
      </c>
      <c r="Q113" s="4" t="str">
        <f t="shared" si="16"/>
        <v>2017/2018-Genap</v>
      </c>
      <c r="R113" t="s">
        <v>260</v>
      </c>
      <c r="S113" t="str">
        <f t="shared" si="18"/>
        <v>PA</v>
      </c>
    </row>
    <row r="114" spans="1:19" x14ac:dyDescent="0.3">
      <c r="A114" t="s">
        <v>12</v>
      </c>
      <c r="B114">
        <v>2016110003</v>
      </c>
      <c r="C114" t="s">
        <v>62</v>
      </c>
      <c r="E114" t="s">
        <v>316</v>
      </c>
      <c r="F114" t="s">
        <v>317</v>
      </c>
      <c r="G114">
        <v>2</v>
      </c>
      <c r="H114" t="s">
        <v>438</v>
      </c>
      <c r="I114" s="4">
        <f t="shared" si="19"/>
        <v>3</v>
      </c>
      <c r="J114">
        <f t="shared" si="20"/>
        <v>6</v>
      </c>
      <c r="K114">
        <v>58</v>
      </c>
      <c r="L114">
        <v>20</v>
      </c>
      <c r="M114" s="2">
        <v>2.9</v>
      </c>
      <c r="N114" s="2">
        <v>3.08</v>
      </c>
      <c r="O114">
        <v>0</v>
      </c>
      <c r="P114">
        <v>7</v>
      </c>
      <c r="Q114" s="4" t="str">
        <f t="shared" si="16"/>
        <v>2019/2020-Ganjil</v>
      </c>
      <c r="R114" t="s">
        <v>260</v>
      </c>
      <c r="S114" t="str">
        <f t="shared" si="18"/>
        <v>PA</v>
      </c>
    </row>
    <row r="115" spans="1:19" x14ac:dyDescent="0.3">
      <c r="A115" t="s">
        <v>12</v>
      </c>
      <c r="B115">
        <v>2016110003</v>
      </c>
      <c r="C115" t="s">
        <v>62</v>
      </c>
      <c r="E115" t="s">
        <v>273</v>
      </c>
      <c r="F115" t="s">
        <v>274</v>
      </c>
      <c r="G115">
        <v>2</v>
      </c>
      <c r="H115" t="s">
        <v>438</v>
      </c>
      <c r="I115" s="4">
        <f t="shared" si="19"/>
        <v>3</v>
      </c>
      <c r="J115">
        <f t="shared" si="20"/>
        <v>6</v>
      </c>
      <c r="K115">
        <v>52</v>
      </c>
      <c r="L115">
        <v>20</v>
      </c>
      <c r="M115" s="2">
        <v>2.6</v>
      </c>
      <c r="N115" s="2">
        <v>3.08</v>
      </c>
      <c r="O115">
        <v>0</v>
      </c>
      <c r="P115">
        <v>4</v>
      </c>
      <c r="Q115" s="4" t="str">
        <f t="shared" si="16"/>
        <v>2017/2018-Genap</v>
      </c>
      <c r="R115" t="s">
        <v>260</v>
      </c>
      <c r="S115" t="str">
        <f t="shared" si="18"/>
        <v>PA</v>
      </c>
    </row>
    <row r="116" spans="1:19" x14ac:dyDescent="0.3">
      <c r="A116" t="s">
        <v>12</v>
      </c>
      <c r="B116">
        <v>2016110003</v>
      </c>
      <c r="C116" t="s">
        <v>62</v>
      </c>
      <c r="E116" t="s">
        <v>208</v>
      </c>
      <c r="F116" t="s">
        <v>209</v>
      </c>
      <c r="G116">
        <v>2</v>
      </c>
      <c r="H116" t="s">
        <v>438</v>
      </c>
      <c r="I116" s="4">
        <f t="shared" si="19"/>
        <v>3</v>
      </c>
      <c r="J116">
        <f t="shared" si="20"/>
        <v>6</v>
      </c>
      <c r="K116">
        <v>48</v>
      </c>
      <c r="L116">
        <v>18</v>
      </c>
      <c r="M116" s="2">
        <v>2.67</v>
      </c>
      <c r="N116" s="2">
        <v>3.08</v>
      </c>
      <c r="O116">
        <v>0</v>
      </c>
      <c r="P116">
        <v>5</v>
      </c>
      <c r="Q116" s="4" t="str">
        <f t="shared" si="16"/>
        <v>2018/2019-Ganjil</v>
      </c>
      <c r="R116" t="s">
        <v>260</v>
      </c>
      <c r="S116" t="str">
        <f t="shared" si="18"/>
        <v>PA</v>
      </c>
    </row>
    <row r="117" spans="1:19" x14ac:dyDescent="0.3">
      <c r="A117" t="s">
        <v>12</v>
      </c>
      <c r="B117">
        <v>2016110003</v>
      </c>
      <c r="C117" t="s">
        <v>62</v>
      </c>
      <c r="E117" t="s">
        <v>139</v>
      </c>
      <c r="F117" t="s">
        <v>140</v>
      </c>
      <c r="G117">
        <v>2</v>
      </c>
      <c r="H117" t="s">
        <v>438</v>
      </c>
      <c r="I117" s="4">
        <f t="shared" si="19"/>
        <v>3</v>
      </c>
      <c r="J117">
        <f t="shared" si="20"/>
        <v>6</v>
      </c>
      <c r="K117">
        <v>42</v>
      </c>
      <c r="L117">
        <v>16</v>
      </c>
      <c r="M117" s="2">
        <v>2.63</v>
      </c>
      <c r="N117" s="2">
        <v>3.08</v>
      </c>
      <c r="O117">
        <v>0</v>
      </c>
      <c r="P117">
        <v>2</v>
      </c>
      <c r="Q117" s="4" t="str">
        <f t="shared" si="16"/>
        <v>2016/2017-Genap</v>
      </c>
      <c r="R117" t="s">
        <v>260</v>
      </c>
      <c r="S117" t="str">
        <f t="shared" si="18"/>
        <v>PA</v>
      </c>
    </row>
    <row r="118" spans="1:19" x14ac:dyDescent="0.3">
      <c r="A118" t="s">
        <v>12</v>
      </c>
      <c r="B118">
        <v>2016110003</v>
      </c>
      <c r="C118" t="s">
        <v>62</v>
      </c>
      <c r="E118" t="s">
        <v>39</v>
      </c>
      <c r="F118" t="s">
        <v>11</v>
      </c>
      <c r="G118">
        <v>2</v>
      </c>
      <c r="H118" t="s">
        <v>438</v>
      </c>
      <c r="I118" s="4">
        <f t="shared" si="19"/>
        <v>3</v>
      </c>
      <c r="J118">
        <f t="shared" si="20"/>
        <v>6</v>
      </c>
      <c r="K118">
        <v>58</v>
      </c>
      <c r="L118">
        <v>20</v>
      </c>
      <c r="M118" s="2">
        <v>2.9</v>
      </c>
      <c r="N118" s="2">
        <v>3.08</v>
      </c>
      <c r="O118">
        <v>0</v>
      </c>
      <c r="P118">
        <v>7</v>
      </c>
      <c r="Q118" s="4" t="str">
        <f t="shared" si="16"/>
        <v>2019/2020-Ganjil</v>
      </c>
      <c r="R118" t="s">
        <v>260</v>
      </c>
      <c r="S118" t="str">
        <f t="shared" si="18"/>
        <v>PA</v>
      </c>
    </row>
    <row r="119" spans="1:19" x14ac:dyDescent="0.3">
      <c r="A119" t="s">
        <v>12</v>
      </c>
      <c r="B119">
        <v>2016110003</v>
      </c>
      <c r="C119" t="s">
        <v>62</v>
      </c>
      <c r="E119" t="s">
        <v>205</v>
      </c>
      <c r="F119" t="s">
        <v>116</v>
      </c>
      <c r="G119">
        <v>4</v>
      </c>
      <c r="H119" t="s">
        <v>438</v>
      </c>
      <c r="I119" s="4">
        <f t="shared" si="19"/>
        <v>3</v>
      </c>
      <c r="J119">
        <f t="shared" si="20"/>
        <v>12</v>
      </c>
      <c r="K119">
        <v>56</v>
      </c>
      <c r="L119">
        <v>18</v>
      </c>
      <c r="M119" s="2">
        <v>3.11</v>
      </c>
      <c r="N119" s="2">
        <v>3.08</v>
      </c>
      <c r="O119">
        <v>0</v>
      </c>
      <c r="P119">
        <v>3</v>
      </c>
      <c r="Q119" s="4" t="str">
        <f t="shared" si="16"/>
        <v>2017/2018-Ganjil</v>
      </c>
      <c r="R119" t="s">
        <v>260</v>
      </c>
      <c r="S119" t="str">
        <f t="shared" si="18"/>
        <v>PA</v>
      </c>
    </row>
    <row r="120" spans="1:19" x14ac:dyDescent="0.3">
      <c r="A120" t="s">
        <v>12</v>
      </c>
      <c r="B120">
        <v>2016110003</v>
      </c>
      <c r="C120" t="s">
        <v>62</v>
      </c>
      <c r="E120" t="s">
        <v>236</v>
      </c>
      <c r="F120" t="s">
        <v>237</v>
      </c>
      <c r="G120">
        <v>2</v>
      </c>
      <c r="H120" t="s">
        <v>438</v>
      </c>
      <c r="I120" s="4">
        <f t="shared" si="19"/>
        <v>3</v>
      </c>
      <c r="J120">
        <f t="shared" si="20"/>
        <v>6</v>
      </c>
      <c r="K120">
        <v>58</v>
      </c>
      <c r="L120">
        <v>20</v>
      </c>
      <c r="M120" s="2">
        <v>2.9</v>
      </c>
      <c r="N120" s="2">
        <v>3.08</v>
      </c>
      <c r="O120">
        <v>0</v>
      </c>
      <c r="P120">
        <v>7</v>
      </c>
      <c r="Q120" s="4" t="str">
        <f t="shared" si="16"/>
        <v>2019/2020-Ganjil</v>
      </c>
      <c r="R120" t="s">
        <v>260</v>
      </c>
      <c r="S120" t="str">
        <f t="shared" si="18"/>
        <v>PA</v>
      </c>
    </row>
    <row r="121" spans="1:19" x14ac:dyDescent="0.3">
      <c r="A121" t="s">
        <v>12</v>
      </c>
      <c r="B121">
        <v>2016110003</v>
      </c>
      <c r="C121" t="s">
        <v>62</v>
      </c>
      <c r="E121" t="s">
        <v>370</v>
      </c>
      <c r="F121" t="s">
        <v>371</v>
      </c>
      <c r="G121">
        <v>2</v>
      </c>
      <c r="H121" t="s">
        <v>438</v>
      </c>
      <c r="I121" s="4">
        <f t="shared" si="19"/>
        <v>3</v>
      </c>
      <c r="J121">
        <f t="shared" si="20"/>
        <v>6</v>
      </c>
      <c r="K121">
        <v>48</v>
      </c>
      <c r="L121">
        <v>18</v>
      </c>
      <c r="M121" s="2">
        <v>2.67</v>
      </c>
      <c r="N121" s="2">
        <v>3.08</v>
      </c>
      <c r="O121">
        <v>0</v>
      </c>
      <c r="P121">
        <v>5</v>
      </c>
      <c r="Q121" s="4" t="str">
        <f t="shared" si="16"/>
        <v>2018/2019-Ganjil</v>
      </c>
      <c r="R121" t="s">
        <v>260</v>
      </c>
      <c r="S121" t="str">
        <f t="shared" si="18"/>
        <v>PA</v>
      </c>
    </row>
    <row r="122" spans="1:19" x14ac:dyDescent="0.3">
      <c r="A122" t="s">
        <v>12</v>
      </c>
      <c r="B122">
        <v>2016110003</v>
      </c>
      <c r="C122" t="s">
        <v>62</v>
      </c>
      <c r="E122" t="s">
        <v>234</v>
      </c>
      <c r="F122" t="s">
        <v>235</v>
      </c>
      <c r="G122">
        <v>4</v>
      </c>
      <c r="H122" t="s">
        <v>438</v>
      </c>
      <c r="I122" s="4">
        <f t="shared" si="19"/>
        <v>3</v>
      </c>
      <c r="J122">
        <f t="shared" si="20"/>
        <v>12</v>
      </c>
      <c r="K122">
        <v>56</v>
      </c>
      <c r="L122">
        <v>18</v>
      </c>
      <c r="M122" s="2">
        <v>3.11</v>
      </c>
      <c r="N122" s="2">
        <v>3.08</v>
      </c>
      <c r="O122">
        <v>0</v>
      </c>
      <c r="P122">
        <v>3</v>
      </c>
      <c r="Q122" s="4" t="str">
        <f t="shared" si="16"/>
        <v>2017/2018-Ganjil</v>
      </c>
      <c r="R122" t="s">
        <v>260</v>
      </c>
      <c r="S122" t="str">
        <f t="shared" si="18"/>
        <v>PA</v>
      </c>
    </row>
    <row r="123" spans="1:19" x14ac:dyDescent="0.3">
      <c r="A123" t="s">
        <v>12</v>
      </c>
      <c r="B123">
        <v>2016110003</v>
      </c>
      <c r="C123" t="s">
        <v>62</v>
      </c>
      <c r="E123" t="s">
        <v>142</v>
      </c>
      <c r="F123" t="s">
        <v>143</v>
      </c>
      <c r="G123">
        <v>2</v>
      </c>
      <c r="H123" t="s">
        <v>438</v>
      </c>
      <c r="I123" s="4">
        <f t="shared" si="19"/>
        <v>3</v>
      </c>
      <c r="J123">
        <f t="shared" si="20"/>
        <v>6</v>
      </c>
      <c r="K123">
        <v>60</v>
      </c>
      <c r="L123">
        <v>20</v>
      </c>
      <c r="M123" s="2">
        <v>3</v>
      </c>
      <c r="N123" s="2">
        <v>3.08</v>
      </c>
      <c r="O123">
        <v>0</v>
      </c>
      <c r="P123">
        <v>1</v>
      </c>
      <c r="Q123" s="4" t="str">
        <f t="shared" si="16"/>
        <v>2016/2017-Ganjil</v>
      </c>
      <c r="R123" t="s">
        <v>260</v>
      </c>
      <c r="S123" t="str">
        <f t="shared" si="18"/>
        <v>PA</v>
      </c>
    </row>
    <row r="124" spans="1:19" x14ac:dyDescent="0.3">
      <c r="A124" t="s">
        <v>12</v>
      </c>
      <c r="B124">
        <v>2016110003</v>
      </c>
      <c r="C124" t="s">
        <v>62</v>
      </c>
      <c r="E124" t="s">
        <v>372</v>
      </c>
      <c r="F124" t="s">
        <v>373</v>
      </c>
      <c r="G124">
        <v>2</v>
      </c>
      <c r="H124" t="s">
        <v>438</v>
      </c>
      <c r="I124" s="4">
        <f t="shared" si="19"/>
        <v>3</v>
      </c>
      <c r="J124">
        <f t="shared" si="20"/>
        <v>6</v>
      </c>
      <c r="K124">
        <v>64</v>
      </c>
      <c r="L124">
        <v>22</v>
      </c>
      <c r="M124" s="2">
        <v>2.91</v>
      </c>
      <c r="N124" s="2">
        <v>3.08</v>
      </c>
      <c r="O124">
        <v>0</v>
      </c>
      <c r="P124">
        <v>6</v>
      </c>
      <c r="Q124" s="4" t="str">
        <f t="shared" si="16"/>
        <v>2018/2019-Genap</v>
      </c>
      <c r="R124" t="s">
        <v>260</v>
      </c>
      <c r="S124" t="str">
        <f t="shared" si="18"/>
        <v>PA</v>
      </c>
    </row>
    <row r="125" spans="1:19" x14ac:dyDescent="0.3">
      <c r="A125" t="s">
        <v>12</v>
      </c>
      <c r="B125">
        <v>2016110003</v>
      </c>
      <c r="C125" t="s">
        <v>62</v>
      </c>
      <c r="E125" t="s">
        <v>257</v>
      </c>
      <c r="F125" t="s">
        <v>258</v>
      </c>
      <c r="G125">
        <v>4</v>
      </c>
      <c r="H125" t="s">
        <v>524</v>
      </c>
      <c r="I125" s="4">
        <f t="shared" si="19"/>
        <v>2</v>
      </c>
      <c r="J125">
        <f t="shared" si="20"/>
        <v>8</v>
      </c>
      <c r="K125">
        <v>64</v>
      </c>
      <c r="L125">
        <v>22</v>
      </c>
      <c r="M125" s="2">
        <v>2.91</v>
      </c>
      <c r="N125" s="2">
        <v>3.08</v>
      </c>
      <c r="O125">
        <v>0</v>
      </c>
      <c r="P125">
        <v>6</v>
      </c>
      <c r="Q125" s="4" t="str">
        <f t="shared" si="16"/>
        <v>2018/2019-Genap</v>
      </c>
      <c r="R125" t="s">
        <v>260</v>
      </c>
      <c r="S125" t="str">
        <f t="shared" si="18"/>
        <v>PA</v>
      </c>
    </row>
    <row r="126" spans="1:19" x14ac:dyDescent="0.3">
      <c r="A126" t="s">
        <v>12</v>
      </c>
      <c r="B126">
        <v>2016110003</v>
      </c>
      <c r="C126" t="s">
        <v>62</v>
      </c>
      <c r="E126" t="s">
        <v>257</v>
      </c>
      <c r="F126" t="s">
        <v>258</v>
      </c>
      <c r="G126">
        <v>4</v>
      </c>
      <c r="H126" t="s">
        <v>438</v>
      </c>
      <c r="I126" s="4">
        <f t="shared" si="19"/>
        <v>3</v>
      </c>
      <c r="J126">
        <f t="shared" si="20"/>
        <v>12</v>
      </c>
      <c r="K126">
        <v>54</v>
      </c>
      <c r="L126">
        <v>18</v>
      </c>
      <c r="M126" s="2">
        <v>3</v>
      </c>
      <c r="N126" s="2">
        <v>3.08</v>
      </c>
      <c r="O126">
        <v>1</v>
      </c>
      <c r="P126">
        <v>8</v>
      </c>
      <c r="Q126" s="4" t="str">
        <f t="shared" si="16"/>
        <v>2019/2020-Genap</v>
      </c>
      <c r="R126" t="s">
        <v>260</v>
      </c>
      <c r="S126" t="str">
        <f t="shared" si="18"/>
        <v>PA</v>
      </c>
    </row>
    <row r="127" spans="1:19" x14ac:dyDescent="0.3">
      <c r="A127" t="s">
        <v>12</v>
      </c>
      <c r="B127">
        <v>2016110003</v>
      </c>
      <c r="C127" t="s">
        <v>62</v>
      </c>
      <c r="E127" t="s">
        <v>432</v>
      </c>
      <c r="F127" t="s">
        <v>433</v>
      </c>
      <c r="G127">
        <v>4</v>
      </c>
      <c r="H127" s="3" t="s">
        <v>524</v>
      </c>
      <c r="I127" s="4">
        <f t="shared" si="19"/>
        <v>2</v>
      </c>
      <c r="J127">
        <f t="shared" si="20"/>
        <v>8</v>
      </c>
      <c r="K127">
        <v>52</v>
      </c>
      <c r="L127">
        <v>20</v>
      </c>
      <c r="M127" s="2">
        <v>2.6</v>
      </c>
      <c r="N127" s="2">
        <v>3.08</v>
      </c>
      <c r="O127">
        <v>0</v>
      </c>
      <c r="P127">
        <v>4</v>
      </c>
      <c r="Q127" s="4" t="str">
        <f t="shared" si="16"/>
        <v>2017/2018-Genap</v>
      </c>
      <c r="R127" t="s">
        <v>260</v>
      </c>
      <c r="S127" t="str">
        <f t="shared" si="18"/>
        <v>PA</v>
      </c>
    </row>
    <row r="128" spans="1:19" x14ac:dyDescent="0.3">
      <c r="A128" t="s">
        <v>12</v>
      </c>
      <c r="B128">
        <v>2016110003</v>
      </c>
      <c r="C128" t="s">
        <v>62</v>
      </c>
      <c r="E128" t="s">
        <v>432</v>
      </c>
      <c r="F128" t="s">
        <v>433</v>
      </c>
      <c r="G128">
        <v>4</v>
      </c>
      <c r="H128" s="3" t="s">
        <v>260</v>
      </c>
      <c r="I128" s="4">
        <f t="shared" si="19"/>
        <v>4</v>
      </c>
      <c r="J128">
        <f t="shared" si="20"/>
        <v>16</v>
      </c>
      <c r="K128">
        <v>64</v>
      </c>
      <c r="L128">
        <v>22</v>
      </c>
      <c r="M128" s="2">
        <v>2.91</v>
      </c>
      <c r="N128" s="2">
        <v>3.08</v>
      </c>
      <c r="O128">
        <v>1</v>
      </c>
      <c r="P128">
        <v>6</v>
      </c>
      <c r="Q128" s="4" t="str">
        <f t="shared" si="16"/>
        <v>2018/2019-Genap</v>
      </c>
      <c r="R128" t="s">
        <v>260</v>
      </c>
      <c r="S128" t="str">
        <f t="shared" si="18"/>
        <v>PA</v>
      </c>
    </row>
    <row r="129" spans="1:19" x14ac:dyDescent="0.3">
      <c r="A129" t="s">
        <v>12</v>
      </c>
      <c r="B129">
        <v>2016110003</v>
      </c>
      <c r="C129" t="s">
        <v>62</v>
      </c>
      <c r="E129" t="s">
        <v>309</v>
      </c>
      <c r="F129" t="s">
        <v>310</v>
      </c>
      <c r="G129">
        <v>4</v>
      </c>
      <c r="H129" t="s">
        <v>524</v>
      </c>
      <c r="I129" s="4">
        <f t="shared" si="19"/>
        <v>2</v>
      </c>
      <c r="J129">
        <f t="shared" si="20"/>
        <v>8</v>
      </c>
      <c r="K129">
        <v>52</v>
      </c>
      <c r="L129">
        <v>20</v>
      </c>
      <c r="M129" s="2">
        <v>2.6</v>
      </c>
      <c r="N129" s="2">
        <v>3.08</v>
      </c>
      <c r="O129">
        <v>0</v>
      </c>
      <c r="P129">
        <v>4</v>
      </c>
      <c r="Q129" s="4" t="str">
        <f t="shared" si="16"/>
        <v>2017/2018-Genap</v>
      </c>
      <c r="R129" t="s">
        <v>260</v>
      </c>
      <c r="S129" t="str">
        <f t="shared" si="18"/>
        <v>PA</v>
      </c>
    </row>
    <row r="130" spans="1:19" x14ac:dyDescent="0.3">
      <c r="A130" t="s">
        <v>12</v>
      </c>
      <c r="B130">
        <v>2016110003</v>
      </c>
      <c r="C130" t="s">
        <v>62</v>
      </c>
      <c r="E130" t="s">
        <v>309</v>
      </c>
      <c r="F130" t="s">
        <v>310</v>
      </c>
      <c r="G130">
        <v>4</v>
      </c>
      <c r="H130" t="s">
        <v>260</v>
      </c>
      <c r="I130" s="4">
        <f t="shared" si="19"/>
        <v>4</v>
      </c>
      <c r="J130">
        <f t="shared" si="20"/>
        <v>16</v>
      </c>
      <c r="K130">
        <v>52</v>
      </c>
      <c r="L130">
        <v>16</v>
      </c>
      <c r="M130" s="2">
        <v>3.25</v>
      </c>
      <c r="N130" s="2">
        <v>3.08</v>
      </c>
      <c r="O130">
        <v>1</v>
      </c>
      <c r="P130">
        <v>8</v>
      </c>
      <c r="Q130" s="4" t="s">
        <v>571</v>
      </c>
      <c r="R130" t="s">
        <v>260</v>
      </c>
      <c r="S130" t="str">
        <f t="shared" si="18"/>
        <v>PA</v>
      </c>
    </row>
    <row r="131" spans="1:19" x14ac:dyDescent="0.3">
      <c r="A131" t="s">
        <v>12</v>
      </c>
      <c r="B131">
        <v>2016110003</v>
      </c>
      <c r="C131" t="s">
        <v>62</v>
      </c>
      <c r="E131" t="s">
        <v>103</v>
      </c>
      <c r="F131" t="s">
        <v>104</v>
      </c>
      <c r="G131">
        <v>4</v>
      </c>
      <c r="H131" s="3" t="s">
        <v>524</v>
      </c>
      <c r="I131" s="4">
        <f t="shared" si="19"/>
        <v>2</v>
      </c>
      <c r="J131">
        <f t="shared" si="20"/>
        <v>8</v>
      </c>
      <c r="K131">
        <v>42</v>
      </c>
      <c r="L131">
        <v>16</v>
      </c>
      <c r="M131" s="2">
        <v>2.63</v>
      </c>
      <c r="N131" s="2">
        <v>3.08</v>
      </c>
      <c r="O131">
        <v>0</v>
      </c>
      <c r="P131">
        <v>2</v>
      </c>
      <c r="Q131" s="4" t="str">
        <f>IF(P131=1,"2016/2017-Ganjil",IF(P131=2,"2016/2017-Genap",IF(P131=3,"2017/2018-Ganjil",IF(P131=4,"2017/2018-Genap",IF(P131=5,"2018/2019-Ganjil",IF(P131=6,"2018/2019-Genap",IF(P131=7,"2019/2020-Ganjil",IF(P131=8,"2019/2020-Genap",IF(P131=9,"2020/2021-Ganjil",IF(P131=10,"2020/2021-Genap",IF(P131=11,"2021/2022-Ganjil",IF(P131=12,"2021/2022-Genap",IF(P131=13,"2022/2023-Ganjil","2022/2023-Genap")))))))))))))</f>
        <v>2016/2017-Genap</v>
      </c>
      <c r="R131" t="s">
        <v>260</v>
      </c>
      <c r="S131" t="str">
        <f t="shared" si="18"/>
        <v>PA</v>
      </c>
    </row>
    <row r="132" spans="1:19" x14ac:dyDescent="0.3">
      <c r="A132" t="s">
        <v>12</v>
      </c>
      <c r="B132">
        <v>2016110003</v>
      </c>
      <c r="C132" t="s">
        <v>62</v>
      </c>
      <c r="E132" t="s">
        <v>103</v>
      </c>
      <c r="F132" t="s">
        <v>104</v>
      </c>
      <c r="G132">
        <v>4</v>
      </c>
      <c r="H132" s="3" t="s">
        <v>438</v>
      </c>
      <c r="I132" s="4">
        <f t="shared" si="19"/>
        <v>3</v>
      </c>
      <c r="J132">
        <f t="shared" si="20"/>
        <v>12</v>
      </c>
      <c r="K132">
        <v>54</v>
      </c>
      <c r="L132">
        <v>18</v>
      </c>
      <c r="M132" s="2">
        <v>3</v>
      </c>
      <c r="N132" s="2">
        <v>3.08</v>
      </c>
      <c r="O132">
        <v>1</v>
      </c>
      <c r="P132">
        <v>8</v>
      </c>
      <c r="Q132" s="4" t="str">
        <f>IF(P132=1,"2016/2017-Ganjil",IF(P132=2,"2016/2017-Genap",IF(P132=3,"2017/2018-Ganjil",IF(P132=4,"2017/2018-Genap",IF(P132=5,"2018/2019-Ganjil",IF(P132=6,"2018/2019-Genap",IF(P132=7,"2019/2020-Ganjil",IF(P132=8,"2019/2020-Genap",IF(P132=9,"2020/2021-Ganjil",IF(P132=10,"2020/2021-Genap",IF(P132=11,"2021/2022-Ganjil",IF(P132=12,"2021/2022-Genap",IF(P132=13,"2022/2023-Ganjil","2022/2023-Genap")))))))))))))</f>
        <v>2019/2020-Genap</v>
      </c>
      <c r="R132" t="s">
        <v>260</v>
      </c>
      <c r="S132" t="str">
        <f t="shared" si="18"/>
        <v>PA</v>
      </c>
    </row>
    <row r="133" spans="1:19" x14ac:dyDescent="0.3">
      <c r="A133" t="s">
        <v>12</v>
      </c>
      <c r="B133">
        <v>2016110003</v>
      </c>
      <c r="C133" t="s">
        <v>62</v>
      </c>
      <c r="E133" t="s">
        <v>211</v>
      </c>
      <c r="F133" t="s">
        <v>186</v>
      </c>
      <c r="G133">
        <v>4</v>
      </c>
      <c r="H133" t="s">
        <v>524</v>
      </c>
      <c r="I133" s="4">
        <f t="shared" si="19"/>
        <v>2</v>
      </c>
      <c r="J133">
        <f t="shared" si="20"/>
        <v>8</v>
      </c>
      <c r="K133">
        <v>48</v>
      </c>
      <c r="L133">
        <v>18</v>
      </c>
      <c r="M133" s="2">
        <v>2.67</v>
      </c>
      <c r="N133" s="2">
        <v>3.08</v>
      </c>
      <c r="O133">
        <v>0</v>
      </c>
      <c r="P133">
        <v>5</v>
      </c>
      <c r="Q133" s="4" t="str">
        <f>IF(P133=1,"2016/2017-Ganjil",IF(P133=2,"2016/2017-Genap",IF(P133=3,"2017/2018-Ganjil",IF(P133=4,"2017/2018-Genap",IF(P133=5,"2018/2019-Ganjil",IF(P133=6,"2018/2019-Genap",IF(P133=7,"2019/2020-Ganjil",IF(P133=8,"2019/2020-Genap",IF(P133=9,"2020/2021-Ganjil",IF(P133=10,"2020/2021-Genap",IF(P133=11,"2021/2022-Ganjil",IF(P133=12,"2021/2022-Genap",IF(P133=13,"2022/2023-Ganjil","2022/2023-Genap")))))))))))))</f>
        <v>2018/2019-Ganjil</v>
      </c>
      <c r="R133" t="s">
        <v>260</v>
      </c>
      <c r="S133" t="str">
        <f t="shared" si="18"/>
        <v>PA</v>
      </c>
    </row>
    <row r="134" spans="1:19" x14ac:dyDescent="0.3">
      <c r="A134" t="s">
        <v>12</v>
      </c>
      <c r="B134">
        <v>2016110003</v>
      </c>
      <c r="C134" t="s">
        <v>62</v>
      </c>
      <c r="E134" t="s">
        <v>211</v>
      </c>
      <c r="F134" t="s">
        <v>186</v>
      </c>
      <c r="G134">
        <v>4</v>
      </c>
      <c r="H134" t="s">
        <v>438</v>
      </c>
      <c r="I134" s="4">
        <f t="shared" si="19"/>
        <v>3</v>
      </c>
      <c r="J134">
        <f t="shared" si="20"/>
        <v>12</v>
      </c>
      <c r="K134">
        <v>52</v>
      </c>
      <c r="L134">
        <v>16</v>
      </c>
      <c r="M134" s="2">
        <v>3.25</v>
      </c>
      <c r="N134" s="2">
        <v>3.08</v>
      </c>
      <c r="O134">
        <v>1</v>
      </c>
      <c r="P134">
        <v>8</v>
      </c>
      <c r="Q134" s="4" t="s">
        <v>571</v>
      </c>
      <c r="R134" t="s">
        <v>260</v>
      </c>
      <c r="S134" t="str">
        <f t="shared" si="18"/>
        <v>PA</v>
      </c>
    </row>
    <row r="135" spans="1:19" x14ac:dyDescent="0.3">
      <c r="A135" t="s">
        <v>12</v>
      </c>
      <c r="B135">
        <v>2016110003</v>
      </c>
      <c r="C135" t="s">
        <v>62</v>
      </c>
      <c r="E135" t="s">
        <v>241</v>
      </c>
      <c r="F135" t="s">
        <v>45</v>
      </c>
      <c r="G135">
        <v>2</v>
      </c>
      <c r="H135" t="s">
        <v>524</v>
      </c>
      <c r="I135" s="4">
        <f t="shared" si="19"/>
        <v>2</v>
      </c>
      <c r="J135">
        <f t="shared" si="20"/>
        <v>4</v>
      </c>
      <c r="K135">
        <v>56</v>
      </c>
      <c r="L135">
        <v>18</v>
      </c>
      <c r="M135" s="2">
        <v>3.11</v>
      </c>
      <c r="N135" s="2">
        <v>3.08</v>
      </c>
      <c r="O135">
        <v>0</v>
      </c>
      <c r="P135">
        <v>3</v>
      </c>
      <c r="Q135" s="4" t="str">
        <f>IF(P135=1,"2016/2017-Ganjil",IF(P135=2,"2016/2017-Genap",IF(P135=3,"2017/2018-Ganjil",IF(P135=4,"2017/2018-Genap",IF(P135=5,"2018/2019-Ganjil",IF(P135=6,"2018/2019-Genap",IF(P135=7,"2019/2020-Ganjil",IF(P135=8,"2019/2020-Genap",IF(P135=9,"2020/2021-Ganjil",IF(P135=10,"2020/2021-Genap",IF(P135=11,"2021/2022-Ganjil",IF(P135=12,"2021/2022-Genap",IF(P135=13,"2022/2023-Ganjil","2022/2023-Genap")))))))))))))</f>
        <v>2017/2018-Ganjil</v>
      </c>
      <c r="R135" t="s">
        <v>260</v>
      </c>
      <c r="S135" t="str">
        <f t="shared" si="18"/>
        <v>PA</v>
      </c>
    </row>
    <row r="136" spans="1:19" x14ac:dyDescent="0.3">
      <c r="A136" t="s">
        <v>12</v>
      </c>
      <c r="B136">
        <v>2016110003</v>
      </c>
      <c r="C136" t="s">
        <v>62</v>
      </c>
      <c r="E136" t="s">
        <v>382</v>
      </c>
      <c r="F136" t="s">
        <v>383</v>
      </c>
      <c r="G136">
        <v>4</v>
      </c>
      <c r="H136" t="s">
        <v>524</v>
      </c>
      <c r="I136" s="4">
        <f t="shared" si="19"/>
        <v>2</v>
      </c>
      <c r="J136">
        <f t="shared" si="20"/>
        <v>8</v>
      </c>
      <c r="K136">
        <v>58</v>
      </c>
      <c r="L136">
        <v>20</v>
      </c>
      <c r="M136" s="2">
        <v>2.9</v>
      </c>
      <c r="N136" s="2">
        <v>3.08</v>
      </c>
      <c r="O136">
        <v>0</v>
      </c>
      <c r="P136">
        <v>7</v>
      </c>
      <c r="Q136" s="4" t="str">
        <f>IF(P136=1,"2016/2017-Ganjil",IF(P136=2,"2016/2017-Genap",IF(P136=3,"2017/2018-Ganjil",IF(P136=4,"2017/2018-Genap",IF(P136=5,"2018/2019-Ganjil",IF(P136=6,"2018/2019-Genap",IF(P136=7,"2019/2020-Ganjil",IF(P136=8,"2019/2020-Genap",IF(P136=9,"2020/2021-Ganjil",IF(P136=10,"2020/2021-Genap",IF(P136=11,"2021/2022-Ganjil",IF(P136=12,"2021/2022-Genap",IF(P136=13,"2022/2023-Ganjil","2022/2023-Genap")))))))))))))</f>
        <v>2019/2020-Ganjil</v>
      </c>
      <c r="R136" t="s">
        <v>260</v>
      </c>
      <c r="S136" t="str">
        <f t="shared" si="18"/>
        <v>PA</v>
      </c>
    </row>
    <row r="137" spans="1:19" x14ac:dyDescent="0.3">
      <c r="A137" t="s">
        <v>12</v>
      </c>
      <c r="B137">
        <v>2016110003</v>
      </c>
      <c r="C137" t="s">
        <v>62</v>
      </c>
      <c r="E137" t="s">
        <v>382</v>
      </c>
      <c r="F137" t="s">
        <v>383</v>
      </c>
      <c r="G137">
        <v>4</v>
      </c>
      <c r="H137" t="s">
        <v>438</v>
      </c>
      <c r="I137" s="4">
        <f t="shared" si="19"/>
        <v>3</v>
      </c>
      <c r="J137">
        <f t="shared" si="20"/>
        <v>12</v>
      </c>
      <c r="K137">
        <v>52</v>
      </c>
      <c r="L137">
        <v>16</v>
      </c>
      <c r="M137" s="2">
        <v>3.25</v>
      </c>
      <c r="N137" s="2">
        <v>3.08</v>
      </c>
      <c r="O137">
        <v>1</v>
      </c>
      <c r="P137">
        <v>8</v>
      </c>
      <c r="Q137" s="4" t="s">
        <v>571</v>
      </c>
      <c r="R137" t="s">
        <v>260</v>
      </c>
      <c r="S137" t="str">
        <f t="shared" si="18"/>
        <v>PA</v>
      </c>
    </row>
    <row r="138" spans="1:19" x14ac:dyDescent="0.3">
      <c r="A138" t="s">
        <v>12</v>
      </c>
      <c r="B138">
        <v>2016110003</v>
      </c>
      <c r="C138" t="s">
        <v>62</v>
      </c>
      <c r="E138" t="s">
        <v>437</v>
      </c>
      <c r="F138" t="s">
        <v>169</v>
      </c>
      <c r="G138">
        <v>4</v>
      </c>
      <c r="H138" t="s">
        <v>524</v>
      </c>
      <c r="I138" s="4">
        <f t="shared" si="19"/>
        <v>2</v>
      </c>
      <c r="J138">
        <f t="shared" si="20"/>
        <v>8</v>
      </c>
      <c r="K138">
        <v>60</v>
      </c>
      <c r="L138">
        <v>20</v>
      </c>
      <c r="M138" s="2">
        <v>3</v>
      </c>
      <c r="N138" s="2">
        <v>3.08</v>
      </c>
      <c r="O138">
        <v>0</v>
      </c>
      <c r="P138">
        <v>1</v>
      </c>
      <c r="Q138" s="4" t="str">
        <f>IF(P138=1,"2016/2017-Ganjil",IF(P138=2,"2016/2017-Genap",IF(P138=3,"2017/2018-Ganjil",IF(P138=4,"2017/2018-Genap",IF(P138=5,"2018/2019-Ganjil",IF(P138=6,"2018/2019-Genap",IF(P138=7,"2019/2020-Ganjil",IF(P138=8,"2019/2020-Genap",IF(P138=9,"2020/2021-Ganjil",IF(P138=10,"2020/2021-Genap",IF(P138=11,"2021/2022-Ganjil",IF(P138=12,"2021/2022-Genap",IF(P138=13,"2022/2023-Ganjil","2022/2023-Genap")))))))))))))</f>
        <v>2016/2017-Ganjil</v>
      </c>
      <c r="R138" t="s">
        <v>260</v>
      </c>
      <c r="S138" t="str">
        <f t="shared" si="18"/>
        <v>PA</v>
      </c>
    </row>
    <row r="139" spans="1:19" x14ac:dyDescent="0.3">
      <c r="A139" t="s">
        <v>12</v>
      </c>
      <c r="B139">
        <v>2016110003</v>
      </c>
      <c r="C139" t="s">
        <v>62</v>
      </c>
      <c r="E139" t="s">
        <v>446</v>
      </c>
      <c r="F139" t="s">
        <v>447</v>
      </c>
      <c r="G139">
        <v>2</v>
      </c>
      <c r="H139" s="3" t="s">
        <v>524</v>
      </c>
      <c r="I139" s="4">
        <f t="shared" si="19"/>
        <v>2</v>
      </c>
      <c r="J139">
        <f t="shared" si="20"/>
        <v>4</v>
      </c>
      <c r="K139">
        <v>64</v>
      </c>
      <c r="L139">
        <v>22</v>
      </c>
      <c r="M139" s="2">
        <v>2.91</v>
      </c>
      <c r="N139" s="2">
        <v>3.08</v>
      </c>
      <c r="O139">
        <v>0</v>
      </c>
      <c r="P139">
        <v>6</v>
      </c>
      <c r="Q139" s="4" t="str">
        <f>IF(P139=1,"2016/2017-Ganjil",IF(P139=2,"2016/2017-Genap",IF(P139=3,"2017/2018-Ganjil",IF(P139=4,"2017/2018-Genap",IF(P139=5,"2018/2019-Ganjil",IF(P139=6,"2018/2019-Genap",IF(P139=7,"2019/2020-Ganjil",IF(P139=8,"2019/2020-Genap",IF(P139=9,"2020/2021-Ganjil",IF(P139=10,"2020/2021-Genap",IF(P139=11,"2021/2022-Ganjil",IF(P139=12,"2021/2022-Genap",IF(P139=13,"2022/2023-Ganjil","2022/2023-Genap")))))))))))))</f>
        <v>2018/2019-Genap</v>
      </c>
      <c r="R139" t="s">
        <v>260</v>
      </c>
      <c r="S139" t="str">
        <f t="shared" si="18"/>
        <v>PA</v>
      </c>
    </row>
    <row r="140" spans="1:19" x14ac:dyDescent="0.3">
      <c r="A140" t="s">
        <v>12</v>
      </c>
      <c r="B140">
        <v>2016110003</v>
      </c>
      <c r="C140" t="s">
        <v>62</v>
      </c>
      <c r="E140" t="s">
        <v>446</v>
      </c>
      <c r="F140" t="s">
        <v>447</v>
      </c>
      <c r="G140">
        <v>2</v>
      </c>
      <c r="H140" s="3" t="s">
        <v>438</v>
      </c>
      <c r="I140" s="4">
        <f t="shared" si="19"/>
        <v>3</v>
      </c>
      <c r="J140">
        <f t="shared" si="20"/>
        <v>6</v>
      </c>
      <c r="K140">
        <v>54</v>
      </c>
      <c r="L140">
        <v>18</v>
      </c>
      <c r="M140" s="2">
        <v>3</v>
      </c>
      <c r="N140" s="2">
        <v>3.08</v>
      </c>
      <c r="O140">
        <v>1</v>
      </c>
      <c r="P140">
        <v>8</v>
      </c>
      <c r="Q140" s="4" t="str">
        <f>IF(P140=1,"2016/2017-Ganjil",IF(P140=2,"2016/2017-Genap",IF(P140=3,"2017/2018-Ganjil",IF(P140=4,"2017/2018-Genap",IF(P140=5,"2018/2019-Ganjil",IF(P140=6,"2018/2019-Genap",IF(P140=7,"2019/2020-Ganjil",IF(P140=8,"2019/2020-Genap",IF(P140=9,"2020/2021-Ganjil",IF(P140=10,"2020/2021-Genap",IF(P140=11,"2021/2022-Ganjil",IF(P140=12,"2021/2022-Genap",IF(P140=13,"2022/2023-Ganjil","2022/2023-Genap")))))))))))))</f>
        <v>2019/2020-Genap</v>
      </c>
      <c r="R140" t="s">
        <v>260</v>
      </c>
      <c r="S140" t="str">
        <f t="shared" si="18"/>
        <v>PA</v>
      </c>
    </row>
    <row r="141" spans="1:19" x14ac:dyDescent="0.3">
      <c r="A141" t="s">
        <v>12</v>
      </c>
      <c r="B141">
        <v>2016110003</v>
      </c>
      <c r="C141" t="s">
        <v>62</v>
      </c>
      <c r="E141" t="s">
        <v>100</v>
      </c>
      <c r="F141" t="s">
        <v>101</v>
      </c>
      <c r="G141">
        <v>4</v>
      </c>
      <c r="H141" t="s">
        <v>524</v>
      </c>
      <c r="I141" s="4">
        <f t="shared" si="19"/>
        <v>2</v>
      </c>
      <c r="J141">
        <f t="shared" si="20"/>
        <v>8</v>
      </c>
      <c r="K141">
        <v>42</v>
      </c>
      <c r="L141">
        <v>16</v>
      </c>
      <c r="M141" s="2">
        <v>2.63</v>
      </c>
      <c r="N141" s="2">
        <v>3.08</v>
      </c>
      <c r="O141">
        <v>0</v>
      </c>
      <c r="P141">
        <v>2</v>
      </c>
      <c r="Q141" s="4" t="str">
        <f>IF(P141=1,"2016/2017-Ganjil",IF(P141=2,"2016/2017-Genap",IF(P141=3,"2017/2018-Ganjil",IF(P141=4,"2017/2018-Genap",IF(P141=5,"2018/2019-Ganjil",IF(P141=6,"2018/2019-Genap",IF(P141=7,"2019/2020-Ganjil",IF(P141=8,"2019/2020-Genap",IF(P141=9,"2020/2021-Ganjil",IF(P141=10,"2020/2021-Genap",IF(P141=11,"2021/2022-Ganjil",IF(P141=12,"2021/2022-Genap",IF(P141=13,"2022/2023-Ganjil","2022/2023-Genap")))))))))))))</f>
        <v>2016/2017-Genap</v>
      </c>
      <c r="R141" t="s">
        <v>260</v>
      </c>
      <c r="S141" t="str">
        <f t="shared" si="18"/>
        <v>PA</v>
      </c>
    </row>
    <row r="142" spans="1:19" x14ac:dyDescent="0.3">
      <c r="A142" t="s">
        <v>12</v>
      </c>
      <c r="B142">
        <v>2016110003</v>
      </c>
      <c r="C142" t="s">
        <v>62</v>
      </c>
      <c r="E142" t="s">
        <v>100</v>
      </c>
      <c r="F142" t="s">
        <v>101</v>
      </c>
      <c r="G142">
        <v>4</v>
      </c>
      <c r="H142" t="s">
        <v>438</v>
      </c>
      <c r="I142" s="4">
        <f t="shared" si="19"/>
        <v>3</v>
      </c>
      <c r="J142">
        <f t="shared" si="20"/>
        <v>12</v>
      </c>
      <c r="K142">
        <v>52</v>
      </c>
      <c r="L142">
        <v>16</v>
      </c>
      <c r="M142" s="2">
        <v>3.25</v>
      </c>
      <c r="N142" s="2">
        <v>3.08</v>
      </c>
      <c r="O142">
        <v>1</v>
      </c>
      <c r="P142">
        <v>8</v>
      </c>
      <c r="Q142" s="4" t="s">
        <v>571</v>
      </c>
      <c r="R142" t="s">
        <v>260</v>
      </c>
      <c r="S142" t="str">
        <f t="shared" si="18"/>
        <v>PA</v>
      </c>
    </row>
    <row r="143" spans="1:19" x14ac:dyDescent="0.3">
      <c r="A143" t="s">
        <v>12</v>
      </c>
      <c r="B143">
        <v>2016110003</v>
      </c>
      <c r="C143" t="s">
        <v>62</v>
      </c>
      <c r="E143" t="s">
        <v>357</v>
      </c>
      <c r="F143" t="s">
        <v>358</v>
      </c>
      <c r="G143">
        <v>4</v>
      </c>
      <c r="H143" t="s">
        <v>524</v>
      </c>
      <c r="I143" s="4">
        <f t="shared" si="19"/>
        <v>2</v>
      </c>
      <c r="J143">
        <f t="shared" si="20"/>
        <v>8</v>
      </c>
      <c r="K143">
        <v>48</v>
      </c>
      <c r="L143">
        <v>18</v>
      </c>
      <c r="M143" s="2">
        <v>2.67</v>
      </c>
      <c r="N143" s="2">
        <v>3.08</v>
      </c>
      <c r="O143">
        <v>0</v>
      </c>
      <c r="P143">
        <v>5</v>
      </c>
      <c r="Q143" s="4" t="str">
        <f>IF(P143=1,"2016/2017-Ganjil",IF(P143=2,"2016/2017-Genap",IF(P143=3,"2017/2018-Ganjil",IF(P143=4,"2017/2018-Genap",IF(P143=5,"2018/2019-Ganjil",IF(P143=6,"2018/2019-Genap",IF(P143=7,"2019/2020-Ganjil",IF(P143=8,"2019/2020-Genap",IF(P143=9,"2020/2021-Ganjil",IF(P143=10,"2020/2021-Genap",IF(P143=11,"2021/2022-Ganjil",IF(P143=12,"2021/2022-Genap",IF(P143=13,"2022/2023-Ganjil","2022/2023-Genap")))))))))))))</f>
        <v>2018/2019-Ganjil</v>
      </c>
      <c r="R143" t="s">
        <v>260</v>
      </c>
      <c r="S143" t="str">
        <f t="shared" si="18"/>
        <v>PA</v>
      </c>
    </row>
    <row r="144" spans="1:19" x14ac:dyDescent="0.3">
      <c r="A144" t="s">
        <v>12</v>
      </c>
      <c r="B144">
        <v>2016110003</v>
      </c>
      <c r="C144" t="s">
        <v>62</v>
      </c>
      <c r="E144" t="s">
        <v>348</v>
      </c>
      <c r="F144" t="s">
        <v>493</v>
      </c>
      <c r="G144">
        <v>4</v>
      </c>
      <c r="H144" t="s">
        <v>524</v>
      </c>
      <c r="I144" s="4">
        <f t="shared" si="19"/>
        <v>2</v>
      </c>
      <c r="J144">
        <f t="shared" si="20"/>
        <v>8</v>
      </c>
      <c r="K144">
        <v>54</v>
      </c>
      <c r="L144">
        <v>18</v>
      </c>
      <c r="M144" s="2">
        <v>3</v>
      </c>
      <c r="N144" s="2">
        <v>3.08</v>
      </c>
      <c r="O144">
        <v>0</v>
      </c>
      <c r="P144">
        <v>8</v>
      </c>
      <c r="Q144" s="4" t="str">
        <f>IF(P144=1,"2016/2017-Ganjil",IF(P144=2,"2016/2017-Genap",IF(P144=3,"2017/2018-Ganjil",IF(P144=4,"2017/2018-Genap",IF(P144=5,"2018/2019-Ganjil",IF(P144=6,"2018/2019-Genap",IF(P144=7,"2019/2020-Ganjil",IF(P144=8,"2019/2020-Genap",IF(P144=9,"2020/2021-Ganjil",IF(P144=10,"2020/2021-Genap",IF(P144=11,"2021/2022-Ganjil",IF(P144=12,"2021/2022-Genap",IF(P144=13,"2022/2023-Ganjil","2022/2023-Genap")))))))))))))</f>
        <v>2019/2020-Genap</v>
      </c>
      <c r="R144" t="s">
        <v>260</v>
      </c>
      <c r="S144" t="str">
        <f t="shared" si="18"/>
        <v>PA</v>
      </c>
    </row>
    <row r="145" spans="1:19" x14ac:dyDescent="0.3">
      <c r="A145" t="s">
        <v>12</v>
      </c>
      <c r="B145">
        <v>2016110004</v>
      </c>
      <c r="C145" t="s">
        <v>121</v>
      </c>
      <c r="E145" t="s">
        <v>122</v>
      </c>
      <c r="F145" t="s">
        <v>123</v>
      </c>
      <c r="G145">
        <v>4</v>
      </c>
      <c r="J145">
        <v>0</v>
      </c>
      <c r="K145">
        <v>0</v>
      </c>
      <c r="L145">
        <v>6</v>
      </c>
      <c r="M145" s="2">
        <v>0</v>
      </c>
      <c r="N145" s="2">
        <v>0</v>
      </c>
      <c r="O145">
        <v>0</v>
      </c>
      <c r="P145">
        <v>1</v>
      </c>
      <c r="Q145" t="s">
        <v>558</v>
      </c>
      <c r="R145" t="s">
        <v>535</v>
      </c>
      <c r="S145" t="s">
        <v>595</v>
      </c>
    </row>
    <row r="146" spans="1:19" x14ac:dyDescent="0.3">
      <c r="A146" t="s">
        <v>12</v>
      </c>
      <c r="B146">
        <v>2016110004</v>
      </c>
      <c r="C146" t="s">
        <v>121</v>
      </c>
      <c r="E146" t="s">
        <v>151</v>
      </c>
      <c r="F146" t="s">
        <v>152</v>
      </c>
      <c r="G146">
        <v>2</v>
      </c>
      <c r="J146">
        <v>0</v>
      </c>
      <c r="K146">
        <v>0</v>
      </c>
      <c r="L146">
        <v>6</v>
      </c>
      <c r="M146" s="2">
        <v>0</v>
      </c>
      <c r="N146" s="2">
        <v>0</v>
      </c>
      <c r="O146">
        <v>0</v>
      </c>
      <c r="P146">
        <v>1</v>
      </c>
      <c r="Q146" t="s">
        <v>558</v>
      </c>
      <c r="R146" t="s">
        <v>535</v>
      </c>
      <c r="S146" t="s">
        <v>595</v>
      </c>
    </row>
    <row r="147" spans="1:19" x14ac:dyDescent="0.3">
      <c r="A147" t="s">
        <v>12</v>
      </c>
      <c r="B147">
        <v>2016110004</v>
      </c>
      <c r="C147" t="s">
        <v>121</v>
      </c>
      <c r="E147" t="s">
        <v>77</v>
      </c>
      <c r="F147" t="s">
        <v>78</v>
      </c>
      <c r="G147">
        <v>2</v>
      </c>
      <c r="J147">
        <v>0</v>
      </c>
      <c r="K147">
        <v>0</v>
      </c>
      <c r="L147">
        <v>6</v>
      </c>
      <c r="M147" s="2">
        <v>0</v>
      </c>
      <c r="N147" s="2">
        <v>0</v>
      </c>
      <c r="O147">
        <v>0</v>
      </c>
      <c r="P147">
        <v>1</v>
      </c>
      <c r="Q147" t="s">
        <v>558</v>
      </c>
      <c r="R147" t="s">
        <v>535</v>
      </c>
      <c r="S147" t="s">
        <v>595</v>
      </c>
    </row>
    <row r="148" spans="1:19" x14ac:dyDescent="0.3">
      <c r="A148" t="s">
        <v>12</v>
      </c>
      <c r="B148">
        <v>2016110004</v>
      </c>
      <c r="C148" t="s">
        <v>121</v>
      </c>
      <c r="E148" t="s">
        <v>142</v>
      </c>
      <c r="F148" t="s">
        <v>143</v>
      </c>
      <c r="G148">
        <v>2</v>
      </c>
      <c r="J148">
        <v>0</v>
      </c>
      <c r="K148">
        <v>0</v>
      </c>
      <c r="L148">
        <v>6</v>
      </c>
      <c r="M148" s="2">
        <v>0</v>
      </c>
      <c r="N148" s="2">
        <v>0</v>
      </c>
      <c r="O148">
        <v>0</v>
      </c>
      <c r="P148">
        <v>1</v>
      </c>
      <c r="Q148" t="s">
        <v>558</v>
      </c>
      <c r="R148" t="s">
        <v>535</v>
      </c>
      <c r="S148" t="s">
        <v>595</v>
      </c>
    </row>
    <row r="149" spans="1:19" x14ac:dyDescent="0.3">
      <c r="A149" t="s">
        <v>12</v>
      </c>
      <c r="B149">
        <v>2016110004</v>
      </c>
      <c r="C149" t="s">
        <v>121</v>
      </c>
      <c r="E149" t="s">
        <v>165</v>
      </c>
      <c r="F149" t="s">
        <v>166</v>
      </c>
      <c r="G149">
        <v>2</v>
      </c>
      <c r="J149">
        <v>0</v>
      </c>
      <c r="K149">
        <v>0</v>
      </c>
      <c r="L149">
        <v>6</v>
      </c>
      <c r="M149" s="2">
        <v>0</v>
      </c>
      <c r="N149" s="2">
        <v>0</v>
      </c>
      <c r="O149">
        <v>0</v>
      </c>
      <c r="P149">
        <v>1</v>
      </c>
      <c r="Q149" t="s">
        <v>558</v>
      </c>
      <c r="R149" t="s">
        <v>535</v>
      </c>
      <c r="S149" t="s">
        <v>595</v>
      </c>
    </row>
    <row r="150" spans="1:19" x14ac:dyDescent="0.3">
      <c r="A150" t="s">
        <v>12</v>
      </c>
      <c r="B150">
        <v>2016110004</v>
      </c>
      <c r="C150" t="s">
        <v>121</v>
      </c>
      <c r="E150" t="s">
        <v>90</v>
      </c>
      <c r="F150" t="s">
        <v>91</v>
      </c>
      <c r="G150">
        <v>2</v>
      </c>
      <c r="J150">
        <v>0</v>
      </c>
      <c r="K150">
        <v>0</v>
      </c>
      <c r="L150">
        <v>6</v>
      </c>
      <c r="M150" s="2">
        <v>0</v>
      </c>
      <c r="N150" s="2">
        <v>0</v>
      </c>
      <c r="O150">
        <v>0</v>
      </c>
      <c r="P150">
        <v>1</v>
      </c>
      <c r="Q150" t="s">
        <v>558</v>
      </c>
      <c r="R150" t="s">
        <v>535</v>
      </c>
      <c r="S150" t="s">
        <v>595</v>
      </c>
    </row>
    <row r="151" spans="1:19" x14ac:dyDescent="0.3">
      <c r="A151" t="s">
        <v>12</v>
      </c>
      <c r="B151">
        <v>2016110004</v>
      </c>
      <c r="C151" t="s">
        <v>121</v>
      </c>
      <c r="E151" t="s">
        <v>437</v>
      </c>
      <c r="F151" t="s">
        <v>169</v>
      </c>
      <c r="G151">
        <v>4</v>
      </c>
      <c r="H151" t="s">
        <v>539</v>
      </c>
      <c r="I151">
        <v>0</v>
      </c>
      <c r="J151">
        <v>0</v>
      </c>
      <c r="K151">
        <v>0</v>
      </c>
      <c r="L151">
        <v>6</v>
      </c>
      <c r="M151" s="2">
        <v>0</v>
      </c>
      <c r="N151" s="2">
        <v>0</v>
      </c>
      <c r="O151">
        <v>0</v>
      </c>
      <c r="P151">
        <v>1</v>
      </c>
      <c r="Q151" t="s">
        <v>558</v>
      </c>
      <c r="R151" t="s">
        <v>535</v>
      </c>
      <c r="S151" t="str">
        <f t="shared" ref="S151:S152" si="21">IF(OR(H151="A",H151="B",H151="C"),"PA","FA")</f>
        <v>FA</v>
      </c>
    </row>
    <row r="152" spans="1:19" x14ac:dyDescent="0.3">
      <c r="A152" t="s">
        <v>12</v>
      </c>
      <c r="B152">
        <v>2016110004</v>
      </c>
      <c r="C152" t="s">
        <v>121</v>
      </c>
      <c r="E152" t="s">
        <v>131</v>
      </c>
      <c r="F152" t="s">
        <v>132</v>
      </c>
      <c r="G152">
        <v>2</v>
      </c>
      <c r="H152" t="s">
        <v>539</v>
      </c>
      <c r="I152">
        <v>0</v>
      </c>
      <c r="J152">
        <v>0</v>
      </c>
      <c r="K152">
        <v>0</v>
      </c>
      <c r="L152">
        <v>6</v>
      </c>
      <c r="M152" s="2">
        <v>0</v>
      </c>
      <c r="N152" s="2">
        <v>0</v>
      </c>
      <c r="O152">
        <v>0</v>
      </c>
      <c r="P152">
        <v>1</v>
      </c>
      <c r="Q152" t="s">
        <v>558</v>
      </c>
      <c r="R152" t="s">
        <v>535</v>
      </c>
      <c r="S152" t="str">
        <f t="shared" si="21"/>
        <v>FA</v>
      </c>
    </row>
    <row r="153" spans="1:19" x14ac:dyDescent="0.3">
      <c r="A153" t="s">
        <v>12</v>
      </c>
      <c r="B153">
        <v>2016110005</v>
      </c>
      <c r="C153" t="s">
        <v>138</v>
      </c>
      <c r="E153" t="s">
        <v>139</v>
      </c>
      <c r="F153" t="s">
        <v>140</v>
      </c>
      <c r="G153">
        <v>2</v>
      </c>
      <c r="I153" s="4"/>
      <c r="J153">
        <f t="shared" ref="J153:J183" si="22">G153*I153</f>
        <v>0</v>
      </c>
      <c r="K153">
        <v>14</v>
      </c>
      <c r="L153">
        <v>6</v>
      </c>
      <c r="M153" s="2">
        <v>2.33</v>
      </c>
      <c r="N153" s="2">
        <v>2.69</v>
      </c>
      <c r="O153">
        <v>0</v>
      </c>
      <c r="P153">
        <v>2</v>
      </c>
      <c r="Q153" s="4" t="str">
        <f t="shared" ref="Q153:Q184" si="23">IF(P153=1,"2016/2017-Ganjil",IF(P153=2,"2016/2017-Genap",IF(P153=3,"2017/2018-Ganjil",IF(P153=4,"2017/2018-Genap",IF(P153=5,"2018/2019-Ganjil",IF(P153=6,"2018/2019-Genap",IF(P153=7,"2019/2020-Ganjil",IF(P153=8,"2019/2020-Genap",IF(P153=9,"2020/2021-Ganjil",IF(P153=10,"2020/2021-Genap",IF(P153=11,"2021/2022-Ganjil",IF(P153=12,"2021/2022-Genap",IF(P153=13,"2022/2023-Ganjil","2022/2023-Genap")))))))))))))</f>
        <v>2016/2017-Genap</v>
      </c>
      <c r="R153" t="s">
        <v>535</v>
      </c>
      <c r="S153" t="s">
        <v>595</v>
      </c>
    </row>
    <row r="154" spans="1:19" x14ac:dyDescent="0.3">
      <c r="A154" t="s">
        <v>12</v>
      </c>
      <c r="B154">
        <v>2016110005</v>
      </c>
      <c r="C154" t="s">
        <v>138</v>
      </c>
      <c r="E154" t="s">
        <v>97</v>
      </c>
      <c r="F154" t="s">
        <v>98</v>
      </c>
      <c r="G154">
        <v>4</v>
      </c>
      <c r="I154" s="4"/>
      <c r="J154">
        <f t="shared" si="22"/>
        <v>0</v>
      </c>
      <c r="K154">
        <v>14</v>
      </c>
      <c r="L154">
        <v>6</v>
      </c>
      <c r="M154" s="2">
        <v>2.33</v>
      </c>
      <c r="N154" s="2">
        <v>2.69</v>
      </c>
      <c r="O154">
        <v>0</v>
      </c>
      <c r="P154">
        <v>2</v>
      </c>
      <c r="Q154" s="4" t="str">
        <f t="shared" si="23"/>
        <v>2016/2017-Genap</v>
      </c>
      <c r="R154" t="s">
        <v>535</v>
      </c>
      <c r="S154" t="s">
        <v>595</v>
      </c>
    </row>
    <row r="155" spans="1:19" x14ac:dyDescent="0.3">
      <c r="A155" t="s">
        <v>12</v>
      </c>
      <c r="B155">
        <v>2016110005</v>
      </c>
      <c r="C155" t="s">
        <v>138</v>
      </c>
      <c r="E155" t="s">
        <v>100</v>
      </c>
      <c r="F155" t="s">
        <v>101</v>
      </c>
      <c r="G155">
        <v>4</v>
      </c>
      <c r="I155" s="4"/>
      <c r="J155">
        <f t="shared" si="22"/>
        <v>0</v>
      </c>
      <c r="K155">
        <v>14</v>
      </c>
      <c r="L155">
        <v>6</v>
      </c>
      <c r="M155" s="2">
        <v>2.33</v>
      </c>
      <c r="N155" s="2">
        <v>2.69</v>
      </c>
      <c r="O155">
        <v>0</v>
      </c>
      <c r="P155">
        <v>2</v>
      </c>
      <c r="Q155" s="4" t="str">
        <f t="shared" si="23"/>
        <v>2016/2017-Genap</v>
      </c>
      <c r="R155" t="s">
        <v>535</v>
      </c>
      <c r="S155" t="s">
        <v>595</v>
      </c>
    </row>
    <row r="156" spans="1:19" x14ac:dyDescent="0.3">
      <c r="A156" t="s">
        <v>12</v>
      </c>
      <c r="B156">
        <v>2016110005</v>
      </c>
      <c r="C156" t="s">
        <v>138</v>
      </c>
      <c r="E156" t="s">
        <v>103</v>
      </c>
      <c r="F156" t="s">
        <v>104</v>
      </c>
      <c r="G156">
        <v>4</v>
      </c>
      <c r="I156" s="4"/>
      <c r="J156">
        <f t="shared" si="22"/>
        <v>0</v>
      </c>
      <c r="K156">
        <v>14</v>
      </c>
      <c r="L156">
        <v>6</v>
      </c>
      <c r="M156" s="2">
        <v>2.33</v>
      </c>
      <c r="N156" s="2">
        <v>2.69</v>
      </c>
      <c r="O156">
        <v>0</v>
      </c>
      <c r="P156">
        <v>2</v>
      </c>
      <c r="Q156" s="4" t="str">
        <f t="shared" si="23"/>
        <v>2016/2017-Genap</v>
      </c>
      <c r="R156" t="s">
        <v>535</v>
      </c>
      <c r="S156" t="s">
        <v>595</v>
      </c>
    </row>
    <row r="157" spans="1:19" x14ac:dyDescent="0.3">
      <c r="A157" t="s">
        <v>12</v>
      </c>
      <c r="B157">
        <v>2016110005</v>
      </c>
      <c r="C157" t="s">
        <v>138</v>
      </c>
      <c r="E157" t="s">
        <v>131</v>
      </c>
      <c r="F157" t="s">
        <v>132</v>
      </c>
      <c r="G157">
        <v>2</v>
      </c>
      <c r="H157" t="s">
        <v>260</v>
      </c>
      <c r="I157" s="4">
        <f t="shared" ref="I157:I183" si="24">IF(H157="A",4,IF(H157="B",3,IF(H157="C",2,IF(H157="D",1,0))))</f>
        <v>4</v>
      </c>
      <c r="J157">
        <f t="shared" si="22"/>
        <v>8</v>
      </c>
      <c r="K157">
        <v>56</v>
      </c>
      <c r="L157">
        <v>20</v>
      </c>
      <c r="M157" s="2">
        <v>2.8</v>
      </c>
      <c r="N157" s="2">
        <v>2.69</v>
      </c>
      <c r="O157">
        <v>0</v>
      </c>
      <c r="P157">
        <v>1</v>
      </c>
      <c r="Q157" s="4" t="str">
        <f t="shared" si="23"/>
        <v>2016/2017-Ganjil</v>
      </c>
      <c r="R157" t="s">
        <v>260</v>
      </c>
      <c r="S157" t="str">
        <f t="shared" ref="S157:S180" si="25">IF(OR(H157="A",H157="B",H157="C"),"PA","FA")</f>
        <v>PA</v>
      </c>
    </row>
    <row r="158" spans="1:19" x14ac:dyDescent="0.3">
      <c r="A158" t="s">
        <v>12</v>
      </c>
      <c r="B158">
        <v>2016110005</v>
      </c>
      <c r="C158" t="s">
        <v>138</v>
      </c>
      <c r="E158" t="s">
        <v>142</v>
      </c>
      <c r="F158" t="s">
        <v>143</v>
      </c>
      <c r="G158">
        <v>2</v>
      </c>
      <c r="H158" t="s">
        <v>260</v>
      </c>
      <c r="I158" s="4">
        <f t="shared" ref="I158:I180" si="26">IF(H158="A",4,IF(H158="B",3,IF(H158="C",2,IF(H158="D",1,0))))</f>
        <v>4</v>
      </c>
      <c r="J158">
        <f t="shared" ref="J158:J180" si="27">G158*I158</f>
        <v>8</v>
      </c>
      <c r="K158">
        <v>56</v>
      </c>
      <c r="L158">
        <v>20</v>
      </c>
      <c r="M158" s="2">
        <v>2.8</v>
      </c>
      <c r="N158" s="2">
        <v>2.69</v>
      </c>
      <c r="O158">
        <v>0</v>
      </c>
      <c r="P158">
        <v>1</v>
      </c>
      <c r="Q158" s="4" t="str">
        <f t="shared" si="23"/>
        <v>2016/2017-Ganjil</v>
      </c>
      <c r="R158" t="s">
        <v>260</v>
      </c>
      <c r="S158" t="str">
        <f t="shared" si="25"/>
        <v>PA</v>
      </c>
    </row>
    <row r="159" spans="1:19" x14ac:dyDescent="0.3">
      <c r="A159" t="s">
        <v>12</v>
      </c>
      <c r="B159">
        <v>2016110005</v>
      </c>
      <c r="C159" t="s">
        <v>138</v>
      </c>
      <c r="E159" t="s">
        <v>165</v>
      </c>
      <c r="F159" t="s">
        <v>166</v>
      </c>
      <c r="G159">
        <v>2</v>
      </c>
      <c r="H159" t="s">
        <v>260</v>
      </c>
      <c r="I159" s="4">
        <f t="shared" si="26"/>
        <v>4</v>
      </c>
      <c r="J159">
        <f t="shared" si="27"/>
        <v>8</v>
      </c>
      <c r="K159">
        <v>56</v>
      </c>
      <c r="L159">
        <v>20</v>
      </c>
      <c r="M159" s="2">
        <v>2.8</v>
      </c>
      <c r="N159" s="2">
        <v>2.69</v>
      </c>
      <c r="O159">
        <v>0</v>
      </c>
      <c r="P159">
        <v>1</v>
      </c>
      <c r="Q159" s="4" t="str">
        <f t="shared" si="23"/>
        <v>2016/2017-Ganjil</v>
      </c>
      <c r="R159" t="s">
        <v>260</v>
      </c>
      <c r="S159" t="str">
        <f t="shared" si="25"/>
        <v>PA</v>
      </c>
    </row>
    <row r="160" spans="1:19" x14ac:dyDescent="0.3">
      <c r="A160" t="s">
        <v>12</v>
      </c>
      <c r="B160">
        <v>2016110005</v>
      </c>
      <c r="C160" t="s">
        <v>138</v>
      </c>
      <c r="E160" t="s">
        <v>151</v>
      </c>
      <c r="F160" t="s">
        <v>152</v>
      </c>
      <c r="G160">
        <v>2</v>
      </c>
      <c r="H160" t="s">
        <v>260</v>
      </c>
      <c r="I160" s="4">
        <f t="shared" si="26"/>
        <v>4</v>
      </c>
      <c r="J160">
        <f t="shared" si="27"/>
        <v>8</v>
      </c>
      <c r="K160">
        <v>56</v>
      </c>
      <c r="L160">
        <v>20</v>
      </c>
      <c r="M160" s="2">
        <v>2.8</v>
      </c>
      <c r="N160" s="2">
        <v>2.69</v>
      </c>
      <c r="O160">
        <v>0</v>
      </c>
      <c r="P160">
        <v>1</v>
      </c>
      <c r="Q160" s="4" t="str">
        <f t="shared" si="23"/>
        <v>2016/2017-Ganjil</v>
      </c>
      <c r="R160" t="s">
        <v>260</v>
      </c>
      <c r="S160" t="str">
        <f t="shared" si="25"/>
        <v>PA</v>
      </c>
    </row>
    <row r="161" spans="1:19" x14ac:dyDescent="0.3">
      <c r="A161" t="s">
        <v>12</v>
      </c>
      <c r="B161">
        <v>2016110005</v>
      </c>
      <c r="C161" t="s">
        <v>138</v>
      </c>
      <c r="E161" t="s">
        <v>290</v>
      </c>
      <c r="F161" t="s">
        <v>327</v>
      </c>
      <c r="G161">
        <v>4</v>
      </c>
      <c r="H161" t="s">
        <v>438</v>
      </c>
      <c r="I161" s="4">
        <f t="shared" si="26"/>
        <v>3</v>
      </c>
      <c r="J161">
        <f t="shared" si="27"/>
        <v>12</v>
      </c>
      <c r="K161">
        <v>14</v>
      </c>
      <c r="L161">
        <v>6</v>
      </c>
      <c r="M161" s="2">
        <v>2.33</v>
      </c>
      <c r="N161" s="2">
        <v>2.69</v>
      </c>
      <c r="O161">
        <v>0</v>
      </c>
      <c r="P161">
        <v>2</v>
      </c>
      <c r="Q161" s="4" t="str">
        <f t="shared" si="23"/>
        <v>2016/2017-Genap</v>
      </c>
      <c r="R161" t="s">
        <v>535</v>
      </c>
      <c r="S161" t="str">
        <f t="shared" si="25"/>
        <v>PA</v>
      </c>
    </row>
    <row r="162" spans="1:19" x14ac:dyDescent="0.3">
      <c r="A162" t="s">
        <v>12</v>
      </c>
      <c r="B162">
        <v>2016110005</v>
      </c>
      <c r="C162" t="s">
        <v>138</v>
      </c>
      <c r="E162" t="s">
        <v>77</v>
      </c>
      <c r="F162" t="s">
        <v>78</v>
      </c>
      <c r="G162">
        <v>2</v>
      </c>
      <c r="H162" t="s">
        <v>438</v>
      </c>
      <c r="I162" s="4">
        <f t="shared" si="26"/>
        <v>3</v>
      </c>
      <c r="J162">
        <f t="shared" si="27"/>
        <v>6</v>
      </c>
      <c r="K162">
        <v>56</v>
      </c>
      <c r="L162">
        <v>20</v>
      </c>
      <c r="M162" s="2">
        <v>2.8</v>
      </c>
      <c r="N162" s="2">
        <v>2.69</v>
      </c>
      <c r="O162">
        <v>0</v>
      </c>
      <c r="P162">
        <v>1</v>
      </c>
      <c r="Q162" s="4" t="str">
        <f t="shared" si="23"/>
        <v>2016/2017-Ganjil</v>
      </c>
      <c r="R162" t="s">
        <v>260</v>
      </c>
      <c r="S162" t="str">
        <f t="shared" si="25"/>
        <v>PA</v>
      </c>
    </row>
    <row r="163" spans="1:19" x14ac:dyDescent="0.3">
      <c r="A163" t="s">
        <v>12</v>
      </c>
      <c r="B163">
        <v>2016110005</v>
      </c>
      <c r="C163" t="s">
        <v>138</v>
      </c>
      <c r="E163" t="s">
        <v>90</v>
      </c>
      <c r="F163" t="s">
        <v>91</v>
      </c>
      <c r="G163">
        <v>2</v>
      </c>
      <c r="H163" t="s">
        <v>438</v>
      </c>
      <c r="I163" s="4">
        <f t="shared" si="26"/>
        <v>3</v>
      </c>
      <c r="J163">
        <f t="shared" si="27"/>
        <v>6</v>
      </c>
      <c r="K163">
        <v>56</v>
      </c>
      <c r="L163">
        <v>20</v>
      </c>
      <c r="M163" s="2">
        <v>2.8</v>
      </c>
      <c r="N163" s="2">
        <v>2.69</v>
      </c>
      <c r="O163">
        <v>0</v>
      </c>
      <c r="P163">
        <v>1</v>
      </c>
      <c r="Q163" s="4" t="str">
        <f t="shared" si="23"/>
        <v>2016/2017-Ganjil</v>
      </c>
      <c r="R163" t="s">
        <v>260</v>
      </c>
      <c r="S163" t="str">
        <f t="shared" si="25"/>
        <v>PA</v>
      </c>
    </row>
    <row r="164" spans="1:19" x14ac:dyDescent="0.3">
      <c r="A164" t="s">
        <v>12</v>
      </c>
      <c r="B164">
        <v>2016110005</v>
      </c>
      <c r="C164" t="s">
        <v>138</v>
      </c>
      <c r="E164" t="s">
        <v>437</v>
      </c>
      <c r="F164" t="s">
        <v>169</v>
      </c>
      <c r="G164">
        <v>4</v>
      </c>
      <c r="H164" t="s">
        <v>524</v>
      </c>
      <c r="I164" s="4">
        <f t="shared" si="26"/>
        <v>2</v>
      </c>
      <c r="J164">
        <f t="shared" si="27"/>
        <v>8</v>
      </c>
      <c r="K164">
        <v>56</v>
      </c>
      <c r="L164">
        <v>20</v>
      </c>
      <c r="M164" s="2">
        <v>2.8</v>
      </c>
      <c r="N164" s="2">
        <v>2.69</v>
      </c>
      <c r="O164">
        <v>0</v>
      </c>
      <c r="P164">
        <v>1</v>
      </c>
      <c r="Q164" s="4" t="str">
        <f t="shared" si="23"/>
        <v>2016/2017-Ganjil</v>
      </c>
      <c r="R164" t="s">
        <v>260</v>
      </c>
      <c r="S164" t="str">
        <f t="shared" si="25"/>
        <v>PA</v>
      </c>
    </row>
    <row r="165" spans="1:19" x14ac:dyDescent="0.3">
      <c r="A165" t="s">
        <v>12</v>
      </c>
      <c r="B165">
        <v>2016110005</v>
      </c>
      <c r="C165" t="s">
        <v>138</v>
      </c>
      <c r="E165" t="s">
        <v>122</v>
      </c>
      <c r="F165" t="s">
        <v>123</v>
      </c>
      <c r="G165">
        <v>4</v>
      </c>
      <c r="H165" t="s">
        <v>535</v>
      </c>
      <c r="I165" s="4">
        <f t="shared" si="26"/>
        <v>1</v>
      </c>
      <c r="J165">
        <f t="shared" si="27"/>
        <v>4</v>
      </c>
      <c r="K165">
        <v>56</v>
      </c>
      <c r="L165">
        <v>20</v>
      </c>
      <c r="M165" s="2">
        <v>2.8</v>
      </c>
      <c r="N165" s="2">
        <v>2.69</v>
      </c>
      <c r="O165">
        <v>0</v>
      </c>
      <c r="P165">
        <v>1</v>
      </c>
      <c r="Q165" s="4" t="str">
        <f t="shared" si="23"/>
        <v>2016/2017-Ganjil</v>
      </c>
      <c r="R165" t="s">
        <v>260</v>
      </c>
      <c r="S165" t="str">
        <f t="shared" si="25"/>
        <v>FA</v>
      </c>
    </row>
    <row r="166" spans="1:19" x14ac:dyDescent="0.3">
      <c r="A166" t="s">
        <v>12</v>
      </c>
      <c r="B166">
        <v>2016110005</v>
      </c>
      <c r="C166" t="s">
        <v>138</v>
      </c>
      <c r="E166" t="s">
        <v>279</v>
      </c>
      <c r="F166" t="s">
        <v>280</v>
      </c>
      <c r="G166">
        <v>2</v>
      </c>
      <c r="H166" t="s">
        <v>535</v>
      </c>
      <c r="I166" s="4">
        <f t="shared" si="26"/>
        <v>1</v>
      </c>
      <c r="J166">
        <f t="shared" si="27"/>
        <v>2</v>
      </c>
      <c r="K166">
        <v>14</v>
      </c>
      <c r="L166">
        <v>6</v>
      </c>
      <c r="M166" s="2">
        <v>2.33</v>
      </c>
      <c r="N166" s="2">
        <v>2.69</v>
      </c>
      <c r="O166">
        <v>0</v>
      </c>
      <c r="P166">
        <v>2</v>
      </c>
      <c r="Q166" s="4" t="str">
        <f t="shared" si="23"/>
        <v>2016/2017-Genap</v>
      </c>
      <c r="R166" t="s">
        <v>535</v>
      </c>
      <c r="S166" t="str">
        <f t="shared" si="25"/>
        <v>FA</v>
      </c>
    </row>
    <row r="167" spans="1:19" x14ac:dyDescent="0.3">
      <c r="A167" t="s">
        <v>12</v>
      </c>
      <c r="B167">
        <v>2016110006</v>
      </c>
      <c r="C167" t="s">
        <v>328</v>
      </c>
      <c r="E167" t="s">
        <v>290</v>
      </c>
      <c r="F167" t="s">
        <v>327</v>
      </c>
      <c r="G167">
        <v>4</v>
      </c>
      <c r="H167" t="s">
        <v>260</v>
      </c>
      <c r="I167" s="4">
        <f t="shared" si="26"/>
        <v>4</v>
      </c>
      <c r="J167">
        <f t="shared" si="27"/>
        <v>16</v>
      </c>
      <c r="K167">
        <v>52</v>
      </c>
      <c r="L167">
        <v>20</v>
      </c>
      <c r="M167" s="2">
        <v>2.6</v>
      </c>
      <c r="N167" s="2">
        <v>2.5499999999999998</v>
      </c>
      <c r="O167">
        <v>0</v>
      </c>
      <c r="P167">
        <v>2</v>
      </c>
      <c r="Q167" s="4" t="str">
        <f t="shared" si="23"/>
        <v>2016/2017-Genap</v>
      </c>
      <c r="R167" t="s">
        <v>535</v>
      </c>
      <c r="S167" t="str">
        <f t="shared" si="25"/>
        <v>PA</v>
      </c>
    </row>
    <row r="168" spans="1:19" x14ac:dyDescent="0.3">
      <c r="A168" t="s">
        <v>12</v>
      </c>
      <c r="B168">
        <v>2016110006</v>
      </c>
      <c r="C168" t="s">
        <v>328</v>
      </c>
      <c r="E168" t="s">
        <v>131</v>
      </c>
      <c r="F168" t="s">
        <v>132</v>
      </c>
      <c r="G168">
        <v>2</v>
      </c>
      <c r="H168" t="s">
        <v>260</v>
      </c>
      <c r="I168" s="4">
        <f t="shared" si="26"/>
        <v>4</v>
      </c>
      <c r="J168">
        <f t="shared" si="27"/>
        <v>8</v>
      </c>
      <c r="K168">
        <v>50</v>
      </c>
      <c r="L168">
        <v>20</v>
      </c>
      <c r="M168" s="2">
        <v>2.5</v>
      </c>
      <c r="N168" s="2">
        <v>2.5499999999999998</v>
      </c>
      <c r="O168">
        <v>0</v>
      </c>
      <c r="P168">
        <v>1</v>
      </c>
      <c r="Q168" s="4" t="str">
        <f t="shared" si="23"/>
        <v>2016/2017-Ganjil</v>
      </c>
      <c r="R168" t="s">
        <v>260</v>
      </c>
      <c r="S168" t="str">
        <f t="shared" si="25"/>
        <v>PA</v>
      </c>
    </row>
    <row r="169" spans="1:19" x14ac:dyDescent="0.3">
      <c r="A169" t="s">
        <v>12</v>
      </c>
      <c r="B169">
        <v>2016110006</v>
      </c>
      <c r="C169" t="s">
        <v>328</v>
      </c>
      <c r="E169" t="s">
        <v>77</v>
      </c>
      <c r="F169" t="s">
        <v>78</v>
      </c>
      <c r="G169">
        <v>2</v>
      </c>
      <c r="H169" t="s">
        <v>260</v>
      </c>
      <c r="I169" s="4">
        <f t="shared" si="26"/>
        <v>4</v>
      </c>
      <c r="J169">
        <f t="shared" si="27"/>
        <v>8</v>
      </c>
      <c r="K169">
        <v>50</v>
      </c>
      <c r="L169">
        <v>20</v>
      </c>
      <c r="M169" s="2">
        <v>2.5</v>
      </c>
      <c r="N169" s="2">
        <v>2.5499999999999998</v>
      </c>
      <c r="O169">
        <v>0</v>
      </c>
      <c r="P169">
        <v>1</v>
      </c>
      <c r="Q169" s="4" t="str">
        <f t="shared" si="23"/>
        <v>2016/2017-Ganjil</v>
      </c>
      <c r="R169" t="s">
        <v>260</v>
      </c>
      <c r="S169" t="str">
        <f t="shared" si="25"/>
        <v>PA</v>
      </c>
    </row>
    <row r="170" spans="1:19" x14ac:dyDescent="0.3">
      <c r="A170" t="s">
        <v>12</v>
      </c>
      <c r="B170">
        <v>2016110006</v>
      </c>
      <c r="C170" t="s">
        <v>328</v>
      </c>
      <c r="E170" t="s">
        <v>279</v>
      </c>
      <c r="F170" t="s">
        <v>280</v>
      </c>
      <c r="G170">
        <v>2</v>
      </c>
      <c r="H170" t="s">
        <v>438</v>
      </c>
      <c r="I170" s="4">
        <f t="shared" si="26"/>
        <v>3</v>
      </c>
      <c r="J170">
        <f t="shared" si="27"/>
        <v>6</v>
      </c>
      <c r="K170">
        <v>52</v>
      </c>
      <c r="L170">
        <v>20</v>
      </c>
      <c r="M170" s="2">
        <v>2.6</v>
      </c>
      <c r="N170" s="2">
        <v>2.5499999999999998</v>
      </c>
      <c r="O170">
        <v>0</v>
      </c>
      <c r="P170">
        <v>2</v>
      </c>
      <c r="Q170" s="4" t="str">
        <f t="shared" si="23"/>
        <v>2016/2017-Genap</v>
      </c>
      <c r="R170" t="s">
        <v>535</v>
      </c>
      <c r="S170" t="str">
        <f t="shared" si="25"/>
        <v>PA</v>
      </c>
    </row>
    <row r="171" spans="1:19" x14ac:dyDescent="0.3">
      <c r="A171" t="s">
        <v>12</v>
      </c>
      <c r="B171">
        <v>2016110006</v>
      </c>
      <c r="C171" t="s">
        <v>328</v>
      </c>
      <c r="E171" t="s">
        <v>97</v>
      </c>
      <c r="F171" t="s">
        <v>98</v>
      </c>
      <c r="G171">
        <v>4</v>
      </c>
      <c r="H171" t="s">
        <v>438</v>
      </c>
      <c r="I171" s="4">
        <f t="shared" si="26"/>
        <v>3</v>
      </c>
      <c r="J171">
        <f t="shared" si="27"/>
        <v>12</v>
      </c>
      <c r="K171">
        <v>52</v>
      </c>
      <c r="L171">
        <v>20</v>
      </c>
      <c r="M171" s="2">
        <v>2.6</v>
      </c>
      <c r="N171" s="2">
        <v>2.5499999999999998</v>
      </c>
      <c r="O171">
        <v>0</v>
      </c>
      <c r="P171">
        <v>2</v>
      </c>
      <c r="Q171" s="4" t="str">
        <f t="shared" si="23"/>
        <v>2016/2017-Genap</v>
      </c>
      <c r="R171" t="s">
        <v>535</v>
      </c>
      <c r="S171" t="str">
        <f t="shared" si="25"/>
        <v>PA</v>
      </c>
    </row>
    <row r="172" spans="1:19" x14ac:dyDescent="0.3">
      <c r="A172" t="s">
        <v>12</v>
      </c>
      <c r="B172">
        <v>2016110006</v>
      </c>
      <c r="C172" t="s">
        <v>328</v>
      </c>
      <c r="E172" t="s">
        <v>139</v>
      </c>
      <c r="F172" t="s">
        <v>140</v>
      </c>
      <c r="G172">
        <v>2</v>
      </c>
      <c r="H172" t="s">
        <v>438</v>
      </c>
      <c r="I172" s="4">
        <f t="shared" si="26"/>
        <v>3</v>
      </c>
      <c r="J172">
        <f t="shared" si="27"/>
        <v>6</v>
      </c>
      <c r="K172">
        <v>52</v>
      </c>
      <c r="L172">
        <v>20</v>
      </c>
      <c r="M172" s="2">
        <v>2.6</v>
      </c>
      <c r="N172" s="2">
        <v>2.5499999999999998</v>
      </c>
      <c r="O172">
        <v>0</v>
      </c>
      <c r="P172">
        <v>2</v>
      </c>
      <c r="Q172" s="4" t="str">
        <f t="shared" si="23"/>
        <v>2016/2017-Genap</v>
      </c>
      <c r="R172" t="s">
        <v>535</v>
      </c>
      <c r="S172" t="str">
        <f t="shared" si="25"/>
        <v>PA</v>
      </c>
    </row>
    <row r="173" spans="1:19" x14ac:dyDescent="0.3">
      <c r="A173" t="s">
        <v>12</v>
      </c>
      <c r="B173">
        <v>2016110006</v>
      </c>
      <c r="C173" t="s">
        <v>328</v>
      </c>
      <c r="E173" t="s">
        <v>165</v>
      </c>
      <c r="F173" t="s">
        <v>166</v>
      </c>
      <c r="G173">
        <v>2</v>
      </c>
      <c r="H173" t="s">
        <v>438</v>
      </c>
      <c r="I173" s="4">
        <f t="shared" si="26"/>
        <v>3</v>
      </c>
      <c r="J173">
        <f t="shared" si="27"/>
        <v>6</v>
      </c>
      <c r="K173">
        <v>50</v>
      </c>
      <c r="L173">
        <v>20</v>
      </c>
      <c r="M173" s="2">
        <v>2.5</v>
      </c>
      <c r="N173" s="2">
        <v>2.5499999999999998</v>
      </c>
      <c r="O173">
        <v>0</v>
      </c>
      <c r="P173">
        <v>1</v>
      </c>
      <c r="Q173" s="4" t="str">
        <f t="shared" si="23"/>
        <v>2016/2017-Ganjil</v>
      </c>
      <c r="R173" t="s">
        <v>260</v>
      </c>
      <c r="S173" t="str">
        <f t="shared" si="25"/>
        <v>PA</v>
      </c>
    </row>
    <row r="174" spans="1:19" x14ac:dyDescent="0.3">
      <c r="A174" t="s">
        <v>12</v>
      </c>
      <c r="B174">
        <v>2016110006</v>
      </c>
      <c r="C174" t="s">
        <v>328</v>
      </c>
      <c r="E174" t="s">
        <v>437</v>
      </c>
      <c r="F174" t="s">
        <v>169</v>
      </c>
      <c r="G174">
        <v>4</v>
      </c>
      <c r="H174" t="s">
        <v>524</v>
      </c>
      <c r="I174" s="4">
        <f t="shared" si="26"/>
        <v>2</v>
      </c>
      <c r="J174">
        <f t="shared" si="27"/>
        <v>8</v>
      </c>
      <c r="K174">
        <v>50</v>
      </c>
      <c r="L174">
        <v>20</v>
      </c>
      <c r="M174" s="2">
        <v>2.5</v>
      </c>
      <c r="N174" s="2">
        <v>2.5499999999999998</v>
      </c>
      <c r="O174">
        <v>0</v>
      </c>
      <c r="P174">
        <v>1</v>
      </c>
      <c r="Q174" s="4" t="str">
        <f t="shared" si="23"/>
        <v>2016/2017-Ganjil</v>
      </c>
      <c r="R174" t="s">
        <v>260</v>
      </c>
      <c r="S174" t="str">
        <f t="shared" si="25"/>
        <v>PA</v>
      </c>
    </row>
    <row r="175" spans="1:19" x14ac:dyDescent="0.3">
      <c r="A175" t="s">
        <v>12</v>
      </c>
      <c r="B175">
        <v>2016110006</v>
      </c>
      <c r="C175" t="s">
        <v>328</v>
      </c>
      <c r="E175" t="s">
        <v>151</v>
      </c>
      <c r="F175" t="s">
        <v>152</v>
      </c>
      <c r="G175">
        <v>2</v>
      </c>
      <c r="H175" t="s">
        <v>524</v>
      </c>
      <c r="I175" s="4">
        <f t="shared" si="26"/>
        <v>2</v>
      </c>
      <c r="J175">
        <f t="shared" si="27"/>
        <v>4</v>
      </c>
      <c r="K175">
        <v>50</v>
      </c>
      <c r="L175">
        <v>20</v>
      </c>
      <c r="M175" s="2">
        <v>2.5</v>
      </c>
      <c r="N175" s="2">
        <v>2.5499999999999998</v>
      </c>
      <c r="O175">
        <v>0</v>
      </c>
      <c r="P175">
        <v>1</v>
      </c>
      <c r="Q175" s="4" t="str">
        <f t="shared" si="23"/>
        <v>2016/2017-Ganjil</v>
      </c>
      <c r="R175" t="s">
        <v>260</v>
      </c>
      <c r="S175" t="str">
        <f t="shared" si="25"/>
        <v>PA</v>
      </c>
    </row>
    <row r="176" spans="1:19" x14ac:dyDescent="0.3">
      <c r="A176" t="s">
        <v>12</v>
      </c>
      <c r="B176">
        <v>2016110006</v>
      </c>
      <c r="C176" t="s">
        <v>328</v>
      </c>
      <c r="E176" t="s">
        <v>90</v>
      </c>
      <c r="F176" t="s">
        <v>91</v>
      </c>
      <c r="G176">
        <v>2</v>
      </c>
      <c r="H176" t="s">
        <v>524</v>
      </c>
      <c r="I176" s="4">
        <f t="shared" si="26"/>
        <v>2</v>
      </c>
      <c r="J176">
        <f t="shared" si="27"/>
        <v>4</v>
      </c>
      <c r="K176">
        <v>50</v>
      </c>
      <c r="L176">
        <v>20</v>
      </c>
      <c r="M176" s="2">
        <v>2.5</v>
      </c>
      <c r="N176" s="2">
        <v>2.5499999999999998</v>
      </c>
      <c r="O176">
        <v>0</v>
      </c>
      <c r="P176">
        <v>1</v>
      </c>
      <c r="Q176" s="4" t="str">
        <f t="shared" si="23"/>
        <v>2016/2017-Ganjil</v>
      </c>
      <c r="R176" t="s">
        <v>260</v>
      </c>
      <c r="S176" t="str">
        <f t="shared" si="25"/>
        <v>PA</v>
      </c>
    </row>
    <row r="177" spans="1:19" x14ac:dyDescent="0.3">
      <c r="A177" t="s">
        <v>12</v>
      </c>
      <c r="B177">
        <v>2016110006</v>
      </c>
      <c r="C177" t="s">
        <v>328</v>
      </c>
      <c r="E177" t="s">
        <v>103</v>
      </c>
      <c r="F177" t="s">
        <v>104</v>
      </c>
      <c r="G177">
        <v>4</v>
      </c>
      <c r="H177" t="s">
        <v>524</v>
      </c>
      <c r="I177" s="4">
        <f t="shared" si="26"/>
        <v>2</v>
      </c>
      <c r="J177">
        <f t="shared" si="27"/>
        <v>8</v>
      </c>
      <c r="K177">
        <v>52</v>
      </c>
      <c r="L177">
        <v>20</v>
      </c>
      <c r="M177" s="2">
        <v>2.6</v>
      </c>
      <c r="N177" s="2">
        <v>2.5499999999999998</v>
      </c>
      <c r="O177">
        <v>0</v>
      </c>
      <c r="P177">
        <v>2</v>
      </c>
      <c r="Q177" s="4" t="str">
        <f t="shared" si="23"/>
        <v>2016/2017-Genap</v>
      </c>
      <c r="R177" t="s">
        <v>535</v>
      </c>
      <c r="S177" t="str">
        <f t="shared" si="25"/>
        <v>PA</v>
      </c>
    </row>
    <row r="178" spans="1:19" x14ac:dyDescent="0.3">
      <c r="A178" t="s">
        <v>12</v>
      </c>
      <c r="B178">
        <v>2016110006</v>
      </c>
      <c r="C178" t="s">
        <v>328</v>
      </c>
      <c r="E178" t="s">
        <v>122</v>
      </c>
      <c r="F178" t="s">
        <v>123</v>
      </c>
      <c r="G178">
        <v>4</v>
      </c>
      <c r="H178" t="s">
        <v>524</v>
      </c>
      <c r="I178" s="4">
        <f t="shared" si="26"/>
        <v>2</v>
      </c>
      <c r="J178">
        <f t="shared" si="27"/>
        <v>8</v>
      </c>
      <c r="K178">
        <v>50</v>
      </c>
      <c r="L178">
        <v>20</v>
      </c>
      <c r="M178" s="2">
        <v>2.5</v>
      </c>
      <c r="N178" s="2">
        <v>2.5499999999999998</v>
      </c>
      <c r="O178">
        <v>0</v>
      </c>
      <c r="P178">
        <v>1</v>
      </c>
      <c r="Q178" s="4" t="str">
        <f t="shared" si="23"/>
        <v>2016/2017-Ganjil</v>
      </c>
      <c r="R178" t="s">
        <v>260</v>
      </c>
      <c r="S178" t="str">
        <f t="shared" si="25"/>
        <v>PA</v>
      </c>
    </row>
    <row r="179" spans="1:19" x14ac:dyDescent="0.3">
      <c r="A179" t="s">
        <v>12</v>
      </c>
      <c r="B179">
        <v>2016110006</v>
      </c>
      <c r="C179" t="s">
        <v>328</v>
      </c>
      <c r="E179" t="s">
        <v>142</v>
      </c>
      <c r="F179" t="s">
        <v>143</v>
      </c>
      <c r="G179">
        <v>2</v>
      </c>
      <c r="H179" t="s">
        <v>524</v>
      </c>
      <c r="I179" s="4">
        <f t="shared" si="26"/>
        <v>2</v>
      </c>
      <c r="J179">
        <f t="shared" si="27"/>
        <v>4</v>
      </c>
      <c r="K179">
        <v>50</v>
      </c>
      <c r="L179">
        <v>20</v>
      </c>
      <c r="M179" s="2">
        <v>2.5</v>
      </c>
      <c r="N179" s="2">
        <v>2.5499999999999998</v>
      </c>
      <c r="O179">
        <v>0</v>
      </c>
      <c r="P179">
        <v>1</v>
      </c>
      <c r="Q179" s="4" t="str">
        <f t="shared" si="23"/>
        <v>2016/2017-Ganjil</v>
      </c>
      <c r="R179" t="s">
        <v>260</v>
      </c>
      <c r="S179" t="str">
        <f t="shared" si="25"/>
        <v>PA</v>
      </c>
    </row>
    <row r="180" spans="1:19" x14ac:dyDescent="0.3">
      <c r="A180" t="s">
        <v>12</v>
      </c>
      <c r="B180">
        <v>2016110006</v>
      </c>
      <c r="C180" t="s">
        <v>328</v>
      </c>
      <c r="E180" t="s">
        <v>100</v>
      </c>
      <c r="F180" t="s">
        <v>101</v>
      </c>
      <c r="G180">
        <v>4</v>
      </c>
      <c r="H180" t="s">
        <v>535</v>
      </c>
      <c r="I180" s="4">
        <f t="shared" si="26"/>
        <v>1</v>
      </c>
      <c r="J180">
        <f t="shared" si="27"/>
        <v>4</v>
      </c>
      <c r="K180">
        <v>52</v>
      </c>
      <c r="L180">
        <v>20</v>
      </c>
      <c r="M180" s="2">
        <v>2.6</v>
      </c>
      <c r="N180" s="2">
        <v>2.5499999999999998</v>
      </c>
      <c r="O180">
        <v>0</v>
      </c>
      <c r="P180">
        <v>2</v>
      </c>
      <c r="Q180" s="4" t="str">
        <f t="shared" si="23"/>
        <v>2016/2017-Genap</v>
      </c>
      <c r="R180" t="s">
        <v>535</v>
      </c>
      <c r="S180" t="str">
        <f t="shared" si="25"/>
        <v>FA</v>
      </c>
    </row>
    <row r="181" spans="1:19" x14ac:dyDescent="0.3">
      <c r="A181" t="s">
        <v>12</v>
      </c>
      <c r="B181">
        <v>2016110007</v>
      </c>
      <c r="C181" t="s">
        <v>35</v>
      </c>
      <c r="E181" t="s">
        <v>14</v>
      </c>
      <c r="F181" t="s">
        <v>15</v>
      </c>
      <c r="G181">
        <v>2</v>
      </c>
      <c r="I181" s="4"/>
      <c r="J181">
        <f t="shared" si="22"/>
        <v>0</v>
      </c>
      <c r="K181">
        <v>42</v>
      </c>
      <c r="L181">
        <v>12</v>
      </c>
      <c r="M181" s="2">
        <v>3.5</v>
      </c>
      <c r="N181" s="2">
        <v>3.18</v>
      </c>
      <c r="O181">
        <v>0</v>
      </c>
      <c r="P181">
        <v>7</v>
      </c>
      <c r="Q181" s="4" t="str">
        <f t="shared" si="23"/>
        <v>2019/2020-Ganjil</v>
      </c>
      <c r="R181" t="s">
        <v>260</v>
      </c>
      <c r="S181" t="s">
        <v>595</v>
      </c>
    </row>
    <row r="182" spans="1:19" x14ac:dyDescent="0.3">
      <c r="A182" t="s">
        <v>12</v>
      </c>
      <c r="B182">
        <v>2016110007</v>
      </c>
      <c r="C182" t="s">
        <v>35</v>
      </c>
      <c r="E182" t="s">
        <v>31</v>
      </c>
      <c r="F182" t="s">
        <v>20</v>
      </c>
      <c r="G182">
        <v>4</v>
      </c>
      <c r="I182" s="4"/>
      <c r="J182">
        <f t="shared" si="22"/>
        <v>0</v>
      </c>
      <c r="K182">
        <v>42</v>
      </c>
      <c r="L182">
        <v>12</v>
      </c>
      <c r="M182" s="2">
        <v>3.5</v>
      </c>
      <c r="N182" s="2">
        <v>3.18</v>
      </c>
      <c r="O182">
        <v>0</v>
      </c>
      <c r="P182">
        <v>7</v>
      </c>
      <c r="Q182" s="4" t="str">
        <f t="shared" si="23"/>
        <v>2019/2020-Ganjil</v>
      </c>
      <c r="R182" t="s">
        <v>260</v>
      </c>
      <c r="S182" t="s">
        <v>595</v>
      </c>
    </row>
    <row r="183" spans="1:19" x14ac:dyDescent="0.3">
      <c r="A183" t="s">
        <v>12</v>
      </c>
      <c r="B183">
        <v>2016110007</v>
      </c>
      <c r="C183" t="s">
        <v>35</v>
      </c>
      <c r="E183" t="s">
        <v>14</v>
      </c>
      <c r="F183" t="s">
        <v>15</v>
      </c>
      <c r="G183">
        <v>2</v>
      </c>
      <c r="H183" t="s">
        <v>524</v>
      </c>
      <c r="I183" s="4">
        <f t="shared" si="24"/>
        <v>2</v>
      </c>
      <c r="J183">
        <f t="shared" si="22"/>
        <v>4</v>
      </c>
      <c r="K183">
        <v>12</v>
      </c>
      <c r="L183">
        <v>6</v>
      </c>
      <c r="M183" s="2">
        <v>2</v>
      </c>
      <c r="N183" s="2">
        <v>3.18</v>
      </c>
      <c r="O183">
        <v>1</v>
      </c>
      <c r="P183">
        <v>8</v>
      </c>
      <c r="Q183" s="4" t="str">
        <f t="shared" si="23"/>
        <v>2019/2020-Genap</v>
      </c>
      <c r="R183" t="s">
        <v>596</v>
      </c>
      <c r="S183" t="str">
        <f t="shared" ref="S183:S246" si="28">IF(OR(H183="A",H183="B",H183="C"),"PA","FA")</f>
        <v>PA</v>
      </c>
    </row>
    <row r="184" spans="1:19" x14ac:dyDescent="0.3">
      <c r="A184" t="s">
        <v>12</v>
      </c>
      <c r="B184">
        <v>2016110007</v>
      </c>
      <c r="C184" t="s">
        <v>35</v>
      </c>
      <c r="E184" t="s">
        <v>31</v>
      </c>
      <c r="F184" t="s">
        <v>20</v>
      </c>
      <c r="G184">
        <v>4</v>
      </c>
      <c r="H184" t="s">
        <v>524</v>
      </c>
      <c r="I184" s="4">
        <f t="shared" ref="I184:I247" si="29">IF(H184="A",4,IF(H184="B",3,IF(H184="C",2,IF(H184="D",1,0))))</f>
        <v>2</v>
      </c>
      <c r="J184">
        <f t="shared" ref="J184:J247" si="30">G184*I184</f>
        <v>8</v>
      </c>
      <c r="K184">
        <v>12</v>
      </c>
      <c r="L184">
        <v>6</v>
      </c>
      <c r="M184" s="2">
        <v>2</v>
      </c>
      <c r="N184" s="2">
        <v>3.18</v>
      </c>
      <c r="O184">
        <v>1</v>
      </c>
      <c r="P184">
        <v>8</v>
      </c>
      <c r="Q184" s="4" t="str">
        <f t="shared" si="23"/>
        <v>2019/2020-Genap</v>
      </c>
      <c r="R184" t="s">
        <v>596</v>
      </c>
      <c r="S184" t="str">
        <f t="shared" si="28"/>
        <v>PA</v>
      </c>
    </row>
    <row r="185" spans="1:19" x14ac:dyDescent="0.3">
      <c r="A185" t="s">
        <v>12</v>
      </c>
      <c r="B185">
        <v>2016110007</v>
      </c>
      <c r="C185" t="s">
        <v>35</v>
      </c>
      <c r="E185" t="s">
        <v>290</v>
      </c>
      <c r="F185" t="s">
        <v>327</v>
      </c>
      <c r="G185">
        <v>4</v>
      </c>
      <c r="H185" t="s">
        <v>260</v>
      </c>
      <c r="I185" s="4">
        <f t="shared" si="29"/>
        <v>4</v>
      </c>
      <c r="J185">
        <f t="shared" si="30"/>
        <v>16</v>
      </c>
      <c r="K185">
        <v>64</v>
      </c>
      <c r="L185">
        <v>20</v>
      </c>
      <c r="M185" s="2">
        <v>3.2</v>
      </c>
      <c r="N185" s="2">
        <v>3.18</v>
      </c>
      <c r="O185">
        <v>0</v>
      </c>
      <c r="P185">
        <v>2</v>
      </c>
      <c r="Q185" s="4" t="str">
        <f t="shared" ref="Q185:Q216" si="31">IF(P185=1,"2016/2017-Ganjil",IF(P185=2,"2016/2017-Genap",IF(P185=3,"2017/2018-Ganjil",IF(P185=4,"2017/2018-Genap",IF(P185=5,"2018/2019-Ganjil",IF(P185=6,"2018/2019-Genap",IF(P185=7,"2019/2020-Ganjil",IF(P185=8,"2019/2020-Genap",IF(P185=9,"2020/2021-Ganjil",IF(P185=10,"2020/2021-Genap",IF(P185=11,"2021/2022-Ganjil",IF(P185=12,"2021/2022-Genap",IF(P185=13,"2022/2023-Ganjil","2022/2023-Genap")))))))))))))</f>
        <v>2016/2017-Genap</v>
      </c>
      <c r="R185" t="s">
        <v>260</v>
      </c>
      <c r="S185" t="str">
        <f t="shared" si="28"/>
        <v>PA</v>
      </c>
    </row>
    <row r="186" spans="1:19" x14ac:dyDescent="0.3">
      <c r="A186" t="s">
        <v>12</v>
      </c>
      <c r="B186">
        <v>2016110007</v>
      </c>
      <c r="C186" t="s">
        <v>35</v>
      </c>
      <c r="E186" t="s">
        <v>293</v>
      </c>
      <c r="F186" t="s">
        <v>294</v>
      </c>
      <c r="G186">
        <v>2</v>
      </c>
      <c r="H186" t="s">
        <v>260</v>
      </c>
      <c r="I186" s="4">
        <f t="shared" si="29"/>
        <v>4</v>
      </c>
      <c r="J186">
        <f t="shared" si="30"/>
        <v>8</v>
      </c>
      <c r="K186">
        <v>74</v>
      </c>
      <c r="L186">
        <v>22</v>
      </c>
      <c r="M186" s="2">
        <v>3.36</v>
      </c>
      <c r="N186" s="2">
        <v>3.18</v>
      </c>
      <c r="O186">
        <v>0</v>
      </c>
      <c r="P186">
        <v>5</v>
      </c>
      <c r="Q186" s="4" t="str">
        <f t="shared" si="31"/>
        <v>2018/2019-Ganjil</v>
      </c>
      <c r="R186" t="s">
        <v>260</v>
      </c>
      <c r="S186" t="str">
        <f t="shared" si="28"/>
        <v>PA</v>
      </c>
    </row>
    <row r="187" spans="1:19" x14ac:dyDescent="0.3">
      <c r="A187" t="s">
        <v>12</v>
      </c>
      <c r="B187">
        <v>2016110007</v>
      </c>
      <c r="C187" t="s">
        <v>35</v>
      </c>
      <c r="E187" t="s">
        <v>234</v>
      </c>
      <c r="F187" t="s">
        <v>235</v>
      </c>
      <c r="G187">
        <v>4</v>
      </c>
      <c r="H187" t="s">
        <v>260</v>
      </c>
      <c r="I187" s="4">
        <f t="shared" si="29"/>
        <v>4</v>
      </c>
      <c r="J187">
        <f t="shared" si="30"/>
        <v>16</v>
      </c>
      <c r="K187">
        <v>66</v>
      </c>
      <c r="L187">
        <v>22</v>
      </c>
      <c r="M187" s="2">
        <v>3</v>
      </c>
      <c r="N187" s="2">
        <v>3.18</v>
      </c>
      <c r="O187">
        <v>0</v>
      </c>
      <c r="P187">
        <v>3</v>
      </c>
      <c r="Q187" s="4" t="str">
        <f t="shared" si="31"/>
        <v>2017/2018-Ganjil</v>
      </c>
      <c r="R187" t="s">
        <v>260</v>
      </c>
      <c r="S187" t="str">
        <f t="shared" si="28"/>
        <v>PA</v>
      </c>
    </row>
    <row r="188" spans="1:19" x14ac:dyDescent="0.3">
      <c r="A188" t="s">
        <v>12</v>
      </c>
      <c r="B188">
        <v>2016110007</v>
      </c>
      <c r="C188" t="s">
        <v>35</v>
      </c>
      <c r="E188" t="s">
        <v>283</v>
      </c>
      <c r="F188" t="s">
        <v>284</v>
      </c>
      <c r="G188">
        <v>2</v>
      </c>
      <c r="H188" t="s">
        <v>260</v>
      </c>
      <c r="I188" s="4">
        <f t="shared" si="29"/>
        <v>4</v>
      </c>
      <c r="J188">
        <f t="shared" si="30"/>
        <v>8</v>
      </c>
      <c r="K188">
        <v>42</v>
      </c>
      <c r="L188">
        <v>12</v>
      </c>
      <c r="M188" s="2">
        <v>3.5</v>
      </c>
      <c r="N188" s="2">
        <v>3.18</v>
      </c>
      <c r="O188">
        <v>0</v>
      </c>
      <c r="P188">
        <v>7</v>
      </c>
      <c r="Q188" s="4" t="str">
        <f t="shared" si="31"/>
        <v>2019/2020-Ganjil</v>
      </c>
      <c r="R188" t="s">
        <v>260</v>
      </c>
      <c r="S188" t="str">
        <f t="shared" si="28"/>
        <v>PA</v>
      </c>
    </row>
    <row r="189" spans="1:19" x14ac:dyDescent="0.3">
      <c r="A189" t="s">
        <v>12</v>
      </c>
      <c r="B189">
        <v>2016110007</v>
      </c>
      <c r="C189" t="s">
        <v>35</v>
      </c>
      <c r="E189" t="s">
        <v>192</v>
      </c>
      <c r="F189" t="s">
        <v>106</v>
      </c>
      <c r="G189">
        <v>2</v>
      </c>
      <c r="H189" t="s">
        <v>260</v>
      </c>
      <c r="I189" s="4">
        <f t="shared" si="29"/>
        <v>4</v>
      </c>
      <c r="J189">
        <f t="shared" si="30"/>
        <v>8</v>
      </c>
      <c r="K189">
        <v>66</v>
      </c>
      <c r="L189">
        <v>22</v>
      </c>
      <c r="M189" s="2">
        <v>3</v>
      </c>
      <c r="N189" s="2">
        <v>3.18</v>
      </c>
      <c r="O189">
        <v>0</v>
      </c>
      <c r="P189">
        <v>3</v>
      </c>
      <c r="Q189" s="4" t="str">
        <f t="shared" si="31"/>
        <v>2017/2018-Ganjil</v>
      </c>
      <c r="R189" t="s">
        <v>260</v>
      </c>
      <c r="S189" t="str">
        <f t="shared" si="28"/>
        <v>PA</v>
      </c>
    </row>
    <row r="190" spans="1:19" x14ac:dyDescent="0.3">
      <c r="A190" t="s">
        <v>12</v>
      </c>
      <c r="B190">
        <v>2016110007</v>
      </c>
      <c r="C190" t="s">
        <v>35</v>
      </c>
      <c r="E190" t="s">
        <v>382</v>
      </c>
      <c r="F190" t="s">
        <v>383</v>
      </c>
      <c r="G190">
        <v>4</v>
      </c>
      <c r="H190" t="s">
        <v>260</v>
      </c>
      <c r="I190" s="4">
        <f t="shared" si="29"/>
        <v>4</v>
      </c>
      <c r="J190">
        <f t="shared" si="30"/>
        <v>16</v>
      </c>
      <c r="K190">
        <v>74</v>
      </c>
      <c r="L190">
        <v>22</v>
      </c>
      <c r="M190" s="2">
        <v>3.36</v>
      </c>
      <c r="N190" s="2">
        <v>3.18</v>
      </c>
      <c r="O190">
        <v>0</v>
      </c>
      <c r="P190">
        <v>5</v>
      </c>
      <c r="Q190" s="4" t="str">
        <f t="shared" si="31"/>
        <v>2018/2019-Ganjil</v>
      </c>
      <c r="R190" t="s">
        <v>260</v>
      </c>
      <c r="S190" t="str">
        <f t="shared" si="28"/>
        <v>PA</v>
      </c>
    </row>
    <row r="191" spans="1:19" x14ac:dyDescent="0.3">
      <c r="A191" t="s">
        <v>12</v>
      </c>
      <c r="B191">
        <v>2016110007</v>
      </c>
      <c r="C191" t="s">
        <v>35</v>
      </c>
      <c r="E191" t="s">
        <v>77</v>
      </c>
      <c r="F191" t="s">
        <v>78</v>
      </c>
      <c r="G191">
        <v>2</v>
      </c>
      <c r="H191" t="s">
        <v>260</v>
      </c>
      <c r="I191" s="4">
        <f t="shared" si="29"/>
        <v>4</v>
      </c>
      <c r="J191">
        <f t="shared" si="30"/>
        <v>8</v>
      </c>
      <c r="K191">
        <v>58</v>
      </c>
      <c r="L191">
        <v>20</v>
      </c>
      <c r="M191" s="2">
        <v>2.9</v>
      </c>
      <c r="N191" s="2">
        <v>3.18</v>
      </c>
      <c r="O191">
        <v>0</v>
      </c>
      <c r="P191">
        <v>1</v>
      </c>
      <c r="Q191" s="4" t="str">
        <f t="shared" si="31"/>
        <v>2016/2017-Ganjil</v>
      </c>
      <c r="R191" t="s">
        <v>260</v>
      </c>
      <c r="S191" t="str">
        <f t="shared" si="28"/>
        <v>PA</v>
      </c>
    </row>
    <row r="192" spans="1:19" x14ac:dyDescent="0.3">
      <c r="A192" t="s">
        <v>12</v>
      </c>
      <c r="B192">
        <v>2016110007</v>
      </c>
      <c r="C192" t="s">
        <v>35</v>
      </c>
      <c r="E192" t="s">
        <v>334</v>
      </c>
      <c r="F192" t="s">
        <v>335</v>
      </c>
      <c r="G192">
        <v>2</v>
      </c>
      <c r="H192" t="s">
        <v>260</v>
      </c>
      <c r="I192" s="4">
        <f t="shared" si="29"/>
        <v>4</v>
      </c>
      <c r="J192">
        <f t="shared" si="30"/>
        <v>8</v>
      </c>
      <c r="K192">
        <v>74</v>
      </c>
      <c r="L192">
        <v>22</v>
      </c>
      <c r="M192" s="2">
        <v>3.36</v>
      </c>
      <c r="N192" s="2">
        <v>3.18</v>
      </c>
      <c r="O192">
        <v>0</v>
      </c>
      <c r="P192">
        <v>5</v>
      </c>
      <c r="Q192" s="4" t="str">
        <f t="shared" si="31"/>
        <v>2018/2019-Ganjil</v>
      </c>
      <c r="R192" t="s">
        <v>260</v>
      </c>
      <c r="S192" t="str">
        <f t="shared" si="28"/>
        <v>PA</v>
      </c>
    </row>
    <row r="193" spans="1:19" x14ac:dyDescent="0.3">
      <c r="A193" t="s">
        <v>12</v>
      </c>
      <c r="B193">
        <v>2016110007</v>
      </c>
      <c r="C193" t="s">
        <v>35</v>
      </c>
      <c r="E193" t="s">
        <v>316</v>
      </c>
      <c r="F193" t="s">
        <v>317</v>
      </c>
      <c r="G193">
        <v>2</v>
      </c>
      <c r="H193" t="s">
        <v>260</v>
      </c>
      <c r="I193" s="4">
        <f t="shared" si="29"/>
        <v>4</v>
      </c>
      <c r="J193">
        <f t="shared" si="30"/>
        <v>8</v>
      </c>
      <c r="K193">
        <v>42</v>
      </c>
      <c r="L193">
        <v>12</v>
      </c>
      <c r="M193" s="2">
        <v>3.5</v>
      </c>
      <c r="N193" s="2">
        <v>3.18</v>
      </c>
      <c r="O193">
        <v>0</v>
      </c>
      <c r="P193">
        <v>7</v>
      </c>
      <c r="Q193" s="4" t="str">
        <f t="shared" si="31"/>
        <v>2019/2020-Ganjil</v>
      </c>
      <c r="R193" t="s">
        <v>260</v>
      </c>
      <c r="S193" t="str">
        <f t="shared" si="28"/>
        <v>PA</v>
      </c>
    </row>
    <row r="194" spans="1:19" x14ac:dyDescent="0.3">
      <c r="A194" t="s">
        <v>12</v>
      </c>
      <c r="B194">
        <v>2016110007</v>
      </c>
      <c r="C194" t="s">
        <v>35</v>
      </c>
      <c r="E194" t="s">
        <v>344</v>
      </c>
      <c r="F194" t="s">
        <v>345</v>
      </c>
      <c r="G194">
        <v>2</v>
      </c>
      <c r="H194" t="s">
        <v>260</v>
      </c>
      <c r="I194" s="4">
        <f t="shared" si="29"/>
        <v>4</v>
      </c>
      <c r="J194">
        <f t="shared" si="30"/>
        <v>8</v>
      </c>
      <c r="K194">
        <v>42</v>
      </c>
      <c r="L194">
        <v>12</v>
      </c>
      <c r="M194" s="2">
        <v>3.5</v>
      </c>
      <c r="N194" s="2">
        <v>3.18</v>
      </c>
      <c r="O194">
        <v>0</v>
      </c>
      <c r="P194">
        <v>7</v>
      </c>
      <c r="Q194" s="4" t="str">
        <f t="shared" si="31"/>
        <v>2019/2020-Ganjil</v>
      </c>
      <c r="R194" t="s">
        <v>260</v>
      </c>
      <c r="S194" t="str">
        <f t="shared" si="28"/>
        <v>PA</v>
      </c>
    </row>
    <row r="195" spans="1:19" x14ac:dyDescent="0.3">
      <c r="A195" t="s">
        <v>12</v>
      </c>
      <c r="B195">
        <v>2016110007</v>
      </c>
      <c r="C195" t="s">
        <v>35</v>
      </c>
      <c r="E195" t="s">
        <v>131</v>
      </c>
      <c r="F195" t="s">
        <v>132</v>
      </c>
      <c r="G195">
        <v>2</v>
      </c>
      <c r="H195" t="s">
        <v>260</v>
      </c>
      <c r="I195" s="4">
        <f t="shared" si="29"/>
        <v>4</v>
      </c>
      <c r="J195">
        <f t="shared" si="30"/>
        <v>8</v>
      </c>
      <c r="K195">
        <v>58</v>
      </c>
      <c r="L195">
        <v>20</v>
      </c>
      <c r="M195" s="2">
        <v>2.9</v>
      </c>
      <c r="N195" s="2">
        <v>3.18</v>
      </c>
      <c r="O195">
        <v>0</v>
      </c>
      <c r="P195">
        <v>1</v>
      </c>
      <c r="Q195" s="4" t="str">
        <f t="shared" si="31"/>
        <v>2016/2017-Ganjil</v>
      </c>
      <c r="R195" t="s">
        <v>260</v>
      </c>
      <c r="S195" t="str">
        <f t="shared" si="28"/>
        <v>PA</v>
      </c>
    </row>
    <row r="196" spans="1:19" x14ac:dyDescent="0.3">
      <c r="A196" t="s">
        <v>12</v>
      </c>
      <c r="B196">
        <v>2016110007</v>
      </c>
      <c r="C196" t="s">
        <v>35</v>
      </c>
      <c r="E196" t="s">
        <v>276</v>
      </c>
      <c r="F196" t="s">
        <v>137</v>
      </c>
      <c r="G196">
        <v>4</v>
      </c>
      <c r="H196" t="s">
        <v>260</v>
      </c>
      <c r="I196" s="4">
        <f t="shared" si="29"/>
        <v>4</v>
      </c>
      <c r="J196">
        <f t="shared" si="30"/>
        <v>16</v>
      </c>
      <c r="K196">
        <v>66</v>
      </c>
      <c r="L196">
        <v>22</v>
      </c>
      <c r="M196" s="2">
        <v>3</v>
      </c>
      <c r="N196" s="2">
        <v>3.18</v>
      </c>
      <c r="O196">
        <v>0</v>
      </c>
      <c r="P196">
        <v>4</v>
      </c>
      <c r="Q196" s="4" t="str">
        <f t="shared" si="31"/>
        <v>2017/2018-Genap</v>
      </c>
      <c r="R196" t="s">
        <v>260</v>
      </c>
      <c r="S196" t="str">
        <f t="shared" si="28"/>
        <v>PA</v>
      </c>
    </row>
    <row r="197" spans="1:19" x14ac:dyDescent="0.3">
      <c r="A197" t="s">
        <v>12</v>
      </c>
      <c r="B197">
        <v>2016110007</v>
      </c>
      <c r="C197" t="s">
        <v>35</v>
      </c>
      <c r="E197" t="s">
        <v>97</v>
      </c>
      <c r="F197" t="s">
        <v>98</v>
      </c>
      <c r="G197">
        <v>4</v>
      </c>
      <c r="H197" t="s">
        <v>260</v>
      </c>
      <c r="I197" s="4">
        <f t="shared" si="29"/>
        <v>4</v>
      </c>
      <c r="J197">
        <f t="shared" si="30"/>
        <v>16</v>
      </c>
      <c r="K197">
        <v>64</v>
      </c>
      <c r="L197">
        <v>20</v>
      </c>
      <c r="M197" s="2">
        <v>3.2</v>
      </c>
      <c r="N197" s="2">
        <v>3.18</v>
      </c>
      <c r="O197">
        <v>0</v>
      </c>
      <c r="P197">
        <v>2</v>
      </c>
      <c r="Q197" s="4" t="str">
        <f t="shared" si="31"/>
        <v>2016/2017-Genap</v>
      </c>
      <c r="R197" t="s">
        <v>260</v>
      </c>
      <c r="S197" t="str">
        <f t="shared" si="28"/>
        <v>PA</v>
      </c>
    </row>
    <row r="198" spans="1:19" x14ac:dyDescent="0.3">
      <c r="A198" t="s">
        <v>12</v>
      </c>
      <c r="B198">
        <v>2016110007</v>
      </c>
      <c r="C198" t="s">
        <v>35</v>
      </c>
      <c r="E198" t="s">
        <v>374</v>
      </c>
      <c r="F198" t="s">
        <v>375</v>
      </c>
      <c r="G198">
        <v>2</v>
      </c>
      <c r="H198" t="s">
        <v>438</v>
      </c>
      <c r="I198" s="4">
        <f t="shared" si="29"/>
        <v>3</v>
      </c>
      <c r="J198">
        <f t="shared" si="30"/>
        <v>6</v>
      </c>
      <c r="K198">
        <v>66</v>
      </c>
      <c r="L198">
        <v>22</v>
      </c>
      <c r="M198" s="2">
        <v>3</v>
      </c>
      <c r="N198" s="2">
        <v>3.18</v>
      </c>
      <c r="O198">
        <v>0</v>
      </c>
      <c r="P198">
        <v>4</v>
      </c>
      <c r="Q198" s="4" t="str">
        <f t="shared" si="31"/>
        <v>2017/2018-Genap</v>
      </c>
      <c r="R198" t="s">
        <v>260</v>
      </c>
      <c r="S198" t="str">
        <f t="shared" si="28"/>
        <v>PA</v>
      </c>
    </row>
    <row r="199" spans="1:19" x14ac:dyDescent="0.3">
      <c r="A199" t="s">
        <v>12</v>
      </c>
      <c r="B199">
        <v>2016110007</v>
      </c>
      <c r="C199" t="s">
        <v>35</v>
      </c>
      <c r="E199" t="s">
        <v>139</v>
      </c>
      <c r="F199" t="s">
        <v>140</v>
      </c>
      <c r="G199">
        <v>2</v>
      </c>
      <c r="H199" t="s">
        <v>438</v>
      </c>
      <c r="I199" s="4">
        <f t="shared" si="29"/>
        <v>3</v>
      </c>
      <c r="J199">
        <f t="shared" si="30"/>
        <v>6</v>
      </c>
      <c r="K199">
        <v>64</v>
      </c>
      <c r="L199">
        <v>20</v>
      </c>
      <c r="M199" s="2">
        <v>3.2</v>
      </c>
      <c r="N199" s="2">
        <v>3.18</v>
      </c>
      <c r="O199">
        <v>0</v>
      </c>
      <c r="P199">
        <v>2</v>
      </c>
      <c r="Q199" s="4" t="str">
        <f t="shared" si="31"/>
        <v>2016/2017-Genap</v>
      </c>
      <c r="R199" t="s">
        <v>260</v>
      </c>
      <c r="S199" t="str">
        <f t="shared" si="28"/>
        <v>PA</v>
      </c>
    </row>
    <row r="200" spans="1:19" x14ac:dyDescent="0.3">
      <c r="A200" t="s">
        <v>12</v>
      </c>
      <c r="B200">
        <v>2016110007</v>
      </c>
      <c r="C200" t="s">
        <v>35</v>
      </c>
      <c r="E200" t="s">
        <v>306</v>
      </c>
      <c r="F200" t="s">
        <v>307</v>
      </c>
      <c r="G200">
        <v>2</v>
      </c>
      <c r="H200" t="s">
        <v>438</v>
      </c>
      <c r="I200" s="4">
        <f t="shared" si="29"/>
        <v>3</v>
      </c>
      <c r="J200">
        <f t="shared" si="30"/>
        <v>6</v>
      </c>
      <c r="K200">
        <v>42</v>
      </c>
      <c r="L200">
        <v>12</v>
      </c>
      <c r="M200" s="2">
        <v>3.5</v>
      </c>
      <c r="N200" s="2">
        <v>3.18</v>
      </c>
      <c r="O200">
        <v>0</v>
      </c>
      <c r="P200">
        <v>7</v>
      </c>
      <c r="Q200" s="4" t="str">
        <f t="shared" si="31"/>
        <v>2019/2020-Ganjil</v>
      </c>
      <c r="R200" t="s">
        <v>260</v>
      </c>
      <c r="S200" t="str">
        <f t="shared" si="28"/>
        <v>PA</v>
      </c>
    </row>
    <row r="201" spans="1:19" x14ac:dyDescent="0.3">
      <c r="A201" t="s">
        <v>12</v>
      </c>
      <c r="B201">
        <v>2016110007</v>
      </c>
      <c r="C201" t="s">
        <v>35</v>
      </c>
      <c r="E201" t="s">
        <v>236</v>
      </c>
      <c r="F201" t="s">
        <v>237</v>
      </c>
      <c r="G201">
        <v>2</v>
      </c>
      <c r="H201" t="s">
        <v>438</v>
      </c>
      <c r="I201" s="4">
        <f t="shared" si="29"/>
        <v>3</v>
      </c>
      <c r="J201">
        <f t="shared" si="30"/>
        <v>6</v>
      </c>
      <c r="K201">
        <v>74</v>
      </c>
      <c r="L201">
        <v>22</v>
      </c>
      <c r="M201" s="2">
        <v>3.36</v>
      </c>
      <c r="N201" s="2">
        <v>3.18</v>
      </c>
      <c r="O201">
        <v>0</v>
      </c>
      <c r="P201">
        <v>5</v>
      </c>
      <c r="Q201" s="4" t="str">
        <f t="shared" si="31"/>
        <v>2018/2019-Ganjil</v>
      </c>
      <c r="R201" t="s">
        <v>260</v>
      </c>
      <c r="S201" t="str">
        <f t="shared" si="28"/>
        <v>PA</v>
      </c>
    </row>
    <row r="202" spans="1:19" x14ac:dyDescent="0.3">
      <c r="A202" t="s">
        <v>12</v>
      </c>
      <c r="B202">
        <v>2016110007</v>
      </c>
      <c r="C202" t="s">
        <v>35</v>
      </c>
      <c r="E202" t="s">
        <v>142</v>
      </c>
      <c r="F202" t="s">
        <v>143</v>
      </c>
      <c r="G202">
        <v>2</v>
      </c>
      <c r="H202" t="s">
        <v>438</v>
      </c>
      <c r="I202" s="4">
        <f t="shared" si="29"/>
        <v>3</v>
      </c>
      <c r="J202">
        <f t="shared" si="30"/>
        <v>6</v>
      </c>
      <c r="K202">
        <v>58</v>
      </c>
      <c r="L202">
        <v>20</v>
      </c>
      <c r="M202" s="2">
        <v>2.9</v>
      </c>
      <c r="N202" s="2">
        <v>3.18</v>
      </c>
      <c r="O202">
        <v>0</v>
      </c>
      <c r="P202">
        <v>1</v>
      </c>
      <c r="Q202" s="4" t="str">
        <f t="shared" si="31"/>
        <v>2016/2017-Ganjil</v>
      </c>
      <c r="R202" t="s">
        <v>260</v>
      </c>
      <c r="S202" t="str">
        <f t="shared" si="28"/>
        <v>PA</v>
      </c>
    </row>
    <row r="203" spans="1:19" x14ac:dyDescent="0.3">
      <c r="A203" t="s">
        <v>12</v>
      </c>
      <c r="B203">
        <v>2016110007</v>
      </c>
      <c r="C203" t="s">
        <v>35</v>
      </c>
      <c r="E203" t="s">
        <v>190</v>
      </c>
      <c r="F203" t="s">
        <v>191</v>
      </c>
      <c r="G203">
        <v>4</v>
      </c>
      <c r="H203" t="s">
        <v>438</v>
      </c>
      <c r="I203" s="4">
        <f t="shared" si="29"/>
        <v>3</v>
      </c>
      <c r="J203">
        <f t="shared" si="30"/>
        <v>12</v>
      </c>
      <c r="K203">
        <v>66</v>
      </c>
      <c r="L203">
        <v>22</v>
      </c>
      <c r="M203" s="2">
        <v>3</v>
      </c>
      <c r="N203" s="2">
        <v>3.18</v>
      </c>
      <c r="O203">
        <v>0</v>
      </c>
      <c r="P203">
        <v>3</v>
      </c>
      <c r="Q203" s="4" t="str">
        <f t="shared" si="31"/>
        <v>2017/2018-Ganjil</v>
      </c>
      <c r="R203" t="s">
        <v>260</v>
      </c>
      <c r="S203" t="str">
        <f t="shared" si="28"/>
        <v>PA</v>
      </c>
    </row>
    <row r="204" spans="1:19" x14ac:dyDescent="0.3">
      <c r="A204" t="s">
        <v>12</v>
      </c>
      <c r="B204">
        <v>2016110007</v>
      </c>
      <c r="C204" t="s">
        <v>35</v>
      </c>
      <c r="E204" t="s">
        <v>165</v>
      </c>
      <c r="F204" t="s">
        <v>166</v>
      </c>
      <c r="G204">
        <v>2</v>
      </c>
      <c r="H204" t="s">
        <v>438</v>
      </c>
      <c r="I204" s="4">
        <f t="shared" si="29"/>
        <v>3</v>
      </c>
      <c r="J204">
        <f t="shared" si="30"/>
        <v>6</v>
      </c>
      <c r="K204">
        <v>58</v>
      </c>
      <c r="L204">
        <v>20</v>
      </c>
      <c r="M204" s="2">
        <v>2.9</v>
      </c>
      <c r="N204" s="2">
        <v>3.18</v>
      </c>
      <c r="O204">
        <v>0</v>
      </c>
      <c r="P204">
        <v>1</v>
      </c>
      <c r="Q204" s="4" t="str">
        <f t="shared" si="31"/>
        <v>2016/2017-Ganjil</v>
      </c>
      <c r="R204" t="s">
        <v>260</v>
      </c>
      <c r="S204" t="str">
        <f t="shared" si="28"/>
        <v>PA</v>
      </c>
    </row>
    <row r="205" spans="1:19" x14ac:dyDescent="0.3">
      <c r="A205" t="s">
        <v>12</v>
      </c>
      <c r="B205">
        <v>2016110007</v>
      </c>
      <c r="C205" t="s">
        <v>35</v>
      </c>
      <c r="E205" t="s">
        <v>357</v>
      </c>
      <c r="F205" t="s">
        <v>358</v>
      </c>
      <c r="G205">
        <v>4</v>
      </c>
      <c r="H205" t="s">
        <v>438</v>
      </c>
      <c r="I205" s="4">
        <f t="shared" si="29"/>
        <v>3</v>
      </c>
      <c r="J205">
        <f t="shared" si="30"/>
        <v>12</v>
      </c>
      <c r="K205">
        <v>74</v>
      </c>
      <c r="L205">
        <v>22</v>
      </c>
      <c r="M205" s="2">
        <v>3.36</v>
      </c>
      <c r="N205" s="2">
        <v>3.18</v>
      </c>
      <c r="O205">
        <v>0</v>
      </c>
      <c r="P205">
        <v>5</v>
      </c>
      <c r="Q205" s="4" t="str">
        <f t="shared" si="31"/>
        <v>2018/2019-Ganjil</v>
      </c>
      <c r="R205" t="s">
        <v>260</v>
      </c>
      <c r="S205" t="str">
        <f t="shared" si="28"/>
        <v>PA</v>
      </c>
    </row>
    <row r="206" spans="1:19" x14ac:dyDescent="0.3">
      <c r="A206" t="s">
        <v>12</v>
      </c>
      <c r="B206">
        <v>2016110007</v>
      </c>
      <c r="C206" t="s">
        <v>35</v>
      </c>
      <c r="E206" t="s">
        <v>348</v>
      </c>
      <c r="F206" t="s">
        <v>402</v>
      </c>
      <c r="G206">
        <v>4</v>
      </c>
      <c r="H206" t="s">
        <v>438</v>
      </c>
      <c r="I206" s="4">
        <f t="shared" si="29"/>
        <v>3</v>
      </c>
      <c r="J206">
        <f t="shared" si="30"/>
        <v>12</v>
      </c>
      <c r="K206">
        <v>66</v>
      </c>
      <c r="L206">
        <v>22</v>
      </c>
      <c r="M206" s="2">
        <v>3</v>
      </c>
      <c r="N206" s="2">
        <v>3.18</v>
      </c>
      <c r="O206">
        <v>0</v>
      </c>
      <c r="P206">
        <v>4</v>
      </c>
      <c r="Q206" s="4" t="str">
        <f t="shared" si="31"/>
        <v>2017/2018-Genap</v>
      </c>
      <c r="R206" t="s">
        <v>260</v>
      </c>
      <c r="S206" t="str">
        <f t="shared" si="28"/>
        <v>PA</v>
      </c>
    </row>
    <row r="207" spans="1:19" x14ac:dyDescent="0.3">
      <c r="A207" t="s">
        <v>12</v>
      </c>
      <c r="B207">
        <v>2016110007</v>
      </c>
      <c r="C207" t="s">
        <v>35</v>
      </c>
      <c r="E207" t="s">
        <v>446</v>
      </c>
      <c r="F207" t="s">
        <v>447</v>
      </c>
      <c r="G207">
        <v>2</v>
      </c>
      <c r="H207" t="s">
        <v>438</v>
      </c>
      <c r="I207" s="4">
        <f t="shared" si="29"/>
        <v>3</v>
      </c>
      <c r="J207">
        <f t="shared" si="30"/>
        <v>6</v>
      </c>
      <c r="K207">
        <v>66</v>
      </c>
      <c r="L207">
        <v>24</v>
      </c>
      <c r="M207" s="2">
        <v>2.75</v>
      </c>
      <c r="N207" s="2">
        <v>3.18</v>
      </c>
      <c r="O207">
        <v>0</v>
      </c>
      <c r="P207">
        <v>6</v>
      </c>
      <c r="Q207" s="4" t="str">
        <f t="shared" si="31"/>
        <v>2018/2019-Genap</v>
      </c>
      <c r="R207" t="s">
        <v>260</v>
      </c>
      <c r="S207" t="str">
        <f t="shared" si="28"/>
        <v>PA</v>
      </c>
    </row>
    <row r="208" spans="1:19" x14ac:dyDescent="0.3">
      <c r="A208" t="s">
        <v>12</v>
      </c>
      <c r="B208">
        <v>2016110007</v>
      </c>
      <c r="C208" t="s">
        <v>35</v>
      </c>
      <c r="E208" t="s">
        <v>248</v>
      </c>
      <c r="F208" t="s">
        <v>249</v>
      </c>
      <c r="G208">
        <v>2</v>
      </c>
      <c r="H208" t="s">
        <v>438</v>
      </c>
      <c r="I208" s="4">
        <f t="shared" si="29"/>
        <v>3</v>
      </c>
      <c r="J208">
        <f t="shared" si="30"/>
        <v>6</v>
      </c>
      <c r="K208">
        <v>66</v>
      </c>
      <c r="L208">
        <v>22</v>
      </c>
      <c r="M208" s="2">
        <v>3</v>
      </c>
      <c r="N208" s="2">
        <v>3.18</v>
      </c>
      <c r="O208">
        <v>0</v>
      </c>
      <c r="P208">
        <v>4</v>
      </c>
      <c r="Q208" s="4" t="str">
        <f t="shared" si="31"/>
        <v>2017/2018-Genap</v>
      </c>
      <c r="R208" t="s">
        <v>260</v>
      </c>
      <c r="S208" t="str">
        <f t="shared" si="28"/>
        <v>PA</v>
      </c>
    </row>
    <row r="209" spans="1:19" x14ac:dyDescent="0.3">
      <c r="A209" t="s">
        <v>12</v>
      </c>
      <c r="B209">
        <v>2016110007</v>
      </c>
      <c r="C209" t="s">
        <v>35</v>
      </c>
      <c r="E209" t="s">
        <v>279</v>
      </c>
      <c r="F209" t="s">
        <v>280</v>
      </c>
      <c r="G209">
        <v>2</v>
      </c>
      <c r="H209" t="s">
        <v>438</v>
      </c>
      <c r="I209" s="4">
        <f t="shared" si="29"/>
        <v>3</v>
      </c>
      <c r="J209">
        <f t="shared" si="30"/>
        <v>6</v>
      </c>
      <c r="K209">
        <v>64</v>
      </c>
      <c r="L209">
        <v>20</v>
      </c>
      <c r="M209" s="2">
        <v>3.2</v>
      </c>
      <c r="N209" s="2">
        <v>3.18</v>
      </c>
      <c r="O209">
        <v>0</v>
      </c>
      <c r="P209">
        <v>2</v>
      </c>
      <c r="Q209" s="4" t="str">
        <f t="shared" si="31"/>
        <v>2016/2017-Genap</v>
      </c>
      <c r="R209" t="s">
        <v>260</v>
      </c>
      <c r="S209" t="str">
        <f t="shared" si="28"/>
        <v>PA</v>
      </c>
    </row>
    <row r="210" spans="1:19" x14ac:dyDescent="0.3">
      <c r="A210" t="s">
        <v>12</v>
      </c>
      <c r="B210">
        <v>2016110007</v>
      </c>
      <c r="C210" t="s">
        <v>35</v>
      </c>
      <c r="E210" t="s">
        <v>297</v>
      </c>
      <c r="F210" t="s">
        <v>342</v>
      </c>
      <c r="G210">
        <v>4</v>
      </c>
      <c r="H210" t="s">
        <v>438</v>
      </c>
      <c r="I210" s="4">
        <f t="shared" si="29"/>
        <v>3</v>
      </c>
      <c r="J210">
        <f t="shared" si="30"/>
        <v>12</v>
      </c>
      <c r="K210">
        <v>66</v>
      </c>
      <c r="L210">
        <v>24</v>
      </c>
      <c r="M210" s="2">
        <v>2.75</v>
      </c>
      <c r="N210" s="2">
        <v>3.18</v>
      </c>
      <c r="O210">
        <v>0</v>
      </c>
      <c r="P210">
        <v>6</v>
      </c>
      <c r="Q210" s="4" t="str">
        <f t="shared" si="31"/>
        <v>2018/2019-Genap</v>
      </c>
      <c r="R210" t="s">
        <v>260</v>
      </c>
      <c r="S210" t="str">
        <f t="shared" si="28"/>
        <v>PA</v>
      </c>
    </row>
    <row r="211" spans="1:19" x14ac:dyDescent="0.3">
      <c r="A211" t="s">
        <v>12</v>
      </c>
      <c r="B211">
        <v>2016110007</v>
      </c>
      <c r="C211" t="s">
        <v>35</v>
      </c>
      <c r="E211" t="s">
        <v>244</v>
      </c>
      <c r="F211" t="s">
        <v>228</v>
      </c>
      <c r="G211">
        <v>2</v>
      </c>
      <c r="H211" t="s">
        <v>438</v>
      </c>
      <c r="I211" s="4">
        <f t="shared" si="29"/>
        <v>3</v>
      </c>
      <c r="J211">
        <f t="shared" si="30"/>
        <v>6</v>
      </c>
      <c r="K211">
        <v>66</v>
      </c>
      <c r="L211">
        <v>22</v>
      </c>
      <c r="M211" s="2">
        <v>3</v>
      </c>
      <c r="N211" s="2">
        <v>3.18</v>
      </c>
      <c r="O211">
        <v>0</v>
      </c>
      <c r="P211">
        <v>4</v>
      </c>
      <c r="Q211" s="4" t="str">
        <f t="shared" si="31"/>
        <v>2017/2018-Genap</v>
      </c>
      <c r="R211" t="s">
        <v>260</v>
      </c>
      <c r="S211" t="str">
        <f t="shared" si="28"/>
        <v>PA</v>
      </c>
    </row>
    <row r="212" spans="1:19" x14ac:dyDescent="0.3">
      <c r="A212" t="s">
        <v>12</v>
      </c>
      <c r="B212">
        <v>2016110007</v>
      </c>
      <c r="C212" t="s">
        <v>35</v>
      </c>
      <c r="E212" t="s">
        <v>103</v>
      </c>
      <c r="F212" t="s">
        <v>104</v>
      </c>
      <c r="G212">
        <v>4</v>
      </c>
      <c r="H212" t="s">
        <v>438</v>
      </c>
      <c r="I212" s="4">
        <f t="shared" si="29"/>
        <v>3</v>
      </c>
      <c r="J212">
        <f t="shared" si="30"/>
        <v>12</v>
      </c>
      <c r="K212">
        <v>64</v>
      </c>
      <c r="L212">
        <v>20</v>
      </c>
      <c r="M212" s="2">
        <v>3.2</v>
      </c>
      <c r="N212" s="2">
        <v>3.18</v>
      </c>
      <c r="O212">
        <v>0</v>
      </c>
      <c r="P212">
        <v>2</v>
      </c>
      <c r="Q212" s="4" t="str">
        <f t="shared" si="31"/>
        <v>2016/2017-Genap</v>
      </c>
      <c r="R212" t="s">
        <v>260</v>
      </c>
      <c r="S212" t="str">
        <f t="shared" si="28"/>
        <v>PA</v>
      </c>
    </row>
    <row r="213" spans="1:19" x14ac:dyDescent="0.3">
      <c r="A213" t="s">
        <v>12</v>
      </c>
      <c r="B213">
        <v>2016110007</v>
      </c>
      <c r="C213" t="s">
        <v>35</v>
      </c>
      <c r="E213" t="s">
        <v>262</v>
      </c>
      <c r="F213" t="s">
        <v>263</v>
      </c>
      <c r="G213">
        <v>2</v>
      </c>
      <c r="H213" t="s">
        <v>438</v>
      </c>
      <c r="I213" s="4">
        <f t="shared" si="29"/>
        <v>3</v>
      </c>
      <c r="J213">
        <f t="shared" si="30"/>
        <v>6</v>
      </c>
      <c r="K213">
        <v>66</v>
      </c>
      <c r="L213">
        <v>24</v>
      </c>
      <c r="M213" s="2">
        <v>2.75</v>
      </c>
      <c r="N213" s="2">
        <v>3.18</v>
      </c>
      <c r="O213">
        <v>0</v>
      </c>
      <c r="P213">
        <v>6</v>
      </c>
      <c r="Q213" s="4" t="str">
        <f t="shared" si="31"/>
        <v>2018/2019-Genap</v>
      </c>
      <c r="R213" t="s">
        <v>260</v>
      </c>
      <c r="S213" t="str">
        <f t="shared" si="28"/>
        <v>PA</v>
      </c>
    </row>
    <row r="214" spans="1:19" x14ac:dyDescent="0.3">
      <c r="A214" t="s">
        <v>12</v>
      </c>
      <c r="B214">
        <v>2016110007</v>
      </c>
      <c r="C214" t="s">
        <v>35</v>
      </c>
      <c r="E214" t="s">
        <v>205</v>
      </c>
      <c r="F214" t="s">
        <v>116</v>
      </c>
      <c r="G214">
        <v>4</v>
      </c>
      <c r="H214" t="s">
        <v>438</v>
      </c>
      <c r="I214" s="4">
        <f t="shared" si="29"/>
        <v>3</v>
      </c>
      <c r="J214">
        <f t="shared" si="30"/>
        <v>12</v>
      </c>
      <c r="K214">
        <v>66</v>
      </c>
      <c r="L214">
        <v>22</v>
      </c>
      <c r="M214" s="2">
        <v>3</v>
      </c>
      <c r="N214" s="2">
        <v>3.18</v>
      </c>
      <c r="O214">
        <v>0</v>
      </c>
      <c r="P214">
        <v>3</v>
      </c>
      <c r="Q214" s="4" t="str">
        <f t="shared" si="31"/>
        <v>2017/2018-Ganjil</v>
      </c>
      <c r="R214" t="s">
        <v>260</v>
      </c>
      <c r="S214" t="str">
        <f t="shared" si="28"/>
        <v>PA</v>
      </c>
    </row>
    <row r="215" spans="1:19" x14ac:dyDescent="0.3">
      <c r="A215" t="s">
        <v>12</v>
      </c>
      <c r="B215">
        <v>2016110007</v>
      </c>
      <c r="C215" t="s">
        <v>35</v>
      </c>
      <c r="E215" t="s">
        <v>330</v>
      </c>
      <c r="F215" t="s">
        <v>108</v>
      </c>
      <c r="G215">
        <v>2</v>
      </c>
      <c r="H215" t="s">
        <v>438</v>
      </c>
      <c r="I215" s="4">
        <f t="shared" si="29"/>
        <v>3</v>
      </c>
      <c r="J215">
        <f t="shared" si="30"/>
        <v>6</v>
      </c>
      <c r="K215">
        <v>42</v>
      </c>
      <c r="L215">
        <v>12</v>
      </c>
      <c r="M215" s="2">
        <v>3.5</v>
      </c>
      <c r="N215" s="2">
        <v>3.18</v>
      </c>
      <c r="O215">
        <v>0</v>
      </c>
      <c r="P215">
        <v>7</v>
      </c>
      <c r="Q215" s="4" t="str">
        <f t="shared" si="31"/>
        <v>2019/2020-Ganjil</v>
      </c>
      <c r="R215" t="s">
        <v>260</v>
      </c>
      <c r="S215" t="str">
        <f t="shared" si="28"/>
        <v>PA</v>
      </c>
    </row>
    <row r="216" spans="1:19" x14ac:dyDescent="0.3">
      <c r="A216" t="s">
        <v>12</v>
      </c>
      <c r="B216">
        <v>2016110007</v>
      </c>
      <c r="C216" t="s">
        <v>35</v>
      </c>
      <c r="E216" t="s">
        <v>264</v>
      </c>
      <c r="F216" t="s">
        <v>265</v>
      </c>
      <c r="G216">
        <v>2</v>
      </c>
      <c r="H216" t="s">
        <v>438</v>
      </c>
      <c r="I216" s="4">
        <f t="shared" si="29"/>
        <v>3</v>
      </c>
      <c r="J216">
        <f t="shared" si="30"/>
        <v>6</v>
      </c>
      <c r="K216">
        <v>74</v>
      </c>
      <c r="L216">
        <v>22</v>
      </c>
      <c r="M216" s="2">
        <v>3.36</v>
      </c>
      <c r="N216" s="2">
        <v>3.18</v>
      </c>
      <c r="O216">
        <v>0</v>
      </c>
      <c r="P216">
        <v>5</v>
      </c>
      <c r="Q216" s="4" t="str">
        <f t="shared" si="31"/>
        <v>2018/2019-Ganjil</v>
      </c>
      <c r="R216" t="s">
        <v>260</v>
      </c>
      <c r="S216" t="str">
        <f t="shared" si="28"/>
        <v>PA</v>
      </c>
    </row>
    <row r="217" spans="1:19" x14ac:dyDescent="0.3">
      <c r="A217" t="s">
        <v>12</v>
      </c>
      <c r="B217">
        <v>2016110007</v>
      </c>
      <c r="C217" t="s">
        <v>35</v>
      </c>
      <c r="E217" t="s">
        <v>170</v>
      </c>
      <c r="F217" t="s">
        <v>171</v>
      </c>
      <c r="G217">
        <v>4</v>
      </c>
      <c r="H217" t="s">
        <v>438</v>
      </c>
      <c r="I217" s="4">
        <f t="shared" si="29"/>
        <v>3</v>
      </c>
      <c r="J217">
        <f t="shared" si="30"/>
        <v>12</v>
      </c>
      <c r="K217">
        <v>66</v>
      </c>
      <c r="L217">
        <v>22</v>
      </c>
      <c r="M217" s="2">
        <v>3</v>
      </c>
      <c r="N217" s="2">
        <v>3.18</v>
      </c>
      <c r="O217">
        <v>0</v>
      </c>
      <c r="P217">
        <v>3</v>
      </c>
      <c r="Q217" s="4" t="str">
        <f t="shared" ref="Q217:Q230" si="32">IF(P217=1,"2016/2017-Ganjil",IF(P217=2,"2016/2017-Genap",IF(P217=3,"2017/2018-Ganjil",IF(P217=4,"2017/2018-Genap",IF(P217=5,"2018/2019-Ganjil",IF(P217=6,"2018/2019-Genap",IF(P217=7,"2019/2020-Ganjil",IF(P217=8,"2019/2020-Genap",IF(P217=9,"2020/2021-Ganjil",IF(P217=10,"2020/2021-Genap",IF(P217=11,"2021/2022-Ganjil",IF(P217=12,"2021/2022-Genap",IF(P217=13,"2022/2023-Ganjil","2022/2023-Genap")))))))))))))</f>
        <v>2017/2018-Ganjil</v>
      </c>
      <c r="R217" t="s">
        <v>260</v>
      </c>
      <c r="S217" t="str">
        <f t="shared" si="28"/>
        <v>PA</v>
      </c>
    </row>
    <row r="218" spans="1:19" x14ac:dyDescent="0.3">
      <c r="A218" t="s">
        <v>12</v>
      </c>
      <c r="B218">
        <v>2016110007</v>
      </c>
      <c r="C218" t="s">
        <v>35</v>
      </c>
      <c r="E218" t="s">
        <v>437</v>
      </c>
      <c r="F218" t="s">
        <v>169</v>
      </c>
      <c r="G218">
        <v>4</v>
      </c>
      <c r="H218" t="s">
        <v>438</v>
      </c>
      <c r="I218" s="4">
        <f t="shared" si="29"/>
        <v>3</v>
      </c>
      <c r="J218">
        <f t="shared" si="30"/>
        <v>12</v>
      </c>
      <c r="K218">
        <v>58</v>
      </c>
      <c r="L218">
        <v>20</v>
      </c>
      <c r="M218" s="2">
        <v>2.9</v>
      </c>
      <c r="N218" s="2">
        <v>3.18</v>
      </c>
      <c r="O218">
        <v>0</v>
      </c>
      <c r="P218">
        <v>1</v>
      </c>
      <c r="Q218" s="4" t="str">
        <f t="shared" si="32"/>
        <v>2016/2017-Ganjil</v>
      </c>
      <c r="R218" t="s">
        <v>260</v>
      </c>
      <c r="S218" t="str">
        <f t="shared" si="28"/>
        <v>PA</v>
      </c>
    </row>
    <row r="219" spans="1:19" x14ac:dyDescent="0.3">
      <c r="A219" t="s">
        <v>12</v>
      </c>
      <c r="B219">
        <v>2016110007</v>
      </c>
      <c r="C219" t="s">
        <v>35</v>
      </c>
      <c r="E219" t="s">
        <v>211</v>
      </c>
      <c r="F219" t="s">
        <v>186</v>
      </c>
      <c r="G219">
        <v>4</v>
      </c>
      <c r="H219" t="s">
        <v>438</v>
      </c>
      <c r="I219" s="4">
        <f t="shared" si="29"/>
        <v>3</v>
      </c>
      <c r="J219">
        <f t="shared" si="30"/>
        <v>12</v>
      </c>
      <c r="K219">
        <v>74</v>
      </c>
      <c r="L219">
        <v>22</v>
      </c>
      <c r="M219" s="2">
        <v>3.36</v>
      </c>
      <c r="N219" s="2">
        <v>3.18</v>
      </c>
      <c r="O219">
        <v>0</v>
      </c>
      <c r="P219">
        <v>5</v>
      </c>
      <c r="Q219" s="4" t="str">
        <f t="shared" si="32"/>
        <v>2018/2019-Ganjil</v>
      </c>
      <c r="R219" t="s">
        <v>260</v>
      </c>
      <c r="S219" t="str">
        <f t="shared" si="28"/>
        <v>PA</v>
      </c>
    </row>
    <row r="220" spans="1:19" x14ac:dyDescent="0.3">
      <c r="A220" t="s">
        <v>12</v>
      </c>
      <c r="B220">
        <v>2016110007</v>
      </c>
      <c r="C220" t="s">
        <v>35</v>
      </c>
      <c r="E220" t="s">
        <v>151</v>
      </c>
      <c r="F220" t="s">
        <v>152</v>
      </c>
      <c r="G220">
        <v>2</v>
      </c>
      <c r="H220" t="s">
        <v>438</v>
      </c>
      <c r="I220" s="4">
        <f t="shared" si="29"/>
        <v>3</v>
      </c>
      <c r="J220">
        <f t="shared" si="30"/>
        <v>6</v>
      </c>
      <c r="K220">
        <v>58</v>
      </c>
      <c r="L220">
        <v>20</v>
      </c>
      <c r="M220" s="2">
        <v>2.9</v>
      </c>
      <c r="N220" s="2">
        <v>3.18</v>
      </c>
      <c r="O220">
        <v>0</v>
      </c>
      <c r="P220">
        <v>1</v>
      </c>
      <c r="Q220" s="4" t="str">
        <f t="shared" si="32"/>
        <v>2016/2017-Ganjil</v>
      </c>
      <c r="R220" t="s">
        <v>260</v>
      </c>
      <c r="S220" t="str">
        <f t="shared" si="28"/>
        <v>PA</v>
      </c>
    </row>
    <row r="221" spans="1:19" x14ac:dyDescent="0.3">
      <c r="A221" t="s">
        <v>12</v>
      </c>
      <c r="B221">
        <v>2016110007</v>
      </c>
      <c r="C221" t="s">
        <v>35</v>
      </c>
      <c r="E221" t="s">
        <v>370</v>
      </c>
      <c r="F221" t="s">
        <v>371</v>
      </c>
      <c r="G221">
        <v>2</v>
      </c>
      <c r="H221" t="s">
        <v>438</v>
      </c>
      <c r="I221" s="4">
        <f t="shared" si="29"/>
        <v>3</v>
      </c>
      <c r="J221">
        <f t="shared" si="30"/>
        <v>6</v>
      </c>
      <c r="K221">
        <v>74</v>
      </c>
      <c r="L221">
        <v>22</v>
      </c>
      <c r="M221" s="2">
        <v>3.36</v>
      </c>
      <c r="N221" s="2">
        <v>3.18</v>
      </c>
      <c r="O221">
        <v>0</v>
      </c>
      <c r="P221">
        <v>5</v>
      </c>
      <c r="Q221" s="4" t="str">
        <f t="shared" si="32"/>
        <v>2018/2019-Ganjil</v>
      </c>
      <c r="R221" t="s">
        <v>260</v>
      </c>
      <c r="S221" t="str">
        <f t="shared" si="28"/>
        <v>PA</v>
      </c>
    </row>
    <row r="222" spans="1:19" x14ac:dyDescent="0.3">
      <c r="A222" t="s">
        <v>12</v>
      </c>
      <c r="B222">
        <v>2016110007</v>
      </c>
      <c r="C222" t="s">
        <v>35</v>
      </c>
      <c r="E222" t="s">
        <v>173</v>
      </c>
      <c r="F222" t="s">
        <v>8</v>
      </c>
      <c r="G222">
        <v>2</v>
      </c>
      <c r="H222" t="s">
        <v>438</v>
      </c>
      <c r="I222" s="4">
        <f t="shared" si="29"/>
        <v>3</v>
      </c>
      <c r="J222">
        <f t="shared" si="30"/>
        <v>6</v>
      </c>
      <c r="K222">
        <v>66</v>
      </c>
      <c r="L222">
        <v>22</v>
      </c>
      <c r="M222" s="2">
        <v>3</v>
      </c>
      <c r="N222" s="2">
        <v>3.18</v>
      </c>
      <c r="O222">
        <v>0</v>
      </c>
      <c r="P222">
        <v>3</v>
      </c>
      <c r="Q222" s="4" t="str">
        <f t="shared" si="32"/>
        <v>2017/2018-Ganjil</v>
      </c>
      <c r="R222" t="s">
        <v>260</v>
      </c>
      <c r="S222" t="str">
        <f t="shared" si="28"/>
        <v>PA</v>
      </c>
    </row>
    <row r="223" spans="1:19" x14ac:dyDescent="0.3">
      <c r="A223" t="s">
        <v>12</v>
      </c>
      <c r="B223">
        <v>2016110007</v>
      </c>
      <c r="C223" t="s">
        <v>35</v>
      </c>
      <c r="E223" t="s">
        <v>427</v>
      </c>
      <c r="F223" t="s">
        <v>428</v>
      </c>
      <c r="G223">
        <v>2</v>
      </c>
      <c r="H223" t="s">
        <v>438</v>
      </c>
      <c r="I223" s="4">
        <f t="shared" si="29"/>
        <v>3</v>
      </c>
      <c r="J223">
        <f t="shared" si="30"/>
        <v>6</v>
      </c>
      <c r="K223">
        <v>66</v>
      </c>
      <c r="L223">
        <v>24</v>
      </c>
      <c r="M223" s="2">
        <v>2.75</v>
      </c>
      <c r="N223" s="2">
        <v>3.18</v>
      </c>
      <c r="O223">
        <v>0</v>
      </c>
      <c r="P223">
        <v>6</v>
      </c>
      <c r="Q223" s="4" t="str">
        <f t="shared" si="32"/>
        <v>2018/2019-Genap</v>
      </c>
      <c r="R223" t="s">
        <v>260</v>
      </c>
      <c r="S223" t="str">
        <f t="shared" si="28"/>
        <v>PA</v>
      </c>
    </row>
    <row r="224" spans="1:19" x14ac:dyDescent="0.3">
      <c r="A224" t="s">
        <v>12</v>
      </c>
      <c r="B224">
        <v>2016110007</v>
      </c>
      <c r="C224" t="s">
        <v>35</v>
      </c>
      <c r="E224" t="s">
        <v>309</v>
      </c>
      <c r="F224" t="s">
        <v>310</v>
      </c>
      <c r="G224">
        <v>4</v>
      </c>
      <c r="H224" t="s">
        <v>438</v>
      </c>
      <c r="I224" s="4">
        <f t="shared" si="29"/>
        <v>3</v>
      </c>
      <c r="J224">
        <f t="shared" si="30"/>
        <v>12</v>
      </c>
      <c r="K224">
        <v>66</v>
      </c>
      <c r="L224">
        <v>22</v>
      </c>
      <c r="M224" s="2">
        <v>3</v>
      </c>
      <c r="N224" s="2">
        <v>3.18</v>
      </c>
      <c r="O224">
        <v>0</v>
      </c>
      <c r="P224">
        <v>4</v>
      </c>
      <c r="Q224" s="4" t="str">
        <f t="shared" si="32"/>
        <v>2017/2018-Genap</v>
      </c>
      <c r="R224" t="s">
        <v>260</v>
      </c>
      <c r="S224" t="str">
        <f t="shared" si="28"/>
        <v>PA</v>
      </c>
    </row>
    <row r="225" spans="1:19" x14ac:dyDescent="0.3">
      <c r="A225" t="s">
        <v>12</v>
      </c>
      <c r="B225">
        <v>2016110007</v>
      </c>
      <c r="C225" t="s">
        <v>35</v>
      </c>
      <c r="E225" t="s">
        <v>257</v>
      </c>
      <c r="F225" t="s">
        <v>258</v>
      </c>
      <c r="G225">
        <v>4</v>
      </c>
      <c r="H225" t="s">
        <v>438</v>
      </c>
      <c r="I225" s="4">
        <f t="shared" si="29"/>
        <v>3</v>
      </c>
      <c r="J225">
        <f t="shared" si="30"/>
        <v>12</v>
      </c>
      <c r="K225">
        <v>66</v>
      </c>
      <c r="L225">
        <v>24</v>
      </c>
      <c r="M225" s="2">
        <v>2.75</v>
      </c>
      <c r="N225" s="2">
        <v>3.18</v>
      </c>
      <c r="O225">
        <v>0</v>
      </c>
      <c r="P225">
        <v>6</v>
      </c>
      <c r="Q225" s="4" t="str">
        <f t="shared" si="32"/>
        <v>2018/2019-Genap</v>
      </c>
      <c r="R225" t="s">
        <v>260</v>
      </c>
      <c r="S225" t="str">
        <f t="shared" si="28"/>
        <v>PA</v>
      </c>
    </row>
    <row r="226" spans="1:19" x14ac:dyDescent="0.3">
      <c r="A226" t="s">
        <v>12</v>
      </c>
      <c r="B226">
        <v>2016110007</v>
      </c>
      <c r="C226" t="s">
        <v>35</v>
      </c>
      <c r="E226" t="s">
        <v>39</v>
      </c>
      <c r="F226" t="s">
        <v>11</v>
      </c>
      <c r="G226">
        <v>2</v>
      </c>
      <c r="H226" t="s">
        <v>438</v>
      </c>
      <c r="I226" s="4">
        <f t="shared" si="29"/>
        <v>3</v>
      </c>
      <c r="J226">
        <f t="shared" si="30"/>
        <v>6</v>
      </c>
      <c r="K226">
        <v>66</v>
      </c>
      <c r="L226">
        <v>24</v>
      </c>
      <c r="M226" s="2">
        <v>2.75</v>
      </c>
      <c r="N226" s="2">
        <v>3.18</v>
      </c>
      <c r="O226">
        <v>0</v>
      </c>
      <c r="P226">
        <v>6</v>
      </c>
      <c r="Q226" s="4" t="str">
        <f t="shared" si="32"/>
        <v>2018/2019-Genap</v>
      </c>
      <c r="R226" t="s">
        <v>260</v>
      </c>
      <c r="S226" t="str">
        <f t="shared" si="28"/>
        <v>PA</v>
      </c>
    </row>
    <row r="227" spans="1:19" x14ac:dyDescent="0.3">
      <c r="A227" t="s">
        <v>12</v>
      </c>
      <c r="B227">
        <v>2016110007</v>
      </c>
      <c r="C227" t="s">
        <v>35</v>
      </c>
      <c r="E227" t="s">
        <v>360</v>
      </c>
      <c r="F227" t="s">
        <v>361</v>
      </c>
      <c r="G227">
        <v>2</v>
      </c>
      <c r="H227" t="s">
        <v>524</v>
      </c>
      <c r="I227" s="4">
        <f t="shared" si="29"/>
        <v>2</v>
      </c>
      <c r="J227">
        <f t="shared" si="30"/>
        <v>4</v>
      </c>
      <c r="K227">
        <v>66</v>
      </c>
      <c r="L227">
        <v>22</v>
      </c>
      <c r="M227" s="2">
        <v>3</v>
      </c>
      <c r="N227" s="2">
        <v>3.18</v>
      </c>
      <c r="O227">
        <v>0</v>
      </c>
      <c r="P227">
        <v>4</v>
      </c>
      <c r="Q227" s="4" t="str">
        <f t="shared" si="32"/>
        <v>2017/2018-Genap</v>
      </c>
      <c r="R227" t="s">
        <v>260</v>
      </c>
      <c r="S227" t="str">
        <f t="shared" si="28"/>
        <v>PA</v>
      </c>
    </row>
    <row r="228" spans="1:19" x14ac:dyDescent="0.3">
      <c r="A228" t="s">
        <v>12</v>
      </c>
      <c r="B228">
        <v>2016110007</v>
      </c>
      <c r="C228" t="s">
        <v>35</v>
      </c>
      <c r="E228" t="s">
        <v>273</v>
      </c>
      <c r="F228" t="s">
        <v>274</v>
      </c>
      <c r="G228">
        <v>2</v>
      </c>
      <c r="H228" t="s">
        <v>524</v>
      </c>
      <c r="I228" s="4">
        <f t="shared" si="29"/>
        <v>2</v>
      </c>
      <c r="J228">
        <f t="shared" si="30"/>
        <v>4</v>
      </c>
      <c r="K228">
        <v>66</v>
      </c>
      <c r="L228">
        <v>24</v>
      </c>
      <c r="M228" s="2">
        <v>2.75</v>
      </c>
      <c r="N228" s="2">
        <v>3.18</v>
      </c>
      <c r="O228">
        <v>0</v>
      </c>
      <c r="P228">
        <v>6</v>
      </c>
      <c r="Q228" s="4" t="str">
        <f t="shared" si="32"/>
        <v>2018/2019-Genap</v>
      </c>
      <c r="R228" t="s">
        <v>260</v>
      </c>
      <c r="S228" t="str">
        <f t="shared" si="28"/>
        <v>PA</v>
      </c>
    </row>
    <row r="229" spans="1:19" x14ac:dyDescent="0.3">
      <c r="A229" t="s">
        <v>12</v>
      </c>
      <c r="B229">
        <v>2016110007</v>
      </c>
      <c r="C229" t="s">
        <v>35</v>
      </c>
      <c r="E229" t="s">
        <v>360</v>
      </c>
      <c r="F229" t="s">
        <v>361</v>
      </c>
      <c r="G229">
        <v>2</v>
      </c>
      <c r="H229" t="s">
        <v>438</v>
      </c>
      <c r="I229" s="4">
        <f t="shared" si="29"/>
        <v>3</v>
      </c>
      <c r="J229">
        <f t="shared" si="30"/>
        <v>6</v>
      </c>
      <c r="K229">
        <v>66</v>
      </c>
      <c r="L229">
        <v>24</v>
      </c>
      <c r="M229" s="2">
        <v>2.75</v>
      </c>
      <c r="N229" s="2">
        <v>3.18</v>
      </c>
      <c r="O229">
        <v>0</v>
      </c>
      <c r="P229">
        <v>6</v>
      </c>
      <c r="Q229" s="4" t="str">
        <f t="shared" si="32"/>
        <v>2018/2019-Genap</v>
      </c>
      <c r="R229" t="s">
        <v>260</v>
      </c>
      <c r="S229" t="str">
        <f t="shared" si="28"/>
        <v>PA</v>
      </c>
    </row>
    <row r="230" spans="1:19" x14ac:dyDescent="0.3">
      <c r="A230" t="s">
        <v>12</v>
      </c>
      <c r="B230">
        <v>2016110007</v>
      </c>
      <c r="C230" t="s">
        <v>35</v>
      </c>
      <c r="E230" t="s">
        <v>122</v>
      </c>
      <c r="F230" t="s">
        <v>123</v>
      </c>
      <c r="G230">
        <v>4</v>
      </c>
      <c r="H230" t="s">
        <v>524</v>
      </c>
      <c r="I230" s="4">
        <f t="shared" si="29"/>
        <v>2</v>
      </c>
      <c r="J230">
        <f t="shared" si="30"/>
        <v>8</v>
      </c>
      <c r="K230">
        <v>58</v>
      </c>
      <c r="L230">
        <v>20</v>
      </c>
      <c r="M230" s="2">
        <v>2.9</v>
      </c>
      <c r="N230" s="2">
        <v>3.18</v>
      </c>
      <c r="O230">
        <v>0</v>
      </c>
      <c r="P230">
        <v>1</v>
      </c>
      <c r="Q230" s="4" t="str">
        <f t="shared" si="32"/>
        <v>2016/2017-Ganjil</v>
      </c>
      <c r="R230" t="s">
        <v>260</v>
      </c>
      <c r="S230" t="str">
        <f t="shared" si="28"/>
        <v>PA</v>
      </c>
    </row>
    <row r="231" spans="1:19" x14ac:dyDescent="0.3">
      <c r="A231" t="s">
        <v>12</v>
      </c>
      <c r="B231">
        <v>2016110007</v>
      </c>
      <c r="C231" t="s">
        <v>35</v>
      </c>
      <c r="E231" t="s">
        <v>122</v>
      </c>
      <c r="F231" t="s">
        <v>123</v>
      </c>
      <c r="G231">
        <v>4</v>
      </c>
      <c r="H231" t="s">
        <v>260</v>
      </c>
      <c r="I231" s="4">
        <f t="shared" si="29"/>
        <v>4</v>
      </c>
      <c r="J231">
        <f t="shared" si="30"/>
        <v>16</v>
      </c>
      <c r="K231">
        <v>34</v>
      </c>
      <c r="L231">
        <v>10</v>
      </c>
      <c r="M231" s="2">
        <v>3.4</v>
      </c>
      <c r="N231" s="2">
        <v>3.18</v>
      </c>
      <c r="O231">
        <v>1</v>
      </c>
      <c r="P231">
        <v>6</v>
      </c>
      <c r="Q231" s="4" t="s">
        <v>572</v>
      </c>
      <c r="R231" t="s">
        <v>260</v>
      </c>
      <c r="S231" t="str">
        <f t="shared" si="28"/>
        <v>PA</v>
      </c>
    </row>
    <row r="232" spans="1:19" x14ac:dyDescent="0.3">
      <c r="A232" t="s">
        <v>12</v>
      </c>
      <c r="B232">
        <v>2016110007</v>
      </c>
      <c r="C232" t="s">
        <v>35</v>
      </c>
      <c r="E232" t="s">
        <v>432</v>
      </c>
      <c r="F232" t="s">
        <v>433</v>
      </c>
      <c r="G232">
        <v>4</v>
      </c>
      <c r="H232" t="s">
        <v>524</v>
      </c>
      <c r="I232" s="4">
        <f t="shared" si="29"/>
        <v>2</v>
      </c>
      <c r="J232">
        <f t="shared" si="30"/>
        <v>8</v>
      </c>
      <c r="K232">
        <v>66</v>
      </c>
      <c r="L232">
        <v>24</v>
      </c>
      <c r="M232" s="2">
        <v>2.75</v>
      </c>
      <c r="N232" s="2">
        <v>3.18</v>
      </c>
      <c r="O232">
        <v>0</v>
      </c>
      <c r="P232">
        <v>6</v>
      </c>
      <c r="Q232" s="4" t="str">
        <f>IF(P232=1,"2016/2017-Ganjil",IF(P232=2,"2016/2017-Genap",IF(P232=3,"2017/2018-Ganjil",IF(P232=4,"2017/2018-Genap",IF(P232=5,"2018/2019-Ganjil",IF(P232=6,"2018/2019-Genap",IF(P232=7,"2019/2020-Ganjil",IF(P232=8,"2019/2020-Genap",IF(P232=9,"2020/2021-Ganjil",IF(P232=10,"2020/2021-Genap",IF(P232=11,"2021/2022-Ganjil",IF(P232=12,"2021/2022-Genap",IF(P232=13,"2022/2023-Ganjil","2022/2023-Genap")))))))))))))</f>
        <v>2018/2019-Genap</v>
      </c>
      <c r="R232" t="s">
        <v>260</v>
      </c>
      <c r="S232" t="str">
        <f t="shared" si="28"/>
        <v>PA</v>
      </c>
    </row>
    <row r="233" spans="1:19" x14ac:dyDescent="0.3">
      <c r="A233" t="s">
        <v>12</v>
      </c>
      <c r="B233">
        <v>2016110007</v>
      </c>
      <c r="C233" t="s">
        <v>35</v>
      </c>
      <c r="E233" t="s">
        <v>387</v>
      </c>
      <c r="F233" t="s">
        <v>388</v>
      </c>
      <c r="G233">
        <v>2</v>
      </c>
      <c r="H233" t="s">
        <v>524</v>
      </c>
      <c r="I233" s="4">
        <f t="shared" si="29"/>
        <v>2</v>
      </c>
      <c r="J233">
        <f t="shared" si="30"/>
        <v>4</v>
      </c>
      <c r="K233">
        <v>66</v>
      </c>
      <c r="L233">
        <v>22</v>
      </c>
      <c r="M233" s="2">
        <v>3</v>
      </c>
      <c r="N233" s="2">
        <v>3.18</v>
      </c>
      <c r="O233">
        <v>0</v>
      </c>
      <c r="P233">
        <v>4</v>
      </c>
      <c r="Q233" s="4" t="str">
        <f>IF(P233=1,"2016/2017-Ganjil",IF(P233=2,"2016/2017-Genap",IF(P233=3,"2017/2018-Ganjil",IF(P233=4,"2017/2018-Genap",IF(P233=5,"2018/2019-Ganjil",IF(P233=6,"2018/2019-Genap",IF(P233=7,"2019/2020-Ganjil",IF(P233=8,"2019/2020-Genap",IF(P233=9,"2020/2021-Ganjil",IF(P233=10,"2020/2021-Genap",IF(P233=11,"2021/2022-Ganjil",IF(P233=12,"2021/2022-Genap",IF(P233=13,"2022/2023-Ganjil","2022/2023-Genap")))))))))))))</f>
        <v>2017/2018-Genap</v>
      </c>
      <c r="R233" t="s">
        <v>260</v>
      </c>
      <c r="S233" t="str">
        <f t="shared" si="28"/>
        <v>PA</v>
      </c>
    </row>
    <row r="234" spans="1:19" x14ac:dyDescent="0.3">
      <c r="A234" t="s">
        <v>12</v>
      </c>
      <c r="B234">
        <v>2016110007</v>
      </c>
      <c r="C234" t="s">
        <v>35</v>
      </c>
      <c r="E234" t="s">
        <v>100</v>
      </c>
      <c r="F234" t="s">
        <v>101</v>
      </c>
      <c r="G234">
        <v>4</v>
      </c>
      <c r="H234" t="s">
        <v>524</v>
      </c>
      <c r="I234" s="4">
        <f t="shared" si="29"/>
        <v>2</v>
      </c>
      <c r="J234">
        <f t="shared" si="30"/>
        <v>8</v>
      </c>
      <c r="K234">
        <v>64</v>
      </c>
      <c r="L234">
        <v>20</v>
      </c>
      <c r="M234" s="2">
        <v>3.2</v>
      </c>
      <c r="N234" s="2">
        <v>3.18</v>
      </c>
      <c r="O234">
        <v>0</v>
      </c>
      <c r="P234">
        <v>2</v>
      </c>
      <c r="Q234" s="4" t="str">
        <f>IF(P234=1,"2016/2017-Ganjil",IF(P234=2,"2016/2017-Genap",IF(P234=3,"2017/2018-Ganjil",IF(P234=4,"2017/2018-Genap",IF(P234=5,"2018/2019-Ganjil",IF(P234=6,"2018/2019-Genap",IF(P234=7,"2019/2020-Ganjil",IF(P234=8,"2019/2020-Genap",IF(P234=9,"2020/2021-Ganjil",IF(P234=10,"2020/2021-Genap",IF(P234=11,"2021/2022-Ganjil",IF(P234=12,"2021/2022-Genap",IF(P234=13,"2022/2023-Ganjil","2022/2023-Genap")))))))))))))</f>
        <v>2016/2017-Genap</v>
      </c>
      <c r="R234" t="s">
        <v>260</v>
      </c>
      <c r="S234" t="str">
        <f t="shared" si="28"/>
        <v>PA</v>
      </c>
    </row>
    <row r="235" spans="1:19" x14ac:dyDescent="0.3">
      <c r="A235" t="s">
        <v>12</v>
      </c>
      <c r="B235">
        <v>2016110007</v>
      </c>
      <c r="C235" t="s">
        <v>35</v>
      </c>
      <c r="E235" t="s">
        <v>100</v>
      </c>
      <c r="F235" t="s">
        <v>101</v>
      </c>
      <c r="G235">
        <v>4</v>
      </c>
      <c r="H235" t="s">
        <v>438</v>
      </c>
      <c r="I235" s="4">
        <f t="shared" si="29"/>
        <v>3</v>
      </c>
      <c r="J235">
        <f t="shared" si="30"/>
        <v>12</v>
      </c>
      <c r="K235">
        <v>34</v>
      </c>
      <c r="L235">
        <v>10</v>
      </c>
      <c r="M235" s="2">
        <v>3.4</v>
      </c>
      <c r="N235" s="2">
        <v>3.18</v>
      </c>
      <c r="O235">
        <v>1</v>
      </c>
      <c r="P235">
        <v>6</v>
      </c>
      <c r="Q235" s="4" t="s">
        <v>572</v>
      </c>
      <c r="R235" t="s">
        <v>260</v>
      </c>
      <c r="S235" t="str">
        <f t="shared" si="28"/>
        <v>PA</v>
      </c>
    </row>
    <row r="236" spans="1:19" x14ac:dyDescent="0.3">
      <c r="A236" t="s">
        <v>12</v>
      </c>
      <c r="B236">
        <v>2016110007</v>
      </c>
      <c r="C236" t="s">
        <v>35</v>
      </c>
      <c r="E236" t="s">
        <v>90</v>
      </c>
      <c r="F236" t="s">
        <v>91</v>
      </c>
      <c r="G236">
        <v>2</v>
      </c>
      <c r="H236" t="s">
        <v>438</v>
      </c>
      <c r="I236" s="4">
        <f t="shared" si="29"/>
        <v>3</v>
      </c>
      <c r="J236">
        <f t="shared" si="30"/>
        <v>6</v>
      </c>
      <c r="K236">
        <v>42</v>
      </c>
      <c r="L236">
        <v>12</v>
      </c>
      <c r="M236" s="2">
        <v>3.5</v>
      </c>
      <c r="N236" s="2">
        <v>3.18</v>
      </c>
      <c r="O236">
        <v>1</v>
      </c>
      <c r="P236">
        <v>7</v>
      </c>
      <c r="Q236" s="4" t="str">
        <f>IF(P236=1,"2016/2017-Ganjil",IF(P236=2,"2016/2017-Genap",IF(P236=3,"2017/2018-Ganjil",IF(P236=4,"2017/2018-Genap",IF(P236=5,"2018/2019-Ganjil",IF(P236=6,"2018/2019-Genap",IF(P236=7,"2019/2020-Ganjil",IF(P236=8,"2019/2020-Genap",IF(P236=9,"2020/2021-Ganjil",IF(P236=10,"2020/2021-Genap",IF(P236=11,"2021/2022-Ganjil",IF(P236=12,"2021/2022-Genap",IF(P236=13,"2022/2023-Ganjil","2022/2023-Genap")))))))))))))</f>
        <v>2019/2020-Ganjil</v>
      </c>
      <c r="R236" t="s">
        <v>260</v>
      </c>
      <c r="S236" t="str">
        <f t="shared" si="28"/>
        <v>PA</v>
      </c>
    </row>
    <row r="237" spans="1:19" x14ac:dyDescent="0.3">
      <c r="A237" t="s">
        <v>12</v>
      </c>
      <c r="B237">
        <v>2016110007</v>
      </c>
      <c r="C237" t="s">
        <v>35</v>
      </c>
      <c r="E237" t="s">
        <v>90</v>
      </c>
      <c r="F237" t="s">
        <v>91</v>
      </c>
      <c r="G237">
        <v>2</v>
      </c>
      <c r="H237" t="s">
        <v>524</v>
      </c>
      <c r="I237" s="4">
        <f t="shared" si="29"/>
        <v>2</v>
      </c>
      <c r="J237">
        <f t="shared" si="30"/>
        <v>4</v>
      </c>
      <c r="K237">
        <v>58</v>
      </c>
      <c r="L237">
        <v>20</v>
      </c>
      <c r="M237" s="2">
        <v>2.9</v>
      </c>
      <c r="N237" s="2">
        <v>3.18</v>
      </c>
      <c r="O237">
        <v>0</v>
      </c>
      <c r="P237">
        <v>1</v>
      </c>
      <c r="Q237" s="4" t="str">
        <f>IF(P237=1,"2016/2017-Ganjil",IF(P237=2,"2016/2017-Genap",IF(P237=3,"2017/2018-Ganjil",IF(P237=4,"2017/2018-Genap",IF(P237=5,"2018/2019-Ganjil",IF(P237=6,"2018/2019-Genap",IF(P237=7,"2019/2020-Ganjil",IF(P237=8,"2019/2020-Genap",IF(P237=9,"2020/2021-Ganjil",IF(P237=10,"2020/2021-Genap",IF(P237=11,"2021/2022-Ganjil",IF(P237=12,"2021/2022-Genap",IF(P237=13,"2022/2023-Ganjil","2022/2023-Genap")))))))))))))</f>
        <v>2016/2017-Ganjil</v>
      </c>
      <c r="R237" t="s">
        <v>260</v>
      </c>
      <c r="S237" t="str">
        <f t="shared" si="28"/>
        <v>PA</v>
      </c>
    </row>
    <row r="238" spans="1:19" x14ac:dyDescent="0.3">
      <c r="A238" t="s">
        <v>12</v>
      </c>
      <c r="B238">
        <v>2016110007</v>
      </c>
      <c r="C238" t="s">
        <v>35</v>
      </c>
      <c r="E238" t="s">
        <v>241</v>
      </c>
      <c r="F238" t="s">
        <v>45</v>
      </c>
      <c r="G238">
        <v>2</v>
      </c>
      <c r="H238" t="s">
        <v>539</v>
      </c>
      <c r="I238" s="4">
        <f t="shared" si="29"/>
        <v>0</v>
      </c>
      <c r="J238">
        <f t="shared" si="30"/>
        <v>0</v>
      </c>
      <c r="K238">
        <v>66</v>
      </c>
      <c r="L238">
        <v>22</v>
      </c>
      <c r="M238" s="2">
        <v>3</v>
      </c>
      <c r="N238" s="2">
        <v>3.18</v>
      </c>
      <c r="O238">
        <v>0</v>
      </c>
      <c r="P238">
        <v>3</v>
      </c>
      <c r="Q238" s="4" t="str">
        <f>IF(P238=1,"2016/2017-Ganjil",IF(P238=2,"2016/2017-Genap",IF(P238=3,"2017/2018-Ganjil",IF(P238=4,"2017/2018-Genap",IF(P238=5,"2018/2019-Ganjil",IF(P238=6,"2018/2019-Genap",IF(P238=7,"2019/2020-Ganjil",IF(P238=8,"2019/2020-Genap",IF(P238=9,"2020/2021-Ganjil",IF(P238=10,"2020/2021-Genap",IF(P238=11,"2021/2022-Ganjil",IF(P238=12,"2021/2022-Genap",IF(P238=13,"2022/2023-Ganjil","2022/2023-Genap")))))))))))))</f>
        <v>2017/2018-Ganjil</v>
      </c>
      <c r="R238" t="s">
        <v>260</v>
      </c>
      <c r="S238" t="str">
        <f t="shared" si="28"/>
        <v>FA</v>
      </c>
    </row>
    <row r="239" spans="1:19" x14ac:dyDescent="0.3">
      <c r="A239" t="s">
        <v>12</v>
      </c>
      <c r="B239">
        <v>2016110007</v>
      </c>
      <c r="C239" t="s">
        <v>35</v>
      </c>
      <c r="E239" t="s">
        <v>241</v>
      </c>
      <c r="F239" t="s">
        <v>45</v>
      </c>
      <c r="G239">
        <v>2</v>
      </c>
      <c r="H239" t="s">
        <v>438</v>
      </c>
      <c r="I239" s="4">
        <f t="shared" si="29"/>
        <v>3</v>
      </c>
      <c r="J239">
        <f t="shared" si="30"/>
        <v>6</v>
      </c>
      <c r="K239">
        <v>34</v>
      </c>
      <c r="L239">
        <v>10</v>
      </c>
      <c r="M239" s="2">
        <v>3.4</v>
      </c>
      <c r="N239" s="2">
        <v>3.18</v>
      </c>
      <c r="O239">
        <v>1</v>
      </c>
      <c r="P239">
        <v>6</v>
      </c>
      <c r="Q239" s="4" t="s">
        <v>572</v>
      </c>
      <c r="R239" t="s">
        <v>260</v>
      </c>
      <c r="S239" t="str">
        <f t="shared" si="28"/>
        <v>PA</v>
      </c>
    </row>
    <row r="240" spans="1:19" x14ac:dyDescent="0.3">
      <c r="A240" t="s">
        <v>12</v>
      </c>
      <c r="B240">
        <v>2016110008</v>
      </c>
      <c r="C240" t="s">
        <v>261</v>
      </c>
      <c r="E240" t="s">
        <v>262</v>
      </c>
      <c r="F240" t="s">
        <v>263</v>
      </c>
      <c r="G240">
        <v>2</v>
      </c>
      <c r="H240" t="s">
        <v>260</v>
      </c>
      <c r="I240" s="4">
        <f t="shared" si="29"/>
        <v>4</v>
      </c>
      <c r="J240">
        <f t="shared" si="30"/>
        <v>8</v>
      </c>
      <c r="K240">
        <v>44</v>
      </c>
      <c r="L240">
        <v>20</v>
      </c>
      <c r="M240" s="2">
        <v>2.2000000000000002</v>
      </c>
      <c r="N240" s="2">
        <v>2.81</v>
      </c>
      <c r="O240">
        <v>0</v>
      </c>
      <c r="P240">
        <v>6</v>
      </c>
      <c r="Q240" s="4" t="str">
        <f t="shared" ref="Q240:Q276" si="33">IF(P240=1,"2016/2017-Ganjil",IF(P240=2,"2016/2017-Genap",IF(P240=3,"2017/2018-Ganjil",IF(P240=4,"2017/2018-Genap",IF(P240=5,"2018/2019-Ganjil",IF(P240=6,"2018/2019-Genap",IF(P240=7,"2019/2020-Ganjil",IF(P240=8,"2019/2020-Genap",IF(P240=9,"2020/2021-Ganjil",IF(P240=10,"2020/2021-Genap",IF(P240=11,"2021/2022-Ganjil",IF(P240=12,"2021/2022-Genap",IF(P240=13,"2022/2023-Ganjil","2022/2023-Genap")))))))))))))</f>
        <v>2018/2019-Genap</v>
      </c>
      <c r="R240" t="s">
        <v>260</v>
      </c>
      <c r="S240" t="str">
        <f t="shared" si="28"/>
        <v>PA</v>
      </c>
    </row>
    <row r="241" spans="1:19" x14ac:dyDescent="0.3">
      <c r="A241" t="s">
        <v>12</v>
      </c>
      <c r="B241">
        <v>2016110008</v>
      </c>
      <c r="C241" t="s">
        <v>261</v>
      </c>
      <c r="E241" t="s">
        <v>170</v>
      </c>
      <c r="F241" t="s">
        <v>171</v>
      </c>
      <c r="G241">
        <v>4</v>
      </c>
      <c r="H241" t="s">
        <v>260</v>
      </c>
      <c r="I241" s="4">
        <f t="shared" si="29"/>
        <v>4</v>
      </c>
      <c r="J241">
        <f t="shared" si="30"/>
        <v>16</v>
      </c>
      <c r="K241">
        <v>50</v>
      </c>
      <c r="L241">
        <v>18</v>
      </c>
      <c r="M241" s="2">
        <v>2.78</v>
      </c>
      <c r="N241" s="2">
        <v>2.81</v>
      </c>
      <c r="O241">
        <v>0</v>
      </c>
      <c r="P241">
        <v>3</v>
      </c>
      <c r="Q241" s="4" t="str">
        <f t="shared" si="33"/>
        <v>2017/2018-Ganjil</v>
      </c>
      <c r="R241" t="s">
        <v>260</v>
      </c>
      <c r="S241" t="str">
        <f t="shared" si="28"/>
        <v>PA</v>
      </c>
    </row>
    <row r="242" spans="1:19" x14ac:dyDescent="0.3">
      <c r="A242" t="s">
        <v>12</v>
      </c>
      <c r="B242">
        <v>2016110008</v>
      </c>
      <c r="C242" t="s">
        <v>261</v>
      </c>
      <c r="E242" t="s">
        <v>244</v>
      </c>
      <c r="F242" t="s">
        <v>228</v>
      </c>
      <c r="G242">
        <v>2</v>
      </c>
      <c r="H242" t="s">
        <v>260</v>
      </c>
      <c r="I242" s="4">
        <f t="shared" si="29"/>
        <v>4</v>
      </c>
      <c r="J242">
        <f t="shared" si="30"/>
        <v>8</v>
      </c>
      <c r="K242">
        <v>50</v>
      </c>
      <c r="L242">
        <v>22</v>
      </c>
      <c r="M242" s="2">
        <v>2.27</v>
      </c>
      <c r="N242" s="2">
        <v>2.81</v>
      </c>
      <c r="O242">
        <v>0</v>
      </c>
      <c r="P242">
        <v>4</v>
      </c>
      <c r="Q242" s="4" t="str">
        <f t="shared" si="33"/>
        <v>2017/2018-Genap</v>
      </c>
      <c r="R242" t="s">
        <v>260</v>
      </c>
      <c r="S242" t="str">
        <f t="shared" si="28"/>
        <v>PA</v>
      </c>
    </row>
    <row r="243" spans="1:19" x14ac:dyDescent="0.3">
      <c r="A243" t="s">
        <v>12</v>
      </c>
      <c r="B243">
        <v>2016110008</v>
      </c>
      <c r="C243" t="s">
        <v>261</v>
      </c>
      <c r="E243" t="s">
        <v>77</v>
      </c>
      <c r="F243" t="s">
        <v>78</v>
      </c>
      <c r="G243">
        <v>2</v>
      </c>
      <c r="H243" t="s">
        <v>260</v>
      </c>
      <c r="I243" s="4">
        <f t="shared" si="29"/>
        <v>4</v>
      </c>
      <c r="J243">
        <f t="shared" si="30"/>
        <v>8</v>
      </c>
      <c r="K243">
        <v>54</v>
      </c>
      <c r="L243">
        <v>20</v>
      </c>
      <c r="M243" s="2">
        <v>2.7</v>
      </c>
      <c r="N243" s="2">
        <v>2.81</v>
      </c>
      <c r="O243">
        <v>0</v>
      </c>
      <c r="P243">
        <v>1</v>
      </c>
      <c r="Q243" s="4" t="str">
        <f t="shared" si="33"/>
        <v>2016/2017-Ganjil</v>
      </c>
      <c r="R243" t="s">
        <v>260</v>
      </c>
      <c r="S243" t="str">
        <f t="shared" si="28"/>
        <v>PA</v>
      </c>
    </row>
    <row r="244" spans="1:19" x14ac:dyDescent="0.3">
      <c r="A244" t="s">
        <v>12</v>
      </c>
      <c r="B244">
        <v>2016110008</v>
      </c>
      <c r="C244" t="s">
        <v>261</v>
      </c>
      <c r="E244" t="s">
        <v>437</v>
      </c>
      <c r="F244" t="s">
        <v>169</v>
      </c>
      <c r="G244">
        <v>4</v>
      </c>
      <c r="H244" t="s">
        <v>438</v>
      </c>
      <c r="I244" s="4">
        <f t="shared" si="29"/>
        <v>3</v>
      </c>
      <c r="J244">
        <f t="shared" si="30"/>
        <v>12</v>
      </c>
      <c r="K244">
        <v>54</v>
      </c>
      <c r="L244">
        <v>20</v>
      </c>
      <c r="M244" s="2">
        <v>2.7</v>
      </c>
      <c r="N244" s="2">
        <v>2.81</v>
      </c>
      <c r="O244">
        <v>0</v>
      </c>
      <c r="P244">
        <v>1</v>
      </c>
      <c r="Q244" s="4" t="str">
        <f t="shared" si="33"/>
        <v>2016/2017-Ganjil</v>
      </c>
      <c r="R244" t="s">
        <v>260</v>
      </c>
      <c r="S244" t="str">
        <f t="shared" si="28"/>
        <v>PA</v>
      </c>
    </row>
    <row r="245" spans="1:19" x14ac:dyDescent="0.3">
      <c r="A245" t="s">
        <v>12</v>
      </c>
      <c r="B245">
        <v>2016110008</v>
      </c>
      <c r="C245" t="s">
        <v>261</v>
      </c>
      <c r="E245" t="s">
        <v>97</v>
      </c>
      <c r="F245" t="s">
        <v>98</v>
      </c>
      <c r="G245">
        <v>4</v>
      </c>
      <c r="H245" t="s">
        <v>438</v>
      </c>
      <c r="I245" s="4">
        <f t="shared" si="29"/>
        <v>3</v>
      </c>
      <c r="J245">
        <f t="shared" si="30"/>
        <v>12</v>
      </c>
      <c r="K245">
        <v>44</v>
      </c>
      <c r="L245">
        <v>20</v>
      </c>
      <c r="M245" s="2">
        <v>2.2000000000000002</v>
      </c>
      <c r="N245" s="2">
        <v>2.81</v>
      </c>
      <c r="O245">
        <v>0</v>
      </c>
      <c r="P245">
        <v>2</v>
      </c>
      <c r="Q245" s="4" t="str">
        <f t="shared" si="33"/>
        <v>2016/2017-Genap</v>
      </c>
      <c r="R245" t="s">
        <v>260</v>
      </c>
      <c r="S245" t="str">
        <f t="shared" si="28"/>
        <v>PA</v>
      </c>
    </row>
    <row r="246" spans="1:19" x14ac:dyDescent="0.3">
      <c r="A246" t="s">
        <v>12</v>
      </c>
      <c r="B246">
        <v>2016110008</v>
      </c>
      <c r="C246" t="s">
        <v>261</v>
      </c>
      <c r="E246" t="s">
        <v>276</v>
      </c>
      <c r="F246" t="s">
        <v>137</v>
      </c>
      <c r="G246">
        <v>4</v>
      </c>
      <c r="H246" t="s">
        <v>438</v>
      </c>
      <c r="I246" s="4">
        <f t="shared" si="29"/>
        <v>3</v>
      </c>
      <c r="J246">
        <f t="shared" si="30"/>
        <v>12</v>
      </c>
      <c r="K246">
        <v>50</v>
      </c>
      <c r="L246">
        <v>22</v>
      </c>
      <c r="M246" s="2">
        <v>2.27</v>
      </c>
      <c r="N246" s="2">
        <v>2.81</v>
      </c>
      <c r="O246">
        <v>0</v>
      </c>
      <c r="P246">
        <v>4</v>
      </c>
      <c r="Q246" s="4" t="str">
        <f t="shared" si="33"/>
        <v>2017/2018-Genap</v>
      </c>
      <c r="R246" t="s">
        <v>260</v>
      </c>
      <c r="S246" t="str">
        <f t="shared" si="28"/>
        <v>PA</v>
      </c>
    </row>
    <row r="247" spans="1:19" x14ac:dyDescent="0.3">
      <c r="A247" t="s">
        <v>12</v>
      </c>
      <c r="B247">
        <v>2016110008</v>
      </c>
      <c r="C247" t="s">
        <v>261</v>
      </c>
      <c r="E247" t="s">
        <v>316</v>
      </c>
      <c r="F247" t="s">
        <v>317</v>
      </c>
      <c r="G247">
        <v>2</v>
      </c>
      <c r="H247" t="s">
        <v>438</v>
      </c>
      <c r="I247" s="4">
        <f t="shared" si="29"/>
        <v>3</v>
      </c>
      <c r="J247">
        <f t="shared" si="30"/>
        <v>6</v>
      </c>
      <c r="K247">
        <v>40</v>
      </c>
      <c r="L247">
        <v>16</v>
      </c>
      <c r="M247" s="2">
        <v>2.5</v>
      </c>
      <c r="N247" s="2">
        <v>2.81</v>
      </c>
      <c r="O247">
        <v>0</v>
      </c>
      <c r="P247">
        <v>7</v>
      </c>
      <c r="Q247" s="4" t="str">
        <f t="shared" si="33"/>
        <v>2019/2020-Ganjil</v>
      </c>
      <c r="R247" t="s">
        <v>260</v>
      </c>
      <c r="S247" t="str">
        <f t="shared" ref="S247:S310" si="34">IF(OR(H247="A",H247="B",H247="C"),"PA","FA")</f>
        <v>PA</v>
      </c>
    </row>
    <row r="248" spans="1:19" x14ac:dyDescent="0.3">
      <c r="A248" t="s">
        <v>12</v>
      </c>
      <c r="B248">
        <v>2016110008</v>
      </c>
      <c r="C248" t="s">
        <v>261</v>
      </c>
      <c r="E248" t="s">
        <v>337</v>
      </c>
      <c r="F248" t="s">
        <v>338</v>
      </c>
      <c r="G248">
        <v>2</v>
      </c>
      <c r="H248" t="s">
        <v>438</v>
      </c>
      <c r="I248" s="4">
        <f t="shared" ref="I248:I311" si="35">IF(H248="A",4,IF(H248="B",3,IF(H248="C",2,IF(H248="D",1,0))))</f>
        <v>3</v>
      </c>
      <c r="J248">
        <f t="shared" ref="J248:J311" si="36">G248*I248</f>
        <v>6</v>
      </c>
      <c r="K248">
        <v>48</v>
      </c>
      <c r="L248">
        <v>18</v>
      </c>
      <c r="M248" s="2">
        <v>2.67</v>
      </c>
      <c r="N248" s="2">
        <v>2.81</v>
      </c>
      <c r="O248">
        <v>0</v>
      </c>
      <c r="P248">
        <v>5</v>
      </c>
      <c r="Q248" s="4" t="str">
        <f t="shared" si="33"/>
        <v>2018/2019-Ganjil</v>
      </c>
      <c r="R248" t="s">
        <v>260</v>
      </c>
      <c r="S248" t="str">
        <f t="shared" si="34"/>
        <v>PA</v>
      </c>
    </row>
    <row r="249" spans="1:19" x14ac:dyDescent="0.3">
      <c r="A249" t="s">
        <v>12</v>
      </c>
      <c r="B249">
        <v>2016110008</v>
      </c>
      <c r="C249" t="s">
        <v>261</v>
      </c>
      <c r="E249" t="s">
        <v>344</v>
      </c>
      <c r="F249" t="s">
        <v>345</v>
      </c>
      <c r="G249">
        <v>2</v>
      </c>
      <c r="H249" t="s">
        <v>438</v>
      </c>
      <c r="I249" s="4">
        <f t="shared" si="35"/>
        <v>3</v>
      </c>
      <c r="J249">
        <f t="shared" si="36"/>
        <v>6</v>
      </c>
      <c r="K249">
        <v>40</v>
      </c>
      <c r="L249">
        <v>16</v>
      </c>
      <c r="M249" s="2">
        <v>2.5</v>
      </c>
      <c r="N249" s="2">
        <v>2.81</v>
      </c>
      <c r="O249">
        <v>0</v>
      </c>
      <c r="P249">
        <v>7</v>
      </c>
      <c r="Q249" s="4" t="str">
        <f t="shared" si="33"/>
        <v>2019/2020-Ganjil</v>
      </c>
      <c r="R249" t="s">
        <v>260</v>
      </c>
      <c r="S249" t="str">
        <f t="shared" si="34"/>
        <v>PA</v>
      </c>
    </row>
    <row r="250" spans="1:19" x14ac:dyDescent="0.3">
      <c r="A250" t="s">
        <v>12</v>
      </c>
      <c r="B250">
        <v>2016110008</v>
      </c>
      <c r="C250" t="s">
        <v>261</v>
      </c>
      <c r="E250" t="s">
        <v>208</v>
      </c>
      <c r="F250" t="s">
        <v>209</v>
      </c>
      <c r="G250">
        <v>2</v>
      </c>
      <c r="H250" t="s">
        <v>438</v>
      </c>
      <c r="I250" s="4">
        <f t="shared" si="35"/>
        <v>3</v>
      </c>
      <c r="J250">
        <f t="shared" si="36"/>
        <v>6</v>
      </c>
      <c r="K250">
        <v>48</v>
      </c>
      <c r="L250">
        <v>18</v>
      </c>
      <c r="M250" s="2">
        <v>2.67</v>
      </c>
      <c r="N250" s="2">
        <v>2.81</v>
      </c>
      <c r="O250">
        <v>0</v>
      </c>
      <c r="P250">
        <v>5</v>
      </c>
      <c r="Q250" s="4" t="str">
        <f t="shared" si="33"/>
        <v>2018/2019-Ganjil</v>
      </c>
      <c r="R250" t="s">
        <v>260</v>
      </c>
      <c r="S250" t="str">
        <f t="shared" si="34"/>
        <v>PA</v>
      </c>
    </row>
    <row r="251" spans="1:19" x14ac:dyDescent="0.3">
      <c r="A251" t="s">
        <v>12</v>
      </c>
      <c r="B251">
        <v>2016110008</v>
      </c>
      <c r="C251" t="s">
        <v>261</v>
      </c>
      <c r="E251" t="s">
        <v>39</v>
      </c>
      <c r="F251" t="s">
        <v>11</v>
      </c>
      <c r="G251">
        <v>2</v>
      </c>
      <c r="H251" t="s">
        <v>438</v>
      </c>
      <c r="I251" s="4">
        <f t="shared" si="35"/>
        <v>3</v>
      </c>
      <c r="J251">
        <f t="shared" si="36"/>
        <v>6</v>
      </c>
      <c r="K251">
        <v>46</v>
      </c>
      <c r="L251">
        <v>18</v>
      </c>
      <c r="M251" s="2">
        <v>2.56</v>
      </c>
      <c r="N251" s="2">
        <v>2.81</v>
      </c>
      <c r="O251">
        <v>0</v>
      </c>
      <c r="P251">
        <v>8</v>
      </c>
      <c r="Q251" s="4" t="str">
        <f t="shared" si="33"/>
        <v>2019/2020-Genap</v>
      </c>
      <c r="R251" t="s">
        <v>260</v>
      </c>
      <c r="S251" t="str">
        <f t="shared" si="34"/>
        <v>PA</v>
      </c>
    </row>
    <row r="252" spans="1:19" x14ac:dyDescent="0.3">
      <c r="A252" t="s">
        <v>12</v>
      </c>
      <c r="B252">
        <v>2016110008</v>
      </c>
      <c r="C252" t="s">
        <v>261</v>
      </c>
      <c r="E252" t="s">
        <v>14</v>
      </c>
      <c r="F252" t="s">
        <v>15</v>
      </c>
      <c r="G252">
        <v>2</v>
      </c>
      <c r="H252" t="s">
        <v>438</v>
      </c>
      <c r="I252" s="4">
        <f t="shared" si="35"/>
        <v>3</v>
      </c>
      <c r="J252">
        <f t="shared" si="36"/>
        <v>6</v>
      </c>
      <c r="K252">
        <v>36</v>
      </c>
      <c r="L252">
        <v>14</v>
      </c>
      <c r="M252" s="2">
        <v>2.57</v>
      </c>
      <c r="N252" s="2">
        <v>2.81</v>
      </c>
      <c r="O252">
        <v>0</v>
      </c>
      <c r="P252">
        <v>10</v>
      </c>
      <c r="Q252" s="4" t="str">
        <f t="shared" si="33"/>
        <v>2020/2021-Genap</v>
      </c>
      <c r="R252" t="s">
        <v>596</v>
      </c>
      <c r="S252" t="str">
        <f t="shared" si="34"/>
        <v>PA</v>
      </c>
    </row>
    <row r="253" spans="1:19" x14ac:dyDescent="0.3">
      <c r="A253" t="s">
        <v>12</v>
      </c>
      <c r="B253">
        <v>2016110008</v>
      </c>
      <c r="C253" t="s">
        <v>261</v>
      </c>
      <c r="E253" t="s">
        <v>173</v>
      </c>
      <c r="F253" t="s">
        <v>8</v>
      </c>
      <c r="G253">
        <v>2</v>
      </c>
      <c r="H253" t="s">
        <v>438</v>
      </c>
      <c r="I253" s="4">
        <f t="shared" si="35"/>
        <v>3</v>
      </c>
      <c r="J253">
        <f t="shared" si="36"/>
        <v>6</v>
      </c>
      <c r="K253">
        <v>50</v>
      </c>
      <c r="L253">
        <v>18</v>
      </c>
      <c r="M253" s="2">
        <v>2.78</v>
      </c>
      <c r="N253" s="2">
        <v>2.81</v>
      </c>
      <c r="O253">
        <v>0</v>
      </c>
      <c r="P253">
        <v>3</v>
      </c>
      <c r="Q253" s="4" t="str">
        <f t="shared" si="33"/>
        <v>2017/2018-Ganjil</v>
      </c>
      <c r="R253" t="s">
        <v>260</v>
      </c>
      <c r="S253" t="str">
        <f t="shared" si="34"/>
        <v>PA</v>
      </c>
    </row>
    <row r="254" spans="1:19" x14ac:dyDescent="0.3">
      <c r="A254" t="s">
        <v>12</v>
      </c>
      <c r="B254">
        <v>2016110008</v>
      </c>
      <c r="C254" t="s">
        <v>261</v>
      </c>
      <c r="E254" t="s">
        <v>427</v>
      </c>
      <c r="F254" t="s">
        <v>428</v>
      </c>
      <c r="G254">
        <v>2</v>
      </c>
      <c r="H254" t="s">
        <v>438</v>
      </c>
      <c r="I254" s="4">
        <f t="shared" si="35"/>
        <v>3</v>
      </c>
      <c r="J254">
        <f t="shared" si="36"/>
        <v>6</v>
      </c>
      <c r="K254">
        <v>44</v>
      </c>
      <c r="L254">
        <v>20</v>
      </c>
      <c r="M254" s="2">
        <v>2.2000000000000002</v>
      </c>
      <c r="N254" s="2">
        <v>2.81</v>
      </c>
      <c r="O254">
        <v>0</v>
      </c>
      <c r="P254">
        <v>6</v>
      </c>
      <c r="Q254" s="4" t="str">
        <f t="shared" si="33"/>
        <v>2018/2019-Genap</v>
      </c>
      <c r="R254" t="s">
        <v>260</v>
      </c>
      <c r="S254" t="str">
        <f t="shared" si="34"/>
        <v>PA</v>
      </c>
    </row>
    <row r="255" spans="1:19" x14ac:dyDescent="0.3">
      <c r="A255" t="s">
        <v>12</v>
      </c>
      <c r="B255">
        <v>2016110008</v>
      </c>
      <c r="C255" t="s">
        <v>261</v>
      </c>
      <c r="E255" t="s">
        <v>165</v>
      </c>
      <c r="F255" t="s">
        <v>166</v>
      </c>
      <c r="G255">
        <v>2</v>
      </c>
      <c r="H255" t="s">
        <v>438</v>
      </c>
      <c r="I255" s="4">
        <f t="shared" si="35"/>
        <v>3</v>
      </c>
      <c r="J255">
        <f t="shared" si="36"/>
        <v>6</v>
      </c>
      <c r="K255">
        <v>54</v>
      </c>
      <c r="L255">
        <v>20</v>
      </c>
      <c r="M255" s="2">
        <v>2.7</v>
      </c>
      <c r="N255" s="2">
        <v>2.81</v>
      </c>
      <c r="O255">
        <v>0</v>
      </c>
      <c r="P255">
        <v>1</v>
      </c>
      <c r="Q255" s="4" t="str">
        <f t="shared" si="33"/>
        <v>2016/2017-Ganjil</v>
      </c>
      <c r="R255" t="s">
        <v>260</v>
      </c>
      <c r="S255" t="str">
        <f t="shared" si="34"/>
        <v>PA</v>
      </c>
    </row>
    <row r="256" spans="1:19" x14ac:dyDescent="0.3">
      <c r="A256" t="s">
        <v>12</v>
      </c>
      <c r="B256">
        <v>2016110008</v>
      </c>
      <c r="C256" t="s">
        <v>261</v>
      </c>
      <c r="E256" t="s">
        <v>446</v>
      </c>
      <c r="F256" t="s">
        <v>447</v>
      </c>
      <c r="G256">
        <v>2</v>
      </c>
      <c r="H256" t="s">
        <v>438</v>
      </c>
      <c r="I256" s="4">
        <f t="shared" si="35"/>
        <v>3</v>
      </c>
      <c r="J256">
        <f t="shared" si="36"/>
        <v>6</v>
      </c>
      <c r="K256">
        <v>44</v>
      </c>
      <c r="L256">
        <v>20</v>
      </c>
      <c r="M256" s="2">
        <v>2.2000000000000002</v>
      </c>
      <c r="N256" s="2">
        <v>2.81</v>
      </c>
      <c r="O256">
        <v>0</v>
      </c>
      <c r="P256">
        <v>6</v>
      </c>
      <c r="Q256" s="4" t="str">
        <f t="shared" si="33"/>
        <v>2018/2019-Genap</v>
      </c>
      <c r="R256" t="s">
        <v>260</v>
      </c>
      <c r="S256" t="str">
        <f t="shared" si="34"/>
        <v>PA</v>
      </c>
    </row>
    <row r="257" spans="1:19" x14ac:dyDescent="0.3">
      <c r="A257" t="s">
        <v>12</v>
      </c>
      <c r="B257">
        <v>2016110008</v>
      </c>
      <c r="C257" t="s">
        <v>261</v>
      </c>
      <c r="E257" t="s">
        <v>131</v>
      </c>
      <c r="F257" t="s">
        <v>132</v>
      </c>
      <c r="G257">
        <v>2</v>
      </c>
      <c r="H257" t="s">
        <v>438</v>
      </c>
      <c r="I257" s="4">
        <f t="shared" si="35"/>
        <v>3</v>
      </c>
      <c r="J257">
        <f t="shared" si="36"/>
        <v>6</v>
      </c>
      <c r="K257">
        <v>54</v>
      </c>
      <c r="L257">
        <v>20</v>
      </c>
      <c r="M257" s="2">
        <v>2.7</v>
      </c>
      <c r="N257" s="2">
        <v>2.81</v>
      </c>
      <c r="O257">
        <v>0</v>
      </c>
      <c r="P257">
        <v>1</v>
      </c>
      <c r="Q257" s="4" t="str">
        <f t="shared" si="33"/>
        <v>2016/2017-Ganjil</v>
      </c>
      <c r="R257" t="s">
        <v>260</v>
      </c>
      <c r="S257" t="str">
        <f t="shared" si="34"/>
        <v>PA</v>
      </c>
    </row>
    <row r="258" spans="1:19" x14ac:dyDescent="0.3">
      <c r="A258" t="s">
        <v>12</v>
      </c>
      <c r="B258">
        <v>2016110008</v>
      </c>
      <c r="C258" t="s">
        <v>261</v>
      </c>
      <c r="E258" t="s">
        <v>302</v>
      </c>
      <c r="F258" t="s">
        <v>303</v>
      </c>
      <c r="G258">
        <v>2</v>
      </c>
      <c r="H258" t="s">
        <v>438</v>
      </c>
      <c r="I258" s="4">
        <f t="shared" si="35"/>
        <v>3</v>
      </c>
      <c r="J258">
        <f t="shared" si="36"/>
        <v>6</v>
      </c>
      <c r="K258">
        <v>44</v>
      </c>
      <c r="L258">
        <v>20</v>
      </c>
      <c r="M258" s="2">
        <v>2.2000000000000002</v>
      </c>
      <c r="N258" s="2">
        <v>2.81</v>
      </c>
      <c r="O258">
        <v>0</v>
      </c>
      <c r="P258">
        <v>6</v>
      </c>
      <c r="Q258" s="4" t="str">
        <f t="shared" si="33"/>
        <v>2018/2019-Genap</v>
      </c>
      <c r="R258" t="s">
        <v>260</v>
      </c>
      <c r="S258" t="str">
        <f t="shared" si="34"/>
        <v>PA</v>
      </c>
    </row>
    <row r="259" spans="1:19" x14ac:dyDescent="0.3">
      <c r="A259" t="s">
        <v>12</v>
      </c>
      <c r="B259">
        <v>2016110008</v>
      </c>
      <c r="C259" t="s">
        <v>261</v>
      </c>
      <c r="E259" t="s">
        <v>139</v>
      </c>
      <c r="F259" t="s">
        <v>140</v>
      </c>
      <c r="G259">
        <v>2</v>
      </c>
      <c r="H259" t="s">
        <v>438</v>
      </c>
      <c r="I259" s="4">
        <f t="shared" si="35"/>
        <v>3</v>
      </c>
      <c r="J259">
        <f t="shared" si="36"/>
        <v>6</v>
      </c>
      <c r="K259">
        <v>44</v>
      </c>
      <c r="L259">
        <v>20</v>
      </c>
      <c r="M259" s="2">
        <v>2.2000000000000002</v>
      </c>
      <c r="N259" s="2">
        <v>2.81</v>
      </c>
      <c r="O259">
        <v>0</v>
      </c>
      <c r="P259">
        <v>2</v>
      </c>
      <c r="Q259" s="4" t="str">
        <f t="shared" si="33"/>
        <v>2016/2017-Genap</v>
      </c>
      <c r="R259" t="s">
        <v>260</v>
      </c>
      <c r="S259" t="str">
        <f t="shared" si="34"/>
        <v>PA</v>
      </c>
    </row>
    <row r="260" spans="1:19" x14ac:dyDescent="0.3">
      <c r="A260" t="s">
        <v>12</v>
      </c>
      <c r="B260">
        <v>2016110008</v>
      </c>
      <c r="C260" t="s">
        <v>261</v>
      </c>
      <c r="E260" t="s">
        <v>248</v>
      </c>
      <c r="F260" t="s">
        <v>249</v>
      </c>
      <c r="G260">
        <v>2</v>
      </c>
      <c r="H260" t="s">
        <v>438</v>
      </c>
      <c r="I260" s="4">
        <f t="shared" si="35"/>
        <v>3</v>
      </c>
      <c r="J260">
        <f t="shared" si="36"/>
        <v>6</v>
      </c>
      <c r="K260">
        <v>50</v>
      </c>
      <c r="L260">
        <v>22</v>
      </c>
      <c r="M260" s="2">
        <v>2.27</v>
      </c>
      <c r="N260" s="2">
        <v>2.81</v>
      </c>
      <c r="O260">
        <v>0</v>
      </c>
      <c r="P260">
        <v>4</v>
      </c>
      <c r="Q260" s="4" t="str">
        <f t="shared" si="33"/>
        <v>2017/2018-Genap</v>
      </c>
      <c r="R260" t="s">
        <v>260</v>
      </c>
      <c r="S260" t="str">
        <f t="shared" si="34"/>
        <v>PA</v>
      </c>
    </row>
    <row r="261" spans="1:19" x14ac:dyDescent="0.3">
      <c r="A261" t="s">
        <v>12</v>
      </c>
      <c r="B261">
        <v>2016110008</v>
      </c>
      <c r="C261" t="s">
        <v>261</v>
      </c>
      <c r="E261" t="s">
        <v>283</v>
      </c>
      <c r="F261" t="s">
        <v>284</v>
      </c>
      <c r="G261">
        <v>2</v>
      </c>
      <c r="H261" t="s">
        <v>438</v>
      </c>
      <c r="I261" s="4">
        <f t="shared" si="35"/>
        <v>3</v>
      </c>
      <c r="J261">
        <f t="shared" si="36"/>
        <v>6</v>
      </c>
      <c r="K261">
        <v>40</v>
      </c>
      <c r="L261">
        <v>16</v>
      </c>
      <c r="M261" s="2">
        <v>2.5</v>
      </c>
      <c r="N261" s="2">
        <v>2.81</v>
      </c>
      <c r="O261">
        <v>0</v>
      </c>
      <c r="P261">
        <v>7</v>
      </c>
      <c r="Q261" s="4" t="str">
        <f t="shared" si="33"/>
        <v>2019/2020-Ganjil</v>
      </c>
      <c r="R261" t="s">
        <v>260</v>
      </c>
      <c r="S261" t="str">
        <f t="shared" si="34"/>
        <v>PA</v>
      </c>
    </row>
    <row r="262" spans="1:19" x14ac:dyDescent="0.3">
      <c r="A262" t="s">
        <v>12</v>
      </c>
      <c r="B262">
        <v>2016110008</v>
      </c>
      <c r="C262" t="s">
        <v>261</v>
      </c>
      <c r="E262" t="s">
        <v>211</v>
      </c>
      <c r="F262" t="s">
        <v>186</v>
      </c>
      <c r="G262">
        <v>4</v>
      </c>
      <c r="H262" t="s">
        <v>438</v>
      </c>
      <c r="I262" s="4">
        <f t="shared" si="35"/>
        <v>3</v>
      </c>
      <c r="J262">
        <f t="shared" si="36"/>
        <v>12</v>
      </c>
      <c r="K262">
        <v>48</v>
      </c>
      <c r="L262">
        <v>18</v>
      </c>
      <c r="M262" s="2">
        <v>2.67</v>
      </c>
      <c r="N262" s="2">
        <v>2.81</v>
      </c>
      <c r="O262">
        <v>0</v>
      </c>
      <c r="P262">
        <v>5</v>
      </c>
      <c r="Q262" s="4" t="str">
        <f t="shared" si="33"/>
        <v>2018/2019-Ganjil</v>
      </c>
      <c r="R262" t="s">
        <v>260</v>
      </c>
      <c r="S262" t="str">
        <f t="shared" si="34"/>
        <v>PA</v>
      </c>
    </row>
    <row r="263" spans="1:19" x14ac:dyDescent="0.3">
      <c r="A263" t="s">
        <v>12</v>
      </c>
      <c r="B263">
        <v>2016110008</v>
      </c>
      <c r="C263" t="s">
        <v>261</v>
      </c>
      <c r="E263" t="s">
        <v>330</v>
      </c>
      <c r="F263" t="s">
        <v>108</v>
      </c>
      <c r="G263">
        <v>2</v>
      </c>
      <c r="H263" t="s">
        <v>438</v>
      </c>
      <c r="I263" s="4">
        <f t="shared" si="35"/>
        <v>3</v>
      </c>
      <c r="J263">
        <f t="shared" si="36"/>
        <v>6</v>
      </c>
      <c r="K263">
        <v>40</v>
      </c>
      <c r="L263">
        <v>16</v>
      </c>
      <c r="M263" s="2">
        <v>2.5</v>
      </c>
      <c r="N263" s="2">
        <v>2.81</v>
      </c>
      <c r="O263">
        <v>0</v>
      </c>
      <c r="P263">
        <v>7</v>
      </c>
      <c r="Q263" s="4" t="str">
        <f t="shared" si="33"/>
        <v>2019/2020-Ganjil</v>
      </c>
      <c r="R263" t="s">
        <v>260</v>
      </c>
      <c r="S263" t="str">
        <f t="shared" si="34"/>
        <v>PA</v>
      </c>
    </row>
    <row r="264" spans="1:19" x14ac:dyDescent="0.3">
      <c r="A264" t="s">
        <v>12</v>
      </c>
      <c r="B264">
        <v>2016110008</v>
      </c>
      <c r="C264" t="s">
        <v>261</v>
      </c>
      <c r="E264" t="s">
        <v>279</v>
      </c>
      <c r="F264" t="s">
        <v>280</v>
      </c>
      <c r="G264">
        <v>2</v>
      </c>
      <c r="H264" t="s">
        <v>438</v>
      </c>
      <c r="I264" s="4">
        <f t="shared" si="35"/>
        <v>3</v>
      </c>
      <c r="J264">
        <f t="shared" si="36"/>
        <v>6</v>
      </c>
      <c r="K264">
        <v>44</v>
      </c>
      <c r="L264">
        <v>20</v>
      </c>
      <c r="M264" s="2">
        <v>2.2000000000000002</v>
      </c>
      <c r="N264" s="2">
        <v>2.81</v>
      </c>
      <c r="O264">
        <v>0</v>
      </c>
      <c r="P264">
        <v>2</v>
      </c>
      <c r="Q264" s="4" t="str">
        <f t="shared" si="33"/>
        <v>2016/2017-Genap</v>
      </c>
      <c r="R264" t="s">
        <v>260</v>
      </c>
      <c r="S264" t="str">
        <f t="shared" si="34"/>
        <v>PA</v>
      </c>
    </row>
    <row r="265" spans="1:19" x14ac:dyDescent="0.3">
      <c r="A265" t="s">
        <v>12</v>
      </c>
      <c r="B265">
        <v>2016110008</v>
      </c>
      <c r="C265" t="s">
        <v>261</v>
      </c>
      <c r="E265" t="s">
        <v>306</v>
      </c>
      <c r="F265" t="s">
        <v>307</v>
      </c>
      <c r="G265">
        <v>2</v>
      </c>
      <c r="H265" t="s">
        <v>438</v>
      </c>
      <c r="I265" s="4">
        <f t="shared" si="35"/>
        <v>3</v>
      </c>
      <c r="J265">
        <f t="shared" si="36"/>
        <v>6</v>
      </c>
      <c r="K265">
        <v>48</v>
      </c>
      <c r="L265">
        <v>18</v>
      </c>
      <c r="M265" s="2">
        <v>2.67</v>
      </c>
      <c r="N265" s="2">
        <v>2.81</v>
      </c>
      <c r="O265">
        <v>0</v>
      </c>
      <c r="P265">
        <v>5</v>
      </c>
      <c r="Q265" s="4" t="str">
        <f t="shared" si="33"/>
        <v>2018/2019-Ganjil</v>
      </c>
      <c r="R265" t="s">
        <v>260</v>
      </c>
      <c r="S265" t="str">
        <f t="shared" si="34"/>
        <v>PA</v>
      </c>
    </row>
    <row r="266" spans="1:19" x14ac:dyDescent="0.3">
      <c r="A266" t="s">
        <v>12</v>
      </c>
      <c r="B266">
        <v>2016110008</v>
      </c>
      <c r="C266" t="s">
        <v>261</v>
      </c>
      <c r="E266" t="s">
        <v>370</v>
      </c>
      <c r="F266" t="s">
        <v>371</v>
      </c>
      <c r="G266">
        <v>2</v>
      </c>
      <c r="H266" t="s">
        <v>438</v>
      </c>
      <c r="I266" s="4">
        <f t="shared" si="35"/>
        <v>3</v>
      </c>
      <c r="J266">
        <f t="shared" si="36"/>
        <v>6</v>
      </c>
      <c r="K266">
        <v>48</v>
      </c>
      <c r="L266">
        <v>18</v>
      </c>
      <c r="M266" s="2">
        <v>2.67</v>
      </c>
      <c r="N266" s="2">
        <v>2.81</v>
      </c>
      <c r="O266">
        <v>0</v>
      </c>
      <c r="P266">
        <v>5</v>
      </c>
      <c r="Q266" s="4" t="str">
        <f t="shared" si="33"/>
        <v>2018/2019-Ganjil</v>
      </c>
      <c r="R266" t="s">
        <v>260</v>
      </c>
      <c r="S266" t="str">
        <f t="shared" si="34"/>
        <v>PA</v>
      </c>
    </row>
    <row r="267" spans="1:19" x14ac:dyDescent="0.3">
      <c r="A267" t="s">
        <v>12</v>
      </c>
      <c r="B267">
        <v>2016110008</v>
      </c>
      <c r="C267" t="s">
        <v>261</v>
      </c>
      <c r="E267" t="s">
        <v>151</v>
      </c>
      <c r="F267" t="s">
        <v>152</v>
      </c>
      <c r="G267">
        <v>2</v>
      </c>
      <c r="H267" t="s">
        <v>438</v>
      </c>
      <c r="I267" s="4">
        <f t="shared" si="35"/>
        <v>3</v>
      </c>
      <c r="J267">
        <f t="shared" si="36"/>
        <v>6</v>
      </c>
      <c r="K267">
        <v>54</v>
      </c>
      <c r="L267">
        <v>20</v>
      </c>
      <c r="M267" s="2">
        <v>2.7</v>
      </c>
      <c r="N267" s="2">
        <v>2.81</v>
      </c>
      <c r="O267">
        <v>0</v>
      </c>
      <c r="P267">
        <v>1</v>
      </c>
      <c r="Q267" s="4" t="str">
        <f t="shared" si="33"/>
        <v>2016/2017-Ganjil</v>
      </c>
      <c r="R267" t="s">
        <v>260</v>
      </c>
      <c r="S267" t="str">
        <f t="shared" si="34"/>
        <v>PA</v>
      </c>
    </row>
    <row r="268" spans="1:19" x14ac:dyDescent="0.3">
      <c r="A268" t="s">
        <v>12</v>
      </c>
      <c r="B268">
        <v>2016110008</v>
      </c>
      <c r="C268" t="s">
        <v>261</v>
      </c>
      <c r="E268" t="s">
        <v>205</v>
      </c>
      <c r="F268" t="s">
        <v>116</v>
      </c>
      <c r="G268">
        <v>4</v>
      </c>
      <c r="H268" t="s">
        <v>438</v>
      </c>
      <c r="I268" s="4">
        <f t="shared" si="35"/>
        <v>3</v>
      </c>
      <c r="J268">
        <f t="shared" si="36"/>
        <v>12</v>
      </c>
      <c r="K268">
        <v>50</v>
      </c>
      <c r="L268">
        <v>18</v>
      </c>
      <c r="M268" s="2">
        <v>2.78</v>
      </c>
      <c r="N268" s="2">
        <v>2.81</v>
      </c>
      <c r="O268">
        <v>0</v>
      </c>
      <c r="P268">
        <v>3</v>
      </c>
      <c r="Q268" s="4" t="str">
        <f t="shared" si="33"/>
        <v>2017/2018-Ganjil</v>
      </c>
      <c r="R268" t="s">
        <v>260</v>
      </c>
      <c r="S268" t="str">
        <f t="shared" si="34"/>
        <v>PA</v>
      </c>
    </row>
    <row r="269" spans="1:19" x14ac:dyDescent="0.3">
      <c r="A269" t="s">
        <v>12</v>
      </c>
      <c r="B269">
        <v>2016110008</v>
      </c>
      <c r="C269" t="s">
        <v>261</v>
      </c>
      <c r="E269" t="s">
        <v>372</v>
      </c>
      <c r="F269" t="s">
        <v>373</v>
      </c>
      <c r="G269">
        <v>2</v>
      </c>
      <c r="H269" t="s">
        <v>438</v>
      </c>
      <c r="I269" s="4">
        <f t="shared" si="35"/>
        <v>3</v>
      </c>
      <c r="J269">
        <f t="shared" si="36"/>
        <v>6</v>
      </c>
      <c r="K269">
        <v>44</v>
      </c>
      <c r="L269">
        <v>20</v>
      </c>
      <c r="M269" s="2">
        <v>2.2000000000000002</v>
      </c>
      <c r="N269" s="2">
        <v>2.81</v>
      </c>
      <c r="O269">
        <v>0</v>
      </c>
      <c r="P269">
        <v>6</v>
      </c>
      <c r="Q269" s="4" t="str">
        <f t="shared" si="33"/>
        <v>2018/2019-Genap</v>
      </c>
      <c r="R269" t="s">
        <v>260</v>
      </c>
      <c r="S269" t="str">
        <f t="shared" si="34"/>
        <v>PA</v>
      </c>
    </row>
    <row r="270" spans="1:19" x14ac:dyDescent="0.3">
      <c r="A270" t="s">
        <v>12</v>
      </c>
      <c r="B270">
        <v>2016110008</v>
      </c>
      <c r="C270" t="s">
        <v>261</v>
      </c>
      <c r="E270" t="s">
        <v>432</v>
      </c>
      <c r="F270" t="s">
        <v>433</v>
      </c>
      <c r="G270">
        <v>4</v>
      </c>
      <c r="H270" t="s">
        <v>524</v>
      </c>
      <c r="I270" s="4">
        <f t="shared" si="35"/>
        <v>2</v>
      </c>
      <c r="J270">
        <f t="shared" si="36"/>
        <v>8</v>
      </c>
      <c r="K270">
        <v>50</v>
      </c>
      <c r="L270">
        <v>22</v>
      </c>
      <c r="M270" s="2">
        <v>2.27</v>
      </c>
      <c r="N270" s="2">
        <v>2.81</v>
      </c>
      <c r="O270">
        <v>0</v>
      </c>
      <c r="P270">
        <v>4</v>
      </c>
      <c r="Q270" s="4" t="str">
        <f t="shared" si="33"/>
        <v>2017/2018-Genap</v>
      </c>
      <c r="R270" t="s">
        <v>260</v>
      </c>
      <c r="S270" t="str">
        <f t="shared" si="34"/>
        <v>PA</v>
      </c>
    </row>
    <row r="271" spans="1:19" x14ac:dyDescent="0.3">
      <c r="A271" t="s">
        <v>12</v>
      </c>
      <c r="B271">
        <v>2016110008</v>
      </c>
      <c r="C271" t="s">
        <v>261</v>
      </c>
      <c r="E271" t="s">
        <v>432</v>
      </c>
      <c r="F271" t="s">
        <v>433</v>
      </c>
      <c r="G271">
        <v>4</v>
      </c>
      <c r="H271" t="s">
        <v>524</v>
      </c>
      <c r="I271" s="4">
        <f t="shared" si="35"/>
        <v>2</v>
      </c>
      <c r="J271">
        <f t="shared" si="36"/>
        <v>8</v>
      </c>
      <c r="K271">
        <v>46</v>
      </c>
      <c r="L271">
        <v>18</v>
      </c>
      <c r="M271" s="2">
        <v>2.56</v>
      </c>
      <c r="N271" s="2">
        <v>2.81</v>
      </c>
      <c r="O271">
        <v>1</v>
      </c>
      <c r="P271">
        <v>8</v>
      </c>
      <c r="Q271" s="4" t="str">
        <f t="shared" si="33"/>
        <v>2019/2020-Genap</v>
      </c>
      <c r="R271" t="s">
        <v>260</v>
      </c>
      <c r="S271" t="str">
        <f t="shared" si="34"/>
        <v>PA</v>
      </c>
    </row>
    <row r="272" spans="1:19" x14ac:dyDescent="0.3">
      <c r="A272" t="s">
        <v>12</v>
      </c>
      <c r="B272">
        <v>2016110008</v>
      </c>
      <c r="C272" t="s">
        <v>261</v>
      </c>
      <c r="E272" t="s">
        <v>290</v>
      </c>
      <c r="F272" t="s">
        <v>327</v>
      </c>
      <c r="G272">
        <v>4</v>
      </c>
      <c r="H272" t="s">
        <v>438</v>
      </c>
      <c r="I272" s="4">
        <f t="shared" si="35"/>
        <v>3</v>
      </c>
      <c r="J272">
        <f t="shared" si="36"/>
        <v>12</v>
      </c>
      <c r="K272">
        <v>36</v>
      </c>
      <c r="L272">
        <v>14</v>
      </c>
      <c r="M272" s="2">
        <v>2.57</v>
      </c>
      <c r="N272" s="2">
        <v>2.81</v>
      </c>
      <c r="O272">
        <v>1</v>
      </c>
      <c r="P272">
        <v>10</v>
      </c>
      <c r="Q272" s="4" t="str">
        <f t="shared" si="33"/>
        <v>2020/2021-Genap</v>
      </c>
      <c r="R272" t="s">
        <v>596</v>
      </c>
      <c r="S272" t="str">
        <f t="shared" si="34"/>
        <v>PA</v>
      </c>
    </row>
    <row r="273" spans="1:19" x14ac:dyDescent="0.3">
      <c r="A273" t="s">
        <v>12</v>
      </c>
      <c r="B273">
        <v>2016110008</v>
      </c>
      <c r="C273" t="s">
        <v>261</v>
      </c>
      <c r="E273" t="s">
        <v>290</v>
      </c>
      <c r="F273" t="s">
        <v>327</v>
      </c>
      <c r="G273">
        <v>4</v>
      </c>
      <c r="H273" t="s">
        <v>524</v>
      </c>
      <c r="I273" s="4">
        <f t="shared" si="35"/>
        <v>2</v>
      </c>
      <c r="J273">
        <f t="shared" si="36"/>
        <v>8</v>
      </c>
      <c r="K273">
        <v>44</v>
      </c>
      <c r="L273">
        <v>20</v>
      </c>
      <c r="M273" s="2">
        <v>2.2000000000000002</v>
      </c>
      <c r="N273" s="2">
        <v>2.81</v>
      </c>
      <c r="O273">
        <v>0</v>
      </c>
      <c r="P273">
        <v>2</v>
      </c>
      <c r="Q273" s="4" t="str">
        <f t="shared" si="33"/>
        <v>2016/2017-Genap</v>
      </c>
      <c r="R273" t="s">
        <v>260</v>
      </c>
      <c r="S273" t="str">
        <f t="shared" si="34"/>
        <v>PA</v>
      </c>
    </row>
    <row r="274" spans="1:19" x14ac:dyDescent="0.3">
      <c r="A274" t="s">
        <v>12</v>
      </c>
      <c r="B274">
        <v>2016110008</v>
      </c>
      <c r="C274" t="s">
        <v>261</v>
      </c>
      <c r="E274" t="s">
        <v>103</v>
      </c>
      <c r="F274" t="s">
        <v>104</v>
      </c>
      <c r="G274">
        <v>4</v>
      </c>
      <c r="H274" t="s">
        <v>524</v>
      </c>
      <c r="I274" s="4">
        <f t="shared" si="35"/>
        <v>2</v>
      </c>
      <c r="J274">
        <f t="shared" si="36"/>
        <v>8</v>
      </c>
      <c r="K274">
        <v>44</v>
      </c>
      <c r="L274">
        <v>20</v>
      </c>
      <c r="M274" s="2">
        <v>2.2000000000000002</v>
      </c>
      <c r="N274" s="2">
        <v>2.81</v>
      </c>
      <c r="O274">
        <v>0</v>
      </c>
      <c r="P274">
        <v>2</v>
      </c>
      <c r="Q274" s="4" t="str">
        <f t="shared" si="33"/>
        <v>2016/2017-Genap</v>
      </c>
      <c r="R274" t="s">
        <v>260</v>
      </c>
      <c r="S274" t="str">
        <f t="shared" si="34"/>
        <v>PA</v>
      </c>
    </row>
    <row r="275" spans="1:19" x14ac:dyDescent="0.3">
      <c r="A275" t="s">
        <v>12</v>
      </c>
      <c r="B275">
        <v>2016110008</v>
      </c>
      <c r="C275" t="s">
        <v>261</v>
      </c>
      <c r="E275" t="s">
        <v>103</v>
      </c>
      <c r="F275" t="s">
        <v>104</v>
      </c>
      <c r="G275">
        <v>4</v>
      </c>
      <c r="H275" t="s">
        <v>438</v>
      </c>
      <c r="I275" s="4">
        <f t="shared" si="35"/>
        <v>3</v>
      </c>
      <c r="J275">
        <f t="shared" si="36"/>
        <v>12</v>
      </c>
      <c r="K275">
        <v>46</v>
      </c>
      <c r="L275">
        <v>18</v>
      </c>
      <c r="M275" s="2">
        <v>2.56</v>
      </c>
      <c r="N275" s="2">
        <v>2.81</v>
      </c>
      <c r="O275">
        <v>1</v>
      </c>
      <c r="P275">
        <v>8</v>
      </c>
      <c r="Q275" s="4" t="str">
        <f t="shared" si="33"/>
        <v>2019/2020-Genap</v>
      </c>
      <c r="R275" t="s">
        <v>260</v>
      </c>
      <c r="S275" t="str">
        <f t="shared" si="34"/>
        <v>PA</v>
      </c>
    </row>
    <row r="276" spans="1:19" x14ac:dyDescent="0.3">
      <c r="A276" t="s">
        <v>12</v>
      </c>
      <c r="B276">
        <v>2016110008</v>
      </c>
      <c r="C276" t="s">
        <v>261</v>
      </c>
      <c r="E276" t="s">
        <v>382</v>
      </c>
      <c r="F276" t="s">
        <v>383</v>
      </c>
      <c r="G276">
        <v>4</v>
      </c>
      <c r="H276" t="s">
        <v>524</v>
      </c>
      <c r="I276" s="4">
        <f t="shared" si="35"/>
        <v>2</v>
      </c>
      <c r="J276">
        <f t="shared" si="36"/>
        <v>8</v>
      </c>
      <c r="K276">
        <v>40</v>
      </c>
      <c r="L276">
        <v>16</v>
      </c>
      <c r="M276" s="2">
        <v>2.5</v>
      </c>
      <c r="N276" s="2">
        <v>2.81</v>
      </c>
      <c r="O276">
        <v>0</v>
      </c>
      <c r="P276">
        <v>7</v>
      </c>
      <c r="Q276" s="4" t="str">
        <f t="shared" si="33"/>
        <v>2019/2020-Ganjil</v>
      </c>
      <c r="R276" t="s">
        <v>260</v>
      </c>
      <c r="S276" t="str">
        <f t="shared" si="34"/>
        <v>PA</v>
      </c>
    </row>
    <row r="277" spans="1:19" x14ac:dyDescent="0.3">
      <c r="A277" t="s">
        <v>12</v>
      </c>
      <c r="B277">
        <v>2016110008</v>
      </c>
      <c r="C277" t="s">
        <v>261</v>
      </c>
      <c r="E277" t="s">
        <v>382</v>
      </c>
      <c r="F277" t="s">
        <v>383</v>
      </c>
      <c r="G277">
        <v>4</v>
      </c>
      <c r="H277" t="s">
        <v>524</v>
      </c>
      <c r="I277" s="4">
        <f t="shared" si="35"/>
        <v>2</v>
      </c>
      <c r="J277">
        <f t="shared" si="36"/>
        <v>8</v>
      </c>
      <c r="K277">
        <v>48</v>
      </c>
      <c r="L277">
        <v>16</v>
      </c>
      <c r="M277" s="2">
        <v>3</v>
      </c>
      <c r="N277" s="2">
        <v>2.81</v>
      </c>
      <c r="O277">
        <v>1</v>
      </c>
      <c r="P277">
        <v>8</v>
      </c>
      <c r="Q277" s="4" t="s">
        <v>571</v>
      </c>
      <c r="R277" t="s">
        <v>260</v>
      </c>
      <c r="S277" t="str">
        <f t="shared" si="34"/>
        <v>PA</v>
      </c>
    </row>
    <row r="278" spans="1:19" x14ac:dyDescent="0.3">
      <c r="A278" t="s">
        <v>12</v>
      </c>
      <c r="B278">
        <v>2016110008</v>
      </c>
      <c r="C278" t="s">
        <v>261</v>
      </c>
      <c r="E278" t="s">
        <v>241</v>
      </c>
      <c r="F278" t="s">
        <v>45</v>
      </c>
      <c r="G278">
        <v>2</v>
      </c>
      <c r="H278" t="s">
        <v>524</v>
      </c>
      <c r="I278" s="4">
        <f t="shared" si="35"/>
        <v>2</v>
      </c>
      <c r="J278">
        <f t="shared" si="36"/>
        <v>4</v>
      </c>
      <c r="K278">
        <v>28</v>
      </c>
      <c r="L278">
        <v>10</v>
      </c>
      <c r="M278" s="2">
        <v>2.8</v>
      </c>
      <c r="N278" s="2">
        <v>2.81</v>
      </c>
      <c r="O278">
        <v>1</v>
      </c>
      <c r="P278">
        <v>9</v>
      </c>
      <c r="Q278" s="4" t="str">
        <f t="shared" ref="Q278:Q299" si="37">IF(P278=1,"2016/2017-Ganjil",IF(P278=2,"2016/2017-Genap",IF(P278=3,"2017/2018-Ganjil",IF(P278=4,"2017/2018-Genap",IF(P278=5,"2018/2019-Ganjil",IF(P278=6,"2018/2019-Genap",IF(P278=7,"2019/2020-Ganjil",IF(P278=8,"2019/2020-Genap",IF(P278=9,"2020/2021-Ganjil",IF(P278=10,"2020/2021-Genap",IF(P278=11,"2021/2022-Ganjil",IF(P278=12,"2021/2022-Genap",IF(P278=13,"2022/2023-Ganjil","2022/2023-Genap")))))))))))))</f>
        <v>2020/2021-Ganjil</v>
      </c>
      <c r="R278" t="s">
        <v>260</v>
      </c>
      <c r="S278" t="str">
        <f t="shared" si="34"/>
        <v>PA</v>
      </c>
    </row>
    <row r="279" spans="1:19" x14ac:dyDescent="0.3">
      <c r="A279" t="s">
        <v>12</v>
      </c>
      <c r="B279">
        <v>2016110008</v>
      </c>
      <c r="C279" t="s">
        <v>261</v>
      </c>
      <c r="E279" t="s">
        <v>241</v>
      </c>
      <c r="F279" t="s">
        <v>45</v>
      </c>
      <c r="G279">
        <v>2</v>
      </c>
      <c r="H279" t="s">
        <v>524</v>
      </c>
      <c r="I279" s="4">
        <f t="shared" si="35"/>
        <v>2</v>
      </c>
      <c r="J279">
        <f t="shared" si="36"/>
        <v>4</v>
      </c>
      <c r="K279">
        <v>50</v>
      </c>
      <c r="L279">
        <v>18</v>
      </c>
      <c r="M279" s="2">
        <v>2.78</v>
      </c>
      <c r="N279" s="2">
        <v>2.81</v>
      </c>
      <c r="O279">
        <v>0</v>
      </c>
      <c r="P279">
        <v>3</v>
      </c>
      <c r="Q279" s="4" t="str">
        <f t="shared" si="37"/>
        <v>2017/2018-Ganjil</v>
      </c>
      <c r="R279" t="s">
        <v>260</v>
      </c>
      <c r="S279" t="str">
        <f t="shared" si="34"/>
        <v>PA</v>
      </c>
    </row>
    <row r="280" spans="1:19" x14ac:dyDescent="0.3">
      <c r="A280" t="s">
        <v>12</v>
      </c>
      <c r="B280">
        <v>2016110008</v>
      </c>
      <c r="C280" t="s">
        <v>261</v>
      </c>
      <c r="E280" t="s">
        <v>357</v>
      </c>
      <c r="F280" t="s">
        <v>358</v>
      </c>
      <c r="G280">
        <v>4</v>
      </c>
      <c r="H280" t="s">
        <v>524</v>
      </c>
      <c r="I280" s="4">
        <f t="shared" si="35"/>
        <v>2</v>
      </c>
      <c r="J280">
        <f t="shared" si="36"/>
        <v>8</v>
      </c>
      <c r="K280">
        <v>48</v>
      </c>
      <c r="L280">
        <v>18</v>
      </c>
      <c r="M280" s="2">
        <v>2.67</v>
      </c>
      <c r="N280" s="2">
        <v>2.81</v>
      </c>
      <c r="O280">
        <v>0</v>
      </c>
      <c r="P280">
        <v>5</v>
      </c>
      <c r="Q280" s="4" t="str">
        <f t="shared" si="37"/>
        <v>2018/2019-Ganjil</v>
      </c>
      <c r="R280" t="s">
        <v>260</v>
      </c>
      <c r="S280" t="str">
        <f t="shared" si="34"/>
        <v>PA</v>
      </c>
    </row>
    <row r="281" spans="1:19" x14ac:dyDescent="0.3">
      <c r="A281" t="s">
        <v>12</v>
      </c>
      <c r="B281">
        <v>2016110008</v>
      </c>
      <c r="C281" t="s">
        <v>261</v>
      </c>
      <c r="E281" t="s">
        <v>264</v>
      </c>
      <c r="F281" t="s">
        <v>265</v>
      </c>
      <c r="G281">
        <v>2</v>
      </c>
      <c r="H281" t="s">
        <v>438</v>
      </c>
      <c r="I281" s="4">
        <f t="shared" si="35"/>
        <v>3</v>
      </c>
      <c r="J281">
        <f t="shared" si="36"/>
        <v>6</v>
      </c>
      <c r="K281">
        <v>28</v>
      </c>
      <c r="L281">
        <v>10</v>
      </c>
      <c r="M281" s="2">
        <v>2.8</v>
      </c>
      <c r="N281" s="2">
        <v>2.81</v>
      </c>
      <c r="O281">
        <v>1</v>
      </c>
      <c r="P281">
        <v>9</v>
      </c>
      <c r="Q281" s="4" t="str">
        <f t="shared" si="37"/>
        <v>2020/2021-Ganjil</v>
      </c>
      <c r="R281" t="s">
        <v>260</v>
      </c>
      <c r="S281" t="str">
        <f t="shared" si="34"/>
        <v>PA</v>
      </c>
    </row>
    <row r="282" spans="1:19" x14ac:dyDescent="0.3">
      <c r="A282" t="s">
        <v>12</v>
      </c>
      <c r="B282">
        <v>2016110008</v>
      </c>
      <c r="C282" t="s">
        <v>261</v>
      </c>
      <c r="E282" t="s">
        <v>264</v>
      </c>
      <c r="F282" t="s">
        <v>265</v>
      </c>
      <c r="G282">
        <v>2</v>
      </c>
      <c r="H282" t="s">
        <v>524</v>
      </c>
      <c r="I282" s="4">
        <f t="shared" si="35"/>
        <v>2</v>
      </c>
      <c r="J282">
        <f t="shared" si="36"/>
        <v>4</v>
      </c>
      <c r="K282">
        <v>48</v>
      </c>
      <c r="L282">
        <v>18</v>
      </c>
      <c r="M282" s="2">
        <v>2.67</v>
      </c>
      <c r="N282" s="2">
        <v>2.81</v>
      </c>
      <c r="O282">
        <v>0</v>
      </c>
      <c r="P282">
        <v>5</v>
      </c>
      <c r="Q282" s="4" t="str">
        <f t="shared" si="37"/>
        <v>2018/2019-Ganjil</v>
      </c>
      <c r="R282" t="s">
        <v>260</v>
      </c>
      <c r="S282" t="str">
        <f t="shared" si="34"/>
        <v>PA</v>
      </c>
    </row>
    <row r="283" spans="1:19" x14ac:dyDescent="0.3">
      <c r="A283" t="s">
        <v>12</v>
      </c>
      <c r="B283">
        <v>2016110008</v>
      </c>
      <c r="C283" t="s">
        <v>261</v>
      </c>
      <c r="E283" t="s">
        <v>142</v>
      </c>
      <c r="F283" t="s">
        <v>143</v>
      </c>
      <c r="G283">
        <v>2</v>
      </c>
      <c r="H283" t="s">
        <v>260</v>
      </c>
      <c r="I283" s="4">
        <f t="shared" si="35"/>
        <v>4</v>
      </c>
      <c r="J283">
        <f t="shared" si="36"/>
        <v>8</v>
      </c>
      <c r="K283">
        <v>28</v>
      </c>
      <c r="L283">
        <v>10</v>
      </c>
      <c r="M283" s="2">
        <v>2.8</v>
      </c>
      <c r="N283" s="2">
        <v>2.81</v>
      </c>
      <c r="O283">
        <v>1</v>
      </c>
      <c r="P283">
        <v>9</v>
      </c>
      <c r="Q283" s="4" t="str">
        <f t="shared" si="37"/>
        <v>2020/2021-Ganjil</v>
      </c>
      <c r="R283" t="s">
        <v>260</v>
      </c>
      <c r="S283" t="str">
        <f t="shared" si="34"/>
        <v>PA</v>
      </c>
    </row>
    <row r="284" spans="1:19" x14ac:dyDescent="0.3">
      <c r="A284" t="s">
        <v>12</v>
      </c>
      <c r="B284">
        <v>2016110008</v>
      </c>
      <c r="C284" t="s">
        <v>261</v>
      </c>
      <c r="E284" t="s">
        <v>142</v>
      </c>
      <c r="F284" t="s">
        <v>143</v>
      </c>
      <c r="G284">
        <v>2</v>
      </c>
      <c r="H284" t="s">
        <v>524</v>
      </c>
      <c r="I284" s="4">
        <f t="shared" si="35"/>
        <v>2</v>
      </c>
      <c r="J284">
        <f t="shared" si="36"/>
        <v>4</v>
      </c>
      <c r="K284">
        <v>54</v>
      </c>
      <c r="L284">
        <v>20</v>
      </c>
      <c r="M284" s="2">
        <v>2.7</v>
      </c>
      <c r="N284" s="2">
        <v>2.81</v>
      </c>
      <c r="O284">
        <v>0</v>
      </c>
      <c r="P284">
        <v>1</v>
      </c>
      <c r="Q284" s="4" t="str">
        <f t="shared" si="37"/>
        <v>2016/2017-Ganjil</v>
      </c>
      <c r="R284" t="s">
        <v>260</v>
      </c>
      <c r="S284" t="str">
        <f t="shared" si="34"/>
        <v>PA</v>
      </c>
    </row>
    <row r="285" spans="1:19" x14ac:dyDescent="0.3">
      <c r="A285" t="s">
        <v>12</v>
      </c>
      <c r="B285">
        <v>2016110008</v>
      </c>
      <c r="C285" t="s">
        <v>261</v>
      </c>
      <c r="E285" t="s">
        <v>374</v>
      </c>
      <c r="F285" t="s">
        <v>375</v>
      </c>
      <c r="G285">
        <v>2</v>
      </c>
      <c r="H285" t="s">
        <v>438</v>
      </c>
      <c r="I285" s="4">
        <f t="shared" si="35"/>
        <v>3</v>
      </c>
      <c r="J285">
        <f t="shared" si="36"/>
        <v>6</v>
      </c>
      <c r="K285">
        <v>36</v>
      </c>
      <c r="L285">
        <v>14</v>
      </c>
      <c r="M285" s="2">
        <v>2.57</v>
      </c>
      <c r="N285" s="2">
        <v>2.81</v>
      </c>
      <c r="O285">
        <v>1</v>
      </c>
      <c r="P285">
        <v>10</v>
      </c>
      <c r="Q285" s="4" t="str">
        <f t="shared" si="37"/>
        <v>2020/2021-Genap</v>
      </c>
      <c r="R285" t="s">
        <v>596</v>
      </c>
      <c r="S285" t="str">
        <f t="shared" si="34"/>
        <v>PA</v>
      </c>
    </row>
    <row r="286" spans="1:19" x14ac:dyDescent="0.3">
      <c r="A286" t="s">
        <v>12</v>
      </c>
      <c r="B286">
        <v>2016110008</v>
      </c>
      <c r="C286" t="s">
        <v>261</v>
      </c>
      <c r="E286" t="s">
        <v>374</v>
      </c>
      <c r="F286" t="s">
        <v>375</v>
      </c>
      <c r="G286">
        <v>2</v>
      </c>
      <c r="H286" t="s">
        <v>524</v>
      </c>
      <c r="I286" s="4">
        <f t="shared" si="35"/>
        <v>2</v>
      </c>
      <c r="J286">
        <f t="shared" si="36"/>
        <v>4</v>
      </c>
      <c r="K286">
        <v>50</v>
      </c>
      <c r="L286">
        <v>22</v>
      </c>
      <c r="M286" s="2">
        <v>2.27</v>
      </c>
      <c r="N286" s="2">
        <v>2.81</v>
      </c>
      <c r="O286">
        <v>0</v>
      </c>
      <c r="P286">
        <v>4</v>
      </c>
      <c r="Q286" s="4" t="str">
        <f t="shared" si="37"/>
        <v>2017/2018-Genap</v>
      </c>
      <c r="R286" t="s">
        <v>260</v>
      </c>
      <c r="S286" t="str">
        <f t="shared" si="34"/>
        <v>PA</v>
      </c>
    </row>
    <row r="287" spans="1:19" x14ac:dyDescent="0.3">
      <c r="A287" t="s">
        <v>12</v>
      </c>
      <c r="B287">
        <v>2016110008</v>
      </c>
      <c r="C287" t="s">
        <v>261</v>
      </c>
      <c r="E287" t="s">
        <v>90</v>
      </c>
      <c r="F287" t="s">
        <v>91</v>
      </c>
      <c r="G287">
        <v>2</v>
      </c>
      <c r="H287" t="s">
        <v>524</v>
      </c>
      <c r="I287" s="4">
        <f t="shared" si="35"/>
        <v>2</v>
      </c>
      <c r="J287">
        <f t="shared" si="36"/>
        <v>4</v>
      </c>
      <c r="K287">
        <v>54</v>
      </c>
      <c r="L287">
        <v>20</v>
      </c>
      <c r="M287" s="2">
        <v>2.7</v>
      </c>
      <c r="N287" s="2">
        <v>2.81</v>
      </c>
      <c r="O287">
        <v>0</v>
      </c>
      <c r="P287">
        <v>1</v>
      </c>
      <c r="Q287" s="4" t="str">
        <f t="shared" si="37"/>
        <v>2016/2017-Ganjil</v>
      </c>
      <c r="R287" t="s">
        <v>260</v>
      </c>
      <c r="S287" t="str">
        <f t="shared" si="34"/>
        <v>PA</v>
      </c>
    </row>
    <row r="288" spans="1:19" x14ac:dyDescent="0.3">
      <c r="A288" t="s">
        <v>12</v>
      </c>
      <c r="B288">
        <v>2016110008</v>
      </c>
      <c r="C288" t="s">
        <v>261</v>
      </c>
      <c r="E288" t="s">
        <v>190</v>
      </c>
      <c r="F288" t="s">
        <v>191</v>
      </c>
      <c r="G288">
        <v>4</v>
      </c>
      <c r="H288" t="s">
        <v>524</v>
      </c>
      <c r="I288" s="4">
        <f t="shared" si="35"/>
        <v>2</v>
      </c>
      <c r="J288">
        <f t="shared" si="36"/>
        <v>8</v>
      </c>
      <c r="K288">
        <v>40</v>
      </c>
      <c r="L288">
        <v>16</v>
      </c>
      <c r="M288" s="2">
        <v>2.5</v>
      </c>
      <c r="N288" s="2">
        <v>2.81</v>
      </c>
      <c r="O288">
        <v>0</v>
      </c>
      <c r="P288">
        <v>7</v>
      </c>
      <c r="Q288" s="4" t="str">
        <f t="shared" si="37"/>
        <v>2019/2020-Ganjil</v>
      </c>
      <c r="R288" t="s">
        <v>260</v>
      </c>
      <c r="S288" t="str">
        <f t="shared" si="34"/>
        <v>PA</v>
      </c>
    </row>
    <row r="289" spans="1:19" x14ac:dyDescent="0.3">
      <c r="A289" t="s">
        <v>12</v>
      </c>
      <c r="B289">
        <v>2016110008</v>
      </c>
      <c r="C289" t="s">
        <v>261</v>
      </c>
      <c r="E289" t="s">
        <v>234</v>
      </c>
      <c r="F289" t="s">
        <v>235</v>
      </c>
      <c r="G289">
        <v>4</v>
      </c>
      <c r="H289" t="s">
        <v>524</v>
      </c>
      <c r="I289" s="4">
        <f t="shared" si="35"/>
        <v>2</v>
      </c>
      <c r="J289">
        <f t="shared" si="36"/>
        <v>8</v>
      </c>
      <c r="K289">
        <v>50</v>
      </c>
      <c r="L289">
        <v>18</v>
      </c>
      <c r="M289" s="2">
        <v>2.78</v>
      </c>
      <c r="N289" s="2">
        <v>2.81</v>
      </c>
      <c r="O289">
        <v>0</v>
      </c>
      <c r="P289">
        <v>3</v>
      </c>
      <c r="Q289" s="4" t="str">
        <f t="shared" si="37"/>
        <v>2017/2018-Ganjil</v>
      </c>
      <c r="R289" t="s">
        <v>260</v>
      </c>
      <c r="S289" t="str">
        <f t="shared" si="34"/>
        <v>PA</v>
      </c>
    </row>
    <row r="290" spans="1:19" x14ac:dyDescent="0.3">
      <c r="A290" t="s">
        <v>12</v>
      </c>
      <c r="B290">
        <v>2016110008</v>
      </c>
      <c r="C290" t="s">
        <v>261</v>
      </c>
      <c r="E290" t="s">
        <v>122</v>
      </c>
      <c r="F290" t="s">
        <v>123</v>
      </c>
      <c r="G290">
        <v>4</v>
      </c>
      <c r="H290" t="s">
        <v>524</v>
      </c>
      <c r="I290" s="4">
        <f t="shared" si="35"/>
        <v>2</v>
      </c>
      <c r="J290">
        <f t="shared" si="36"/>
        <v>8</v>
      </c>
      <c r="K290">
        <v>54</v>
      </c>
      <c r="L290">
        <v>20</v>
      </c>
      <c r="M290" s="2">
        <v>2.7</v>
      </c>
      <c r="N290" s="2">
        <v>2.81</v>
      </c>
      <c r="O290">
        <v>0</v>
      </c>
      <c r="P290">
        <v>1</v>
      </c>
      <c r="Q290" s="4" t="str">
        <f t="shared" si="37"/>
        <v>2016/2017-Ganjil</v>
      </c>
      <c r="R290" t="s">
        <v>260</v>
      </c>
      <c r="S290" t="str">
        <f t="shared" si="34"/>
        <v>PA</v>
      </c>
    </row>
    <row r="291" spans="1:19" x14ac:dyDescent="0.3">
      <c r="A291" t="s">
        <v>12</v>
      </c>
      <c r="B291">
        <v>2016110008</v>
      </c>
      <c r="C291" t="s">
        <v>261</v>
      </c>
      <c r="E291" t="s">
        <v>236</v>
      </c>
      <c r="F291" t="s">
        <v>237</v>
      </c>
      <c r="G291">
        <v>2</v>
      </c>
      <c r="H291" t="s">
        <v>524</v>
      </c>
      <c r="I291" s="4">
        <f t="shared" si="35"/>
        <v>2</v>
      </c>
      <c r="J291">
        <f t="shared" si="36"/>
        <v>4</v>
      </c>
      <c r="K291">
        <v>28</v>
      </c>
      <c r="L291">
        <v>10</v>
      </c>
      <c r="M291" s="2">
        <v>2.8</v>
      </c>
      <c r="N291" s="2">
        <v>2.81</v>
      </c>
      <c r="O291">
        <v>0</v>
      </c>
      <c r="P291">
        <v>9</v>
      </c>
      <c r="Q291" s="4" t="str">
        <f t="shared" si="37"/>
        <v>2020/2021-Ganjil</v>
      </c>
      <c r="R291" t="s">
        <v>260</v>
      </c>
      <c r="S291" t="str">
        <f t="shared" si="34"/>
        <v>PA</v>
      </c>
    </row>
    <row r="292" spans="1:19" x14ac:dyDescent="0.3">
      <c r="A292" t="s">
        <v>12</v>
      </c>
      <c r="B292">
        <v>2016110008</v>
      </c>
      <c r="C292" t="s">
        <v>261</v>
      </c>
      <c r="E292" t="s">
        <v>192</v>
      </c>
      <c r="F292" t="s">
        <v>106</v>
      </c>
      <c r="G292">
        <v>2</v>
      </c>
      <c r="H292" t="s">
        <v>438</v>
      </c>
      <c r="I292" s="4">
        <f t="shared" si="35"/>
        <v>3</v>
      </c>
      <c r="J292">
        <f t="shared" si="36"/>
        <v>6</v>
      </c>
      <c r="K292">
        <v>28</v>
      </c>
      <c r="L292">
        <v>10</v>
      </c>
      <c r="M292" s="2">
        <v>2.8</v>
      </c>
      <c r="N292" s="2">
        <v>2.81</v>
      </c>
      <c r="O292">
        <v>1</v>
      </c>
      <c r="P292">
        <v>9</v>
      </c>
      <c r="Q292" s="4" t="str">
        <f t="shared" si="37"/>
        <v>2020/2021-Ganjil</v>
      </c>
      <c r="R292" t="s">
        <v>260</v>
      </c>
      <c r="S292" t="str">
        <f t="shared" si="34"/>
        <v>PA</v>
      </c>
    </row>
    <row r="293" spans="1:19" x14ac:dyDescent="0.3">
      <c r="A293" t="s">
        <v>12</v>
      </c>
      <c r="B293">
        <v>2016110008</v>
      </c>
      <c r="C293" t="s">
        <v>261</v>
      </c>
      <c r="E293" t="s">
        <v>192</v>
      </c>
      <c r="F293" t="s">
        <v>106</v>
      </c>
      <c r="G293">
        <v>2</v>
      </c>
      <c r="H293" t="s">
        <v>524</v>
      </c>
      <c r="I293" s="4">
        <f t="shared" si="35"/>
        <v>2</v>
      </c>
      <c r="J293">
        <f t="shared" si="36"/>
        <v>4</v>
      </c>
      <c r="K293">
        <v>50</v>
      </c>
      <c r="L293">
        <v>18</v>
      </c>
      <c r="M293" s="2">
        <v>2.78</v>
      </c>
      <c r="N293" s="2">
        <v>2.81</v>
      </c>
      <c r="O293">
        <v>0</v>
      </c>
      <c r="P293">
        <v>3</v>
      </c>
      <c r="Q293" s="4" t="str">
        <f t="shared" si="37"/>
        <v>2017/2018-Ganjil</v>
      </c>
      <c r="R293" t="s">
        <v>260</v>
      </c>
      <c r="S293" t="str">
        <f t="shared" si="34"/>
        <v>PA</v>
      </c>
    </row>
    <row r="294" spans="1:19" x14ac:dyDescent="0.3">
      <c r="A294" t="s">
        <v>12</v>
      </c>
      <c r="B294">
        <v>2016110008</v>
      </c>
      <c r="C294" t="s">
        <v>261</v>
      </c>
      <c r="E294" t="s">
        <v>273</v>
      </c>
      <c r="F294" t="s">
        <v>274</v>
      </c>
      <c r="G294">
        <v>2</v>
      </c>
      <c r="H294" t="s">
        <v>524</v>
      </c>
      <c r="I294" s="4">
        <f t="shared" si="35"/>
        <v>2</v>
      </c>
      <c r="J294">
        <f t="shared" si="36"/>
        <v>4</v>
      </c>
      <c r="K294">
        <v>36</v>
      </c>
      <c r="L294">
        <v>14</v>
      </c>
      <c r="M294" s="2">
        <v>2.57</v>
      </c>
      <c r="N294" s="2">
        <v>2.81</v>
      </c>
      <c r="O294">
        <v>1</v>
      </c>
      <c r="P294">
        <v>10</v>
      </c>
      <c r="Q294" s="4" t="str">
        <f t="shared" si="37"/>
        <v>2020/2021-Genap</v>
      </c>
      <c r="R294" t="s">
        <v>596</v>
      </c>
      <c r="S294" t="str">
        <f t="shared" si="34"/>
        <v>PA</v>
      </c>
    </row>
    <row r="295" spans="1:19" x14ac:dyDescent="0.3">
      <c r="A295" t="s">
        <v>12</v>
      </c>
      <c r="B295">
        <v>2016110008</v>
      </c>
      <c r="C295" t="s">
        <v>261</v>
      </c>
      <c r="E295" t="s">
        <v>273</v>
      </c>
      <c r="F295" t="s">
        <v>274</v>
      </c>
      <c r="G295">
        <v>2</v>
      </c>
      <c r="H295" t="s">
        <v>524</v>
      </c>
      <c r="I295" s="4">
        <f t="shared" si="35"/>
        <v>2</v>
      </c>
      <c r="J295">
        <f t="shared" si="36"/>
        <v>4</v>
      </c>
      <c r="K295">
        <v>44</v>
      </c>
      <c r="L295">
        <v>20</v>
      </c>
      <c r="M295" s="2">
        <v>2.2000000000000002</v>
      </c>
      <c r="N295" s="2">
        <v>2.81</v>
      </c>
      <c r="O295">
        <v>0</v>
      </c>
      <c r="P295">
        <v>6</v>
      </c>
      <c r="Q295" s="4" t="str">
        <f t="shared" si="37"/>
        <v>2018/2019-Genap</v>
      </c>
      <c r="R295" t="s">
        <v>260</v>
      </c>
      <c r="S295" t="str">
        <f t="shared" si="34"/>
        <v>PA</v>
      </c>
    </row>
    <row r="296" spans="1:19" x14ac:dyDescent="0.3">
      <c r="A296" t="s">
        <v>12</v>
      </c>
      <c r="B296">
        <v>2016110008</v>
      </c>
      <c r="C296" t="s">
        <v>261</v>
      </c>
      <c r="E296" t="s">
        <v>31</v>
      </c>
      <c r="F296" t="s">
        <v>20</v>
      </c>
      <c r="G296">
        <v>4</v>
      </c>
      <c r="H296" t="s">
        <v>524</v>
      </c>
      <c r="I296" s="4">
        <f t="shared" si="35"/>
        <v>2</v>
      </c>
      <c r="J296">
        <f t="shared" si="36"/>
        <v>8</v>
      </c>
      <c r="K296">
        <v>36</v>
      </c>
      <c r="L296">
        <v>14</v>
      </c>
      <c r="M296" s="2">
        <v>2.57</v>
      </c>
      <c r="N296" s="2">
        <v>2.81</v>
      </c>
      <c r="O296">
        <v>0</v>
      </c>
      <c r="P296">
        <v>10</v>
      </c>
      <c r="Q296" s="4" t="str">
        <f t="shared" si="37"/>
        <v>2020/2021-Genap</v>
      </c>
      <c r="R296" t="s">
        <v>596</v>
      </c>
      <c r="S296" t="str">
        <f t="shared" si="34"/>
        <v>PA</v>
      </c>
    </row>
    <row r="297" spans="1:19" x14ac:dyDescent="0.3">
      <c r="A297" t="s">
        <v>12</v>
      </c>
      <c r="B297">
        <v>2016110008</v>
      </c>
      <c r="C297" t="s">
        <v>261</v>
      </c>
      <c r="E297" t="s">
        <v>348</v>
      </c>
      <c r="F297" t="s">
        <v>402</v>
      </c>
      <c r="G297">
        <v>4</v>
      </c>
      <c r="H297" t="s">
        <v>524</v>
      </c>
      <c r="I297" s="4">
        <f t="shared" si="35"/>
        <v>2</v>
      </c>
      <c r="J297">
        <f t="shared" si="36"/>
        <v>8</v>
      </c>
      <c r="K297">
        <v>50</v>
      </c>
      <c r="L297">
        <v>22</v>
      </c>
      <c r="M297" s="2">
        <v>2.27</v>
      </c>
      <c r="N297" s="2">
        <v>2.81</v>
      </c>
      <c r="O297">
        <v>0</v>
      </c>
      <c r="P297">
        <v>4</v>
      </c>
      <c r="Q297" s="4" t="str">
        <f t="shared" si="37"/>
        <v>2017/2018-Genap</v>
      </c>
      <c r="R297" t="s">
        <v>260</v>
      </c>
      <c r="S297" t="str">
        <f t="shared" si="34"/>
        <v>PA</v>
      </c>
    </row>
    <row r="298" spans="1:19" x14ac:dyDescent="0.3">
      <c r="A298" t="s">
        <v>12</v>
      </c>
      <c r="B298">
        <v>2016110008</v>
      </c>
      <c r="C298" t="s">
        <v>261</v>
      </c>
      <c r="E298" t="s">
        <v>257</v>
      </c>
      <c r="F298" t="s">
        <v>258</v>
      </c>
      <c r="G298">
        <v>4</v>
      </c>
      <c r="H298" t="s">
        <v>535</v>
      </c>
      <c r="I298" s="4">
        <f t="shared" si="35"/>
        <v>1</v>
      </c>
      <c r="J298">
        <f t="shared" si="36"/>
        <v>4</v>
      </c>
      <c r="K298">
        <v>44</v>
      </c>
      <c r="L298">
        <v>20</v>
      </c>
      <c r="M298" s="2">
        <v>2.2000000000000002</v>
      </c>
      <c r="N298" s="2">
        <v>2.81</v>
      </c>
      <c r="O298">
        <v>0</v>
      </c>
      <c r="P298">
        <v>6</v>
      </c>
      <c r="Q298" s="4" t="str">
        <f t="shared" si="37"/>
        <v>2018/2019-Genap</v>
      </c>
      <c r="R298" t="s">
        <v>260</v>
      </c>
      <c r="S298" t="str">
        <f t="shared" si="34"/>
        <v>FA</v>
      </c>
    </row>
    <row r="299" spans="1:19" x14ac:dyDescent="0.3">
      <c r="A299" t="s">
        <v>12</v>
      </c>
      <c r="B299">
        <v>2016110008</v>
      </c>
      <c r="C299" t="s">
        <v>261</v>
      </c>
      <c r="E299" t="s">
        <v>257</v>
      </c>
      <c r="F299" t="s">
        <v>258</v>
      </c>
      <c r="G299">
        <v>4</v>
      </c>
      <c r="H299" t="s">
        <v>524</v>
      </c>
      <c r="I299" s="4">
        <f t="shared" si="35"/>
        <v>2</v>
      </c>
      <c r="J299">
        <f t="shared" si="36"/>
        <v>8</v>
      </c>
      <c r="K299">
        <v>46</v>
      </c>
      <c r="L299">
        <v>18</v>
      </c>
      <c r="M299" s="2">
        <v>2.56</v>
      </c>
      <c r="N299" s="2">
        <v>2.81</v>
      </c>
      <c r="O299">
        <v>1</v>
      </c>
      <c r="P299">
        <v>8</v>
      </c>
      <c r="Q299" s="4" t="str">
        <f t="shared" si="37"/>
        <v>2019/2020-Genap</v>
      </c>
      <c r="R299" t="s">
        <v>260</v>
      </c>
      <c r="S299" t="str">
        <f t="shared" si="34"/>
        <v>PA</v>
      </c>
    </row>
    <row r="300" spans="1:19" x14ac:dyDescent="0.3">
      <c r="A300" t="s">
        <v>12</v>
      </c>
      <c r="B300">
        <v>2016110008</v>
      </c>
      <c r="C300" t="s">
        <v>261</v>
      </c>
      <c r="E300" t="s">
        <v>257</v>
      </c>
      <c r="F300" t="s">
        <v>258</v>
      </c>
      <c r="G300">
        <v>4</v>
      </c>
      <c r="H300" t="s">
        <v>438</v>
      </c>
      <c r="I300" s="4">
        <f t="shared" si="35"/>
        <v>3</v>
      </c>
      <c r="J300">
        <f t="shared" si="36"/>
        <v>12</v>
      </c>
      <c r="K300">
        <v>48</v>
      </c>
      <c r="L300">
        <v>16</v>
      </c>
      <c r="M300" s="2">
        <v>3</v>
      </c>
      <c r="N300" s="2">
        <v>2.81</v>
      </c>
      <c r="O300">
        <v>2</v>
      </c>
      <c r="P300">
        <v>8</v>
      </c>
      <c r="Q300" s="4" t="s">
        <v>571</v>
      </c>
      <c r="R300" t="s">
        <v>260</v>
      </c>
      <c r="S300" t="str">
        <f t="shared" si="34"/>
        <v>PA</v>
      </c>
    </row>
    <row r="301" spans="1:19" x14ac:dyDescent="0.3">
      <c r="A301" t="s">
        <v>12</v>
      </c>
      <c r="B301">
        <v>2016110008</v>
      </c>
      <c r="C301" t="s">
        <v>261</v>
      </c>
      <c r="E301" t="s">
        <v>309</v>
      </c>
      <c r="F301" t="s">
        <v>310</v>
      </c>
      <c r="G301">
        <v>4</v>
      </c>
      <c r="H301" t="s">
        <v>535</v>
      </c>
      <c r="I301" s="4">
        <f t="shared" si="35"/>
        <v>1</v>
      </c>
      <c r="J301">
        <f t="shared" si="36"/>
        <v>4</v>
      </c>
      <c r="K301">
        <v>50</v>
      </c>
      <c r="L301">
        <v>22</v>
      </c>
      <c r="M301" s="2">
        <v>2.27</v>
      </c>
      <c r="N301" s="2">
        <v>2.81</v>
      </c>
      <c r="O301">
        <v>0</v>
      </c>
      <c r="P301">
        <v>4</v>
      </c>
      <c r="Q301" s="4" t="str">
        <f>IF(P301=1,"2016/2017-Ganjil",IF(P301=2,"2016/2017-Genap",IF(P301=3,"2017/2018-Ganjil",IF(P301=4,"2017/2018-Genap",IF(P301=5,"2018/2019-Ganjil",IF(P301=6,"2018/2019-Genap",IF(P301=7,"2019/2020-Ganjil",IF(P301=8,"2019/2020-Genap",IF(P301=9,"2020/2021-Ganjil",IF(P301=10,"2020/2021-Genap",IF(P301=11,"2021/2022-Ganjil",IF(P301=12,"2021/2022-Genap",IF(P301=13,"2022/2023-Ganjil","2022/2023-Genap")))))))))))))</f>
        <v>2017/2018-Genap</v>
      </c>
      <c r="R301" t="s">
        <v>260</v>
      </c>
      <c r="S301" t="str">
        <f t="shared" si="34"/>
        <v>FA</v>
      </c>
    </row>
    <row r="302" spans="1:19" x14ac:dyDescent="0.3">
      <c r="A302" t="s">
        <v>12</v>
      </c>
      <c r="B302">
        <v>2016110008</v>
      </c>
      <c r="C302" t="s">
        <v>261</v>
      </c>
      <c r="E302" t="s">
        <v>309</v>
      </c>
      <c r="F302" t="s">
        <v>310</v>
      </c>
      <c r="G302">
        <v>4</v>
      </c>
      <c r="H302" t="s">
        <v>438</v>
      </c>
      <c r="I302" s="4">
        <f t="shared" si="35"/>
        <v>3</v>
      </c>
      <c r="J302">
        <f t="shared" si="36"/>
        <v>12</v>
      </c>
      <c r="K302">
        <v>48</v>
      </c>
      <c r="L302">
        <v>16</v>
      </c>
      <c r="M302" s="2">
        <v>3</v>
      </c>
      <c r="N302" s="2">
        <v>2.81</v>
      </c>
      <c r="O302">
        <v>1</v>
      </c>
      <c r="P302">
        <v>8</v>
      </c>
      <c r="Q302" s="4" t="s">
        <v>571</v>
      </c>
      <c r="R302" t="s">
        <v>260</v>
      </c>
      <c r="S302" t="str">
        <f t="shared" si="34"/>
        <v>PA</v>
      </c>
    </row>
    <row r="303" spans="1:19" x14ac:dyDescent="0.3">
      <c r="A303" t="s">
        <v>12</v>
      </c>
      <c r="B303">
        <v>2016110008</v>
      </c>
      <c r="C303" t="s">
        <v>261</v>
      </c>
      <c r="E303" t="s">
        <v>297</v>
      </c>
      <c r="F303" t="s">
        <v>342</v>
      </c>
      <c r="G303">
        <v>4</v>
      </c>
      <c r="H303" t="s">
        <v>535</v>
      </c>
      <c r="I303" s="4">
        <f t="shared" si="35"/>
        <v>1</v>
      </c>
      <c r="J303">
        <f t="shared" si="36"/>
        <v>4</v>
      </c>
      <c r="K303">
        <v>44</v>
      </c>
      <c r="L303">
        <v>20</v>
      </c>
      <c r="M303" s="2">
        <v>2.2000000000000002</v>
      </c>
      <c r="N303" s="2">
        <v>2.81</v>
      </c>
      <c r="O303">
        <v>0</v>
      </c>
      <c r="P303">
        <v>6</v>
      </c>
      <c r="Q303" s="4" t="str">
        <f>IF(P303=1,"2016/2017-Ganjil",IF(P303=2,"2016/2017-Genap",IF(P303=3,"2017/2018-Ganjil",IF(P303=4,"2017/2018-Genap",IF(P303=5,"2018/2019-Ganjil",IF(P303=6,"2018/2019-Genap",IF(P303=7,"2019/2020-Ganjil",IF(P303=8,"2019/2020-Genap",IF(P303=9,"2020/2021-Ganjil",IF(P303=10,"2020/2021-Genap",IF(P303=11,"2021/2022-Ganjil",IF(P303=12,"2021/2022-Genap",IF(P303=13,"2022/2023-Ganjil","2022/2023-Genap")))))))))))))</f>
        <v>2018/2019-Genap</v>
      </c>
      <c r="R303" t="s">
        <v>260</v>
      </c>
      <c r="S303" t="str">
        <f t="shared" si="34"/>
        <v>FA</v>
      </c>
    </row>
    <row r="304" spans="1:19" x14ac:dyDescent="0.3">
      <c r="A304" t="s">
        <v>12</v>
      </c>
      <c r="B304">
        <v>2016110008</v>
      </c>
      <c r="C304" t="s">
        <v>261</v>
      </c>
      <c r="E304" t="s">
        <v>297</v>
      </c>
      <c r="F304" t="s">
        <v>342</v>
      </c>
      <c r="G304">
        <v>4</v>
      </c>
      <c r="H304" t="s">
        <v>438</v>
      </c>
      <c r="I304" s="4">
        <f t="shared" si="35"/>
        <v>3</v>
      </c>
      <c r="J304">
        <f t="shared" si="36"/>
        <v>12</v>
      </c>
      <c r="K304">
        <v>46</v>
      </c>
      <c r="L304">
        <v>18</v>
      </c>
      <c r="M304" s="2">
        <v>2.56</v>
      </c>
      <c r="N304" s="2">
        <v>2.81</v>
      </c>
      <c r="O304">
        <v>1</v>
      </c>
      <c r="P304">
        <v>8</v>
      </c>
      <c r="Q304" s="4" t="str">
        <f>IF(P304=1,"2016/2017-Ganjil",IF(P304=2,"2016/2017-Genap",IF(P304=3,"2017/2018-Ganjil",IF(P304=4,"2017/2018-Genap",IF(P304=5,"2018/2019-Ganjil",IF(P304=6,"2018/2019-Genap",IF(P304=7,"2019/2020-Ganjil",IF(P304=8,"2019/2020-Genap",IF(P304=9,"2020/2021-Ganjil",IF(P304=10,"2020/2021-Genap",IF(P304=11,"2021/2022-Ganjil",IF(P304=12,"2021/2022-Genap",IF(P304=13,"2022/2023-Ganjil","2022/2023-Genap")))))))))))))</f>
        <v>2019/2020-Genap</v>
      </c>
      <c r="R304" t="s">
        <v>260</v>
      </c>
      <c r="S304" t="str">
        <f t="shared" si="34"/>
        <v>PA</v>
      </c>
    </row>
    <row r="305" spans="1:19" x14ac:dyDescent="0.3">
      <c r="A305" t="s">
        <v>12</v>
      </c>
      <c r="B305">
        <v>2016110008</v>
      </c>
      <c r="C305" t="s">
        <v>261</v>
      </c>
      <c r="E305" t="s">
        <v>100</v>
      </c>
      <c r="F305" t="s">
        <v>101</v>
      </c>
      <c r="G305">
        <v>4</v>
      </c>
      <c r="H305" t="s">
        <v>535</v>
      </c>
      <c r="I305" s="4">
        <f t="shared" si="35"/>
        <v>1</v>
      </c>
      <c r="J305">
        <f t="shared" si="36"/>
        <v>4</v>
      </c>
      <c r="K305">
        <v>44</v>
      </c>
      <c r="L305">
        <v>20</v>
      </c>
      <c r="M305" s="2">
        <v>2.2000000000000002</v>
      </c>
      <c r="N305" s="2">
        <v>2.81</v>
      </c>
      <c r="O305">
        <v>0</v>
      </c>
      <c r="P305">
        <v>2</v>
      </c>
      <c r="Q305" s="4" t="str">
        <f>IF(P305=1,"2016/2017-Ganjil",IF(P305=2,"2016/2017-Genap",IF(P305=3,"2017/2018-Ganjil",IF(P305=4,"2017/2018-Genap",IF(P305=5,"2018/2019-Ganjil",IF(P305=6,"2018/2019-Genap",IF(P305=7,"2019/2020-Ganjil",IF(P305=8,"2019/2020-Genap",IF(P305=9,"2020/2021-Ganjil",IF(P305=10,"2020/2021-Genap",IF(P305=11,"2021/2022-Ganjil",IF(P305=12,"2021/2022-Genap",IF(P305=13,"2022/2023-Ganjil","2022/2023-Genap")))))))))))))</f>
        <v>2016/2017-Genap</v>
      </c>
      <c r="R305" t="s">
        <v>260</v>
      </c>
      <c r="S305" t="str">
        <f t="shared" si="34"/>
        <v>FA</v>
      </c>
    </row>
    <row r="306" spans="1:19" x14ac:dyDescent="0.3">
      <c r="A306" t="s">
        <v>12</v>
      </c>
      <c r="B306">
        <v>2016110008</v>
      </c>
      <c r="C306" t="s">
        <v>261</v>
      </c>
      <c r="E306" t="s">
        <v>100</v>
      </c>
      <c r="F306" t="s">
        <v>101</v>
      </c>
      <c r="G306">
        <v>4</v>
      </c>
      <c r="H306" t="s">
        <v>260</v>
      </c>
      <c r="I306" s="4">
        <f t="shared" si="35"/>
        <v>4</v>
      </c>
      <c r="J306">
        <f t="shared" si="36"/>
        <v>16</v>
      </c>
      <c r="K306">
        <v>48</v>
      </c>
      <c r="L306">
        <v>16</v>
      </c>
      <c r="M306" s="2">
        <v>3</v>
      </c>
      <c r="N306" s="2">
        <v>2.81</v>
      </c>
      <c r="O306">
        <v>1</v>
      </c>
      <c r="P306">
        <v>8</v>
      </c>
      <c r="Q306" s="4" t="s">
        <v>571</v>
      </c>
      <c r="R306" t="s">
        <v>260</v>
      </c>
      <c r="S306" t="str">
        <f t="shared" si="34"/>
        <v>PA</v>
      </c>
    </row>
    <row r="307" spans="1:19" x14ac:dyDescent="0.3">
      <c r="A307" t="s">
        <v>12</v>
      </c>
      <c r="B307">
        <v>2016110009</v>
      </c>
      <c r="C307" t="s">
        <v>336</v>
      </c>
      <c r="E307" t="s">
        <v>90</v>
      </c>
      <c r="F307" t="s">
        <v>91</v>
      </c>
      <c r="G307">
        <v>2</v>
      </c>
      <c r="H307" t="s">
        <v>260</v>
      </c>
      <c r="I307" s="4">
        <f t="shared" si="35"/>
        <v>4</v>
      </c>
      <c r="J307">
        <f t="shared" si="36"/>
        <v>8</v>
      </c>
      <c r="K307">
        <v>62</v>
      </c>
      <c r="L307">
        <v>20</v>
      </c>
      <c r="M307" s="2">
        <v>3.1</v>
      </c>
      <c r="N307" s="2">
        <v>3.11</v>
      </c>
      <c r="O307">
        <v>0</v>
      </c>
      <c r="P307">
        <v>1</v>
      </c>
      <c r="Q307" s="4" t="str">
        <f t="shared" ref="Q307:Q353" si="38">IF(P307=1,"2016/2017-Ganjil",IF(P307=2,"2016/2017-Genap",IF(P307=3,"2017/2018-Ganjil",IF(P307=4,"2017/2018-Genap",IF(P307=5,"2018/2019-Ganjil",IF(P307=6,"2018/2019-Genap",IF(P307=7,"2019/2020-Ganjil",IF(P307=8,"2019/2020-Genap",IF(P307=9,"2020/2021-Ganjil",IF(P307=10,"2020/2021-Genap",IF(P307=11,"2021/2022-Ganjil",IF(P307=12,"2021/2022-Genap",IF(P307=13,"2022/2023-Ganjil","2022/2023-Genap")))))))))))))</f>
        <v>2016/2017-Ganjil</v>
      </c>
      <c r="R307" t="s">
        <v>260</v>
      </c>
      <c r="S307" t="str">
        <f t="shared" si="34"/>
        <v>PA</v>
      </c>
    </row>
    <row r="308" spans="1:19" x14ac:dyDescent="0.3">
      <c r="A308" t="s">
        <v>12</v>
      </c>
      <c r="B308">
        <v>2016110009</v>
      </c>
      <c r="C308" t="s">
        <v>336</v>
      </c>
      <c r="E308" t="s">
        <v>297</v>
      </c>
      <c r="F308" t="s">
        <v>342</v>
      </c>
      <c r="G308">
        <v>4</v>
      </c>
      <c r="H308" t="s">
        <v>260</v>
      </c>
      <c r="I308" s="4">
        <f t="shared" si="35"/>
        <v>4</v>
      </c>
      <c r="J308">
        <f t="shared" si="36"/>
        <v>16</v>
      </c>
      <c r="K308">
        <v>72</v>
      </c>
      <c r="L308">
        <v>22</v>
      </c>
      <c r="M308" s="2">
        <v>3.27</v>
      </c>
      <c r="N308" s="2">
        <v>3.11</v>
      </c>
      <c r="O308">
        <v>0</v>
      </c>
      <c r="P308">
        <v>6</v>
      </c>
      <c r="Q308" s="4" t="str">
        <f t="shared" si="38"/>
        <v>2018/2019-Genap</v>
      </c>
      <c r="R308" t="s">
        <v>260</v>
      </c>
      <c r="S308" t="str">
        <f t="shared" si="34"/>
        <v>PA</v>
      </c>
    </row>
    <row r="309" spans="1:19" x14ac:dyDescent="0.3">
      <c r="A309" t="s">
        <v>12</v>
      </c>
      <c r="B309">
        <v>2016110009</v>
      </c>
      <c r="C309" t="s">
        <v>336</v>
      </c>
      <c r="E309" t="s">
        <v>131</v>
      </c>
      <c r="F309" t="s">
        <v>132</v>
      </c>
      <c r="G309">
        <v>2</v>
      </c>
      <c r="H309" t="s">
        <v>260</v>
      </c>
      <c r="I309" s="4">
        <f t="shared" si="35"/>
        <v>4</v>
      </c>
      <c r="J309">
        <f t="shared" si="36"/>
        <v>8</v>
      </c>
      <c r="K309">
        <v>62</v>
      </c>
      <c r="L309">
        <v>20</v>
      </c>
      <c r="M309" s="2">
        <v>3.1</v>
      </c>
      <c r="N309" s="2">
        <v>3.11</v>
      </c>
      <c r="O309">
        <v>0</v>
      </c>
      <c r="P309">
        <v>1</v>
      </c>
      <c r="Q309" s="4" t="str">
        <f t="shared" si="38"/>
        <v>2016/2017-Ganjil</v>
      </c>
      <c r="R309" t="s">
        <v>260</v>
      </c>
      <c r="S309" t="str">
        <f t="shared" si="34"/>
        <v>PA</v>
      </c>
    </row>
    <row r="310" spans="1:19" x14ac:dyDescent="0.3">
      <c r="A310" t="s">
        <v>12</v>
      </c>
      <c r="B310">
        <v>2016110009</v>
      </c>
      <c r="C310" t="s">
        <v>336</v>
      </c>
      <c r="E310" t="s">
        <v>273</v>
      </c>
      <c r="F310" t="s">
        <v>274</v>
      </c>
      <c r="G310">
        <v>2</v>
      </c>
      <c r="H310" t="s">
        <v>260</v>
      </c>
      <c r="I310" s="4">
        <f t="shared" si="35"/>
        <v>4</v>
      </c>
      <c r="J310">
        <f t="shared" si="36"/>
        <v>8</v>
      </c>
      <c r="K310">
        <v>72</v>
      </c>
      <c r="L310">
        <v>22</v>
      </c>
      <c r="M310" s="2">
        <v>3.27</v>
      </c>
      <c r="N310" s="2">
        <v>3.11</v>
      </c>
      <c r="O310">
        <v>0</v>
      </c>
      <c r="P310">
        <v>6</v>
      </c>
      <c r="Q310" s="4" t="str">
        <f t="shared" si="38"/>
        <v>2018/2019-Genap</v>
      </c>
      <c r="R310" t="s">
        <v>260</v>
      </c>
      <c r="S310" t="str">
        <f t="shared" si="34"/>
        <v>PA</v>
      </c>
    </row>
    <row r="311" spans="1:19" x14ac:dyDescent="0.3">
      <c r="A311" t="s">
        <v>12</v>
      </c>
      <c r="B311">
        <v>2016110009</v>
      </c>
      <c r="C311" t="s">
        <v>336</v>
      </c>
      <c r="E311" t="s">
        <v>236</v>
      </c>
      <c r="F311" t="s">
        <v>237</v>
      </c>
      <c r="G311">
        <v>2</v>
      </c>
      <c r="H311" t="s">
        <v>260</v>
      </c>
      <c r="I311" s="4">
        <f t="shared" si="35"/>
        <v>4</v>
      </c>
      <c r="J311">
        <f t="shared" si="36"/>
        <v>8</v>
      </c>
      <c r="K311">
        <v>58</v>
      </c>
      <c r="L311">
        <v>18</v>
      </c>
      <c r="M311" s="2">
        <v>3.22</v>
      </c>
      <c r="N311" s="2">
        <v>3.11</v>
      </c>
      <c r="O311">
        <v>0</v>
      </c>
      <c r="P311">
        <v>5</v>
      </c>
      <c r="Q311" s="4" t="str">
        <f t="shared" si="38"/>
        <v>2018/2019-Ganjil</v>
      </c>
      <c r="R311" t="s">
        <v>260</v>
      </c>
      <c r="S311" t="str">
        <f t="shared" ref="S311:S374" si="39">IF(OR(H311="A",H311="B",H311="C"),"PA","FA")</f>
        <v>PA</v>
      </c>
    </row>
    <row r="312" spans="1:19" x14ac:dyDescent="0.3">
      <c r="A312" t="s">
        <v>12</v>
      </c>
      <c r="B312">
        <v>2016110009</v>
      </c>
      <c r="C312" t="s">
        <v>336</v>
      </c>
      <c r="E312" t="s">
        <v>344</v>
      </c>
      <c r="F312" t="s">
        <v>345</v>
      </c>
      <c r="G312">
        <v>2</v>
      </c>
      <c r="H312" t="s">
        <v>260</v>
      </c>
      <c r="I312" s="4">
        <f t="shared" ref="I312:I375" si="40">IF(H312="A",4,IF(H312="B",3,IF(H312="C",2,IF(H312="D",1,0))))</f>
        <v>4</v>
      </c>
      <c r="J312">
        <f t="shared" ref="J312:J375" si="41">G312*I312</f>
        <v>8</v>
      </c>
      <c r="K312">
        <v>74</v>
      </c>
      <c r="L312">
        <v>22</v>
      </c>
      <c r="M312" s="2">
        <v>3.36</v>
      </c>
      <c r="N312" s="2">
        <v>3.11</v>
      </c>
      <c r="O312">
        <v>0</v>
      </c>
      <c r="P312">
        <v>7</v>
      </c>
      <c r="Q312" s="4" t="str">
        <f t="shared" si="38"/>
        <v>2019/2020-Ganjil</v>
      </c>
      <c r="R312" t="s">
        <v>260</v>
      </c>
      <c r="S312" t="str">
        <f t="shared" si="39"/>
        <v>PA</v>
      </c>
    </row>
    <row r="313" spans="1:19" x14ac:dyDescent="0.3">
      <c r="A313" t="s">
        <v>12</v>
      </c>
      <c r="B313">
        <v>2016110009</v>
      </c>
      <c r="C313" t="s">
        <v>336</v>
      </c>
      <c r="E313" t="s">
        <v>334</v>
      </c>
      <c r="F313" t="s">
        <v>335</v>
      </c>
      <c r="G313">
        <v>2</v>
      </c>
      <c r="H313" t="s">
        <v>260</v>
      </c>
      <c r="I313" s="4">
        <f t="shared" si="40"/>
        <v>4</v>
      </c>
      <c r="J313">
        <f t="shared" si="41"/>
        <v>8</v>
      </c>
      <c r="K313">
        <v>74</v>
      </c>
      <c r="L313">
        <v>22</v>
      </c>
      <c r="M313" s="2">
        <v>3.36</v>
      </c>
      <c r="N313" s="2">
        <v>3.11</v>
      </c>
      <c r="O313">
        <v>0</v>
      </c>
      <c r="P313">
        <v>7</v>
      </c>
      <c r="Q313" s="4" t="str">
        <f t="shared" si="38"/>
        <v>2019/2020-Ganjil</v>
      </c>
      <c r="R313" t="s">
        <v>260</v>
      </c>
      <c r="S313" t="str">
        <f t="shared" si="39"/>
        <v>PA</v>
      </c>
    </row>
    <row r="314" spans="1:19" x14ac:dyDescent="0.3">
      <c r="A314" t="s">
        <v>12</v>
      </c>
      <c r="B314">
        <v>2016110009</v>
      </c>
      <c r="C314" t="s">
        <v>336</v>
      </c>
      <c r="E314" t="s">
        <v>77</v>
      </c>
      <c r="F314" t="s">
        <v>78</v>
      </c>
      <c r="G314">
        <v>2</v>
      </c>
      <c r="H314" t="s">
        <v>260</v>
      </c>
      <c r="I314" s="4">
        <f t="shared" si="40"/>
        <v>4</v>
      </c>
      <c r="J314">
        <f t="shared" si="41"/>
        <v>8</v>
      </c>
      <c r="K314">
        <v>62</v>
      </c>
      <c r="L314">
        <v>20</v>
      </c>
      <c r="M314" s="2">
        <v>3.1</v>
      </c>
      <c r="N314" s="2">
        <v>3.11</v>
      </c>
      <c r="O314">
        <v>0</v>
      </c>
      <c r="P314">
        <v>1</v>
      </c>
      <c r="Q314" s="4" t="str">
        <f t="shared" si="38"/>
        <v>2016/2017-Ganjil</v>
      </c>
      <c r="R314" t="s">
        <v>260</v>
      </c>
      <c r="S314" t="str">
        <f t="shared" si="39"/>
        <v>PA</v>
      </c>
    </row>
    <row r="315" spans="1:19" x14ac:dyDescent="0.3">
      <c r="A315" t="s">
        <v>12</v>
      </c>
      <c r="B315">
        <v>2016110009</v>
      </c>
      <c r="C315" t="s">
        <v>336</v>
      </c>
      <c r="E315" t="s">
        <v>279</v>
      </c>
      <c r="F315" t="s">
        <v>280</v>
      </c>
      <c r="G315">
        <v>2</v>
      </c>
      <c r="H315" t="s">
        <v>260</v>
      </c>
      <c r="I315" s="4">
        <f t="shared" si="40"/>
        <v>4</v>
      </c>
      <c r="J315">
        <f t="shared" si="41"/>
        <v>8</v>
      </c>
      <c r="K315">
        <v>58</v>
      </c>
      <c r="L315">
        <v>20</v>
      </c>
      <c r="M315" s="2">
        <v>2.9</v>
      </c>
      <c r="N315" s="2">
        <v>3.11</v>
      </c>
      <c r="O315">
        <v>0</v>
      </c>
      <c r="P315">
        <v>2</v>
      </c>
      <c r="Q315" s="4" t="str">
        <f t="shared" si="38"/>
        <v>2016/2017-Genap</v>
      </c>
      <c r="R315" t="s">
        <v>260</v>
      </c>
      <c r="S315" t="str">
        <f t="shared" si="39"/>
        <v>PA</v>
      </c>
    </row>
    <row r="316" spans="1:19" x14ac:dyDescent="0.3">
      <c r="A316" t="s">
        <v>12</v>
      </c>
      <c r="B316">
        <v>2016110009</v>
      </c>
      <c r="C316" t="s">
        <v>336</v>
      </c>
      <c r="E316" t="s">
        <v>290</v>
      </c>
      <c r="F316" t="s">
        <v>327</v>
      </c>
      <c r="G316">
        <v>4</v>
      </c>
      <c r="H316" t="s">
        <v>260</v>
      </c>
      <c r="I316" s="4">
        <f t="shared" si="40"/>
        <v>4</v>
      </c>
      <c r="J316">
        <f t="shared" si="41"/>
        <v>16</v>
      </c>
      <c r="K316">
        <v>58</v>
      </c>
      <c r="L316">
        <v>20</v>
      </c>
      <c r="M316" s="2">
        <v>2.9</v>
      </c>
      <c r="N316" s="2">
        <v>3.11</v>
      </c>
      <c r="O316">
        <v>0</v>
      </c>
      <c r="P316">
        <v>2</v>
      </c>
      <c r="Q316" s="4" t="str">
        <f t="shared" si="38"/>
        <v>2016/2017-Genap</v>
      </c>
      <c r="R316" t="s">
        <v>260</v>
      </c>
      <c r="S316" t="str">
        <f t="shared" si="39"/>
        <v>PA</v>
      </c>
    </row>
    <row r="317" spans="1:19" x14ac:dyDescent="0.3">
      <c r="A317" t="s">
        <v>12</v>
      </c>
      <c r="B317">
        <v>2016110009</v>
      </c>
      <c r="C317" t="s">
        <v>336</v>
      </c>
      <c r="E317" t="s">
        <v>316</v>
      </c>
      <c r="F317" t="s">
        <v>317</v>
      </c>
      <c r="G317">
        <v>2</v>
      </c>
      <c r="H317" t="s">
        <v>260</v>
      </c>
      <c r="I317" s="4">
        <f t="shared" si="40"/>
        <v>4</v>
      </c>
      <c r="J317">
        <f t="shared" si="41"/>
        <v>8</v>
      </c>
      <c r="K317">
        <v>74</v>
      </c>
      <c r="L317">
        <v>22</v>
      </c>
      <c r="M317" s="2">
        <v>3.36</v>
      </c>
      <c r="N317" s="2">
        <v>3.11</v>
      </c>
      <c r="O317">
        <v>0</v>
      </c>
      <c r="P317">
        <v>7</v>
      </c>
      <c r="Q317" s="4" t="str">
        <f t="shared" si="38"/>
        <v>2019/2020-Ganjil</v>
      </c>
      <c r="R317" t="s">
        <v>260</v>
      </c>
      <c r="S317" t="str">
        <f t="shared" si="39"/>
        <v>PA</v>
      </c>
    </row>
    <row r="318" spans="1:19" x14ac:dyDescent="0.3">
      <c r="A318" t="s">
        <v>12</v>
      </c>
      <c r="B318">
        <v>2016110009</v>
      </c>
      <c r="C318" t="s">
        <v>336</v>
      </c>
      <c r="E318" t="s">
        <v>370</v>
      </c>
      <c r="F318" t="s">
        <v>371</v>
      </c>
      <c r="G318">
        <v>2</v>
      </c>
      <c r="H318" t="s">
        <v>260</v>
      </c>
      <c r="I318" s="4">
        <f t="shared" si="40"/>
        <v>4</v>
      </c>
      <c r="J318">
        <f t="shared" si="41"/>
        <v>8</v>
      </c>
      <c r="K318">
        <v>74</v>
      </c>
      <c r="L318">
        <v>22</v>
      </c>
      <c r="M318" s="2">
        <v>3.36</v>
      </c>
      <c r="N318" s="2">
        <v>3.11</v>
      </c>
      <c r="O318">
        <v>0</v>
      </c>
      <c r="P318">
        <v>7</v>
      </c>
      <c r="Q318" s="4" t="str">
        <f t="shared" si="38"/>
        <v>2019/2020-Ganjil</v>
      </c>
      <c r="R318" t="s">
        <v>260</v>
      </c>
      <c r="S318" t="str">
        <f t="shared" si="39"/>
        <v>PA</v>
      </c>
    </row>
    <row r="319" spans="1:19" x14ac:dyDescent="0.3">
      <c r="A319" t="s">
        <v>12</v>
      </c>
      <c r="B319">
        <v>2016110009</v>
      </c>
      <c r="C319" t="s">
        <v>336</v>
      </c>
      <c r="E319" t="s">
        <v>293</v>
      </c>
      <c r="F319" t="s">
        <v>294</v>
      </c>
      <c r="G319">
        <v>2</v>
      </c>
      <c r="H319" t="s">
        <v>260</v>
      </c>
      <c r="I319" s="4">
        <f t="shared" si="40"/>
        <v>4</v>
      </c>
      <c r="J319">
        <f t="shared" si="41"/>
        <v>8</v>
      </c>
      <c r="K319">
        <v>58</v>
      </c>
      <c r="L319">
        <v>18</v>
      </c>
      <c r="M319" s="2">
        <v>3.22</v>
      </c>
      <c r="N319" s="2">
        <v>3.11</v>
      </c>
      <c r="O319">
        <v>0</v>
      </c>
      <c r="P319">
        <v>5</v>
      </c>
      <c r="Q319" s="4" t="str">
        <f t="shared" si="38"/>
        <v>2018/2019-Ganjil</v>
      </c>
      <c r="R319" t="s">
        <v>260</v>
      </c>
      <c r="S319" t="str">
        <f t="shared" si="39"/>
        <v>PA</v>
      </c>
    </row>
    <row r="320" spans="1:19" x14ac:dyDescent="0.3">
      <c r="A320" t="s">
        <v>12</v>
      </c>
      <c r="B320">
        <v>2016110009</v>
      </c>
      <c r="C320" t="s">
        <v>336</v>
      </c>
      <c r="E320" t="s">
        <v>151</v>
      </c>
      <c r="F320" t="s">
        <v>152</v>
      </c>
      <c r="G320">
        <v>2</v>
      </c>
      <c r="H320" t="s">
        <v>438</v>
      </c>
      <c r="I320" s="4">
        <f t="shared" si="40"/>
        <v>3</v>
      </c>
      <c r="J320">
        <f t="shared" si="41"/>
        <v>6</v>
      </c>
      <c r="K320">
        <v>62</v>
      </c>
      <c r="L320">
        <v>20</v>
      </c>
      <c r="M320" s="2">
        <v>3.1</v>
      </c>
      <c r="N320" s="2">
        <v>3.11</v>
      </c>
      <c r="O320">
        <v>0</v>
      </c>
      <c r="P320">
        <v>1</v>
      </c>
      <c r="Q320" s="4" t="str">
        <f t="shared" si="38"/>
        <v>2016/2017-Ganjil</v>
      </c>
      <c r="R320" t="s">
        <v>260</v>
      </c>
      <c r="S320" t="str">
        <f t="shared" si="39"/>
        <v>PA</v>
      </c>
    </row>
    <row r="321" spans="1:19" x14ac:dyDescent="0.3">
      <c r="A321" t="s">
        <v>12</v>
      </c>
      <c r="B321">
        <v>2016110009</v>
      </c>
      <c r="C321" t="s">
        <v>336</v>
      </c>
      <c r="E321" t="s">
        <v>446</v>
      </c>
      <c r="F321" t="s">
        <v>447</v>
      </c>
      <c r="G321">
        <v>2</v>
      </c>
      <c r="H321" t="s">
        <v>438</v>
      </c>
      <c r="I321" s="4">
        <f t="shared" si="40"/>
        <v>3</v>
      </c>
      <c r="J321">
        <f t="shared" si="41"/>
        <v>6</v>
      </c>
      <c r="K321">
        <v>72</v>
      </c>
      <c r="L321">
        <v>22</v>
      </c>
      <c r="M321" s="2">
        <v>3.27</v>
      </c>
      <c r="N321" s="2">
        <v>3.11</v>
      </c>
      <c r="O321">
        <v>0</v>
      </c>
      <c r="P321">
        <v>6</v>
      </c>
      <c r="Q321" s="4" t="str">
        <f t="shared" si="38"/>
        <v>2018/2019-Genap</v>
      </c>
      <c r="R321" t="s">
        <v>260</v>
      </c>
      <c r="S321" t="str">
        <f t="shared" si="39"/>
        <v>PA</v>
      </c>
    </row>
    <row r="322" spans="1:19" x14ac:dyDescent="0.3">
      <c r="A322" t="s">
        <v>12</v>
      </c>
      <c r="B322">
        <v>2016110009</v>
      </c>
      <c r="C322" t="s">
        <v>336</v>
      </c>
      <c r="E322" t="s">
        <v>190</v>
      </c>
      <c r="F322" t="s">
        <v>191</v>
      </c>
      <c r="G322">
        <v>4</v>
      </c>
      <c r="H322" t="s">
        <v>438</v>
      </c>
      <c r="I322" s="4">
        <f t="shared" si="40"/>
        <v>3</v>
      </c>
      <c r="J322">
        <f t="shared" si="41"/>
        <v>12</v>
      </c>
      <c r="K322">
        <v>60</v>
      </c>
      <c r="L322">
        <v>22</v>
      </c>
      <c r="M322" s="2">
        <v>2.73</v>
      </c>
      <c r="N322" s="2">
        <v>3.11</v>
      </c>
      <c r="O322">
        <v>0</v>
      </c>
      <c r="P322">
        <v>3</v>
      </c>
      <c r="Q322" s="4" t="str">
        <f t="shared" si="38"/>
        <v>2017/2018-Ganjil</v>
      </c>
      <c r="R322" t="s">
        <v>260</v>
      </c>
      <c r="S322" t="str">
        <f t="shared" si="39"/>
        <v>PA</v>
      </c>
    </row>
    <row r="323" spans="1:19" x14ac:dyDescent="0.3">
      <c r="A323" t="s">
        <v>12</v>
      </c>
      <c r="B323">
        <v>2016110009</v>
      </c>
      <c r="C323" t="s">
        <v>336</v>
      </c>
      <c r="E323" t="s">
        <v>387</v>
      </c>
      <c r="F323" t="s">
        <v>388</v>
      </c>
      <c r="G323">
        <v>2</v>
      </c>
      <c r="H323" t="s">
        <v>438</v>
      </c>
      <c r="I323" s="4">
        <f t="shared" si="40"/>
        <v>3</v>
      </c>
      <c r="J323">
        <f t="shared" si="41"/>
        <v>6</v>
      </c>
      <c r="K323">
        <v>72</v>
      </c>
      <c r="L323">
        <v>22</v>
      </c>
      <c r="M323" s="2">
        <v>3.27</v>
      </c>
      <c r="N323" s="2">
        <v>3.11</v>
      </c>
      <c r="O323">
        <v>0</v>
      </c>
      <c r="P323">
        <v>6</v>
      </c>
      <c r="Q323" s="4" t="str">
        <f t="shared" si="38"/>
        <v>2018/2019-Genap</v>
      </c>
      <c r="R323" t="s">
        <v>260</v>
      </c>
      <c r="S323" t="str">
        <f t="shared" si="39"/>
        <v>PA</v>
      </c>
    </row>
    <row r="324" spans="1:19" x14ac:dyDescent="0.3">
      <c r="A324" t="s">
        <v>12</v>
      </c>
      <c r="B324">
        <v>2016110009</v>
      </c>
      <c r="C324" t="s">
        <v>336</v>
      </c>
      <c r="E324" t="s">
        <v>139</v>
      </c>
      <c r="F324" t="s">
        <v>140</v>
      </c>
      <c r="G324">
        <v>2</v>
      </c>
      <c r="H324" t="s">
        <v>438</v>
      </c>
      <c r="I324" s="4">
        <f t="shared" si="40"/>
        <v>3</v>
      </c>
      <c r="J324">
        <f t="shared" si="41"/>
        <v>6</v>
      </c>
      <c r="K324">
        <v>58</v>
      </c>
      <c r="L324">
        <v>20</v>
      </c>
      <c r="M324" s="2">
        <v>2.9</v>
      </c>
      <c r="N324" s="2">
        <v>3.11</v>
      </c>
      <c r="O324">
        <v>0</v>
      </c>
      <c r="P324">
        <v>2</v>
      </c>
      <c r="Q324" s="4" t="str">
        <f t="shared" si="38"/>
        <v>2016/2017-Genap</v>
      </c>
      <c r="R324" t="s">
        <v>260</v>
      </c>
      <c r="S324" t="str">
        <f t="shared" si="39"/>
        <v>PA</v>
      </c>
    </row>
    <row r="325" spans="1:19" x14ac:dyDescent="0.3">
      <c r="A325" t="s">
        <v>12</v>
      </c>
      <c r="B325">
        <v>2016110009</v>
      </c>
      <c r="C325" t="s">
        <v>336</v>
      </c>
      <c r="E325" t="s">
        <v>306</v>
      </c>
      <c r="F325" t="s">
        <v>307</v>
      </c>
      <c r="G325">
        <v>2</v>
      </c>
      <c r="H325" t="s">
        <v>438</v>
      </c>
      <c r="I325" s="4">
        <f t="shared" si="40"/>
        <v>3</v>
      </c>
      <c r="J325">
        <f t="shared" si="41"/>
        <v>6</v>
      </c>
      <c r="K325">
        <v>74</v>
      </c>
      <c r="L325">
        <v>22</v>
      </c>
      <c r="M325" s="2">
        <v>3.36</v>
      </c>
      <c r="N325" s="2">
        <v>3.11</v>
      </c>
      <c r="O325">
        <v>0</v>
      </c>
      <c r="P325">
        <v>7</v>
      </c>
      <c r="Q325" s="4" t="str">
        <f t="shared" si="38"/>
        <v>2019/2020-Ganjil</v>
      </c>
      <c r="R325" t="s">
        <v>260</v>
      </c>
      <c r="S325" t="str">
        <f t="shared" si="39"/>
        <v>PA</v>
      </c>
    </row>
    <row r="326" spans="1:19" x14ac:dyDescent="0.3">
      <c r="A326" t="s">
        <v>12</v>
      </c>
      <c r="B326">
        <v>2016110009</v>
      </c>
      <c r="C326" t="s">
        <v>336</v>
      </c>
      <c r="E326" t="s">
        <v>211</v>
      </c>
      <c r="F326" t="s">
        <v>186</v>
      </c>
      <c r="G326">
        <v>4</v>
      </c>
      <c r="H326" t="s">
        <v>438</v>
      </c>
      <c r="I326" s="4">
        <f t="shared" si="40"/>
        <v>3</v>
      </c>
      <c r="J326">
        <f t="shared" si="41"/>
        <v>12</v>
      </c>
      <c r="K326">
        <v>58</v>
      </c>
      <c r="L326">
        <v>18</v>
      </c>
      <c r="M326" s="2">
        <v>3.22</v>
      </c>
      <c r="N326" s="2">
        <v>3.11</v>
      </c>
      <c r="O326">
        <v>0</v>
      </c>
      <c r="P326">
        <v>5</v>
      </c>
      <c r="Q326" s="4" t="str">
        <f t="shared" si="38"/>
        <v>2018/2019-Ganjil</v>
      </c>
      <c r="R326" t="s">
        <v>260</v>
      </c>
      <c r="S326" t="str">
        <f t="shared" si="39"/>
        <v>PA</v>
      </c>
    </row>
    <row r="327" spans="1:19" x14ac:dyDescent="0.3">
      <c r="A327" t="s">
        <v>12</v>
      </c>
      <c r="B327">
        <v>2016110009</v>
      </c>
      <c r="C327" t="s">
        <v>336</v>
      </c>
      <c r="E327" t="s">
        <v>330</v>
      </c>
      <c r="F327" t="s">
        <v>108</v>
      </c>
      <c r="G327">
        <v>2</v>
      </c>
      <c r="H327" t="s">
        <v>438</v>
      </c>
      <c r="I327" s="4">
        <f t="shared" si="40"/>
        <v>3</v>
      </c>
      <c r="J327">
        <f t="shared" si="41"/>
        <v>6</v>
      </c>
      <c r="K327">
        <v>74</v>
      </c>
      <c r="L327">
        <v>22</v>
      </c>
      <c r="M327" s="2">
        <v>3.36</v>
      </c>
      <c r="N327" s="2">
        <v>3.11</v>
      </c>
      <c r="O327">
        <v>0</v>
      </c>
      <c r="P327">
        <v>7</v>
      </c>
      <c r="Q327" s="4" t="str">
        <f t="shared" si="38"/>
        <v>2019/2020-Ganjil</v>
      </c>
      <c r="R327" t="s">
        <v>260</v>
      </c>
      <c r="S327" t="str">
        <f t="shared" si="39"/>
        <v>PA</v>
      </c>
    </row>
    <row r="328" spans="1:19" x14ac:dyDescent="0.3">
      <c r="A328" t="s">
        <v>12</v>
      </c>
      <c r="B328">
        <v>2016110009</v>
      </c>
      <c r="C328" t="s">
        <v>336</v>
      </c>
      <c r="E328" t="s">
        <v>170</v>
      </c>
      <c r="F328" t="s">
        <v>171</v>
      </c>
      <c r="G328">
        <v>4</v>
      </c>
      <c r="H328" t="s">
        <v>438</v>
      </c>
      <c r="I328" s="4">
        <f t="shared" si="40"/>
        <v>3</v>
      </c>
      <c r="J328">
        <f t="shared" si="41"/>
        <v>12</v>
      </c>
      <c r="K328">
        <v>60</v>
      </c>
      <c r="L328">
        <v>22</v>
      </c>
      <c r="M328" s="2">
        <v>2.73</v>
      </c>
      <c r="N328" s="2">
        <v>3.11</v>
      </c>
      <c r="O328">
        <v>0</v>
      </c>
      <c r="P328">
        <v>3</v>
      </c>
      <c r="Q328" s="4" t="str">
        <f t="shared" si="38"/>
        <v>2017/2018-Ganjil</v>
      </c>
      <c r="R328" t="s">
        <v>260</v>
      </c>
      <c r="S328" t="str">
        <f t="shared" si="39"/>
        <v>PA</v>
      </c>
    </row>
    <row r="329" spans="1:19" x14ac:dyDescent="0.3">
      <c r="A329" t="s">
        <v>12</v>
      </c>
      <c r="B329">
        <v>2016110009</v>
      </c>
      <c r="C329" t="s">
        <v>336</v>
      </c>
      <c r="E329" t="s">
        <v>382</v>
      </c>
      <c r="F329" t="s">
        <v>383</v>
      </c>
      <c r="G329">
        <v>4</v>
      </c>
      <c r="H329" t="s">
        <v>438</v>
      </c>
      <c r="I329" s="4">
        <f t="shared" si="40"/>
        <v>3</v>
      </c>
      <c r="J329">
        <f t="shared" si="41"/>
        <v>12</v>
      </c>
      <c r="K329">
        <v>58</v>
      </c>
      <c r="L329">
        <v>18</v>
      </c>
      <c r="M329" s="2">
        <v>3.22</v>
      </c>
      <c r="N329" s="2">
        <v>3.11</v>
      </c>
      <c r="O329">
        <v>0</v>
      </c>
      <c r="P329">
        <v>5</v>
      </c>
      <c r="Q329" s="4" t="str">
        <f t="shared" si="38"/>
        <v>2018/2019-Ganjil</v>
      </c>
      <c r="R329" t="s">
        <v>260</v>
      </c>
      <c r="S329" t="str">
        <f t="shared" si="39"/>
        <v>PA</v>
      </c>
    </row>
    <row r="330" spans="1:19" x14ac:dyDescent="0.3">
      <c r="A330" t="s">
        <v>12</v>
      </c>
      <c r="B330">
        <v>2016110009</v>
      </c>
      <c r="C330" t="s">
        <v>336</v>
      </c>
      <c r="E330" t="s">
        <v>192</v>
      </c>
      <c r="F330" t="s">
        <v>106</v>
      </c>
      <c r="G330">
        <v>2</v>
      </c>
      <c r="H330" t="s">
        <v>438</v>
      </c>
      <c r="I330" s="4">
        <f t="shared" si="40"/>
        <v>3</v>
      </c>
      <c r="J330">
        <f t="shared" si="41"/>
        <v>6</v>
      </c>
      <c r="K330">
        <v>60</v>
      </c>
      <c r="L330">
        <v>22</v>
      </c>
      <c r="M330" s="2">
        <v>2.73</v>
      </c>
      <c r="N330" s="2">
        <v>3.11</v>
      </c>
      <c r="O330">
        <v>0</v>
      </c>
      <c r="P330">
        <v>3</v>
      </c>
      <c r="Q330" s="4" t="str">
        <f t="shared" si="38"/>
        <v>2017/2018-Ganjil</v>
      </c>
      <c r="R330" t="s">
        <v>260</v>
      </c>
      <c r="S330" t="str">
        <f t="shared" si="39"/>
        <v>PA</v>
      </c>
    </row>
    <row r="331" spans="1:19" x14ac:dyDescent="0.3">
      <c r="A331" t="s">
        <v>12</v>
      </c>
      <c r="B331">
        <v>2016110009</v>
      </c>
      <c r="C331" t="s">
        <v>336</v>
      </c>
      <c r="E331" t="s">
        <v>142</v>
      </c>
      <c r="F331" t="s">
        <v>143</v>
      </c>
      <c r="G331">
        <v>2</v>
      </c>
      <c r="H331" t="s">
        <v>438</v>
      </c>
      <c r="I331" s="4">
        <f t="shared" si="40"/>
        <v>3</v>
      </c>
      <c r="J331">
        <f t="shared" si="41"/>
        <v>6</v>
      </c>
      <c r="K331">
        <v>62</v>
      </c>
      <c r="L331">
        <v>20</v>
      </c>
      <c r="M331" s="2">
        <v>3.1</v>
      </c>
      <c r="N331" s="2">
        <v>3.11</v>
      </c>
      <c r="O331">
        <v>0</v>
      </c>
      <c r="P331">
        <v>1</v>
      </c>
      <c r="Q331" s="4" t="str">
        <f t="shared" si="38"/>
        <v>2016/2017-Ganjil</v>
      </c>
      <c r="R331" t="s">
        <v>260</v>
      </c>
      <c r="S331" t="str">
        <f t="shared" si="39"/>
        <v>PA</v>
      </c>
    </row>
    <row r="332" spans="1:19" x14ac:dyDescent="0.3">
      <c r="A332" t="s">
        <v>12</v>
      </c>
      <c r="B332">
        <v>2016110009</v>
      </c>
      <c r="C332" t="s">
        <v>336</v>
      </c>
      <c r="E332" t="s">
        <v>427</v>
      </c>
      <c r="F332" t="s">
        <v>428</v>
      </c>
      <c r="G332">
        <v>2</v>
      </c>
      <c r="H332" t="s">
        <v>438</v>
      </c>
      <c r="I332" s="4">
        <f t="shared" si="40"/>
        <v>3</v>
      </c>
      <c r="J332">
        <f t="shared" si="41"/>
        <v>6</v>
      </c>
      <c r="K332">
        <v>72</v>
      </c>
      <c r="L332">
        <v>22</v>
      </c>
      <c r="M332" s="2">
        <v>3.27</v>
      </c>
      <c r="N332" s="2">
        <v>3.11</v>
      </c>
      <c r="O332">
        <v>0</v>
      </c>
      <c r="P332">
        <v>6</v>
      </c>
      <c r="Q332" s="4" t="str">
        <f t="shared" si="38"/>
        <v>2018/2019-Genap</v>
      </c>
      <c r="R332" t="s">
        <v>260</v>
      </c>
      <c r="S332" t="str">
        <f t="shared" si="39"/>
        <v>PA</v>
      </c>
    </row>
    <row r="333" spans="1:19" x14ac:dyDescent="0.3">
      <c r="A333" t="s">
        <v>12</v>
      </c>
      <c r="B333">
        <v>2016110009</v>
      </c>
      <c r="C333" t="s">
        <v>336</v>
      </c>
      <c r="E333" t="s">
        <v>173</v>
      </c>
      <c r="F333" t="s">
        <v>8</v>
      </c>
      <c r="G333">
        <v>2</v>
      </c>
      <c r="H333" t="s">
        <v>438</v>
      </c>
      <c r="I333" s="4">
        <f t="shared" si="40"/>
        <v>3</v>
      </c>
      <c r="J333">
        <f t="shared" si="41"/>
        <v>6</v>
      </c>
      <c r="K333">
        <v>60</v>
      </c>
      <c r="L333">
        <v>22</v>
      </c>
      <c r="M333" s="2">
        <v>2.73</v>
      </c>
      <c r="N333" s="2">
        <v>3.11</v>
      </c>
      <c r="O333">
        <v>0</v>
      </c>
      <c r="P333">
        <v>3</v>
      </c>
      <c r="Q333" s="4" t="str">
        <f t="shared" si="38"/>
        <v>2017/2018-Ganjil</v>
      </c>
      <c r="R333" t="s">
        <v>260</v>
      </c>
      <c r="S333" t="str">
        <f t="shared" si="39"/>
        <v>PA</v>
      </c>
    </row>
    <row r="334" spans="1:19" x14ac:dyDescent="0.3">
      <c r="A334" t="s">
        <v>12</v>
      </c>
      <c r="B334">
        <v>2016110009</v>
      </c>
      <c r="C334" t="s">
        <v>336</v>
      </c>
      <c r="E334" t="s">
        <v>165</v>
      </c>
      <c r="F334" t="s">
        <v>166</v>
      </c>
      <c r="G334">
        <v>2</v>
      </c>
      <c r="H334" t="s">
        <v>438</v>
      </c>
      <c r="I334" s="4">
        <f t="shared" si="40"/>
        <v>3</v>
      </c>
      <c r="J334">
        <f t="shared" si="41"/>
        <v>6</v>
      </c>
      <c r="K334">
        <v>62</v>
      </c>
      <c r="L334">
        <v>20</v>
      </c>
      <c r="M334" s="2">
        <v>3.1</v>
      </c>
      <c r="N334" s="2">
        <v>3.11</v>
      </c>
      <c r="O334">
        <v>0</v>
      </c>
      <c r="P334">
        <v>1</v>
      </c>
      <c r="Q334" s="4" t="str">
        <f t="shared" si="38"/>
        <v>2016/2017-Ganjil</v>
      </c>
      <c r="R334" t="s">
        <v>260</v>
      </c>
      <c r="S334" t="str">
        <f t="shared" si="39"/>
        <v>PA</v>
      </c>
    </row>
    <row r="335" spans="1:19" x14ac:dyDescent="0.3">
      <c r="A335" t="s">
        <v>12</v>
      </c>
      <c r="B335">
        <v>2016110009</v>
      </c>
      <c r="C335" t="s">
        <v>336</v>
      </c>
      <c r="E335" t="s">
        <v>257</v>
      </c>
      <c r="F335" t="s">
        <v>258</v>
      </c>
      <c r="G335">
        <v>4</v>
      </c>
      <c r="H335" t="s">
        <v>438</v>
      </c>
      <c r="I335" s="4">
        <f t="shared" si="40"/>
        <v>3</v>
      </c>
      <c r="J335">
        <f t="shared" si="41"/>
        <v>12</v>
      </c>
      <c r="K335">
        <v>72</v>
      </c>
      <c r="L335">
        <v>22</v>
      </c>
      <c r="M335" s="2">
        <v>3.27</v>
      </c>
      <c r="N335" s="2">
        <v>3.11</v>
      </c>
      <c r="O335">
        <v>0</v>
      </c>
      <c r="P335">
        <v>6</v>
      </c>
      <c r="Q335" s="4" t="str">
        <f t="shared" si="38"/>
        <v>2018/2019-Genap</v>
      </c>
      <c r="R335" t="s">
        <v>260</v>
      </c>
      <c r="S335" t="str">
        <f t="shared" si="39"/>
        <v>PA</v>
      </c>
    </row>
    <row r="336" spans="1:19" x14ac:dyDescent="0.3">
      <c r="A336" t="s">
        <v>12</v>
      </c>
      <c r="B336">
        <v>2016110009</v>
      </c>
      <c r="C336" t="s">
        <v>336</v>
      </c>
      <c r="E336" t="s">
        <v>248</v>
      </c>
      <c r="F336" t="s">
        <v>249</v>
      </c>
      <c r="G336">
        <v>2</v>
      </c>
      <c r="H336" t="s">
        <v>438</v>
      </c>
      <c r="I336" s="4">
        <f t="shared" si="40"/>
        <v>3</v>
      </c>
      <c r="J336">
        <f t="shared" si="41"/>
        <v>6</v>
      </c>
      <c r="K336">
        <v>52</v>
      </c>
      <c r="L336">
        <v>22</v>
      </c>
      <c r="M336" s="2">
        <v>2.36</v>
      </c>
      <c r="N336" s="2">
        <v>3.11</v>
      </c>
      <c r="O336">
        <v>0</v>
      </c>
      <c r="P336">
        <v>4</v>
      </c>
      <c r="Q336" s="4" t="str">
        <f t="shared" si="38"/>
        <v>2017/2018-Genap</v>
      </c>
      <c r="R336" t="s">
        <v>260</v>
      </c>
      <c r="S336" t="str">
        <f t="shared" si="39"/>
        <v>PA</v>
      </c>
    </row>
    <row r="337" spans="1:19" x14ac:dyDescent="0.3">
      <c r="A337" t="s">
        <v>12</v>
      </c>
      <c r="B337">
        <v>2016110009</v>
      </c>
      <c r="C337" t="s">
        <v>336</v>
      </c>
      <c r="E337" t="s">
        <v>360</v>
      </c>
      <c r="F337" t="s">
        <v>361</v>
      </c>
      <c r="G337">
        <v>2</v>
      </c>
      <c r="H337" t="s">
        <v>438</v>
      </c>
      <c r="I337" s="4">
        <f t="shared" si="40"/>
        <v>3</v>
      </c>
      <c r="J337">
        <f t="shared" si="41"/>
        <v>6</v>
      </c>
      <c r="K337">
        <v>72</v>
      </c>
      <c r="L337">
        <v>22</v>
      </c>
      <c r="M337" s="2">
        <v>3.27</v>
      </c>
      <c r="N337" s="2">
        <v>3.11</v>
      </c>
      <c r="O337">
        <v>0</v>
      </c>
      <c r="P337">
        <v>6</v>
      </c>
      <c r="Q337" s="4" t="str">
        <f t="shared" si="38"/>
        <v>2018/2019-Genap</v>
      </c>
      <c r="R337" t="s">
        <v>260</v>
      </c>
      <c r="S337" t="str">
        <f t="shared" si="39"/>
        <v>PA</v>
      </c>
    </row>
    <row r="338" spans="1:19" x14ac:dyDescent="0.3">
      <c r="A338" t="s">
        <v>12</v>
      </c>
      <c r="B338">
        <v>2016110009</v>
      </c>
      <c r="C338" t="s">
        <v>336</v>
      </c>
      <c r="E338" t="s">
        <v>244</v>
      </c>
      <c r="F338" t="s">
        <v>228</v>
      </c>
      <c r="G338">
        <v>2</v>
      </c>
      <c r="H338" t="s">
        <v>438</v>
      </c>
      <c r="I338" s="4">
        <f t="shared" si="40"/>
        <v>3</v>
      </c>
      <c r="J338">
        <f t="shared" si="41"/>
        <v>6</v>
      </c>
      <c r="K338">
        <v>52</v>
      </c>
      <c r="L338">
        <v>22</v>
      </c>
      <c r="M338" s="2">
        <v>2.36</v>
      </c>
      <c r="N338" s="2">
        <v>3.11</v>
      </c>
      <c r="O338">
        <v>0</v>
      </c>
      <c r="P338">
        <v>4</v>
      </c>
      <c r="Q338" s="4" t="str">
        <f t="shared" si="38"/>
        <v>2017/2018-Genap</v>
      </c>
      <c r="R338" t="s">
        <v>260</v>
      </c>
      <c r="S338" t="str">
        <f t="shared" si="39"/>
        <v>PA</v>
      </c>
    </row>
    <row r="339" spans="1:19" x14ac:dyDescent="0.3">
      <c r="A339" t="s">
        <v>12</v>
      </c>
      <c r="B339">
        <v>2016110009</v>
      </c>
      <c r="C339" t="s">
        <v>336</v>
      </c>
      <c r="E339" t="s">
        <v>39</v>
      </c>
      <c r="F339" t="s">
        <v>11</v>
      </c>
      <c r="G339">
        <v>2</v>
      </c>
      <c r="H339" t="s">
        <v>438</v>
      </c>
      <c r="I339" s="4">
        <f t="shared" si="40"/>
        <v>3</v>
      </c>
      <c r="J339">
        <f t="shared" si="41"/>
        <v>6</v>
      </c>
      <c r="K339">
        <v>72</v>
      </c>
      <c r="L339">
        <v>22</v>
      </c>
      <c r="M339" s="2">
        <v>3.27</v>
      </c>
      <c r="N339" s="2">
        <v>3.11</v>
      </c>
      <c r="O339">
        <v>0</v>
      </c>
      <c r="P339">
        <v>6</v>
      </c>
      <c r="Q339" s="4" t="str">
        <f t="shared" si="38"/>
        <v>2018/2019-Genap</v>
      </c>
      <c r="R339" t="s">
        <v>260</v>
      </c>
      <c r="S339" t="str">
        <f t="shared" si="39"/>
        <v>PA</v>
      </c>
    </row>
    <row r="340" spans="1:19" x14ac:dyDescent="0.3">
      <c r="A340" t="s">
        <v>12</v>
      </c>
      <c r="B340">
        <v>2016110009</v>
      </c>
      <c r="C340" t="s">
        <v>336</v>
      </c>
      <c r="E340" t="s">
        <v>262</v>
      </c>
      <c r="F340" t="s">
        <v>263</v>
      </c>
      <c r="G340">
        <v>2</v>
      </c>
      <c r="H340" t="s">
        <v>438</v>
      </c>
      <c r="I340" s="4">
        <f t="shared" si="40"/>
        <v>3</v>
      </c>
      <c r="J340">
        <f t="shared" si="41"/>
        <v>6</v>
      </c>
      <c r="K340">
        <v>72</v>
      </c>
      <c r="L340">
        <v>22</v>
      </c>
      <c r="M340" s="2">
        <v>3.27</v>
      </c>
      <c r="N340" s="2">
        <v>3.11</v>
      </c>
      <c r="O340">
        <v>0</v>
      </c>
      <c r="P340">
        <v>6</v>
      </c>
      <c r="Q340" s="4" t="str">
        <f t="shared" si="38"/>
        <v>2018/2019-Genap</v>
      </c>
      <c r="R340" t="s">
        <v>260</v>
      </c>
      <c r="S340" t="str">
        <f t="shared" si="39"/>
        <v>PA</v>
      </c>
    </row>
    <row r="341" spans="1:19" x14ac:dyDescent="0.3">
      <c r="A341" t="s">
        <v>12</v>
      </c>
      <c r="B341">
        <v>2016110009</v>
      </c>
      <c r="C341" t="s">
        <v>336</v>
      </c>
      <c r="E341" t="s">
        <v>276</v>
      </c>
      <c r="F341" t="s">
        <v>137</v>
      </c>
      <c r="G341">
        <v>4</v>
      </c>
      <c r="H341" t="s">
        <v>438</v>
      </c>
      <c r="I341" s="4">
        <f t="shared" si="40"/>
        <v>3</v>
      </c>
      <c r="J341">
        <f t="shared" si="41"/>
        <v>12</v>
      </c>
      <c r="K341">
        <v>52</v>
      </c>
      <c r="L341">
        <v>22</v>
      </c>
      <c r="M341" s="2">
        <v>2.36</v>
      </c>
      <c r="N341" s="2">
        <v>3.11</v>
      </c>
      <c r="O341">
        <v>0</v>
      </c>
      <c r="P341">
        <v>4</v>
      </c>
      <c r="Q341" s="4" t="str">
        <f t="shared" si="38"/>
        <v>2017/2018-Genap</v>
      </c>
      <c r="R341" t="s">
        <v>260</v>
      </c>
      <c r="S341" t="str">
        <f t="shared" si="39"/>
        <v>PA</v>
      </c>
    </row>
    <row r="342" spans="1:19" x14ac:dyDescent="0.3">
      <c r="A342" t="s">
        <v>12</v>
      </c>
      <c r="B342">
        <v>2016110009</v>
      </c>
      <c r="C342" t="s">
        <v>336</v>
      </c>
      <c r="E342" t="s">
        <v>103</v>
      </c>
      <c r="F342" t="s">
        <v>104</v>
      </c>
      <c r="G342">
        <v>4</v>
      </c>
      <c r="H342" t="s">
        <v>438</v>
      </c>
      <c r="I342" s="4">
        <f t="shared" si="40"/>
        <v>3</v>
      </c>
      <c r="J342">
        <f t="shared" si="41"/>
        <v>12</v>
      </c>
      <c r="K342">
        <v>58</v>
      </c>
      <c r="L342">
        <v>20</v>
      </c>
      <c r="M342" s="2">
        <v>2.9</v>
      </c>
      <c r="N342" s="2">
        <v>3.11</v>
      </c>
      <c r="O342">
        <v>0</v>
      </c>
      <c r="P342">
        <v>2</v>
      </c>
      <c r="Q342" s="4" t="str">
        <f t="shared" si="38"/>
        <v>2016/2017-Genap</v>
      </c>
      <c r="R342" t="s">
        <v>260</v>
      </c>
      <c r="S342" t="str">
        <f t="shared" si="39"/>
        <v>PA</v>
      </c>
    </row>
    <row r="343" spans="1:19" x14ac:dyDescent="0.3">
      <c r="A343" t="s">
        <v>12</v>
      </c>
      <c r="B343">
        <v>2016110009</v>
      </c>
      <c r="C343" t="s">
        <v>336</v>
      </c>
      <c r="E343" t="s">
        <v>283</v>
      </c>
      <c r="F343" t="s">
        <v>284</v>
      </c>
      <c r="G343">
        <v>2</v>
      </c>
      <c r="H343" t="s">
        <v>438</v>
      </c>
      <c r="I343" s="4">
        <f t="shared" si="40"/>
        <v>3</v>
      </c>
      <c r="J343">
        <f t="shared" si="41"/>
        <v>6</v>
      </c>
      <c r="K343">
        <v>74</v>
      </c>
      <c r="L343">
        <v>22</v>
      </c>
      <c r="M343" s="2">
        <v>3.36</v>
      </c>
      <c r="N343" s="2">
        <v>3.11</v>
      </c>
      <c r="O343">
        <v>0</v>
      </c>
      <c r="P343">
        <v>7</v>
      </c>
      <c r="Q343" s="4" t="str">
        <f t="shared" si="38"/>
        <v>2019/2020-Ganjil</v>
      </c>
      <c r="R343" t="s">
        <v>260</v>
      </c>
      <c r="S343" t="str">
        <f t="shared" si="39"/>
        <v>PA</v>
      </c>
    </row>
    <row r="344" spans="1:19" x14ac:dyDescent="0.3">
      <c r="A344" t="s">
        <v>12</v>
      </c>
      <c r="B344">
        <v>2016110009</v>
      </c>
      <c r="C344" t="s">
        <v>336</v>
      </c>
      <c r="E344" t="s">
        <v>357</v>
      </c>
      <c r="F344" t="s">
        <v>358</v>
      </c>
      <c r="G344">
        <v>4</v>
      </c>
      <c r="H344" t="s">
        <v>438</v>
      </c>
      <c r="I344" s="4">
        <f t="shared" si="40"/>
        <v>3</v>
      </c>
      <c r="J344">
        <f t="shared" si="41"/>
        <v>12</v>
      </c>
      <c r="K344">
        <v>58</v>
      </c>
      <c r="L344">
        <v>18</v>
      </c>
      <c r="M344" s="2">
        <v>3.22</v>
      </c>
      <c r="N344" s="2">
        <v>3.11</v>
      </c>
      <c r="O344">
        <v>0</v>
      </c>
      <c r="P344">
        <v>5</v>
      </c>
      <c r="Q344" s="4" t="str">
        <f t="shared" si="38"/>
        <v>2018/2019-Ganjil</v>
      </c>
      <c r="R344" t="s">
        <v>260</v>
      </c>
      <c r="S344" t="str">
        <f t="shared" si="39"/>
        <v>PA</v>
      </c>
    </row>
    <row r="345" spans="1:19" x14ac:dyDescent="0.3">
      <c r="A345" t="s">
        <v>12</v>
      </c>
      <c r="B345">
        <v>2016110009</v>
      </c>
      <c r="C345" t="s">
        <v>336</v>
      </c>
      <c r="E345" t="s">
        <v>205</v>
      </c>
      <c r="F345" t="s">
        <v>116</v>
      </c>
      <c r="G345">
        <v>4</v>
      </c>
      <c r="H345" t="s">
        <v>438</v>
      </c>
      <c r="I345" s="4">
        <f t="shared" si="40"/>
        <v>3</v>
      </c>
      <c r="J345">
        <f t="shared" si="41"/>
        <v>12</v>
      </c>
      <c r="K345">
        <v>60</v>
      </c>
      <c r="L345">
        <v>22</v>
      </c>
      <c r="M345" s="2">
        <v>2.73</v>
      </c>
      <c r="N345" s="2">
        <v>3.11</v>
      </c>
      <c r="O345">
        <v>0</v>
      </c>
      <c r="P345">
        <v>3</v>
      </c>
      <c r="Q345" s="4" t="str">
        <f t="shared" si="38"/>
        <v>2017/2018-Ganjil</v>
      </c>
      <c r="R345" t="s">
        <v>260</v>
      </c>
      <c r="S345" t="str">
        <f t="shared" si="39"/>
        <v>PA</v>
      </c>
    </row>
    <row r="346" spans="1:19" x14ac:dyDescent="0.3">
      <c r="A346" t="s">
        <v>12</v>
      </c>
      <c r="B346">
        <v>2016110009</v>
      </c>
      <c r="C346" t="s">
        <v>336</v>
      </c>
      <c r="E346" t="s">
        <v>264</v>
      </c>
      <c r="F346" t="s">
        <v>265</v>
      </c>
      <c r="G346">
        <v>2</v>
      </c>
      <c r="H346" t="s">
        <v>438</v>
      </c>
      <c r="I346" s="4">
        <f t="shared" si="40"/>
        <v>3</v>
      </c>
      <c r="J346">
        <f t="shared" si="41"/>
        <v>6</v>
      </c>
      <c r="K346">
        <v>58</v>
      </c>
      <c r="L346">
        <v>18</v>
      </c>
      <c r="M346" s="2">
        <v>3.22</v>
      </c>
      <c r="N346" s="2">
        <v>3.11</v>
      </c>
      <c r="O346">
        <v>0</v>
      </c>
      <c r="P346">
        <v>5</v>
      </c>
      <c r="Q346" s="4" t="str">
        <f t="shared" si="38"/>
        <v>2018/2019-Ganjil</v>
      </c>
      <c r="R346" t="s">
        <v>260</v>
      </c>
      <c r="S346" t="str">
        <f t="shared" si="39"/>
        <v>PA</v>
      </c>
    </row>
    <row r="347" spans="1:19" x14ac:dyDescent="0.3">
      <c r="A347" t="s">
        <v>12</v>
      </c>
      <c r="B347">
        <v>2016110009</v>
      </c>
      <c r="C347" t="s">
        <v>336</v>
      </c>
      <c r="E347" t="s">
        <v>437</v>
      </c>
      <c r="F347" t="s">
        <v>169</v>
      </c>
      <c r="G347">
        <v>4</v>
      </c>
      <c r="H347" t="s">
        <v>438</v>
      </c>
      <c r="I347" s="4">
        <f t="shared" si="40"/>
        <v>3</v>
      </c>
      <c r="J347">
        <f t="shared" si="41"/>
        <v>12</v>
      </c>
      <c r="K347">
        <v>62</v>
      </c>
      <c r="L347">
        <v>20</v>
      </c>
      <c r="M347" s="2">
        <v>3.1</v>
      </c>
      <c r="N347" s="2">
        <v>3.11</v>
      </c>
      <c r="O347">
        <v>0</v>
      </c>
      <c r="P347">
        <v>1</v>
      </c>
      <c r="Q347" s="4" t="str">
        <f t="shared" si="38"/>
        <v>2016/2017-Ganjil</v>
      </c>
      <c r="R347" t="s">
        <v>260</v>
      </c>
      <c r="S347" t="str">
        <f t="shared" si="39"/>
        <v>PA</v>
      </c>
    </row>
    <row r="348" spans="1:19" x14ac:dyDescent="0.3">
      <c r="A348" t="s">
        <v>12</v>
      </c>
      <c r="B348">
        <v>2016110009</v>
      </c>
      <c r="C348" t="s">
        <v>336</v>
      </c>
      <c r="E348" t="s">
        <v>241</v>
      </c>
      <c r="F348" t="s">
        <v>45</v>
      </c>
      <c r="G348">
        <v>2</v>
      </c>
      <c r="H348" t="s">
        <v>524</v>
      </c>
      <c r="I348" s="4">
        <f t="shared" si="40"/>
        <v>2</v>
      </c>
      <c r="J348">
        <f t="shared" si="41"/>
        <v>4</v>
      </c>
      <c r="K348">
        <v>60</v>
      </c>
      <c r="L348">
        <v>22</v>
      </c>
      <c r="M348" s="2">
        <v>2.73</v>
      </c>
      <c r="N348" s="2">
        <v>3.11</v>
      </c>
      <c r="O348">
        <v>0</v>
      </c>
      <c r="P348">
        <v>3</v>
      </c>
      <c r="Q348" s="4" t="str">
        <f t="shared" si="38"/>
        <v>2017/2018-Ganjil</v>
      </c>
      <c r="R348" t="s">
        <v>260</v>
      </c>
      <c r="S348" t="str">
        <f t="shared" si="39"/>
        <v>PA</v>
      </c>
    </row>
    <row r="349" spans="1:19" x14ac:dyDescent="0.3">
      <c r="A349" t="s">
        <v>12</v>
      </c>
      <c r="B349">
        <v>2016110009</v>
      </c>
      <c r="C349" t="s">
        <v>336</v>
      </c>
      <c r="E349" t="s">
        <v>31</v>
      </c>
      <c r="F349" t="s">
        <v>20</v>
      </c>
      <c r="G349">
        <v>4</v>
      </c>
      <c r="H349" t="s">
        <v>524</v>
      </c>
      <c r="I349" s="4">
        <f t="shared" si="40"/>
        <v>2</v>
      </c>
      <c r="J349">
        <f t="shared" si="41"/>
        <v>8</v>
      </c>
      <c r="K349">
        <v>12</v>
      </c>
      <c r="L349">
        <v>6</v>
      </c>
      <c r="M349" s="2">
        <v>2</v>
      </c>
      <c r="N349" s="2">
        <v>3.11</v>
      </c>
      <c r="O349">
        <v>0</v>
      </c>
      <c r="P349">
        <v>8</v>
      </c>
      <c r="Q349" s="4" t="str">
        <f t="shared" si="38"/>
        <v>2019/2020-Genap</v>
      </c>
      <c r="R349" t="s">
        <v>596</v>
      </c>
      <c r="S349" t="str">
        <f t="shared" si="39"/>
        <v>PA</v>
      </c>
    </row>
    <row r="350" spans="1:19" x14ac:dyDescent="0.3">
      <c r="A350" t="s">
        <v>12</v>
      </c>
      <c r="B350">
        <v>2016110009</v>
      </c>
      <c r="C350" t="s">
        <v>336</v>
      </c>
      <c r="E350" t="s">
        <v>432</v>
      </c>
      <c r="F350" t="s">
        <v>433</v>
      </c>
      <c r="G350">
        <v>4</v>
      </c>
      <c r="H350" t="s">
        <v>524</v>
      </c>
      <c r="I350" s="4">
        <f t="shared" si="40"/>
        <v>2</v>
      </c>
      <c r="J350">
        <f t="shared" si="41"/>
        <v>8</v>
      </c>
      <c r="K350">
        <v>52</v>
      </c>
      <c r="L350">
        <v>22</v>
      </c>
      <c r="M350" s="2">
        <v>2.36</v>
      </c>
      <c r="N350" s="2">
        <v>3.11</v>
      </c>
      <c r="O350">
        <v>0</v>
      </c>
      <c r="P350">
        <v>4</v>
      </c>
      <c r="Q350" s="4" t="str">
        <f t="shared" si="38"/>
        <v>2017/2018-Genap</v>
      </c>
      <c r="R350" t="s">
        <v>260</v>
      </c>
      <c r="S350" t="str">
        <f t="shared" si="39"/>
        <v>PA</v>
      </c>
    </row>
    <row r="351" spans="1:19" x14ac:dyDescent="0.3">
      <c r="A351" t="s">
        <v>12</v>
      </c>
      <c r="B351">
        <v>2016110009</v>
      </c>
      <c r="C351" t="s">
        <v>336</v>
      </c>
      <c r="E351" t="s">
        <v>374</v>
      </c>
      <c r="F351" t="s">
        <v>375</v>
      </c>
      <c r="G351">
        <v>2</v>
      </c>
      <c r="H351" t="s">
        <v>524</v>
      </c>
      <c r="I351" s="4">
        <f t="shared" si="40"/>
        <v>2</v>
      </c>
      <c r="J351">
        <f t="shared" si="41"/>
        <v>4</v>
      </c>
      <c r="K351">
        <v>52</v>
      </c>
      <c r="L351">
        <v>22</v>
      </c>
      <c r="M351" s="2">
        <v>2.36</v>
      </c>
      <c r="N351" s="2">
        <v>3.11</v>
      </c>
      <c r="O351">
        <v>0</v>
      </c>
      <c r="P351">
        <v>4</v>
      </c>
      <c r="Q351" s="4" t="str">
        <f t="shared" si="38"/>
        <v>2017/2018-Genap</v>
      </c>
      <c r="R351" t="s">
        <v>260</v>
      </c>
      <c r="S351" t="str">
        <f t="shared" si="39"/>
        <v>PA</v>
      </c>
    </row>
    <row r="352" spans="1:19" x14ac:dyDescent="0.3">
      <c r="A352" t="s">
        <v>12</v>
      </c>
      <c r="B352">
        <v>2016110009</v>
      </c>
      <c r="C352" t="s">
        <v>336</v>
      </c>
      <c r="E352" t="s">
        <v>97</v>
      </c>
      <c r="F352" t="s">
        <v>98</v>
      </c>
      <c r="G352">
        <v>4</v>
      </c>
      <c r="H352" t="s">
        <v>524</v>
      </c>
      <c r="I352" s="4">
        <f t="shared" si="40"/>
        <v>2</v>
      </c>
      <c r="J352">
        <f t="shared" si="41"/>
        <v>8</v>
      </c>
      <c r="K352">
        <v>58</v>
      </c>
      <c r="L352">
        <v>20</v>
      </c>
      <c r="M352" s="2">
        <v>2.9</v>
      </c>
      <c r="N352" s="2">
        <v>3.11</v>
      </c>
      <c r="O352">
        <v>0</v>
      </c>
      <c r="P352">
        <v>2</v>
      </c>
      <c r="Q352" s="4" t="str">
        <f t="shared" si="38"/>
        <v>2016/2017-Genap</v>
      </c>
      <c r="R352" t="s">
        <v>260</v>
      </c>
      <c r="S352" t="str">
        <f t="shared" si="39"/>
        <v>PA</v>
      </c>
    </row>
    <row r="353" spans="1:19" x14ac:dyDescent="0.3">
      <c r="A353" t="s">
        <v>12</v>
      </c>
      <c r="B353">
        <v>2016110009</v>
      </c>
      <c r="C353" t="s">
        <v>336</v>
      </c>
      <c r="E353" t="s">
        <v>309</v>
      </c>
      <c r="F353" t="s">
        <v>310</v>
      </c>
      <c r="G353">
        <v>4</v>
      </c>
      <c r="H353" t="s">
        <v>524</v>
      </c>
      <c r="I353" s="4">
        <f t="shared" si="40"/>
        <v>2</v>
      </c>
      <c r="J353">
        <f t="shared" si="41"/>
        <v>8</v>
      </c>
      <c r="K353">
        <v>52</v>
      </c>
      <c r="L353">
        <v>22</v>
      </c>
      <c r="M353" s="2">
        <v>2.36</v>
      </c>
      <c r="N353" s="2">
        <v>3.11</v>
      </c>
      <c r="O353">
        <v>0</v>
      </c>
      <c r="P353">
        <v>4</v>
      </c>
      <c r="Q353" s="4" t="str">
        <f t="shared" si="38"/>
        <v>2017/2018-Genap</v>
      </c>
      <c r="R353" t="s">
        <v>260</v>
      </c>
      <c r="S353" t="str">
        <f t="shared" si="39"/>
        <v>PA</v>
      </c>
    </row>
    <row r="354" spans="1:19" x14ac:dyDescent="0.3">
      <c r="A354" t="s">
        <v>12</v>
      </c>
      <c r="B354">
        <v>2016110009</v>
      </c>
      <c r="C354" t="s">
        <v>336</v>
      </c>
      <c r="E354" t="s">
        <v>309</v>
      </c>
      <c r="F354" t="s">
        <v>310</v>
      </c>
      <c r="G354">
        <v>4</v>
      </c>
      <c r="H354" t="s">
        <v>438</v>
      </c>
      <c r="I354" s="4">
        <f t="shared" si="40"/>
        <v>3</v>
      </c>
      <c r="J354">
        <f t="shared" si="41"/>
        <v>12</v>
      </c>
      <c r="K354">
        <v>28</v>
      </c>
      <c r="L354">
        <v>8</v>
      </c>
      <c r="M354" s="2">
        <v>3.5</v>
      </c>
      <c r="N354" s="2">
        <v>3.11</v>
      </c>
      <c r="O354">
        <v>1</v>
      </c>
      <c r="P354">
        <v>6</v>
      </c>
      <c r="Q354" s="4" t="s">
        <v>572</v>
      </c>
      <c r="R354" t="s">
        <v>260</v>
      </c>
      <c r="S354" t="str">
        <f t="shared" si="39"/>
        <v>PA</v>
      </c>
    </row>
    <row r="355" spans="1:19" x14ac:dyDescent="0.3">
      <c r="A355" t="s">
        <v>12</v>
      </c>
      <c r="B355">
        <v>2016110009</v>
      </c>
      <c r="C355" t="s">
        <v>336</v>
      </c>
      <c r="E355" t="s">
        <v>100</v>
      </c>
      <c r="F355" t="s">
        <v>101</v>
      </c>
      <c r="G355">
        <v>4</v>
      </c>
      <c r="H355" t="s">
        <v>524</v>
      </c>
      <c r="I355" s="4">
        <f t="shared" si="40"/>
        <v>2</v>
      </c>
      <c r="J355">
        <f t="shared" si="41"/>
        <v>8</v>
      </c>
      <c r="K355">
        <v>58</v>
      </c>
      <c r="L355">
        <v>20</v>
      </c>
      <c r="M355" s="2">
        <v>2.9</v>
      </c>
      <c r="N355" s="2">
        <v>3.11</v>
      </c>
      <c r="O355">
        <v>0</v>
      </c>
      <c r="P355">
        <v>2</v>
      </c>
      <c r="Q355" s="4" t="str">
        <f>IF(P355=1,"2016/2017-Ganjil",IF(P355=2,"2016/2017-Genap",IF(P355=3,"2017/2018-Ganjil",IF(P355=4,"2017/2018-Genap",IF(P355=5,"2018/2019-Ganjil",IF(P355=6,"2018/2019-Genap",IF(P355=7,"2019/2020-Ganjil",IF(P355=8,"2019/2020-Genap",IF(P355=9,"2020/2021-Ganjil",IF(P355=10,"2020/2021-Genap",IF(P355=11,"2021/2022-Ganjil",IF(P355=12,"2021/2022-Genap",IF(P355=13,"2022/2023-Ganjil","2022/2023-Genap")))))))))))))</f>
        <v>2016/2017-Genap</v>
      </c>
      <c r="R355" t="s">
        <v>260</v>
      </c>
      <c r="S355" t="str">
        <f t="shared" si="39"/>
        <v>PA</v>
      </c>
    </row>
    <row r="356" spans="1:19" x14ac:dyDescent="0.3">
      <c r="A356" t="s">
        <v>12</v>
      </c>
      <c r="B356">
        <v>2016110009</v>
      </c>
      <c r="C356" t="s">
        <v>336</v>
      </c>
      <c r="E356" t="s">
        <v>122</v>
      </c>
      <c r="F356" t="s">
        <v>123</v>
      </c>
      <c r="G356">
        <v>4</v>
      </c>
      <c r="H356" t="s">
        <v>438</v>
      </c>
      <c r="I356" s="4">
        <f t="shared" si="40"/>
        <v>3</v>
      </c>
      <c r="J356">
        <f t="shared" si="41"/>
        <v>12</v>
      </c>
      <c r="K356">
        <v>74</v>
      </c>
      <c r="L356">
        <v>22</v>
      </c>
      <c r="M356" s="2">
        <v>3.36</v>
      </c>
      <c r="N356" s="2">
        <v>3.11</v>
      </c>
      <c r="O356">
        <v>1</v>
      </c>
      <c r="P356">
        <v>7</v>
      </c>
      <c r="Q356" s="4" t="str">
        <f>IF(P356=1,"2016/2017-Ganjil",IF(P356=2,"2016/2017-Genap",IF(P356=3,"2017/2018-Ganjil",IF(P356=4,"2017/2018-Genap",IF(P356=5,"2018/2019-Ganjil",IF(P356=6,"2018/2019-Genap",IF(P356=7,"2019/2020-Ganjil",IF(P356=8,"2019/2020-Genap",IF(P356=9,"2020/2021-Ganjil",IF(P356=10,"2020/2021-Genap",IF(P356=11,"2021/2022-Ganjil",IF(P356=12,"2021/2022-Genap",IF(P356=13,"2022/2023-Ganjil","2022/2023-Genap")))))))))))))</f>
        <v>2019/2020-Ganjil</v>
      </c>
      <c r="R356" t="s">
        <v>260</v>
      </c>
      <c r="S356" t="str">
        <f t="shared" si="39"/>
        <v>PA</v>
      </c>
    </row>
    <row r="357" spans="1:19" x14ac:dyDescent="0.3">
      <c r="A357" t="s">
        <v>12</v>
      </c>
      <c r="B357">
        <v>2016110009</v>
      </c>
      <c r="C357" t="s">
        <v>336</v>
      </c>
      <c r="E357" t="s">
        <v>122</v>
      </c>
      <c r="F357" t="s">
        <v>123</v>
      </c>
      <c r="G357">
        <v>4</v>
      </c>
      <c r="H357" t="s">
        <v>524</v>
      </c>
      <c r="I357" s="4">
        <f t="shared" si="40"/>
        <v>2</v>
      </c>
      <c r="J357">
        <f t="shared" si="41"/>
        <v>8</v>
      </c>
      <c r="K357">
        <v>62</v>
      </c>
      <c r="L357">
        <v>20</v>
      </c>
      <c r="M357" s="2">
        <v>3.1</v>
      </c>
      <c r="N357" s="2">
        <v>3.11</v>
      </c>
      <c r="O357">
        <v>0</v>
      </c>
      <c r="P357">
        <v>1</v>
      </c>
      <c r="Q357" s="4" t="str">
        <f>IF(P357=1,"2016/2017-Ganjil",IF(P357=2,"2016/2017-Genap",IF(P357=3,"2017/2018-Ganjil",IF(P357=4,"2017/2018-Genap",IF(P357=5,"2018/2019-Ganjil",IF(P357=6,"2018/2019-Genap",IF(P357=7,"2019/2020-Ganjil",IF(P357=8,"2019/2020-Genap",IF(P357=9,"2020/2021-Ganjil",IF(P357=10,"2020/2021-Genap",IF(P357=11,"2021/2022-Ganjil",IF(P357=12,"2021/2022-Genap",IF(P357=13,"2022/2023-Ganjil","2022/2023-Genap")))))))))))))</f>
        <v>2016/2017-Ganjil</v>
      </c>
      <c r="R357" t="s">
        <v>260</v>
      </c>
      <c r="S357" t="str">
        <f t="shared" si="39"/>
        <v>PA</v>
      </c>
    </row>
    <row r="358" spans="1:19" x14ac:dyDescent="0.3">
      <c r="A358" t="s">
        <v>12</v>
      </c>
      <c r="B358">
        <v>2016110009</v>
      </c>
      <c r="C358" t="s">
        <v>336</v>
      </c>
      <c r="E358" t="s">
        <v>14</v>
      </c>
      <c r="F358" t="s">
        <v>15</v>
      </c>
      <c r="G358">
        <v>2</v>
      </c>
      <c r="H358" t="s">
        <v>524</v>
      </c>
      <c r="I358" s="4">
        <f t="shared" si="40"/>
        <v>2</v>
      </c>
      <c r="J358">
        <f t="shared" si="41"/>
        <v>4</v>
      </c>
      <c r="K358">
        <v>12</v>
      </c>
      <c r="L358">
        <v>6</v>
      </c>
      <c r="M358" s="2">
        <v>2</v>
      </c>
      <c r="N358" s="2">
        <v>3.11</v>
      </c>
      <c r="O358">
        <v>0</v>
      </c>
      <c r="P358">
        <v>8</v>
      </c>
      <c r="Q358" s="4" t="str">
        <f>IF(P358=1,"2016/2017-Ganjil",IF(P358=2,"2016/2017-Genap",IF(P358=3,"2017/2018-Ganjil",IF(P358=4,"2017/2018-Genap",IF(P358=5,"2018/2019-Ganjil",IF(P358=6,"2018/2019-Genap",IF(P358=7,"2019/2020-Ganjil",IF(P358=8,"2019/2020-Genap",IF(P358=9,"2020/2021-Ganjil",IF(P358=10,"2020/2021-Genap",IF(P358=11,"2021/2022-Ganjil",IF(P358=12,"2021/2022-Genap",IF(P358=13,"2022/2023-Ganjil","2022/2023-Genap")))))))))))))</f>
        <v>2019/2020-Genap</v>
      </c>
      <c r="R358" t="s">
        <v>596</v>
      </c>
      <c r="S358" t="str">
        <f t="shared" si="39"/>
        <v>PA</v>
      </c>
    </row>
    <row r="359" spans="1:19" x14ac:dyDescent="0.3">
      <c r="A359" t="s">
        <v>12</v>
      </c>
      <c r="B359">
        <v>2016110009</v>
      </c>
      <c r="C359" t="s">
        <v>336</v>
      </c>
      <c r="E359" t="s">
        <v>348</v>
      </c>
      <c r="F359" t="s">
        <v>402</v>
      </c>
      <c r="G359">
        <v>4</v>
      </c>
      <c r="H359" t="s">
        <v>524</v>
      </c>
      <c r="I359" s="4">
        <f t="shared" si="40"/>
        <v>2</v>
      </c>
      <c r="J359">
        <f t="shared" si="41"/>
        <v>8</v>
      </c>
      <c r="K359">
        <v>52</v>
      </c>
      <c r="L359">
        <v>22</v>
      </c>
      <c r="M359" s="2">
        <v>2.36</v>
      </c>
      <c r="N359" s="2">
        <v>3.11</v>
      </c>
      <c r="O359">
        <v>0</v>
      </c>
      <c r="P359">
        <v>4</v>
      </c>
      <c r="Q359" s="4" t="str">
        <f>IF(P359=1,"2016/2017-Ganjil",IF(P359=2,"2016/2017-Genap",IF(P359=3,"2017/2018-Ganjil",IF(P359=4,"2017/2018-Genap",IF(P359=5,"2018/2019-Ganjil",IF(P359=6,"2018/2019-Genap",IF(P359=7,"2019/2020-Ganjil",IF(P359=8,"2019/2020-Genap",IF(P359=9,"2020/2021-Ganjil",IF(P359=10,"2020/2021-Genap",IF(P359=11,"2021/2022-Ganjil",IF(P359=12,"2021/2022-Genap",IF(P359=13,"2022/2023-Ganjil","2022/2023-Genap")))))))))))))</f>
        <v>2017/2018-Genap</v>
      </c>
      <c r="R359" t="s">
        <v>260</v>
      </c>
      <c r="S359" t="str">
        <f t="shared" si="39"/>
        <v>PA</v>
      </c>
    </row>
    <row r="360" spans="1:19" x14ac:dyDescent="0.3">
      <c r="A360" t="s">
        <v>12</v>
      </c>
      <c r="B360">
        <v>2016110009</v>
      </c>
      <c r="C360" t="s">
        <v>336</v>
      </c>
      <c r="E360" t="s">
        <v>348</v>
      </c>
      <c r="F360" t="s">
        <v>402</v>
      </c>
      <c r="G360">
        <v>4</v>
      </c>
      <c r="H360" t="s">
        <v>260</v>
      </c>
      <c r="I360" s="4">
        <f t="shared" si="40"/>
        <v>4</v>
      </c>
      <c r="J360">
        <f t="shared" si="41"/>
        <v>16</v>
      </c>
      <c r="K360">
        <v>28</v>
      </c>
      <c r="L360">
        <v>8</v>
      </c>
      <c r="M360" s="2">
        <v>3.5</v>
      </c>
      <c r="N360" s="2">
        <v>3.11</v>
      </c>
      <c r="O360">
        <v>1</v>
      </c>
      <c r="P360">
        <v>6</v>
      </c>
      <c r="Q360" s="4" t="s">
        <v>572</v>
      </c>
      <c r="R360" t="s">
        <v>260</v>
      </c>
      <c r="S360" t="str">
        <f t="shared" si="39"/>
        <v>PA</v>
      </c>
    </row>
    <row r="361" spans="1:19" x14ac:dyDescent="0.3">
      <c r="A361" t="s">
        <v>12</v>
      </c>
      <c r="B361">
        <v>2016110009</v>
      </c>
      <c r="C361" t="s">
        <v>336</v>
      </c>
      <c r="E361" t="s">
        <v>234</v>
      </c>
      <c r="F361" t="s">
        <v>235</v>
      </c>
      <c r="G361">
        <v>4</v>
      </c>
      <c r="H361" t="s">
        <v>438</v>
      </c>
      <c r="I361" s="4">
        <f t="shared" si="40"/>
        <v>3</v>
      </c>
      <c r="J361">
        <f t="shared" si="41"/>
        <v>12</v>
      </c>
      <c r="K361">
        <v>74</v>
      </c>
      <c r="L361">
        <v>22</v>
      </c>
      <c r="M361" s="2">
        <v>3.36</v>
      </c>
      <c r="N361" s="2">
        <v>3.11</v>
      </c>
      <c r="O361">
        <v>1</v>
      </c>
      <c r="P361">
        <v>7</v>
      </c>
      <c r="Q361" s="4" t="str">
        <f t="shared" ref="Q361:Q392" si="42">IF(P361=1,"2016/2017-Ganjil",IF(P361=2,"2016/2017-Genap",IF(P361=3,"2017/2018-Ganjil",IF(P361=4,"2017/2018-Genap",IF(P361=5,"2018/2019-Ganjil",IF(P361=6,"2018/2019-Genap",IF(P361=7,"2019/2020-Ganjil",IF(P361=8,"2019/2020-Genap",IF(P361=9,"2020/2021-Ganjil",IF(P361=10,"2020/2021-Genap",IF(P361=11,"2021/2022-Ganjil",IF(P361=12,"2021/2022-Genap",IF(P361=13,"2022/2023-Ganjil","2022/2023-Genap")))))))))))))</f>
        <v>2019/2020-Ganjil</v>
      </c>
      <c r="R361" t="s">
        <v>260</v>
      </c>
      <c r="S361" t="str">
        <f t="shared" si="39"/>
        <v>PA</v>
      </c>
    </row>
    <row r="362" spans="1:19" x14ac:dyDescent="0.3">
      <c r="A362" t="s">
        <v>12</v>
      </c>
      <c r="B362">
        <v>2016110009</v>
      </c>
      <c r="C362" t="s">
        <v>336</v>
      </c>
      <c r="E362" t="s">
        <v>234</v>
      </c>
      <c r="F362" t="s">
        <v>235</v>
      </c>
      <c r="G362">
        <v>4</v>
      </c>
      <c r="H362" t="s">
        <v>524</v>
      </c>
      <c r="I362" s="4">
        <f t="shared" si="40"/>
        <v>2</v>
      </c>
      <c r="J362">
        <f t="shared" si="41"/>
        <v>8</v>
      </c>
      <c r="K362">
        <v>60</v>
      </c>
      <c r="L362">
        <v>22</v>
      </c>
      <c r="M362" s="2">
        <v>2.73</v>
      </c>
      <c r="N362" s="2">
        <v>3.11</v>
      </c>
      <c r="O362">
        <v>0</v>
      </c>
      <c r="P362">
        <v>3</v>
      </c>
      <c r="Q362" s="4" t="str">
        <f t="shared" si="42"/>
        <v>2017/2018-Ganjil</v>
      </c>
      <c r="R362" t="s">
        <v>260</v>
      </c>
      <c r="S362" t="str">
        <f t="shared" si="39"/>
        <v>PA</v>
      </c>
    </row>
    <row r="363" spans="1:19" x14ac:dyDescent="0.3">
      <c r="A363" t="s">
        <v>12</v>
      </c>
      <c r="B363">
        <v>2016110010</v>
      </c>
      <c r="C363" t="s">
        <v>367</v>
      </c>
      <c r="E363" t="s">
        <v>77</v>
      </c>
      <c r="F363" t="s">
        <v>78</v>
      </c>
      <c r="G363">
        <v>2</v>
      </c>
      <c r="H363" t="s">
        <v>260</v>
      </c>
      <c r="I363" s="4">
        <f t="shared" si="40"/>
        <v>4</v>
      </c>
      <c r="J363">
        <f t="shared" si="41"/>
        <v>8</v>
      </c>
      <c r="K363">
        <v>46</v>
      </c>
      <c r="L363">
        <v>20</v>
      </c>
      <c r="M363" s="2">
        <v>2.2999999999999998</v>
      </c>
      <c r="N363" s="2">
        <v>2.86</v>
      </c>
      <c r="O363">
        <v>0</v>
      </c>
      <c r="P363">
        <v>1</v>
      </c>
      <c r="Q363" s="4" t="str">
        <f t="shared" si="42"/>
        <v>2016/2017-Ganjil</v>
      </c>
      <c r="R363" t="s">
        <v>260</v>
      </c>
      <c r="S363" t="str">
        <f t="shared" si="39"/>
        <v>PA</v>
      </c>
    </row>
    <row r="364" spans="1:19" x14ac:dyDescent="0.3">
      <c r="A364" t="s">
        <v>12</v>
      </c>
      <c r="B364">
        <v>2016110010</v>
      </c>
      <c r="C364" t="s">
        <v>367</v>
      </c>
      <c r="E364" t="s">
        <v>330</v>
      </c>
      <c r="F364" t="s">
        <v>108</v>
      </c>
      <c r="G364">
        <v>2</v>
      </c>
      <c r="H364" t="s">
        <v>260</v>
      </c>
      <c r="I364" s="4">
        <f t="shared" si="40"/>
        <v>4</v>
      </c>
      <c r="J364">
        <f t="shared" si="41"/>
        <v>8</v>
      </c>
      <c r="K364">
        <v>34</v>
      </c>
      <c r="L364">
        <v>10</v>
      </c>
      <c r="M364" s="2">
        <v>3.4</v>
      </c>
      <c r="N364" s="2">
        <v>2.86</v>
      </c>
      <c r="O364">
        <v>0</v>
      </c>
      <c r="P364">
        <v>9</v>
      </c>
      <c r="Q364" s="4" t="str">
        <f t="shared" si="42"/>
        <v>2020/2021-Ganjil</v>
      </c>
      <c r="R364" t="s">
        <v>260</v>
      </c>
      <c r="S364" t="str">
        <f t="shared" si="39"/>
        <v>PA</v>
      </c>
    </row>
    <row r="365" spans="1:19" x14ac:dyDescent="0.3">
      <c r="A365" t="s">
        <v>12</v>
      </c>
      <c r="B365">
        <v>2016110010</v>
      </c>
      <c r="C365" t="s">
        <v>367</v>
      </c>
      <c r="E365" t="s">
        <v>344</v>
      </c>
      <c r="F365" t="s">
        <v>345</v>
      </c>
      <c r="G365">
        <v>2</v>
      </c>
      <c r="H365" t="s">
        <v>438</v>
      </c>
      <c r="I365" s="4">
        <f t="shared" si="40"/>
        <v>3</v>
      </c>
      <c r="J365">
        <f t="shared" si="41"/>
        <v>6</v>
      </c>
      <c r="K365">
        <v>36</v>
      </c>
      <c r="L365">
        <v>12</v>
      </c>
      <c r="M365" s="2">
        <v>3</v>
      </c>
      <c r="N365" s="2">
        <v>2.86</v>
      </c>
      <c r="O365">
        <v>0</v>
      </c>
      <c r="P365">
        <v>7</v>
      </c>
      <c r="Q365" s="4" t="str">
        <f t="shared" si="42"/>
        <v>2019/2020-Ganjil</v>
      </c>
      <c r="R365" t="s">
        <v>260</v>
      </c>
      <c r="S365" t="str">
        <f t="shared" si="39"/>
        <v>PA</v>
      </c>
    </row>
    <row r="366" spans="1:19" x14ac:dyDescent="0.3">
      <c r="A366" t="s">
        <v>12</v>
      </c>
      <c r="B366">
        <v>2016110010</v>
      </c>
      <c r="C366" t="s">
        <v>367</v>
      </c>
      <c r="E366" t="s">
        <v>302</v>
      </c>
      <c r="F366" t="s">
        <v>303</v>
      </c>
      <c r="G366">
        <v>2</v>
      </c>
      <c r="H366" t="s">
        <v>438</v>
      </c>
      <c r="I366" s="4">
        <f t="shared" si="40"/>
        <v>3</v>
      </c>
      <c r="J366">
        <f t="shared" si="41"/>
        <v>6</v>
      </c>
      <c r="K366">
        <v>66</v>
      </c>
      <c r="L366">
        <v>24</v>
      </c>
      <c r="M366" s="2">
        <v>2.75</v>
      </c>
      <c r="N366" s="2">
        <v>2.86</v>
      </c>
      <c r="O366">
        <v>0</v>
      </c>
      <c r="P366">
        <v>8</v>
      </c>
      <c r="Q366" s="4" t="str">
        <f t="shared" si="42"/>
        <v>2019/2020-Genap</v>
      </c>
      <c r="R366" t="s">
        <v>260</v>
      </c>
      <c r="S366" t="str">
        <f t="shared" si="39"/>
        <v>PA</v>
      </c>
    </row>
    <row r="367" spans="1:19" x14ac:dyDescent="0.3">
      <c r="A367" t="s">
        <v>12</v>
      </c>
      <c r="B367">
        <v>2016110010</v>
      </c>
      <c r="C367" t="s">
        <v>367</v>
      </c>
      <c r="E367" t="s">
        <v>236</v>
      </c>
      <c r="F367" t="s">
        <v>237</v>
      </c>
      <c r="G367">
        <v>2</v>
      </c>
      <c r="H367" t="s">
        <v>438</v>
      </c>
      <c r="I367" s="4">
        <f t="shared" si="40"/>
        <v>3</v>
      </c>
      <c r="J367">
        <f t="shared" si="41"/>
        <v>6</v>
      </c>
      <c r="K367">
        <v>40</v>
      </c>
      <c r="L367">
        <v>18</v>
      </c>
      <c r="M367" s="2">
        <v>2.2200000000000002</v>
      </c>
      <c r="N367" s="2">
        <v>2.86</v>
      </c>
      <c r="O367">
        <v>0</v>
      </c>
      <c r="P367">
        <v>5</v>
      </c>
      <c r="Q367" s="4" t="str">
        <f t="shared" si="42"/>
        <v>2018/2019-Ganjil</v>
      </c>
      <c r="R367" t="s">
        <v>260</v>
      </c>
      <c r="S367" t="str">
        <f t="shared" si="39"/>
        <v>PA</v>
      </c>
    </row>
    <row r="368" spans="1:19" x14ac:dyDescent="0.3">
      <c r="A368" t="s">
        <v>12</v>
      </c>
      <c r="B368">
        <v>2016110010</v>
      </c>
      <c r="C368" t="s">
        <v>367</v>
      </c>
      <c r="E368" t="s">
        <v>262</v>
      </c>
      <c r="F368" t="s">
        <v>263</v>
      </c>
      <c r="G368">
        <v>2</v>
      </c>
      <c r="H368" t="s">
        <v>438</v>
      </c>
      <c r="I368" s="4">
        <f t="shared" si="40"/>
        <v>3</v>
      </c>
      <c r="J368">
        <f t="shared" si="41"/>
        <v>6</v>
      </c>
      <c r="K368">
        <v>66</v>
      </c>
      <c r="L368">
        <v>24</v>
      </c>
      <c r="M368" s="2">
        <v>2.75</v>
      </c>
      <c r="N368" s="2">
        <v>2.86</v>
      </c>
      <c r="O368">
        <v>0</v>
      </c>
      <c r="P368">
        <v>8</v>
      </c>
      <c r="Q368" s="4" t="str">
        <f t="shared" si="42"/>
        <v>2019/2020-Genap</v>
      </c>
      <c r="R368" t="s">
        <v>260</v>
      </c>
      <c r="S368" t="str">
        <f t="shared" si="39"/>
        <v>PA</v>
      </c>
    </row>
    <row r="369" spans="1:19" x14ac:dyDescent="0.3">
      <c r="A369" t="s">
        <v>12</v>
      </c>
      <c r="B369">
        <v>2016110010</v>
      </c>
      <c r="C369" t="s">
        <v>367</v>
      </c>
      <c r="E369" t="s">
        <v>173</v>
      </c>
      <c r="F369" t="s">
        <v>8</v>
      </c>
      <c r="G369">
        <v>2</v>
      </c>
      <c r="H369" t="s">
        <v>438</v>
      </c>
      <c r="I369" s="4">
        <f t="shared" si="40"/>
        <v>3</v>
      </c>
      <c r="J369">
        <f t="shared" si="41"/>
        <v>6</v>
      </c>
      <c r="K369">
        <v>40</v>
      </c>
      <c r="L369">
        <v>18</v>
      </c>
      <c r="M369" s="2">
        <v>2.2200000000000002</v>
      </c>
      <c r="N369" s="2">
        <v>2.86</v>
      </c>
      <c r="O369">
        <v>0</v>
      </c>
      <c r="P369">
        <v>5</v>
      </c>
      <c r="Q369" s="4" t="str">
        <f t="shared" si="42"/>
        <v>2018/2019-Ganjil</v>
      </c>
      <c r="R369" t="s">
        <v>260</v>
      </c>
      <c r="S369" t="str">
        <f t="shared" si="39"/>
        <v>PA</v>
      </c>
    </row>
    <row r="370" spans="1:19" x14ac:dyDescent="0.3">
      <c r="A370" t="s">
        <v>12</v>
      </c>
      <c r="B370">
        <v>2016110010</v>
      </c>
      <c r="C370" t="s">
        <v>367</v>
      </c>
      <c r="E370" t="s">
        <v>190</v>
      </c>
      <c r="F370" t="s">
        <v>191</v>
      </c>
      <c r="G370">
        <v>4</v>
      </c>
      <c r="H370" t="s">
        <v>438</v>
      </c>
      <c r="I370" s="4">
        <f t="shared" si="40"/>
        <v>3</v>
      </c>
      <c r="J370">
        <f t="shared" si="41"/>
        <v>12</v>
      </c>
      <c r="K370">
        <v>46</v>
      </c>
      <c r="L370">
        <v>20</v>
      </c>
      <c r="M370" s="2">
        <v>2.2999999999999998</v>
      </c>
      <c r="N370" s="2">
        <v>2.86</v>
      </c>
      <c r="O370">
        <v>0</v>
      </c>
      <c r="P370">
        <v>3</v>
      </c>
      <c r="Q370" s="4" t="str">
        <f t="shared" si="42"/>
        <v>2017/2018-Ganjil</v>
      </c>
      <c r="R370" t="s">
        <v>260</v>
      </c>
      <c r="S370" t="str">
        <f t="shared" si="39"/>
        <v>PA</v>
      </c>
    </row>
    <row r="371" spans="1:19" x14ac:dyDescent="0.3">
      <c r="A371" t="s">
        <v>12</v>
      </c>
      <c r="B371">
        <v>2016110010</v>
      </c>
      <c r="C371" t="s">
        <v>367</v>
      </c>
      <c r="E371" t="s">
        <v>244</v>
      </c>
      <c r="F371" t="s">
        <v>228</v>
      </c>
      <c r="G371">
        <v>2</v>
      </c>
      <c r="H371" t="s">
        <v>438</v>
      </c>
      <c r="I371" s="4">
        <f t="shared" si="40"/>
        <v>3</v>
      </c>
      <c r="J371">
        <f t="shared" si="41"/>
        <v>6</v>
      </c>
      <c r="K371">
        <v>36</v>
      </c>
      <c r="L371">
        <v>18</v>
      </c>
      <c r="M371" s="2">
        <v>2</v>
      </c>
      <c r="N371" s="2">
        <v>2.86</v>
      </c>
      <c r="O371">
        <v>0</v>
      </c>
      <c r="P371">
        <v>4</v>
      </c>
      <c r="Q371" s="4" t="str">
        <f t="shared" si="42"/>
        <v>2017/2018-Genap</v>
      </c>
      <c r="R371" t="s">
        <v>260</v>
      </c>
      <c r="S371" t="str">
        <f t="shared" si="39"/>
        <v>PA</v>
      </c>
    </row>
    <row r="372" spans="1:19" x14ac:dyDescent="0.3">
      <c r="A372" t="s">
        <v>12</v>
      </c>
      <c r="B372">
        <v>2016110010</v>
      </c>
      <c r="C372" t="s">
        <v>367</v>
      </c>
      <c r="E372" t="s">
        <v>97</v>
      </c>
      <c r="F372" t="s">
        <v>98</v>
      </c>
      <c r="G372">
        <v>4</v>
      </c>
      <c r="H372" t="s">
        <v>438</v>
      </c>
      <c r="I372" s="4">
        <f t="shared" si="40"/>
        <v>3</v>
      </c>
      <c r="J372">
        <f t="shared" si="41"/>
        <v>12</v>
      </c>
      <c r="K372">
        <v>52</v>
      </c>
      <c r="L372">
        <v>20</v>
      </c>
      <c r="M372" s="2">
        <v>2.6</v>
      </c>
      <c r="N372" s="2">
        <v>2.86</v>
      </c>
      <c r="O372">
        <v>0</v>
      </c>
      <c r="P372">
        <v>2</v>
      </c>
      <c r="Q372" s="4" t="str">
        <f t="shared" si="42"/>
        <v>2016/2017-Genap</v>
      </c>
      <c r="R372" t="s">
        <v>260</v>
      </c>
      <c r="S372" t="str">
        <f t="shared" si="39"/>
        <v>PA</v>
      </c>
    </row>
    <row r="373" spans="1:19" x14ac:dyDescent="0.3">
      <c r="A373" t="s">
        <v>12</v>
      </c>
      <c r="B373">
        <v>2016110010</v>
      </c>
      <c r="C373" t="s">
        <v>367</v>
      </c>
      <c r="E373" t="s">
        <v>248</v>
      </c>
      <c r="F373" t="s">
        <v>499</v>
      </c>
      <c r="G373">
        <v>2</v>
      </c>
      <c r="H373" t="s">
        <v>438</v>
      </c>
      <c r="I373" s="4">
        <f t="shared" si="40"/>
        <v>3</v>
      </c>
      <c r="J373">
        <f t="shared" si="41"/>
        <v>6</v>
      </c>
      <c r="K373">
        <v>32</v>
      </c>
      <c r="L373">
        <v>18</v>
      </c>
      <c r="M373" s="2">
        <v>1.78</v>
      </c>
      <c r="N373" s="2">
        <v>2.86</v>
      </c>
      <c r="O373">
        <v>0</v>
      </c>
      <c r="P373">
        <v>6</v>
      </c>
      <c r="Q373" s="4" t="str">
        <f t="shared" si="42"/>
        <v>2018/2019-Genap</v>
      </c>
      <c r="R373" t="s">
        <v>260</v>
      </c>
      <c r="S373" t="str">
        <f t="shared" si="39"/>
        <v>PA</v>
      </c>
    </row>
    <row r="374" spans="1:19" x14ac:dyDescent="0.3">
      <c r="A374" t="s">
        <v>12</v>
      </c>
      <c r="B374">
        <v>2016110010</v>
      </c>
      <c r="C374" t="s">
        <v>367</v>
      </c>
      <c r="E374" t="s">
        <v>290</v>
      </c>
      <c r="F374" t="s">
        <v>327</v>
      </c>
      <c r="G374">
        <v>4</v>
      </c>
      <c r="H374" t="s">
        <v>438</v>
      </c>
      <c r="I374" s="4">
        <f t="shared" si="40"/>
        <v>3</v>
      </c>
      <c r="J374">
        <f t="shared" si="41"/>
        <v>12</v>
      </c>
      <c r="K374">
        <v>52</v>
      </c>
      <c r="L374">
        <v>20</v>
      </c>
      <c r="M374" s="2">
        <v>2.6</v>
      </c>
      <c r="N374" s="2">
        <v>2.86</v>
      </c>
      <c r="O374">
        <v>0</v>
      </c>
      <c r="P374">
        <v>2</v>
      </c>
      <c r="Q374" s="4" t="str">
        <f t="shared" si="42"/>
        <v>2016/2017-Genap</v>
      </c>
      <c r="R374" t="s">
        <v>260</v>
      </c>
      <c r="S374" t="str">
        <f t="shared" si="39"/>
        <v>PA</v>
      </c>
    </row>
    <row r="375" spans="1:19" x14ac:dyDescent="0.3">
      <c r="A375" t="s">
        <v>12</v>
      </c>
      <c r="B375">
        <v>2016110010</v>
      </c>
      <c r="C375" t="s">
        <v>367</v>
      </c>
      <c r="E375" t="s">
        <v>357</v>
      </c>
      <c r="F375" t="s">
        <v>358</v>
      </c>
      <c r="G375">
        <v>4</v>
      </c>
      <c r="H375" t="s">
        <v>438</v>
      </c>
      <c r="I375" s="4">
        <f t="shared" si="40"/>
        <v>3</v>
      </c>
      <c r="J375">
        <f t="shared" si="41"/>
        <v>12</v>
      </c>
      <c r="K375">
        <v>36</v>
      </c>
      <c r="L375">
        <v>12</v>
      </c>
      <c r="M375" s="2">
        <v>3</v>
      </c>
      <c r="N375" s="2">
        <v>2.86</v>
      </c>
      <c r="O375">
        <v>0</v>
      </c>
      <c r="P375">
        <v>7</v>
      </c>
      <c r="Q375" s="4" t="str">
        <f t="shared" si="42"/>
        <v>2019/2020-Ganjil</v>
      </c>
      <c r="R375" t="s">
        <v>260</v>
      </c>
      <c r="S375" t="str">
        <f t="shared" ref="S375:S430" si="43">IF(OR(H375="A",H375="B",H375="C"),"PA","FA")</f>
        <v>PA</v>
      </c>
    </row>
    <row r="376" spans="1:19" x14ac:dyDescent="0.3">
      <c r="A376" t="s">
        <v>12</v>
      </c>
      <c r="B376">
        <v>2016110010</v>
      </c>
      <c r="C376" t="s">
        <v>367</v>
      </c>
      <c r="E376" t="s">
        <v>276</v>
      </c>
      <c r="F376" t="s">
        <v>137</v>
      </c>
      <c r="G376">
        <v>4</v>
      </c>
      <c r="H376" t="s">
        <v>438</v>
      </c>
      <c r="I376" s="4">
        <f t="shared" ref="I376:I430" si="44">IF(H376="A",4,IF(H376="B",3,IF(H376="C",2,IF(H376="D",1,0))))</f>
        <v>3</v>
      </c>
      <c r="J376">
        <f t="shared" ref="J376:J430" si="45">G376*I376</f>
        <v>12</v>
      </c>
      <c r="K376">
        <v>36</v>
      </c>
      <c r="L376">
        <v>18</v>
      </c>
      <c r="M376" s="2">
        <v>2</v>
      </c>
      <c r="N376" s="2">
        <v>2.86</v>
      </c>
      <c r="O376">
        <v>0</v>
      </c>
      <c r="P376">
        <v>4</v>
      </c>
      <c r="Q376" s="4" t="str">
        <f t="shared" si="42"/>
        <v>2017/2018-Genap</v>
      </c>
      <c r="R376" t="s">
        <v>260</v>
      </c>
      <c r="S376" t="str">
        <f t="shared" si="43"/>
        <v>PA</v>
      </c>
    </row>
    <row r="377" spans="1:19" x14ac:dyDescent="0.3">
      <c r="A377" t="s">
        <v>12</v>
      </c>
      <c r="B377">
        <v>2016110010</v>
      </c>
      <c r="C377" t="s">
        <v>367</v>
      </c>
      <c r="E377" t="s">
        <v>306</v>
      </c>
      <c r="F377" t="s">
        <v>307</v>
      </c>
      <c r="G377">
        <v>2</v>
      </c>
      <c r="H377" t="s">
        <v>438</v>
      </c>
      <c r="I377" s="4">
        <f t="shared" si="44"/>
        <v>3</v>
      </c>
      <c r="J377">
        <f t="shared" si="45"/>
        <v>6</v>
      </c>
      <c r="K377">
        <v>36</v>
      </c>
      <c r="L377">
        <v>12</v>
      </c>
      <c r="M377" s="2">
        <v>3</v>
      </c>
      <c r="N377" s="2">
        <v>2.86</v>
      </c>
      <c r="O377">
        <v>0</v>
      </c>
      <c r="P377">
        <v>7</v>
      </c>
      <c r="Q377" s="4" t="str">
        <f t="shared" si="42"/>
        <v>2019/2020-Ganjil</v>
      </c>
      <c r="R377" t="s">
        <v>260</v>
      </c>
      <c r="S377" t="str">
        <f t="shared" si="43"/>
        <v>PA</v>
      </c>
    </row>
    <row r="378" spans="1:19" x14ac:dyDescent="0.3">
      <c r="A378" t="s">
        <v>12</v>
      </c>
      <c r="B378">
        <v>2016110010</v>
      </c>
      <c r="C378" t="s">
        <v>367</v>
      </c>
      <c r="E378" t="s">
        <v>316</v>
      </c>
      <c r="F378" t="s">
        <v>317</v>
      </c>
      <c r="G378">
        <v>2</v>
      </c>
      <c r="H378" t="s">
        <v>438</v>
      </c>
      <c r="I378" s="4">
        <f t="shared" si="44"/>
        <v>3</v>
      </c>
      <c r="J378">
        <f t="shared" si="45"/>
        <v>6</v>
      </c>
      <c r="K378">
        <v>36</v>
      </c>
      <c r="L378">
        <v>12</v>
      </c>
      <c r="M378" s="2">
        <v>3</v>
      </c>
      <c r="N378" s="2">
        <v>2.86</v>
      </c>
      <c r="O378">
        <v>0</v>
      </c>
      <c r="P378">
        <v>7</v>
      </c>
      <c r="Q378" s="4" t="str">
        <f t="shared" si="42"/>
        <v>2019/2020-Ganjil</v>
      </c>
      <c r="R378" t="s">
        <v>260</v>
      </c>
      <c r="S378" t="str">
        <f t="shared" si="43"/>
        <v>PA</v>
      </c>
    </row>
    <row r="379" spans="1:19" x14ac:dyDescent="0.3">
      <c r="A379" t="s">
        <v>12</v>
      </c>
      <c r="B379">
        <v>2016110010</v>
      </c>
      <c r="C379" t="s">
        <v>367</v>
      </c>
      <c r="E379" t="s">
        <v>427</v>
      </c>
      <c r="F379" t="s">
        <v>428</v>
      </c>
      <c r="G379">
        <v>2</v>
      </c>
      <c r="H379" t="s">
        <v>438</v>
      </c>
      <c r="I379" s="4">
        <f t="shared" si="44"/>
        <v>3</v>
      </c>
      <c r="J379">
        <f t="shared" si="45"/>
        <v>6</v>
      </c>
      <c r="K379">
        <v>66</v>
      </c>
      <c r="L379">
        <v>24</v>
      </c>
      <c r="M379" s="2">
        <v>2.75</v>
      </c>
      <c r="N379" s="2">
        <v>2.86</v>
      </c>
      <c r="O379">
        <v>0</v>
      </c>
      <c r="P379">
        <v>8</v>
      </c>
      <c r="Q379" s="4" t="str">
        <f t="shared" si="42"/>
        <v>2019/2020-Genap</v>
      </c>
      <c r="R379" t="s">
        <v>260</v>
      </c>
      <c r="S379" t="str">
        <f t="shared" si="43"/>
        <v>PA</v>
      </c>
    </row>
    <row r="380" spans="1:19" x14ac:dyDescent="0.3">
      <c r="A380" t="s">
        <v>12</v>
      </c>
      <c r="B380">
        <v>2016110010</v>
      </c>
      <c r="C380" t="s">
        <v>367</v>
      </c>
      <c r="E380" t="s">
        <v>370</v>
      </c>
      <c r="F380" t="s">
        <v>371</v>
      </c>
      <c r="G380">
        <v>2</v>
      </c>
      <c r="H380" t="s">
        <v>438</v>
      </c>
      <c r="I380" s="4">
        <f t="shared" si="44"/>
        <v>3</v>
      </c>
      <c r="J380">
        <f t="shared" si="45"/>
        <v>6</v>
      </c>
      <c r="K380">
        <v>40</v>
      </c>
      <c r="L380">
        <v>18</v>
      </c>
      <c r="M380" s="2">
        <v>2.2200000000000002</v>
      </c>
      <c r="N380" s="2">
        <v>2.86</v>
      </c>
      <c r="O380">
        <v>0</v>
      </c>
      <c r="P380">
        <v>5</v>
      </c>
      <c r="Q380" s="4" t="str">
        <f t="shared" si="42"/>
        <v>2018/2019-Ganjil</v>
      </c>
      <c r="R380" t="s">
        <v>260</v>
      </c>
      <c r="S380" t="str">
        <f t="shared" si="43"/>
        <v>PA</v>
      </c>
    </row>
    <row r="381" spans="1:19" x14ac:dyDescent="0.3">
      <c r="A381" t="s">
        <v>12</v>
      </c>
      <c r="B381">
        <v>2016110010</v>
      </c>
      <c r="C381" t="s">
        <v>367</v>
      </c>
      <c r="E381" t="s">
        <v>170</v>
      </c>
      <c r="F381" t="s">
        <v>171</v>
      </c>
      <c r="G381">
        <v>4</v>
      </c>
      <c r="H381" t="s">
        <v>438</v>
      </c>
      <c r="I381" s="4">
        <f t="shared" si="44"/>
        <v>3</v>
      </c>
      <c r="J381">
        <f t="shared" si="45"/>
        <v>12</v>
      </c>
      <c r="K381">
        <v>46</v>
      </c>
      <c r="L381">
        <v>20</v>
      </c>
      <c r="M381" s="2">
        <v>2.2999999999999998</v>
      </c>
      <c r="N381" s="2">
        <v>2.86</v>
      </c>
      <c r="O381">
        <v>0</v>
      </c>
      <c r="P381">
        <v>3</v>
      </c>
      <c r="Q381" s="4" t="str">
        <f t="shared" si="42"/>
        <v>2017/2018-Ganjil</v>
      </c>
      <c r="R381" t="s">
        <v>260</v>
      </c>
      <c r="S381" t="str">
        <f t="shared" si="43"/>
        <v>PA</v>
      </c>
    </row>
    <row r="382" spans="1:19" x14ac:dyDescent="0.3">
      <c r="A382" t="s">
        <v>12</v>
      </c>
      <c r="B382">
        <v>2016110010</v>
      </c>
      <c r="C382" t="s">
        <v>367</v>
      </c>
      <c r="E382" t="s">
        <v>165</v>
      </c>
      <c r="F382" t="s">
        <v>166</v>
      </c>
      <c r="G382">
        <v>2</v>
      </c>
      <c r="H382" t="s">
        <v>438</v>
      </c>
      <c r="I382" s="4">
        <f t="shared" si="44"/>
        <v>3</v>
      </c>
      <c r="J382">
        <f t="shared" si="45"/>
        <v>6</v>
      </c>
      <c r="K382">
        <v>46</v>
      </c>
      <c r="L382">
        <v>20</v>
      </c>
      <c r="M382" s="2">
        <v>2.2999999999999998</v>
      </c>
      <c r="N382" s="2">
        <v>2.86</v>
      </c>
      <c r="O382">
        <v>0</v>
      </c>
      <c r="P382">
        <v>1</v>
      </c>
      <c r="Q382" s="4" t="str">
        <f t="shared" si="42"/>
        <v>2016/2017-Ganjil</v>
      </c>
      <c r="R382" t="s">
        <v>260</v>
      </c>
      <c r="S382" t="str">
        <f t="shared" si="43"/>
        <v>PA</v>
      </c>
    </row>
    <row r="383" spans="1:19" x14ac:dyDescent="0.3">
      <c r="A383" t="s">
        <v>12</v>
      </c>
      <c r="B383">
        <v>2016110010</v>
      </c>
      <c r="C383" t="s">
        <v>367</v>
      </c>
      <c r="E383" t="s">
        <v>208</v>
      </c>
      <c r="F383" t="s">
        <v>209</v>
      </c>
      <c r="G383">
        <v>2</v>
      </c>
      <c r="H383" t="s">
        <v>438</v>
      </c>
      <c r="I383" s="4">
        <f t="shared" si="44"/>
        <v>3</v>
      </c>
      <c r="J383">
        <f t="shared" si="45"/>
        <v>6</v>
      </c>
      <c r="K383">
        <v>40</v>
      </c>
      <c r="L383">
        <v>18</v>
      </c>
      <c r="M383" s="2">
        <v>2.2200000000000002</v>
      </c>
      <c r="N383" s="2">
        <v>2.86</v>
      </c>
      <c r="O383">
        <v>0</v>
      </c>
      <c r="P383">
        <v>5</v>
      </c>
      <c r="Q383" s="4" t="str">
        <f t="shared" si="42"/>
        <v>2018/2019-Ganjil</v>
      </c>
      <c r="R383" t="s">
        <v>260</v>
      </c>
      <c r="S383" t="str">
        <f t="shared" si="43"/>
        <v>PA</v>
      </c>
    </row>
    <row r="384" spans="1:19" x14ac:dyDescent="0.3">
      <c r="A384" t="s">
        <v>12</v>
      </c>
      <c r="B384">
        <v>2016110010</v>
      </c>
      <c r="C384" t="s">
        <v>367</v>
      </c>
      <c r="E384" t="s">
        <v>192</v>
      </c>
      <c r="F384" t="s">
        <v>106</v>
      </c>
      <c r="G384">
        <v>2</v>
      </c>
      <c r="H384" t="s">
        <v>438</v>
      </c>
      <c r="I384" s="4">
        <f t="shared" si="44"/>
        <v>3</v>
      </c>
      <c r="J384">
        <f t="shared" si="45"/>
        <v>6</v>
      </c>
      <c r="K384">
        <v>46</v>
      </c>
      <c r="L384">
        <v>20</v>
      </c>
      <c r="M384" s="2">
        <v>2.2999999999999998</v>
      </c>
      <c r="N384" s="2">
        <v>2.86</v>
      </c>
      <c r="O384">
        <v>0</v>
      </c>
      <c r="P384">
        <v>3</v>
      </c>
      <c r="Q384" s="4" t="str">
        <f t="shared" si="42"/>
        <v>2017/2018-Ganjil</v>
      </c>
      <c r="R384" t="s">
        <v>260</v>
      </c>
      <c r="S384" t="str">
        <f t="shared" si="43"/>
        <v>PA</v>
      </c>
    </row>
    <row r="385" spans="1:19" x14ac:dyDescent="0.3">
      <c r="A385" t="s">
        <v>12</v>
      </c>
      <c r="B385">
        <v>2016110010</v>
      </c>
      <c r="C385" t="s">
        <v>367</v>
      </c>
      <c r="E385" t="s">
        <v>131</v>
      </c>
      <c r="F385" t="s">
        <v>132</v>
      </c>
      <c r="G385">
        <v>2</v>
      </c>
      <c r="H385" t="s">
        <v>438</v>
      </c>
      <c r="I385" s="4">
        <f t="shared" si="44"/>
        <v>3</v>
      </c>
      <c r="J385">
        <f t="shared" si="45"/>
        <v>6</v>
      </c>
      <c r="K385">
        <v>46</v>
      </c>
      <c r="L385">
        <v>20</v>
      </c>
      <c r="M385" s="2">
        <v>2.2999999999999998</v>
      </c>
      <c r="N385" s="2">
        <v>2.86</v>
      </c>
      <c r="O385">
        <v>0</v>
      </c>
      <c r="P385">
        <v>1</v>
      </c>
      <c r="Q385" s="4" t="str">
        <f t="shared" si="42"/>
        <v>2016/2017-Ganjil</v>
      </c>
      <c r="R385" t="s">
        <v>260</v>
      </c>
      <c r="S385" t="str">
        <f t="shared" si="43"/>
        <v>PA</v>
      </c>
    </row>
    <row r="386" spans="1:19" x14ac:dyDescent="0.3">
      <c r="A386" t="s">
        <v>12</v>
      </c>
      <c r="B386">
        <v>2016110010</v>
      </c>
      <c r="C386" t="s">
        <v>367</v>
      </c>
      <c r="E386" t="s">
        <v>446</v>
      </c>
      <c r="F386" t="s">
        <v>447</v>
      </c>
      <c r="G386">
        <v>2</v>
      </c>
      <c r="H386" t="s">
        <v>438</v>
      </c>
      <c r="I386" s="4">
        <f t="shared" si="44"/>
        <v>3</v>
      </c>
      <c r="J386">
        <f t="shared" si="45"/>
        <v>6</v>
      </c>
      <c r="K386">
        <v>32</v>
      </c>
      <c r="L386">
        <v>18</v>
      </c>
      <c r="M386" s="2">
        <v>1.78</v>
      </c>
      <c r="N386" s="2">
        <v>2.86</v>
      </c>
      <c r="O386">
        <v>0</v>
      </c>
      <c r="P386">
        <v>6</v>
      </c>
      <c r="Q386" s="4" t="str">
        <f t="shared" si="42"/>
        <v>2018/2019-Genap</v>
      </c>
      <c r="R386" t="s">
        <v>260</v>
      </c>
      <c r="S386" t="str">
        <f t="shared" si="43"/>
        <v>PA</v>
      </c>
    </row>
    <row r="387" spans="1:19" x14ac:dyDescent="0.3">
      <c r="A387" t="s">
        <v>12</v>
      </c>
      <c r="B387">
        <v>2016110010</v>
      </c>
      <c r="C387" t="s">
        <v>367</v>
      </c>
      <c r="E387" t="s">
        <v>90</v>
      </c>
      <c r="F387" t="s">
        <v>91</v>
      </c>
      <c r="G387">
        <v>2</v>
      </c>
      <c r="H387" t="s">
        <v>438</v>
      </c>
      <c r="I387" s="4">
        <f t="shared" si="44"/>
        <v>3</v>
      </c>
      <c r="J387">
        <f t="shared" si="45"/>
        <v>6</v>
      </c>
      <c r="K387">
        <v>46</v>
      </c>
      <c r="L387">
        <v>20</v>
      </c>
      <c r="M387" s="2">
        <v>2.2999999999999998</v>
      </c>
      <c r="N387" s="2">
        <v>2.86</v>
      </c>
      <c r="O387">
        <v>0</v>
      </c>
      <c r="P387">
        <v>1</v>
      </c>
      <c r="Q387" s="4" t="str">
        <f t="shared" si="42"/>
        <v>2016/2017-Ganjil</v>
      </c>
      <c r="R387" t="s">
        <v>260</v>
      </c>
      <c r="S387" t="str">
        <f t="shared" si="43"/>
        <v>PA</v>
      </c>
    </row>
    <row r="388" spans="1:19" x14ac:dyDescent="0.3">
      <c r="A388" t="s">
        <v>12</v>
      </c>
      <c r="B388">
        <v>2016110010</v>
      </c>
      <c r="C388" t="s">
        <v>367</v>
      </c>
      <c r="E388" t="s">
        <v>139</v>
      </c>
      <c r="F388" t="s">
        <v>140</v>
      </c>
      <c r="G388">
        <v>2</v>
      </c>
      <c r="H388" t="s">
        <v>438</v>
      </c>
      <c r="I388" s="4">
        <f t="shared" si="44"/>
        <v>3</v>
      </c>
      <c r="J388">
        <f t="shared" si="45"/>
        <v>6</v>
      </c>
      <c r="K388">
        <v>52</v>
      </c>
      <c r="L388">
        <v>20</v>
      </c>
      <c r="M388" s="2">
        <v>2.6</v>
      </c>
      <c r="N388" s="2">
        <v>2.86</v>
      </c>
      <c r="O388">
        <v>0</v>
      </c>
      <c r="P388">
        <v>2</v>
      </c>
      <c r="Q388" s="4" t="str">
        <f t="shared" si="42"/>
        <v>2016/2017-Genap</v>
      </c>
      <c r="R388" t="s">
        <v>260</v>
      </c>
      <c r="S388" t="str">
        <f t="shared" si="43"/>
        <v>PA</v>
      </c>
    </row>
    <row r="389" spans="1:19" x14ac:dyDescent="0.3">
      <c r="A389" t="s">
        <v>12</v>
      </c>
      <c r="B389">
        <v>2016110010</v>
      </c>
      <c r="C389" t="s">
        <v>367</v>
      </c>
      <c r="E389" t="s">
        <v>283</v>
      </c>
      <c r="F389" t="s">
        <v>284</v>
      </c>
      <c r="G389">
        <v>2</v>
      </c>
      <c r="H389" t="s">
        <v>438</v>
      </c>
      <c r="I389" s="4">
        <f t="shared" si="44"/>
        <v>3</v>
      </c>
      <c r="J389">
        <f t="shared" si="45"/>
        <v>6</v>
      </c>
      <c r="K389">
        <v>36</v>
      </c>
      <c r="L389">
        <v>12</v>
      </c>
      <c r="M389" s="2">
        <v>3</v>
      </c>
      <c r="N389" s="2">
        <v>2.86</v>
      </c>
      <c r="O389">
        <v>0</v>
      </c>
      <c r="P389">
        <v>7</v>
      </c>
      <c r="Q389" s="4" t="str">
        <f t="shared" si="42"/>
        <v>2019/2020-Ganjil</v>
      </c>
      <c r="R389" t="s">
        <v>260</v>
      </c>
      <c r="S389" t="str">
        <f t="shared" si="43"/>
        <v>PA</v>
      </c>
    </row>
    <row r="390" spans="1:19" x14ac:dyDescent="0.3">
      <c r="A390" t="s">
        <v>12</v>
      </c>
      <c r="B390">
        <v>2016110010</v>
      </c>
      <c r="C390" t="s">
        <v>367</v>
      </c>
      <c r="E390" t="s">
        <v>372</v>
      </c>
      <c r="F390" t="s">
        <v>373</v>
      </c>
      <c r="G390">
        <v>2</v>
      </c>
      <c r="H390" t="s">
        <v>438</v>
      </c>
      <c r="I390" s="4">
        <f t="shared" si="44"/>
        <v>3</v>
      </c>
      <c r="J390">
        <f t="shared" si="45"/>
        <v>6</v>
      </c>
      <c r="K390">
        <v>36</v>
      </c>
      <c r="L390">
        <v>18</v>
      </c>
      <c r="M390" s="2">
        <v>2</v>
      </c>
      <c r="N390" s="2">
        <v>2.86</v>
      </c>
      <c r="O390">
        <v>0</v>
      </c>
      <c r="P390">
        <v>4</v>
      </c>
      <c r="Q390" s="4" t="str">
        <f t="shared" si="42"/>
        <v>2017/2018-Genap</v>
      </c>
      <c r="R390" t="s">
        <v>260</v>
      </c>
      <c r="S390" t="str">
        <f t="shared" si="43"/>
        <v>PA</v>
      </c>
    </row>
    <row r="391" spans="1:19" x14ac:dyDescent="0.3">
      <c r="A391" t="s">
        <v>12</v>
      </c>
      <c r="B391">
        <v>2016110010</v>
      </c>
      <c r="C391" t="s">
        <v>367</v>
      </c>
      <c r="E391" t="s">
        <v>279</v>
      </c>
      <c r="F391" t="s">
        <v>280</v>
      </c>
      <c r="G391">
        <v>2</v>
      </c>
      <c r="H391" t="s">
        <v>438</v>
      </c>
      <c r="I391" s="4">
        <f t="shared" si="44"/>
        <v>3</v>
      </c>
      <c r="J391">
        <f t="shared" si="45"/>
        <v>6</v>
      </c>
      <c r="K391">
        <v>52</v>
      </c>
      <c r="L391">
        <v>20</v>
      </c>
      <c r="M391" s="2">
        <v>2.6</v>
      </c>
      <c r="N391" s="2">
        <v>2.86</v>
      </c>
      <c r="O391">
        <v>0</v>
      </c>
      <c r="P391">
        <v>2</v>
      </c>
      <c r="Q391" s="4" t="str">
        <f t="shared" si="42"/>
        <v>2016/2017-Genap</v>
      </c>
      <c r="R391" t="s">
        <v>260</v>
      </c>
      <c r="S391" t="str">
        <f t="shared" si="43"/>
        <v>PA</v>
      </c>
    </row>
    <row r="392" spans="1:19" x14ac:dyDescent="0.3">
      <c r="A392" t="s">
        <v>12</v>
      </c>
      <c r="B392">
        <v>2016110010</v>
      </c>
      <c r="C392" t="s">
        <v>367</v>
      </c>
      <c r="E392" t="s">
        <v>382</v>
      </c>
      <c r="F392" t="s">
        <v>383</v>
      </c>
      <c r="G392">
        <v>4</v>
      </c>
      <c r="H392" t="s">
        <v>524</v>
      </c>
      <c r="I392" s="4">
        <f t="shared" si="44"/>
        <v>2</v>
      </c>
      <c r="J392">
        <f t="shared" si="45"/>
        <v>8</v>
      </c>
      <c r="K392">
        <v>40</v>
      </c>
      <c r="L392">
        <v>18</v>
      </c>
      <c r="M392" s="2">
        <v>2.2200000000000002</v>
      </c>
      <c r="N392" s="2">
        <v>2.86</v>
      </c>
      <c r="O392">
        <v>0</v>
      </c>
      <c r="P392">
        <v>5</v>
      </c>
      <c r="Q392" s="4" t="str">
        <f t="shared" si="42"/>
        <v>2018/2019-Ganjil</v>
      </c>
      <c r="R392" t="s">
        <v>260</v>
      </c>
      <c r="S392" t="str">
        <f t="shared" si="43"/>
        <v>PA</v>
      </c>
    </row>
    <row r="393" spans="1:19" x14ac:dyDescent="0.3">
      <c r="A393" t="s">
        <v>12</v>
      </c>
      <c r="B393">
        <v>2016110010</v>
      </c>
      <c r="C393" t="s">
        <v>367</v>
      </c>
      <c r="E393" t="s">
        <v>382</v>
      </c>
      <c r="F393" t="s">
        <v>383</v>
      </c>
      <c r="G393">
        <v>4</v>
      </c>
      <c r="H393" t="s">
        <v>438</v>
      </c>
      <c r="I393" s="4">
        <f t="shared" si="44"/>
        <v>3</v>
      </c>
      <c r="J393">
        <f t="shared" si="45"/>
        <v>12</v>
      </c>
      <c r="K393">
        <v>78</v>
      </c>
      <c r="L393">
        <v>26</v>
      </c>
      <c r="M393" s="2">
        <v>3</v>
      </c>
      <c r="N393" s="2">
        <v>2.86</v>
      </c>
      <c r="O393">
        <v>1</v>
      </c>
      <c r="P393">
        <v>8</v>
      </c>
      <c r="Q393" s="4" t="s">
        <v>571</v>
      </c>
      <c r="R393" t="s">
        <v>260</v>
      </c>
      <c r="S393" t="str">
        <f t="shared" si="43"/>
        <v>PA</v>
      </c>
    </row>
    <row r="394" spans="1:19" x14ac:dyDescent="0.3">
      <c r="A394" t="s">
        <v>12</v>
      </c>
      <c r="B394">
        <v>2016110010</v>
      </c>
      <c r="C394" t="s">
        <v>367</v>
      </c>
      <c r="E394" t="s">
        <v>151</v>
      </c>
      <c r="F394" t="s">
        <v>152</v>
      </c>
      <c r="G394">
        <v>2</v>
      </c>
      <c r="H394" t="s">
        <v>524</v>
      </c>
      <c r="I394" s="4">
        <f t="shared" si="44"/>
        <v>2</v>
      </c>
      <c r="J394">
        <f t="shared" si="45"/>
        <v>4</v>
      </c>
      <c r="K394">
        <v>46</v>
      </c>
      <c r="L394">
        <v>20</v>
      </c>
      <c r="M394" s="2">
        <v>2.2999999999999998</v>
      </c>
      <c r="N394" s="2">
        <v>2.86</v>
      </c>
      <c r="O394">
        <v>0</v>
      </c>
      <c r="P394">
        <v>1</v>
      </c>
      <c r="Q394" s="4" t="str">
        <f t="shared" ref="Q394:Q407" si="46">IF(P394=1,"2016/2017-Ganjil",IF(P394=2,"2016/2017-Genap",IF(P394=3,"2017/2018-Ganjil",IF(P394=4,"2017/2018-Genap",IF(P394=5,"2018/2019-Ganjil",IF(P394=6,"2018/2019-Genap",IF(P394=7,"2019/2020-Ganjil",IF(P394=8,"2019/2020-Genap",IF(P394=9,"2020/2021-Ganjil",IF(P394=10,"2020/2021-Genap",IF(P394=11,"2021/2022-Ganjil",IF(P394=12,"2021/2022-Genap",IF(P394=13,"2022/2023-Ganjil","2022/2023-Genap")))))))))))))</f>
        <v>2016/2017-Ganjil</v>
      </c>
      <c r="R394" t="s">
        <v>260</v>
      </c>
      <c r="S394" t="str">
        <f t="shared" si="43"/>
        <v>PA</v>
      </c>
    </row>
    <row r="395" spans="1:19" x14ac:dyDescent="0.3">
      <c r="A395" t="s">
        <v>12</v>
      </c>
      <c r="B395">
        <v>2016110010</v>
      </c>
      <c r="C395" t="s">
        <v>367</v>
      </c>
      <c r="E395" t="s">
        <v>273</v>
      </c>
      <c r="F395" t="s">
        <v>274</v>
      </c>
      <c r="G395">
        <v>2</v>
      </c>
      <c r="H395" t="s">
        <v>438</v>
      </c>
      <c r="I395" s="4">
        <f t="shared" si="44"/>
        <v>3</v>
      </c>
      <c r="J395">
        <f t="shared" si="45"/>
        <v>6</v>
      </c>
      <c r="K395">
        <v>28</v>
      </c>
      <c r="L395">
        <v>14</v>
      </c>
      <c r="M395" s="2">
        <v>2</v>
      </c>
      <c r="N395" s="2">
        <v>2.86</v>
      </c>
      <c r="O395">
        <v>1</v>
      </c>
      <c r="P395">
        <v>10</v>
      </c>
      <c r="Q395" s="4" t="str">
        <f t="shared" si="46"/>
        <v>2020/2021-Genap</v>
      </c>
      <c r="R395" t="s">
        <v>596</v>
      </c>
      <c r="S395" t="str">
        <f t="shared" si="43"/>
        <v>PA</v>
      </c>
    </row>
    <row r="396" spans="1:19" x14ac:dyDescent="0.3">
      <c r="A396" t="s">
        <v>12</v>
      </c>
      <c r="B396">
        <v>2016110010</v>
      </c>
      <c r="C396" t="s">
        <v>367</v>
      </c>
      <c r="E396" t="s">
        <v>273</v>
      </c>
      <c r="F396" t="s">
        <v>274</v>
      </c>
      <c r="G396">
        <v>2</v>
      </c>
      <c r="H396" t="s">
        <v>524</v>
      </c>
      <c r="I396" s="4">
        <f t="shared" si="44"/>
        <v>2</v>
      </c>
      <c r="J396">
        <f t="shared" si="45"/>
        <v>4</v>
      </c>
      <c r="K396">
        <v>32</v>
      </c>
      <c r="L396">
        <v>18</v>
      </c>
      <c r="M396" s="2">
        <v>1.78</v>
      </c>
      <c r="N396" s="2">
        <v>2.86</v>
      </c>
      <c r="O396">
        <v>0</v>
      </c>
      <c r="P396">
        <v>6</v>
      </c>
      <c r="Q396" s="4" t="str">
        <f t="shared" si="46"/>
        <v>2018/2019-Genap</v>
      </c>
      <c r="R396" t="s">
        <v>260</v>
      </c>
      <c r="S396" t="str">
        <f t="shared" si="43"/>
        <v>PA</v>
      </c>
    </row>
    <row r="397" spans="1:19" x14ac:dyDescent="0.3">
      <c r="A397" t="s">
        <v>12</v>
      </c>
      <c r="B397">
        <v>2016110010</v>
      </c>
      <c r="C397" t="s">
        <v>367</v>
      </c>
      <c r="E397" t="s">
        <v>234</v>
      </c>
      <c r="F397" t="s">
        <v>235</v>
      </c>
      <c r="G397">
        <v>4</v>
      </c>
      <c r="H397" t="s">
        <v>260</v>
      </c>
      <c r="I397" s="4">
        <f t="shared" si="44"/>
        <v>4</v>
      </c>
      <c r="J397">
        <f t="shared" si="45"/>
        <v>16</v>
      </c>
      <c r="K397">
        <v>34</v>
      </c>
      <c r="L397">
        <v>10</v>
      </c>
      <c r="M397" s="2">
        <v>3.4</v>
      </c>
      <c r="N397" s="2">
        <v>2.86</v>
      </c>
      <c r="O397">
        <v>1</v>
      </c>
      <c r="P397">
        <v>9</v>
      </c>
      <c r="Q397" s="4" t="str">
        <f t="shared" si="46"/>
        <v>2020/2021-Ganjil</v>
      </c>
      <c r="R397" t="s">
        <v>260</v>
      </c>
      <c r="S397" t="str">
        <f t="shared" si="43"/>
        <v>PA</v>
      </c>
    </row>
    <row r="398" spans="1:19" x14ac:dyDescent="0.3">
      <c r="A398" t="s">
        <v>12</v>
      </c>
      <c r="B398">
        <v>2016110010</v>
      </c>
      <c r="C398" t="s">
        <v>367</v>
      </c>
      <c r="E398" t="s">
        <v>234</v>
      </c>
      <c r="F398" t="s">
        <v>235</v>
      </c>
      <c r="G398">
        <v>4</v>
      </c>
      <c r="H398" t="s">
        <v>524</v>
      </c>
      <c r="I398" s="4">
        <f t="shared" si="44"/>
        <v>2</v>
      </c>
      <c r="J398">
        <f t="shared" si="45"/>
        <v>8</v>
      </c>
      <c r="K398">
        <v>46</v>
      </c>
      <c r="L398">
        <v>20</v>
      </c>
      <c r="M398" s="2">
        <v>2.2999999999999998</v>
      </c>
      <c r="N398" s="2">
        <v>2.86</v>
      </c>
      <c r="O398">
        <v>0</v>
      </c>
      <c r="P398">
        <v>3</v>
      </c>
      <c r="Q398" s="4" t="str">
        <f t="shared" si="46"/>
        <v>2017/2018-Ganjil</v>
      </c>
      <c r="R398" t="s">
        <v>260</v>
      </c>
      <c r="S398" t="str">
        <f t="shared" si="43"/>
        <v>PA</v>
      </c>
    </row>
    <row r="399" spans="1:19" x14ac:dyDescent="0.3">
      <c r="A399" t="s">
        <v>12</v>
      </c>
      <c r="B399">
        <v>2016110010</v>
      </c>
      <c r="C399" t="s">
        <v>367</v>
      </c>
      <c r="E399" t="s">
        <v>437</v>
      </c>
      <c r="F399" t="s">
        <v>169</v>
      </c>
      <c r="G399">
        <v>4</v>
      </c>
      <c r="H399" t="s">
        <v>524</v>
      </c>
      <c r="I399" s="4">
        <f t="shared" si="44"/>
        <v>2</v>
      </c>
      <c r="J399">
        <f t="shared" si="45"/>
        <v>8</v>
      </c>
      <c r="K399">
        <v>46</v>
      </c>
      <c r="L399">
        <v>20</v>
      </c>
      <c r="M399" s="2">
        <v>2.2999999999999998</v>
      </c>
      <c r="N399" s="2">
        <v>2.86</v>
      </c>
      <c r="O399">
        <v>0</v>
      </c>
      <c r="P399">
        <v>1</v>
      </c>
      <c r="Q399" s="4" t="str">
        <f t="shared" si="46"/>
        <v>2016/2017-Ganjil</v>
      </c>
      <c r="R399" t="s">
        <v>260</v>
      </c>
      <c r="S399" t="str">
        <f t="shared" si="43"/>
        <v>PA</v>
      </c>
    </row>
    <row r="400" spans="1:19" x14ac:dyDescent="0.3">
      <c r="A400" t="s">
        <v>12</v>
      </c>
      <c r="B400">
        <v>2016110010</v>
      </c>
      <c r="C400" t="s">
        <v>367</v>
      </c>
      <c r="E400" t="s">
        <v>31</v>
      </c>
      <c r="F400" t="s">
        <v>20</v>
      </c>
      <c r="G400">
        <v>4</v>
      </c>
      <c r="H400" t="s">
        <v>524</v>
      </c>
      <c r="I400" s="4">
        <f t="shared" si="44"/>
        <v>2</v>
      </c>
      <c r="J400">
        <f t="shared" si="45"/>
        <v>8</v>
      </c>
      <c r="K400">
        <v>28</v>
      </c>
      <c r="L400">
        <v>14</v>
      </c>
      <c r="M400" s="2">
        <v>2</v>
      </c>
      <c r="N400" s="2">
        <v>2.86</v>
      </c>
      <c r="O400">
        <v>0</v>
      </c>
      <c r="P400">
        <v>10</v>
      </c>
      <c r="Q400" s="4" t="str">
        <f t="shared" si="46"/>
        <v>2020/2021-Genap</v>
      </c>
      <c r="R400" t="s">
        <v>596</v>
      </c>
      <c r="S400" t="str">
        <f t="shared" si="43"/>
        <v>PA</v>
      </c>
    </row>
    <row r="401" spans="1:19" x14ac:dyDescent="0.3">
      <c r="A401" t="s">
        <v>12</v>
      </c>
      <c r="B401">
        <v>2016110010</v>
      </c>
      <c r="C401" t="s">
        <v>367</v>
      </c>
      <c r="E401" t="s">
        <v>103</v>
      </c>
      <c r="F401" t="s">
        <v>104</v>
      </c>
      <c r="G401">
        <v>4</v>
      </c>
      <c r="H401" t="s">
        <v>524</v>
      </c>
      <c r="I401" s="4">
        <f t="shared" si="44"/>
        <v>2</v>
      </c>
      <c r="J401">
        <f t="shared" si="45"/>
        <v>8</v>
      </c>
      <c r="K401">
        <v>52</v>
      </c>
      <c r="L401">
        <v>20</v>
      </c>
      <c r="M401" s="2">
        <v>2.6</v>
      </c>
      <c r="N401" s="2">
        <v>2.86</v>
      </c>
      <c r="O401">
        <v>0</v>
      </c>
      <c r="P401">
        <v>2</v>
      </c>
      <c r="Q401" s="4" t="str">
        <f t="shared" si="46"/>
        <v>2016/2017-Genap</v>
      </c>
      <c r="R401" t="s">
        <v>260</v>
      </c>
      <c r="S401" t="str">
        <f t="shared" si="43"/>
        <v>PA</v>
      </c>
    </row>
    <row r="402" spans="1:19" x14ac:dyDescent="0.3">
      <c r="A402" t="s">
        <v>12</v>
      </c>
      <c r="B402">
        <v>2016110010</v>
      </c>
      <c r="C402" t="s">
        <v>367</v>
      </c>
      <c r="E402" t="s">
        <v>103</v>
      </c>
      <c r="F402" t="s">
        <v>104</v>
      </c>
      <c r="G402">
        <v>4</v>
      </c>
      <c r="H402" t="s">
        <v>438</v>
      </c>
      <c r="I402" s="4">
        <f t="shared" si="44"/>
        <v>3</v>
      </c>
      <c r="J402">
        <f t="shared" si="45"/>
        <v>12</v>
      </c>
      <c r="K402">
        <v>66</v>
      </c>
      <c r="L402">
        <v>24</v>
      </c>
      <c r="M402" s="2">
        <v>2.75</v>
      </c>
      <c r="N402" s="2">
        <v>2.86</v>
      </c>
      <c r="O402">
        <v>1</v>
      </c>
      <c r="P402">
        <v>8</v>
      </c>
      <c r="Q402" s="4" t="str">
        <f t="shared" si="46"/>
        <v>2019/2020-Genap</v>
      </c>
      <c r="R402" t="s">
        <v>260</v>
      </c>
      <c r="S402" t="str">
        <f t="shared" si="43"/>
        <v>PA</v>
      </c>
    </row>
    <row r="403" spans="1:19" x14ac:dyDescent="0.3">
      <c r="A403" t="s">
        <v>12</v>
      </c>
      <c r="B403">
        <v>2016110010</v>
      </c>
      <c r="C403" t="s">
        <v>367</v>
      </c>
      <c r="E403" t="s">
        <v>264</v>
      </c>
      <c r="F403" t="s">
        <v>265</v>
      </c>
      <c r="G403">
        <v>2</v>
      </c>
      <c r="H403" t="s">
        <v>524</v>
      </c>
      <c r="I403" s="4">
        <f t="shared" si="44"/>
        <v>2</v>
      </c>
      <c r="J403">
        <f t="shared" si="45"/>
        <v>4</v>
      </c>
      <c r="K403">
        <v>40</v>
      </c>
      <c r="L403">
        <v>18</v>
      </c>
      <c r="M403" s="2">
        <v>2.2200000000000002</v>
      </c>
      <c r="N403" s="2">
        <v>2.86</v>
      </c>
      <c r="O403">
        <v>0</v>
      </c>
      <c r="P403">
        <v>5</v>
      </c>
      <c r="Q403" s="4" t="str">
        <f t="shared" si="46"/>
        <v>2018/2019-Ganjil</v>
      </c>
      <c r="R403" t="s">
        <v>260</v>
      </c>
      <c r="S403" t="str">
        <f t="shared" si="43"/>
        <v>PA</v>
      </c>
    </row>
    <row r="404" spans="1:19" x14ac:dyDescent="0.3">
      <c r="A404" t="s">
        <v>12</v>
      </c>
      <c r="B404">
        <v>2016110010</v>
      </c>
      <c r="C404" t="s">
        <v>367</v>
      </c>
      <c r="E404" t="s">
        <v>142</v>
      </c>
      <c r="F404" t="s">
        <v>143</v>
      </c>
      <c r="G404">
        <v>2</v>
      </c>
      <c r="H404" t="s">
        <v>524</v>
      </c>
      <c r="I404" s="4">
        <f t="shared" si="44"/>
        <v>2</v>
      </c>
      <c r="J404">
        <f t="shared" si="45"/>
        <v>4</v>
      </c>
      <c r="K404">
        <v>46</v>
      </c>
      <c r="L404">
        <v>20</v>
      </c>
      <c r="M404" s="2">
        <v>2.2999999999999998</v>
      </c>
      <c r="N404" s="2">
        <v>2.86</v>
      </c>
      <c r="O404">
        <v>0</v>
      </c>
      <c r="P404">
        <v>1</v>
      </c>
      <c r="Q404" s="4" t="str">
        <f t="shared" si="46"/>
        <v>2016/2017-Ganjil</v>
      </c>
      <c r="R404" t="s">
        <v>260</v>
      </c>
      <c r="S404" t="str">
        <f t="shared" si="43"/>
        <v>PA</v>
      </c>
    </row>
    <row r="405" spans="1:19" x14ac:dyDescent="0.3">
      <c r="A405" t="s">
        <v>12</v>
      </c>
      <c r="B405">
        <v>2016110010</v>
      </c>
      <c r="C405" t="s">
        <v>367</v>
      </c>
      <c r="E405" t="s">
        <v>39</v>
      </c>
      <c r="F405" t="s">
        <v>11</v>
      </c>
      <c r="G405">
        <v>2</v>
      </c>
      <c r="H405" t="s">
        <v>524</v>
      </c>
      <c r="I405" s="4">
        <f t="shared" si="44"/>
        <v>2</v>
      </c>
      <c r="J405">
        <f t="shared" si="45"/>
        <v>4</v>
      </c>
      <c r="K405">
        <v>66</v>
      </c>
      <c r="L405">
        <v>24</v>
      </c>
      <c r="M405" s="2">
        <v>2.75</v>
      </c>
      <c r="N405" s="2">
        <v>2.86</v>
      </c>
      <c r="O405">
        <v>0</v>
      </c>
      <c r="P405">
        <v>8</v>
      </c>
      <c r="Q405" s="4" t="str">
        <f t="shared" si="46"/>
        <v>2019/2020-Genap</v>
      </c>
      <c r="R405" t="s">
        <v>260</v>
      </c>
      <c r="S405" t="str">
        <f t="shared" si="43"/>
        <v>PA</v>
      </c>
    </row>
    <row r="406" spans="1:19" x14ac:dyDescent="0.3">
      <c r="A406" t="s">
        <v>12</v>
      </c>
      <c r="B406">
        <v>2016110010</v>
      </c>
      <c r="C406" t="s">
        <v>367</v>
      </c>
      <c r="E406" t="s">
        <v>337</v>
      </c>
      <c r="F406" t="s">
        <v>338</v>
      </c>
      <c r="G406">
        <v>2</v>
      </c>
      <c r="H406" t="s">
        <v>524</v>
      </c>
      <c r="I406" s="4">
        <f t="shared" si="44"/>
        <v>2</v>
      </c>
      <c r="J406">
        <f t="shared" si="45"/>
        <v>4</v>
      </c>
      <c r="K406">
        <v>34</v>
      </c>
      <c r="L406">
        <v>10</v>
      </c>
      <c r="M406" s="2">
        <v>3.4</v>
      </c>
      <c r="N406" s="2">
        <v>2.86</v>
      </c>
      <c r="O406">
        <v>0</v>
      </c>
      <c r="P406">
        <v>9</v>
      </c>
      <c r="Q406" s="4" t="str">
        <f t="shared" si="46"/>
        <v>2020/2021-Ganjil</v>
      </c>
      <c r="R406" t="s">
        <v>260</v>
      </c>
      <c r="S406" t="str">
        <f t="shared" si="43"/>
        <v>PA</v>
      </c>
    </row>
    <row r="407" spans="1:19" x14ac:dyDescent="0.3">
      <c r="A407" t="s">
        <v>12</v>
      </c>
      <c r="B407">
        <v>2016110010</v>
      </c>
      <c r="C407" t="s">
        <v>367</v>
      </c>
      <c r="E407" t="s">
        <v>205</v>
      </c>
      <c r="F407" t="s">
        <v>116</v>
      </c>
      <c r="G407">
        <v>4</v>
      </c>
      <c r="H407" t="s">
        <v>524</v>
      </c>
      <c r="I407" s="4">
        <f t="shared" si="44"/>
        <v>2</v>
      </c>
      <c r="J407">
        <f t="shared" si="45"/>
        <v>8</v>
      </c>
      <c r="K407">
        <v>46</v>
      </c>
      <c r="L407">
        <v>20</v>
      </c>
      <c r="M407" s="2">
        <v>2.2999999999999998</v>
      </c>
      <c r="N407" s="2">
        <v>2.86</v>
      </c>
      <c r="O407">
        <v>0</v>
      </c>
      <c r="P407">
        <v>3</v>
      </c>
      <c r="Q407" s="4" t="str">
        <f t="shared" si="46"/>
        <v>2017/2018-Ganjil</v>
      </c>
      <c r="R407" t="s">
        <v>260</v>
      </c>
      <c r="S407" t="str">
        <f t="shared" si="43"/>
        <v>PA</v>
      </c>
    </row>
    <row r="408" spans="1:19" x14ac:dyDescent="0.3">
      <c r="A408" t="s">
        <v>12</v>
      </c>
      <c r="B408">
        <v>2016110010</v>
      </c>
      <c r="C408" t="s">
        <v>367</v>
      </c>
      <c r="E408" t="s">
        <v>205</v>
      </c>
      <c r="F408" t="s">
        <v>116</v>
      </c>
      <c r="G408">
        <v>4</v>
      </c>
      <c r="H408" t="s">
        <v>438</v>
      </c>
      <c r="I408" s="4">
        <f t="shared" si="44"/>
        <v>3</v>
      </c>
      <c r="J408">
        <f t="shared" si="45"/>
        <v>12</v>
      </c>
      <c r="K408">
        <v>78</v>
      </c>
      <c r="L408">
        <v>26</v>
      </c>
      <c r="M408" s="2">
        <v>3</v>
      </c>
      <c r="N408" s="2">
        <v>2.86</v>
      </c>
      <c r="O408">
        <v>1</v>
      </c>
      <c r="P408">
        <v>8</v>
      </c>
      <c r="Q408" s="4" t="s">
        <v>571</v>
      </c>
      <c r="R408" t="s">
        <v>260</v>
      </c>
      <c r="S408" t="str">
        <f t="shared" si="43"/>
        <v>PA</v>
      </c>
    </row>
    <row r="409" spans="1:19" x14ac:dyDescent="0.3">
      <c r="A409" t="s">
        <v>12</v>
      </c>
      <c r="B409">
        <v>2016110010</v>
      </c>
      <c r="C409" t="s">
        <v>367</v>
      </c>
      <c r="E409" t="s">
        <v>14</v>
      </c>
      <c r="F409" t="s">
        <v>15</v>
      </c>
      <c r="G409">
        <v>2</v>
      </c>
      <c r="H409" t="s">
        <v>524</v>
      </c>
      <c r="I409" s="4">
        <f t="shared" si="44"/>
        <v>2</v>
      </c>
      <c r="J409">
        <f t="shared" si="45"/>
        <v>4</v>
      </c>
      <c r="K409">
        <v>28</v>
      </c>
      <c r="L409">
        <v>14</v>
      </c>
      <c r="M409" s="2">
        <v>2</v>
      </c>
      <c r="N409" s="2">
        <v>2.86</v>
      </c>
      <c r="O409">
        <v>0</v>
      </c>
      <c r="P409">
        <v>10</v>
      </c>
      <c r="Q409" s="4" t="str">
        <f t="shared" ref="Q409:Q416" si="47">IF(P409=1,"2016/2017-Ganjil",IF(P409=2,"2016/2017-Genap",IF(P409=3,"2017/2018-Ganjil",IF(P409=4,"2017/2018-Genap",IF(P409=5,"2018/2019-Ganjil",IF(P409=6,"2018/2019-Genap",IF(P409=7,"2019/2020-Ganjil",IF(P409=8,"2019/2020-Genap",IF(P409=9,"2020/2021-Ganjil",IF(P409=10,"2020/2021-Genap",IF(P409=11,"2021/2022-Ganjil",IF(P409=12,"2021/2022-Genap",IF(P409=13,"2022/2023-Ganjil","2022/2023-Genap")))))))))))))</f>
        <v>2020/2021-Genap</v>
      </c>
      <c r="R409" t="s">
        <v>596</v>
      </c>
      <c r="S409" t="str">
        <f t="shared" si="43"/>
        <v>PA</v>
      </c>
    </row>
    <row r="410" spans="1:19" x14ac:dyDescent="0.3">
      <c r="A410" t="s">
        <v>12</v>
      </c>
      <c r="B410">
        <v>2016110010</v>
      </c>
      <c r="C410" t="s">
        <v>367</v>
      </c>
      <c r="E410" t="s">
        <v>374</v>
      </c>
      <c r="F410" t="s">
        <v>375</v>
      </c>
      <c r="G410">
        <v>2</v>
      </c>
      <c r="H410" t="s">
        <v>438</v>
      </c>
      <c r="I410" s="4">
        <f t="shared" si="44"/>
        <v>3</v>
      </c>
      <c r="J410">
        <f t="shared" si="45"/>
        <v>6</v>
      </c>
      <c r="K410">
        <v>28</v>
      </c>
      <c r="L410">
        <v>14</v>
      </c>
      <c r="M410" s="2">
        <v>2</v>
      </c>
      <c r="N410" s="2">
        <v>2.86</v>
      </c>
      <c r="O410">
        <v>1</v>
      </c>
      <c r="P410">
        <v>10</v>
      </c>
      <c r="Q410" s="4" t="str">
        <f t="shared" si="47"/>
        <v>2020/2021-Genap</v>
      </c>
      <c r="R410" t="s">
        <v>596</v>
      </c>
      <c r="S410" t="str">
        <f t="shared" si="43"/>
        <v>PA</v>
      </c>
    </row>
    <row r="411" spans="1:19" x14ac:dyDescent="0.3">
      <c r="A411" t="s">
        <v>12</v>
      </c>
      <c r="B411">
        <v>2016110010</v>
      </c>
      <c r="C411" t="s">
        <v>367</v>
      </c>
      <c r="E411" t="s">
        <v>374</v>
      </c>
      <c r="F411" t="s">
        <v>375</v>
      </c>
      <c r="G411">
        <v>2</v>
      </c>
      <c r="H411" t="s">
        <v>524</v>
      </c>
      <c r="I411" s="4">
        <f t="shared" si="44"/>
        <v>2</v>
      </c>
      <c r="J411">
        <f t="shared" si="45"/>
        <v>4</v>
      </c>
      <c r="K411">
        <v>36</v>
      </c>
      <c r="L411">
        <v>18</v>
      </c>
      <c r="M411" s="2">
        <v>2</v>
      </c>
      <c r="N411" s="2">
        <v>2.86</v>
      </c>
      <c r="O411">
        <v>0</v>
      </c>
      <c r="P411">
        <v>4</v>
      </c>
      <c r="Q411" s="4" t="str">
        <f t="shared" si="47"/>
        <v>2017/2018-Genap</v>
      </c>
      <c r="R411" t="s">
        <v>260</v>
      </c>
      <c r="S411" t="str">
        <f t="shared" si="43"/>
        <v>PA</v>
      </c>
    </row>
    <row r="412" spans="1:19" x14ac:dyDescent="0.3">
      <c r="A412" t="s">
        <v>12</v>
      </c>
      <c r="B412">
        <v>2016110010</v>
      </c>
      <c r="C412" t="s">
        <v>367</v>
      </c>
      <c r="E412" t="s">
        <v>432</v>
      </c>
      <c r="F412" t="s">
        <v>433</v>
      </c>
      <c r="G412">
        <v>4</v>
      </c>
      <c r="H412" t="s">
        <v>524</v>
      </c>
      <c r="I412" s="4">
        <f t="shared" si="44"/>
        <v>2</v>
      </c>
      <c r="J412">
        <f t="shared" si="45"/>
        <v>8</v>
      </c>
      <c r="K412">
        <v>32</v>
      </c>
      <c r="L412">
        <v>18</v>
      </c>
      <c r="M412" s="2">
        <v>1.78</v>
      </c>
      <c r="N412" s="2">
        <v>2.86</v>
      </c>
      <c r="O412">
        <v>0</v>
      </c>
      <c r="P412">
        <v>6</v>
      </c>
      <c r="Q412" s="4" t="str">
        <f t="shared" si="47"/>
        <v>2018/2019-Genap</v>
      </c>
      <c r="R412" t="s">
        <v>260</v>
      </c>
      <c r="S412" t="str">
        <f t="shared" si="43"/>
        <v>PA</v>
      </c>
    </row>
    <row r="413" spans="1:19" x14ac:dyDescent="0.3">
      <c r="A413" t="s">
        <v>12</v>
      </c>
      <c r="B413">
        <v>2016110010</v>
      </c>
      <c r="C413" t="s">
        <v>367</v>
      </c>
      <c r="E413" t="s">
        <v>432</v>
      </c>
      <c r="F413" t="s">
        <v>433</v>
      </c>
      <c r="G413">
        <v>4</v>
      </c>
      <c r="H413" t="s">
        <v>524</v>
      </c>
      <c r="I413" s="4">
        <f t="shared" si="44"/>
        <v>2</v>
      </c>
      <c r="J413">
        <f t="shared" si="45"/>
        <v>8</v>
      </c>
      <c r="K413">
        <v>66</v>
      </c>
      <c r="L413">
        <v>24</v>
      </c>
      <c r="M413" s="2">
        <v>2.75</v>
      </c>
      <c r="N413" s="2">
        <v>2.86</v>
      </c>
      <c r="O413">
        <v>1</v>
      </c>
      <c r="P413">
        <v>8</v>
      </c>
      <c r="Q413" s="4" t="str">
        <f t="shared" si="47"/>
        <v>2019/2020-Genap</v>
      </c>
      <c r="R413" t="s">
        <v>260</v>
      </c>
      <c r="S413" t="str">
        <f t="shared" si="43"/>
        <v>PA</v>
      </c>
    </row>
    <row r="414" spans="1:19" x14ac:dyDescent="0.3">
      <c r="A414" t="s">
        <v>12</v>
      </c>
      <c r="B414">
        <v>2016110010</v>
      </c>
      <c r="C414" t="s">
        <v>367</v>
      </c>
      <c r="E414" t="s">
        <v>100</v>
      </c>
      <c r="F414" t="s">
        <v>101</v>
      </c>
      <c r="G414">
        <v>4</v>
      </c>
      <c r="H414" t="s">
        <v>524</v>
      </c>
      <c r="I414" s="4">
        <f t="shared" si="44"/>
        <v>2</v>
      </c>
      <c r="J414">
        <f t="shared" si="45"/>
        <v>8</v>
      </c>
      <c r="K414">
        <v>52</v>
      </c>
      <c r="L414">
        <v>20</v>
      </c>
      <c r="M414" s="2">
        <v>2.6</v>
      </c>
      <c r="N414" s="2">
        <v>2.86</v>
      </c>
      <c r="O414">
        <v>0</v>
      </c>
      <c r="P414">
        <v>2</v>
      </c>
      <c r="Q414" s="4" t="str">
        <f t="shared" si="47"/>
        <v>2016/2017-Genap</v>
      </c>
      <c r="R414" t="s">
        <v>260</v>
      </c>
      <c r="S414" t="str">
        <f t="shared" si="43"/>
        <v>PA</v>
      </c>
    </row>
    <row r="415" spans="1:19" x14ac:dyDescent="0.3">
      <c r="A415" t="s">
        <v>12</v>
      </c>
      <c r="B415">
        <v>2016110010</v>
      </c>
      <c r="C415" t="s">
        <v>367</v>
      </c>
      <c r="E415" t="s">
        <v>100</v>
      </c>
      <c r="F415" t="s">
        <v>101</v>
      </c>
      <c r="G415">
        <v>4</v>
      </c>
      <c r="H415" t="s">
        <v>535</v>
      </c>
      <c r="I415" s="4">
        <f t="shared" si="44"/>
        <v>1</v>
      </c>
      <c r="J415">
        <f t="shared" si="45"/>
        <v>4</v>
      </c>
      <c r="K415">
        <v>28</v>
      </c>
      <c r="L415">
        <v>14</v>
      </c>
      <c r="M415" s="2">
        <v>2</v>
      </c>
      <c r="N415" s="2">
        <v>2.86</v>
      </c>
      <c r="O415">
        <v>1</v>
      </c>
      <c r="P415">
        <v>10</v>
      </c>
      <c r="Q415" s="4" t="str">
        <f t="shared" si="47"/>
        <v>2020/2021-Genap</v>
      </c>
      <c r="R415" t="s">
        <v>596</v>
      </c>
      <c r="S415" t="str">
        <f t="shared" si="43"/>
        <v>FA</v>
      </c>
    </row>
    <row r="416" spans="1:19" x14ac:dyDescent="0.3">
      <c r="A416" t="s">
        <v>12</v>
      </c>
      <c r="B416">
        <v>2016110010</v>
      </c>
      <c r="C416" t="s">
        <v>367</v>
      </c>
      <c r="E416" t="s">
        <v>122</v>
      </c>
      <c r="F416" t="s">
        <v>123</v>
      </c>
      <c r="G416">
        <v>4</v>
      </c>
      <c r="H416" t="s">
        <v>535</v>
      </c>
      <c r="I416" s="4">
        <f t="shared" si="44"/>
        <v>1</v>
      </c>
      <c r="J416">
        <f t="shared" si="45"/>
        <v>4</v>
      </c>
      <c r="K416">
        <v>46</v>
      </c>
      <c r="L416">
        <v>20</v>
      </c>
      <c r="M416" s="2">
        <v>2.2999999999999998</v>
      </c>
      <c r="N416" s="2">
        <v>2.86</v>
      </c>
      <c r="O416">
        <v>0</v>
      </c>
      <c r="P416">
        <v>1</v>
      </c>
      <c r="Q416" s="4" t="str">
        <f t="shared" si="47"/>
        <v>2016/2017-Ganjil</v>
      </c>
      <c r="R416" t="s">
        <v>260</v>
      </c>
      <c r="S416" t="str">
        <f t="shared" si="43"/>
        <v>FA</v>
      </c>
    </row>
    <row r="417" spans="1:19" x14ac:dyDescent="0.3">
      <c r="A417" t="s">
        <v>12</v>
      </c>
      <c r="B417">
        <v>2016110010</v>
      </c>
      <c r="C417" t="s">
        <v>367</v>
      </c>
      <c r="E417" t="s">
        <v>122</v>
      </c>
      <c r="F417" t="s">
        <v>123</v>
      </c>
      <c r="G417">
        <v>4</v>
      </c>
      <c r="H417" t="s">
        <v>438</v>
      </c>
      <c r="I417" s="4">
        <f t="shared" si="44"/>
        <v>3</v>
      </c>
      <c r="J417">
        <f t="shared" si="45"/>
        <v>12</v>
      </c>
      <c r="K417">
        <v>78</v>
      </c>
      <c r="L417">
        <v>26</v>
      </c>
      <c r="M417" s="2">
        <v>3</v>
      </c>
      <c r="N417" s="2">
        <v>2.86</v>
      </c>
      <c r="O417">
        <v>1</v>
      </c>
      <c r="P417">
        <v>8</v>
      </c>
      <c r="Q417" s="4" t="s">
        <v>571</v>
      </c>
      <c r="R417" t="s">
        <v>260</v>
      </c>
      <c r="S417" t="str">
        <f t="shared" si="43"/>
        <v>PA</v>
      </c>
    </row>
    <row r="418" spans="1:19" x14ac:dyDescent="0.3">
      <c r="A418" t="s">
        <v>12</v>
      </c>
      <c r="B418">
        <v>2016110010</v>
      </c>
      <c r="C418" t="s">
        <v>367</v>
      </c>
      <c r="E418" t="s">
        <v>257</v>
      </c>
      <c r="F418" t="s">
        <v>258</v>
      </c>
      <c r="G418">
        <v>4</v>
      </c>
      <c r="H418" t="s">
        <v>535</v>
      </c>
      <c r="I418" s="4">
        <f t="shared" si="44"/>
        <v>1</v>
      </c>
      <c r="J418">
        <f t="shared" si="45"/>
        <v>4</v>
      </c>
      <c r="K418">
        <v>32</v>
      </c>
      <c r="L418">
        <v>18</v>
      </c>
      <c r="M418" s="2">
        <v>1.78</v>
      </c>
      <c r="N418" s="2">
        <v>2.86</v>
      </c>
      <c r="O418">
        <v>0</v>
      </c>
      <c r="P418">
        <v>6</v>
      </c>
      <c r="Q418" s="4" t="str">
        <f>IF(P418=1,"2016/2017-Ganjil",IF(P418=2,"2016/2017-Genap",IF(P418=3,"2017/2018-Ganjil",IF(P418=4,"2017/2018-Genap",IF(P418=5,"2018/2019-Ganjil",IF(P418=6,"2018/2019-Genap",IF(P418=7,"2019/2020-Ganjil",IF(P418=8,"2019/2020-Genap",IF(P418=9,"2020/2021-Ganjil",IF(P418=10,"2020/2021-Genap",IF(P418=11,"2021/2022-Ganjil",IF(P418=12,"2021/2022-Genap",IF(P418=13,"2022/2023-Ganjil","2022/2023-Genap")))))))))))))</f>
        <v>2018/2019-Genap</v>
      </c>
      <c r="R418" t="s">
        <v>260</v>
      </c>
      <c r="S418" t="str">
        <f t="shared" si="43"/>
        <v>FA</v>
      </c>
    </row>
    <row r="419" spans="1:19" x14ac:dyDescent="0.3">
      <c r="A419" t="s">
        <v>12</v>
      </c>
      <c r="B419">
        <v>2016110010</v>
      </c>
      <c r="C419" t="s">
        <v>367</v>
      </c>
      <c r="E419" t="s">
        <v>257</v>
      </c>
      <c r="F419" t="s">
        <v>258</v>
      </c>
      <c r="G419">
        <v>4</v>
      </c>
      <c r="H419" t="s">
        <v>438</v>
      </c>
      <c r="I419" s="4">
        <f t="shared" si="44"/>
        <v>3</v>
      </c>
      <c r="J419">
        <f t="shared" si="45"/>
        <v>12</v>
      </c>
      <c r="K419">
        <v>66</v>
      </c>
      <c r="L419">
        <v>24</v>
      </c>
      <c r="M419" s="2">
        <v>2.75</v>
      </c>
      <c r="N419" s="2">
        <v>2.86</v>
      </c>
      <c r="O419">
        <v>1</v>
      </c>
      <c r="P419">
        <v>8</v>
      </c>
      <c r="Q419" s="4" t="str">
        <f>IF(P419=1,"2016/2017-Ganjil",IF(P419=2,"2016/2017-Genap",IF(P419=3,"2017/2018-Ganjil",IF(P419=4,"2017/2018-Genap",IF(P419=5,"2018/2019-Ganjil",IF(P419=6,"2018/2019-Genap",IF(P419=7,"2019/2020-Ganjil",IF(P419=8,"2019/2020-Genap",IF(P419=9,"2020/2021-Ganjil",IF(P419=10,"2020/2021-Genap",IF(P419=11,"2021/2022-Ganjil",IF(P419=12,"2021/2022-Genap",IF(P419=13,"2022/2023-Ganjil","2022/2023-Genap")))))))))))))</f>
        <v>2019/2020-Genap</v>
      </c>
      <c r="R419" t="s">
        <v>260</v>
      </c>
      <c r="S419" t="str">
        <f t="shared" si="43"/>
        <v>PA</v>
      </c>
    </row>
    <row r="420" spans="1:19" x14ac:dyDescent="0.3">
      <c r="A420" t="s">
        <v>12</v>
      </c>
      <c r="B420">
        <v>2016110010</v>
      </c>
      <c r="C420" t="s">
        <v>367</v>
      </c>
      <c r="E420" t="s">
        <v>348</v>
      </c>
      <c r="F420" t="s">
        <v>402</v>
      </c>
      <c r="G420">
        <v>4</v>
      </c>
      <c r="H420" t="s">
        <v>535</v>
      </c>
      <c r="I420" s="4">
        <f t="shared" si="44"/>
        <v>1</v>
      </c>
      <c r="J420">
        <f t="shared" si="45"/>
        <v>4</v>
      </c>
      <c r="K420">
        <v>36</v>
      </c>
      <c r="L420">
        <v>18</v>
      </c>
      <c r="M420" s="2">
        <v>2</v>
      </c>
      <c r="N420" s="2">
        <v>2.86</v>
      </c>
      <c r="O420">
        <v>0</v>
      </c>
      <c r="P420">
        <v>4</v>
      </c>
      <c r="Q420" s="4" t="str">
        <f>IF(P420=1,"2016/2017-Ganjil",IF(P420=2,"2016/2017-Genap",IF(P420=3,"2017/2018-Ganjil",IF(P420=4,"2017/2018-Genap",IF(P420=5,"2018/2019-Ganjil",IF(P420=6,"2018/2019-Genap",IF(P420=7,"2019/2020-Ganjil",IF(P420=8,"2019/2020-Genap",IF(P420=9,"2020/2021-Ganjil",IF(P420=10,"2020/2021-Genap",IF(P420=11,"2021/2022-Ganjil",IF(P420=12,"2021/2022-Genap",IF(P420=13,"2022/2023-Ganjil","2022/2023-Genap")))))))))))))</f>
        <v>2017/2018-Genap</v>
      </c>
      <c r="R420" t="s">
        <v>260</v>
      </c>
      <c r="S420" t="str">
        <f t="shared" si="43"/>
        <v>FA</v>
      </c>
    </row>
    <row r="421" spans="1:19" x14ac:dyDescent="0.3">
      <c r="A421" t="s">
        <v>12</v>
      </c>
      <c r="B421">
        <v>2016110010</v>
      </c>
      <c r="C421" t="s">
        <v>367</v>
      </c>
      <c r="E421" t="s">
        <v>348</v>
      </c>
      <c r="F421" t="s">
        <v>402</v>
      </c>
      <c r="G421">
        <v>4</v>
      </c>
      <c r="H421" t="s">
        <v>438</v>
      </c>
      <c r="I421" s="4">
        <f t="shared" si="44"/>
        <v>3</v>
      </c>
      <c r="J421">
        <f t="shared" si="45"/>
        <v>12</v>
      </c>
      <c r="K421">
        <v>78</v>
      </c>
      <c r="L421">
        <v>26</v>
      </c>
      <c r="M421" s="2">
        <v>3</v>
      </c>
      <c r="N421" s="2">
        <v>2.86</v>
      </c>
      <c r="O421">
        <v>1</v>
      </c>
      <c r="P421">
        <v>8</v>
      </c>
      <c r="Q421" s="4" t="s">
        <v>571</v>
      </c>
      <c r="R421" t="s">
        <v>260</v>
      </c>
      <c r="S421" t="str">
        <f t="shared" si="43"/>
        <v>PA</v>
      </c>
    </row>
    <row r="422" spans="1:19" x14ac:dyDescent="0.3">
      <c r="A422" t="s">
        <v>12</v>
      </c>
      <c r="B422">
        <v>2016110010</v>
      </c>
      <c r="C422" t="s">
        <v>367</v>
      </c>
      <c r="E422" t="s">
        <v>211</v>
      </c>
      <c r="F422" t="s">
        <v>186</v>
      </c>
      <c r="G422">
        <v>4</v>
      </c>
      <c r="H422" t="s">
        <v>535</v>
      </c>
      <c r="I422" s="4">
        <f t="shared" si="44"/>
        <v>1</v>
      </c>
      <c r="J422">
        <f t="shared" si="45"/>
        <v>4</v>
      </c>
      <c r="K422">
        <v>40</v>
      </c>
      <c r="L422">
        <v>18</v>
      </c>
      <c r="M422" s="2">
        <v>2.2200000000000002</v>
      </c>
      <c r="N422" s="2">
        <v>2.86</v>
      </c>
      <c r="O422">
        <v>0</v>
      </c>
      <c r="P422">
        <v>5</v>
      </c>
      <c r="Q422" s="4" t="str">
        <f>IF(P422=1,"2016/2017-Ganjil",IF(P422=2,"2016/2017-Genap",IF(P422=3,"2017/2018-Ganjil",IF(P422=4,"2017/2018-Genap",IF(P422=5,"2018/2019-Ganjil",IF(P422=6,"2018/2019-Genap",IF(P422=7,"2019/2020-Ganjil",IF(P422=8,"2019/2020-Genap",IF(P422=9,"2020/2021-Ganjil",IF(P422=10,"2020/2021-Genap",IF(P422=11,"2021/2022-Ganjil",IF(P422=12,"2021/2022-Genap",IF(P422=13,"2022/2023-Ganjil","2022/2023-Genap")))))))))))))</f>
        <v>2018/2019-Ganjil</v>
      </c>
      <c r="R422" t="s">
        <v>260</v>
      </c>
      <c r="S422" t="str">
        <f t="shared" si="43"/>
        <v>FA</v>
      </c>
    </row>
    <row r="423" spans="1:19" x14ac:dyDescent="0.3">
      <c r="A423" t="s">
        <v>12</v>
      </c>
      <c r="B423">
        <v>2016110010</v>
      </c>
      <c r="C423" t="s">
        <v>367</v>
      </c>
      <c r="E423" t="s">
        <v>211</v>
      </c>
      <c r="F423" t="s">
        <v>186</v>
      </c>
      <c r="G423">
        <v>4</v>
      </c>
      <c r="H423" t="s">
        <v>438</v>
      </c>
      <c r="I423" s="4">
        <f t="shared" si="44"/>
        <v>3</v>
      </c>
      <c r="J423">
        <f t="shared" si="45"/>
        <v>12</v>
      </c>
      <c r="K423">
        <v>78</v>
      </c>
      <c r="L423">
        <v>26</v>
      </c>
      <c r="M423" s="2">
        <v>3</v>
      </c>
      <c r="N423" s="2">
        <v>2.86</v>
      </c>
      <c r="O423">
        <v>1</v>
      </c>
      <c r="P423">
        <v>8</v>
      </c>
      <c r="Q423" s="4" t="s">
        <v>571</v>
      </c>
      <c r="R423" t="s">
        <v>260</v>
      </c>
      <c r="S423" t="str">
        <f t="shared" si="43"/>
        <v>PA</v>
      </c>
    </row>
    <row r="424" spans="1:19" x14ac:dyDescent="0.3">
      <c r="A424" t="s">
        <v>12</v>
      </c>
      <c r="B424">
        <v>2016110010</v>
      </c>
      <c r="C424" t="s">
        <v>367</v>
      </c>
      <c r="E424" t="s">
        <v>297</v>
      </c>
      <c r="F424" t="s">
        <v>342</v>
      </c>
      <c r="G424">
        <v>4</v>
      </c>
      <c r="H424" t="s">
        <v>535</v>
      </c>
      <c r="I424" s="4">
        <f t="shared" si="44"/>
        <v>1</v>
      </c>
      <c r="J424">
        <f t="shared" si="45"/>
        <v>4</v>
      </c>
      <c r="K424">
        <v>32</v>
      </c>
      <c r="L424">
        <v>18</v>
      </c>
      <c r="M424" s="2">
        <v>1.78</v>
      </c>
      <c r="N424" s="2">
        <v>2.86</v>
      </c>
      <c r="O424">
        <v>0</v>
      </c>
      <c r="P424">
        <v>6</v>
      </c>
      <c r="Q424" s="4" t="str">
        <f>IF(P424=1,"2016/2017-Ganjil",IF(P424=2,"2016/2017-Genap",IF(P424=3,"2017/2018-Ganjil",IF(P424=4,"2017/2018-Genap",IF(P424=5,"2018/2019-Ganjil",IF(P424=6,"2018/2019-Genap",IF(P424=7,"2019/2020-Ganjil",IF(P424=8,"2019/2020-Genap",IF(P424=9,"2020/2021-Ganjil",IF(P424=10,"2020/2021-Genap",IF(P424=11,"2021/2022-Ganjil",IF(P424=12,"2021/2022-Genap",IF(P424=13,"2022/2023-Ganjil","2022/2023-Genap")))))))))))))</f>
        <v>2018/2019-Genap</v>
      </c>
      <c r="R424" t="s">
        <v>260</v>
      </c>
      <c r="S424" t="str">
        <f t="shared" si="43"/>
        <v>FA</v>
      </c>
    </row>
    <row r="425" spans="1:19" x14ac:dyDescent="0.3">
      <c r="A425" t="s">
        <v>12</v>
      </c>
      <c r="B425">
        <v>2016110010</v>
      </c>
      <c r="C425" t="s">
        <v>367</v>
      </c>
      <c r="E425" t="s">
        <v>297</v>
      </c>
      <c r="F425" t="s">
        <v>342</v>
      </c>
      <c r="G425">
        <v>4</v>
      </c>
      <c r="H425" t="s">
        <v>438</v>
      </c>
      <c r="I425" s="4">
        <f t="shared" si="44"/>
        <v>3</v>
      </c>
      <c r="J425">
        <f t="shared" si="45"/>
        <v>12</v>
      </c>
      <c r="K425">
        <v>66</v>
      </c>
      <c r="L425">
        <v>24</v>
      </c>
      <c r="M425" s="2">
        <v>2.75</v>
      </c>
      <c r="N425" s="2">
        <v>2.86</v>
      </c>
      <c r="O425">
        <v>1</v>
      </c>
      <c r="P425">
        <v>8</v>
      </c>
      <c r="Q425" s="4" t="str">
        <f>IF(P425=1,"2016/2017-Ganjil",IF(P425=2,"2016/2017-Genap",IF(P425=3,"2017/2018-Ganjil",IF(P425=4,"2017/2018-Genap",IF(P425=5,"2018/2019-Ganjil",IF(P425=6,"2018/2019-Genap",IF(P425=7,"2019/2020-Ganjil",IF(P425=8,"2019/2020-Genap",IF(P425=9,"2020/2021-Ganjil",IF(P425=10,"2020/2021-Genap",IF(P425=11,"2021/2022-Ganjil",IF(P425=12,"2021/2022-Genap",IF(P425=13,"2022/2023-Ganjil","2022/2023-Genap")))))))))))))</f>
        <v>2019/2020-Genap</v>
      </c>
      <c r="R425" t="s">
        <v>260</v>
      </c>
      <c r="S425" t="str">
        <f t="shared" si="43"/>
        <v>PA</v>
      </c>
    </row>
    <row r="426" spans="1:19" x14ac:dyDescent="0.3">
      <c r="A426" t="s">
        <v>12</v>
      </c>
      <c r="B426">
        <v>2016110010</v>
      </c>
      <c r="C426" t="s">
        <v>367</v>
      </c>
      <c r="E426" t="s">
        <v>309</v>
      </c>
      <c r="F426" t="s">
        <v>310</v>
      </c>
      <c r="G426">
        <v>4</v>
      </c>
      <c r="H426" t="s">
        <v>535</v>
      </c>
      <c r="I426" s="4">
        <f t="shared" si="44"/>
        <v>1</v>
      </c>
      <c r="J426">
        <f t="shared" si="45"/>
        <v>4</v>
      </c>
      <c r="K426">
        <v>36</v>
      </c>
      <c r="L426">
        <v>18</v>
      </c>
      <c r="M426" s="2">
        <v>2</v>
      </c>
      <c r="N426" s="2">
        <v>2.86</v>
      </c>
      <c r="O426">
        <v>0</v>
      </c>
      <c r="P426">
        <v>4</v>
      </c>
      <c r="Q426" s="4" t="str">
        <f>IF(P426=1,"2016/2017-Ganjil",IF(P426=2,"2016/2017-Genap",IF(P426=3,"2017/2018-Ganjil",IF(P426=4,"2017/2018-Genap",IF(P426=5,"2018/2019-Ganjil",IF(P426=6,"2018/2019-Genap",IF(P426=7,"2019/2020-Ganjil",IF(P426=8,"2019/2020-Genap",IF(P426=9,"2020/2021-Ganjil",IF(P426=10,"2020/2021-Genap",IF(P426=11,"2021/2022-Ganjil",IF(P426=12,"2021/2022-Genap",IF(P426=13,"2022/2023-Ganjil","2022/2023-Genap")))))))))))))</f>
        <v>2017/2018-Genap</v>
      </c>
      <c r="R426" t="s">
        <v>260</v>
      </c>
      <c r="S426" t="str">
        <f t="shared" si="43"/>
        <v>FA</v>
      </c>
    </row>
    <row r="427" spans="1:19" x14ac:dyDescent="0.3">
      <c r="A427" t="s">
        <v>12</v>
      </c>
      <c r="B427">
        <v>2016110010</v>
      </c>
      <c r="C427" t="s">
        <v>367</v>
      </c>
      <c r="E427" t="s">
        <v>309</v>
      </c>
      <c r="F427" t="s">
        <v>310</v>
      </c>
      <c r="G427">
        <v>4</v>
      </c>
      <c r="H427" t="s">
        <v>438</v>
      </c>
      <c r="I427" s="4">
        <f t="shared" si="44"/>
        <v>3</v>
      </c>
      <c r="J427">
        <f t="shared" si="45"/>
        <v>12</v>
      </c>
      <c r="K427">
        <v>78</v>
      </c>
      <c r="L427">
        <v>26</v>
      </c>
      <c r="M427" s="2">
        <v>3</v>
      </c>
      <c r="N427" s="2">
        <v>2.86</v>
      </c>
      <c r="O427">
        <v>1</v>
      </c>
      <c r="P427">
        <v>8</v>
      </c>
      <c r="Q427" s="4" t="s">
        <v>571</v>
      </c>
      <c r="R427" t="s">
        <v>260</v>
      </c>
      <c r="S427" t="str">
        <f t="shared" si="43"/>
        <v>PA</v>
      </c>
    </row>
    <row r="428" spans="1:19" x14ac:dyDescent="0.3">
      <c r="A428" t="s">
        <v>12</v>
      </c>
      <c r="B428">
        <v>2016110010</v>
      </c>
      <c r="C428" t="s">
        <v>367</v>
      </c>
      <c r="E428" t="s">
        <v>241</v>
      </c>
      <c r="F428" t="s">
        <v>45</v>
      </c>
      <c r="G428">
        <v>2</v>
      </c>
      <c r="H428" t="s">
        <v>438</v>
      </c>
      <c r="I428" s="4">
        <f t="shared" si="44"/>
        <v>3</v>
      </c>
      <c r="J428">
        <f t="shared" si="45"/>
        <v>6</v>
      </c>
      <c r="K428">
        <v>78</v>
      </c>
      <c r="L428">
        <v>26</v>
      </c>
      <c r="M428" s="2">
        <v>3</v>
      </c>
      <c r="N428" s="2">
        <v>2.86</v>
      </c>
      <c r="O428">
        <v>2</v>
      </c>
      <c r="P428">
        <v>8</v>
      </c>
      <c r="Q428" s="4" t="s">
        <v>571</v>
      </c>
      <c r="R428" t="s">
        <v>260</v>
      </c>
      <c r="S428" t="str">
        <f t="shared" si="43"/>
        <v>PA</v>
      </c>
    </row>
    <row r="429" spans="1:19" x14ac:dyDescent="0.3">
      <c r="A429" t="s">
        <v>12</v>
      </c>
      <c r="B429">
        <v>2016110010</v>
      </c>
      <c r="C429" t="s">
        <v>367</v>
      </c>
      <c r="E429" t="s">
        <v>241</v>
      </c>
      <c r="F429" t="s">
        <v>45</v>
      </c>
      <c r="G429">
        <v>2</v>
      </c>
      <c r="H429" t="s">
        <v>438</v>
      </c>
      <c r="I429" s="4">
        <f t="shared" si="44"/>
        <v>3</v>
      </c>
      <c r="J429">
        <f t="shared" si="45"/>
        <v>6</v>
      </c>
      <c r="K429">
        <v>34</v>
      </c>
      <c r="L429">
        <v>10</v>
      </c>
      <c r="M429" s="2">
        <v>3.4</v>
      </c>
      <c r="N429" s="2">
        <v>2.86</v>
      </c>
      <c r="O429">
        <v>1</v>
      </c>
      <c r="P429">
        <v>9</v>
      </c>
      <c r="Q429" s="4" t="str">
        <f>IF(P429=1,"2016/2017-Ganjil",IF(P429=2,"2016/2017-Genap",IF(P429=3,"2017/2018-Ganjil",IF(P429=4,"2017/2018-Genap",IF(P429=5,"2018/2019-Ganjil",IF(P429=6,"2018/2019-Genap",IF(P429=7,"2019/2020-Ganjil",IF(P429=8,"2019/2020-Genap",IF(P429=9,"2020/2021-Ganjil",IF(P429=10,"2020/2021-Genap",IF(P429=11,"2021/2022-Ganjil",IF(P429=12,"2021/2022-Genap",IF(P429=13,"2022/2023-Ganjil","2022/2023-Genap")))))))))))))</f>
        <v>2020/2021-Ganjil</v>
      </c>
      <c r="R429" t="s">
        <v>260</v>
      </c>
      <c r="S429" t="str">
        <f t="shared" si="43"/>
        <v>PA</v>
      </c>
    </row>
    <row r="430" spans="1:19" x14ac:dyDescent="0.3">
      <c r="A430" t="s">
        <v>12</v>
      </c>
      <c r="B430">
        <v>2016110010</v>
      </c>
      <c r="C430" t="s">
        <v>367</v>
      </c>
      <c r="E430" t="s">
        <v>241</v>
      </c>
      <c r="F430" t="s">
        <v>45</v>
      </c>
      <c r="G430">
        <v>2</v>
      </c>
      <c r="H430" t="s">
        <v>539</v>
      </c>
      <c r="I430" s="4">
        <f t="shared" si="44"/>
        <v>0</v>
      </c>
      <c r="J430">
        <f t="shared" si="45"/>
        <v>0</v>
      </c>
      <c r="K430">
        <v>46</v>
      </c>
      <c r="L430">
        <v>20</v>
      </c>
      <c r="M430" s="2">
        <v>2.2999999999999998</v>
      </c>
      <c r="N430" s="2">
        <v>2.86</v>
      </c>
      <c r="O430">
        <v>0</v>
      </c>
      <c r="P430">
        <v>3</v>
      </c>
      <c r="Q430" s="4" t="str">
        <f>IF(P430=1,"2016/2017-Ganjil",IF(P430=2,"2016/2017-Genap",IF(P430=3,"2017/2018-Ganjil",IF(P430=4,"2017/2018-Genap",IF(P430=5,"2018/2019-Ganjil",IF(P430=6,"2018/2019-Genap",IF(P430=7,"2019/2020-Ganjil",IF(P430=8,"2019/2020-Genap",IF(P430=9,"2020/2021-Ganjil",IF(P430=10,"2020/2021-Genap",IF(P430=11,"2021/2022-Ganjil",IF(P430=12,"2021/2022-Genap",IF(P430=13,"2022/2023-Ganjil","2022/2023-Genap")))))))))))))</f>
        <v>2017/2018-Ganjil</v>
      </c>
      <c r="R430" t="s">
        <v>260</v>
      </c>
      <c r="S430" t="str">
        <f t="shared" si="43"/>
        <v>FA</v>
      </c>
    </row>
    <row r="431" spans="1:19" x14ac:dyDescent="0.3">
      <c r="A431" t="s">
        <v>12</v>
      </c>
      <c r="B431">
        <v>2016110011</v>
      </c>
      <c r="C431" t="s">
        <v>50</v>
      </c>
      <c r="E431" t="s">
        <v>14</v>
      </c>
      <c r="F431" t="s">
        <v>15</v>
      </c>
      <c r="G431">
        <v>2</v>
      </c>
      <c r="J431">
        <v>0</v>
      </c>
      <c r="K431">
        <v>18</v>
      </c>
      <c r="L431">
        <v>6</v>
      </c>
      <c r="M431" s="2">
        <v>3</v>
      </c>
      <c r="N431" s="2">
        <v>2.97</v>
      </c>
      <c r="O431">
        <v>0</v>
      </c>
      <c r="P431">
        <v>9</v>
      </c>
      <c r="Q431" t="s">
        <v>570</v>
      </c>
      <c r="R431" t="s">
        <v>260</v>
      </c>
      <c r="S431" t="s">
        <v>595</v>
      </c>
    </row>
    <row r="432" spans="1:19" x14ac:dyDescent="0.3">
      <c r="A432" t="s">
        <v>12</v>
      </c>
      <c r="B432">
        <v>2016110011</v>
      </c>
      <c r="C432" t="s">
        <v>50</v>
      </c>
      <c r="E432" t="s">
        <v>31</v>
      </c>
      <c r="F432" t="s">
        <v>20</v>
      </c>
      <c r="G432">
        <v>4</v>
      </c>
      <c r="J432">
        <v>0</v>
      </c>
      <c r="K432">
        <v>18</v>
      </c>
      <c r="L432">
        <v>6</v>
      </c>
      <c r="M432" s="2">
        <v>3</v>
      </c>
      <c r="N432" s="2">
        <v>2.97</v>
      </c>
      <c r="O432">
        <v>0</v>
      </c>
      <c r="P432">
        <v>9</v>
      </c>
      <c r="Q432" t="s">
        <v>570</v>
      </c>
      <c r="R432" t="s">
        <v>260</v>
      </c>
      <c r="S432" t="s">
        <v>595</v>
      </c>
    </row>
    <row r="433" spans="1:19" x14ac:dyDescent="0.3">
      <c r="A433" t="s">
        <v>12</v>
      </c>
      <c r="B433">
        <v>2016110011</v>
      </c>
      <c r="C433" t="s">
        <v>50</v>
      </c>
      <c r="E433" t="s">
        <v>14</v>
      </c>
      <c r="F433" t="s">
        <v>15</v>
      </c>
      <c r="G433">
        <v>2</v>
      </c>
      <c r="H433" t="s">
        <v>524</v>
      </c>
      <c r="I433" s="4">
        <f t="shared" ref="I433" si="48">IF(H433="A",4,IF(H433="B",3,IF(H433="C",2,IF(H433="D",1,0))))</f>
        <v>2</v>
      </c>
      <c r="J433">
        <f t="shared" ref="J433" si="49">G433*I433</f>
        <v>4</v>
      </c>
      <c r="K433">
        <v>12</v>
      </c>
      <c r="L433">
        <v>6</v>
      </c>
      <c r="M433" s="2">
        <v>2</v>
      </c>
      <c r="N433" s="2">
        <v>2.97</v>
      </c>
      <c r="O433">
        <v>1</v>
      </c>
      <c r="P433">
        <v>10</v>
      </c>
      <c r="Q433" t="s">
        <v>560</v>
      </c>
      <c r="R433" t="s">
        <v>596</v>
      </c>
      <c r="S433" t="str">
        <f t="shared" ref="S433:S486" si="50">IF(OR(H433="A",H433="B",H433="C"),"PA","FA")</f>
        <v>PA</v>
      </c>
    </row>
    <row r="434" spans="1:19" x14ac:dyDescent="0.3">
      <c r="A434" t="s">
        <v>12</v>
      </c>
      <c r="B434">
        <v>2016110011</v>
      </c>
      <c r="C434" t="s">
        <v>50</v>
      </c>
      <c r="E434" t="s">
        <v>31</v>
      </c>
      <c r="F434" t="s">
        <v>20</v>
      </c>
      <c r="G434">
        <v>4</v>
      </c>
      <c r="H434" t="s">
        <v>524</v>
      </c>
      <c r="I434" s="4">
        <f t="shared" ref="I434:I486" si="51">IF(H434="A",4,IF(H434="B",3,IF(H434="C",2,IF(H434="D",1,0))))</f>
        <v>2</v>
      </c>
      <c r="J434">
        <f t="shared" ref="J434:J486" si="52">G434*I434</f>
        <v>8</v>
      </c>
      <c r="K434">
        <v>12</v>
      </c>
      <c r="L434">
        <v>6</v>
      </c>
      <c r="M434" s="2">
        <v>2</v>
      </c>
      <c r="N434" s="2">
        <v>2.97</v>
      </c>
      <c r="O434">
        <v>1</v>
      </c>
      <c r="P434">
        <v>10</v>
      </c>
      <c r="Q434" t="s">
        <v>560</v>
      </c>
      <c r="R434" t="s">
        <v>596</v>
      </c>
      <c r="S434" t="str">
        <f t="shared" si="50"/>
        <v>PA</v>
      </c>
    </row>
    <row r="435" spans="1:19" x14ac:dyDescent="0.3">
      <c r="A435" t="s">
        <v>12</v>
      </c>
      <c r="B435">
        <v>2016110011</v>
      </c>
      <c r="C435" t="s">
        <v>50</v>
      </c>
      <c r="E435" t="s">
        <v>77</v>
      </c>
      <c r="F435" t="s">
        <v>78</v>
      </c>
      <c r="G435">
        <v>2</v>
      </c>
      <c r="H435" t="s">
        <v>260</v>
      </c>
      <c r="I435" s="4">
        <f t="shared" si="51"/>
        <v>4</v>
      </c>
      <c r="J435">
        <f t="shared" si="52"/>
        <v>8</v>
      </c>
      <c r="K435">
        <v>62</v>
      </c>
      <c r="L435">
        <v>20</v>
      </c>
      <c r="M435" s="2">
        <v>3.1</v>
      </c>
      <c r="N435" s="2">
        <v>2.97</v>
      </c>
      <c r="O435">
        <v>0</v>
      </c>
      <c r="P435">
        <v>1</v>
      </c>
      <c r="Q435" t="s">
        <v>558</v>
      </c>
      <c r="R435" t="s">
        <v>260</v>
      </c>
      <c r="S435" t="str">
        <f t="shared" si="50"/>
        <v>PA</v>
      </c>
    </row>
    <row r="436" spans="1:19" x14ac:dyDescent="0.3">
      <c r="A436" t="s">
        <v>12</v>
      </c>
      <c r="B436">
        <v>2016110011</v>
      </c>
      <c r="C436" t="s">
        <v>50</v>
      </c>
      <c r="E436" t="s">
        <v>337</v>
      </c>
      <c r="F436" t="s">
        <v>338</v>
      </c>
      <c r="G436">
        <v>2</v>
      </c>
      <c r="H436" t="s">
        <v>260</v>
      </c>
      <c r="I436" s="4">
        <f t="shared" si="51"/>
        <v>4</v>
      </c>
      <c r="J436">
        <f t="shared" si="52"/>
        <v>8</v>
      </c>
      <c r="K436">
        <v>46</v>
      </c>
      <c r="L436">
        <v>14</v>
      </c>
      <c r="M436" s="2">
        <v>3.29</v>
      </c>
      <c r="N436" s="2">
        <v>2.97</v>
      </c>
      <c r="O436">
        <v>0</v>
      </c>
      <c r="P436">
        <v>5</v>
      </c>
      <c r="Q436" t="s">
        <v>566</v>
      </c>
      <c r="R436" t="s">
        <v>260</v>
      </c>
      <c r="S436" t="str">
        <f t="shared" si="50"/>
        <v>PA</v>
      </c>
    </row>
    <row r="437" spans="1:19" x14ac:dyDescent="0.3">
      <c r="A437" t="s">
        <v>12</v>
      </c>
      <c r="B437">
        <v>2016110011</v>
      </c>
      <c r="C437" t="s">
        <v>50</v>
      </c>
      <c r="E437" t="s">
        <v>192</v>
      </c>
      <c r="F437" t="s">
        <v>106</v>
      </c>
      <c r="G437">
        <v>2</v>
      </c>
      <c r="H437" t="s">
        <v>260</v>
      </c>
      <c r="I437" s="4">
        <f t="shared" si="51"/>
        <v>4</v>
      </c>
      <c r="J437">
        <f t="shared" si="52"/>
        <v>8</v>
      </c>
      <c r="K437">
        <v>46</v>
      </c>
      <c r="L437">
        <v>14</v>
      </c>
      <c r="M437" s="2">
        <v>3.29</v>
      </c>
      <c r="N437" s="2">
        <v>2.97</v>
      </c>
      <c r="O437">
        <v>0</v>
      </c>
      <c r="P437">
        <v>5</v>
      </c>
      <c r="Q437" t="s">
        <v>566</v>
      </c>
      <c r="R437" t="s">
        <v>260</v>
      </c>
      <c r="S437" t="str">
        <f t="shared" si="50"/>
        <v>PA</v>
      </c>
    </row>
    <row r="438" spans="1:19" x14ac:dyDescent="0.3">
      <c r="A438" t="s">
        <v>12</v>
      </c>
      <c r="B438">
        <v>2016110011</v>
      </c>
      <c r="C438" t="s">
        <v>50</v>
      </c>
      <c r="E438" t="s">
        <v>192</v>
      </c>
      <c r="F438" t="s">
        <v>106</v>
      </c>
      <c r="G438">
        <v>2</v>
      </c>
      <c r="H438" t="s">
        <v>438</v>
      </c>
      <c r="I438" s="4">
        <f t="shared" si="51"/>
        <v>3</v>
      </c>
      <c r="J438">
        <f t="shared" si="52"/>
        <v>6</v>
      </c>
      <c r="K438">
        <v>52</v>
      </c>
      <c r="L438">
        <v>20</v>
      </c>
      <c r="M438" s="2">
        <v>2.6</v>
      </c>
      <c r="N438" s="2">
        <v>2.97</v>
      </c>
      <c r="O438">
        <v>1</v>
      </c>
      <c r="P438">
        <v>7</v>
      </c>
      <c r="Q438" t="s">
        <v>568</v>
      </c>
      <c r="R438" t="s">
        <v>260</v>
      </c>
      <c r="S438" t="str">
        <f t="shared" si="50"/>
        <v>PA</v>
      </c>
    </row>
    <row r="439" spans="1:19" x14ac:dyDescent="0.3">
      <c r="A439" t="s">
        <v>12</v>
      </c>
      <c r="B439">
        <v>2016110011</v>
      </c>
      <c r="C439" t="s">
        <v>50</v>
      </c>
      <c r="E439" t="s">
        <v>276</v>
      </c>
      <c r="F439" t="s">
        <v>137</v>
      </c>
      <c r="G439">
        <v>4</v>
      </c>
      <c r="H439" t="s">
        <v>438</v>
      </c>
      <c r="I439" s="4">
        <f t="shared" si="51"/>
        <v>3</v>
      </c>
      <c r="J439">
        <f t="shared" si="52"/>
        <v>12</v>
      </c>
      <c r="K439">
        <v>42</v>
      </c>
      <c r="L439">
        <v>18</v>
      </c>
      <c r="M439" s="2">
        <v>2.33</v>
      </c>
      <c r="N439" s="2">
        <v>2.97</v>
      </c>
      <c r="O439">
        <v>0</v>
      </c>
      <c r="P439">
        <v>4</v>
      </c>
      <c r="Q439" t="s">
        <v>565</v>
      </c>
      <c r="R439" t="s">
        <v>260</v>
      </c>
      <c r="S439" t="str">
        <f t="shared" si="50"/>
        <v>PA</v>
      </c>
    </row>
    <row r="440" spans="1:19" x14ac:dyDescent="0.3">
      <c r="A440" t="s">
        <v>12</v>
      </c>
      <c r="B440">
        <v>2016110011</v>
      </c>
      <c r="C440" t="s">
        <v>50</v>
      </c>
      <c r="E440" t="s">
        <v>90</v>
      </c>
      <c r="F440" t="s">
        <v>91</v>
      </c>
      <c r="G440">
        <v>2</v>
      </c>
      <c r="H440" t="s">
        <v>438</v>
      </c>
      <c r="I440" s="4">
        <f t="shared" si="51"/>
        <v>3</v>
      </c>
      <c r="J440">
        <f t="shared" si="52"/>
        <v>6</v>
      </c>
      <c r="K440">
        <v>62</v>
      </c>
      <c r="L440">
        <v>20</v>
      </c>
      <c r="M440" s="2">
        <v>3.1</v>
      </c>
      <c r="N440" s="2">
        <v>2.97</v>
      </c>
      <c r="O440">
        <v>0</v>
      </c>
      <c r="P440">
        <v>1</v>
      </c>
      <c r="Q440" t="s">
        <v>558</v>
      </c>
      <c r="R440" t="s">
        <v>260</v>
      </c>
      <c r="S440" t="str">
        <f t="shared" si="50"/>
        <v>PA</v>
      </c>
    </row>
    <row r="441" spans="1:19" x14ac:dyDescent="0.3">
      <c r="A441" t="s">
        <v>12</v>
      </c>
      <c r="B441">
        <v>2016110011</v>
      </c>
      <c r="C441" t="s">
        <v>50</v>
      </c>
      <c r="E441" t="s">
        <v>208</v>
      </c>
      <c r="F441" t="s">
        <v>209</v>
      </c>
      <c r="G441">
        <v>2</v>
      </c>
      <c r="H441" t="s">
        <v>438</v>
      </c>
      <c r="I441" s="4">
        <f t="shared" si="51"/>
        <v>3</v>
      </c>
      <c r="J441">
        <f t="shared" si="52"/>
        <v>6</v>
      </c>
      <c r="K441">
        <v>46</v>
      </c>
      <c r="L441">
        <v>14</v>
      </c>
      <c r="M441" s="2">
        <v>3.29</v>
      </c>
      <c r="N441" s="2">
        <v>2.97</v>
      </c>
      <c r="O441">
        <v>0</v>
      </c>
      <c r="P441">
        <v>5</v>
      </c>
      <c r="Q441" t="s">
        <v>566</v>
      </c>
      <c r="R441" t="s">
        <v>260</v>
      </c>
      <c r="S441" t="str">
        <f t="shared" si="50"/>
        <v>PA</v>
      </c>
    </row>
    <row r="442" spans="1:19" x14ac:dyDescent="0.3">
      <c r="A442" t="s">
        <v>12</v>
      </c>
      <c r="B442">
        <v>2016110011</v>
      </c>
      <c r="C442" t="s">
        <v>50</v>
      </c>
      <c r="E442" t="s">
        <v>290</v>
      </c>
      <c r="F442" t="s">
        <v>327</v>
      </c>
      <c r="G442">
        <v>4</v>
      </c>
      <c r="H442" t="s">
        <v>438</v>
      </c>
      <c r="I442" s="4">
        <f t="shared" si="51"/>
        <v>3</v>
      </c>
      <c r="J442">
        <f t="shared" si="52"/>
        <v>12</v>
      </c>
      <c r="K442">
        <v>38</v>
      </c>
      <c r="L442">
        <v>14</v>
      </c>
      <c r="M442" s="2">
        <v>2.71</v>
      </c>
      <c r="N442" s="2">
        <v>2.97</v>
      </c>
      <c r="O442">
        <v>0</v>
      </c>
      <c r="P442">
        <v>2</v>
      </c>
      <c r="Q442" t="s">
        <v>559</v>
      </c>
      <c r="R442" t="s">
        <v>260</v>
      </c>
      <c r="S442" t="str">
        <f t="shared" si="50"/>
        <v>PA</v>
      </c>
    </row>
    <row r="443" spans="1:19" x14ac:dyDescent="0.3">
      <c r="A443" t="s">
        <v>12</v>
      </c>
      <c r="B443">
        <v>2016110011</v>
      </c>
      <c r="C443" t="s">
        <v>50</v>
      </c>
      <c r="E443" t="s">
        <v>344</v>
      </c>
      <c r="F443" t="s">
        <v>345</v>
      </c>
      <c r="G443">
        <v>2</v>
      </c>
      <c r="H443" t="s">
        <v>438</v>
      </c>
      <c r="I443" s="4">
        <f t="shared" si="51"/>
        <v>3</v>
      </c>
      <c r="J443">
        <f t="shared" si="52"/>
        <v>6</v>
      </c>
      <c r="K443">
        <v>52</v>
      </c>
      <c r="L443">
        <v>20</v>
      </c>
      <c r="M443" s="2">
        <v>2.6</v>
      </c>
      <c r="N443" s="2">
        <v>2.97</v>
      </c>
      <c r="O443">
        <v>0</v>
      </c>
      <c r="P443">
        <v>7</v>
      </c>
      <c r="Q443" t="s">
        <v>568</v>
      </c>
      <c r="R443" t="s">
        <v>260</v>
      </c>
      <c r="S443" t="str">
        <f t="shared" si="50"/>
        <v>PA</v>
      </c>
    </row>
    <row r="444" spans="1:19" x14ac:dyDescent="0.3">
      <c r="A444" t="s">
        <v>12</v>
      </c>
      <c r="B444">
        <v>2016110011</v>
      </c>
      <c r="C444" t="s">
        <v>50</v>
      </c>
      <c r="E444" t="s">
        <v>211</v>
      </c>
      <c r="F444" t="s">
        <v>186</v>
      </c>
      <c r="G444">
        <v>4</v>
      </c>
      <c r="H444" t="s">
        <v>438</v>
      </c>
      <c r="I444" s="4">
        <f t="shared" si="51"/>
        <v>3</v>
      </c>
      <c r="J444">
        <f t="shared" si="52"/>
        <v>12</v>
      </c>
      <c r="K444">
        <v>46</v>
      </c>
      <c r="L444">
        <v>14</v>
      </c>
      <c r="M444" s="2">
        <v>3.29</v>
      </c>
      <c r="N444" s="2">
        <v>2.97</v>
      </c>
      <c r="O444">
        <v>0</v>
      </c>
      <c r="P444">
        <v>5</v>
      </c>
      <c r="Q444" t="s">
        <v>566</v>
      </c>
      <c r="R444" t="s">
        <v>260</v>
      </c>
      <c r="S444" t="str">
        <f t="shared" si="50"/>
        <v>PA</v>
      </c>
    </row>
    <row r="445" spans="1:19" x14ac:dyDescent="0.3">
      <c r="A445" t="s">
        <v>12</v>
      </c>
      <c r="B445">
        <v>2016110011</v>
      </c>
      <c r="C445" t="s">
        <v>50</v>
      </c>
      <c r="E445" t="s">
        <v>103</v>
      </c>
      <c r="F445" t="s">
        <v>104</v>
      </c>
      <c r="G445">
        <v>4</v>
      </c>
      <c r="H445" t="s">
        <v>438</v>
      </c>
      <c r="I445" s="4">
        <f t="shared" si="51"/>
        <v>3</v>
      </c>
      <c r="J445">
        <f t="shared" si="52"/>
        <v>12</v>
      </c>
      <c r="K445">
        <v>38</v>
      </c>
      <c r="L445">
        <v>14</v>
      </c>
      <c r="M445" s="2">
        <v>2.71</v>
      </c>
      <c r="N445" s="2">
        <v>2.97</v>
      </c>
      <c r="O445">
        <v>0</v>
      </c>
      <c r="P445">
        <v>2</v>
      </c>
      <c r="Q445" t="s">
        <v>559</v>
      </c>
      <c r="R445" t="s">
        <v>260</v>
      </c>
      <c r="S445" t="str">
        <f t="shared" si="50"/>
        <v>PA</v>
      </c>
    </row>
    <row r="446" spans="1:19" x14ac:dyDescent="0.3">
      <c r="A446" t="s">
        <v>12</v>
      </c>
      <c r="B446">
        <v>2016110011</v>
      </c>
      <c r="C446" t="s">
        <v>50</v>
      </c>
      <c r="E446" t="s">
        <v>382</v>
      </c>
      <c r="F446" t="s">
        <v>383</v>
      </c>
      <c r="G446">
        <v>4</v>
      </c>
      <c r="H446" t="s">
        <v>438</v>
      </c>
      <c r="I446" s="4">
        <f t="shared" si="51"/>
        <v>3</v>
      </c>
      <c r="J446">
        <f t="shared" si="52"/>
        <v>12</v>
      </c>
      <c r="K446">
        <v>52</v>
      </c>
      <c r="L446">
        <v>20</v>
      </c>
      <c r="M446" s="2">
        <v>2.6</v>
      </c>
      <c r="N446" s="2">
        <v>2.97</v>
      </c>
      <c r="O446">
        <v>0</v>
      </c>
      <c r="P446">
        <v>7</v>
      </c>
      <c r="Q446" t="s">
        <v>568</v>
      </c>
      <c r="R446" t="s">
        <v>260</v>
      </c>
      <c r="S446" t="str">
        <f t="shared" si="50"/>
        <v>PA</v>
      </c>
    </row>
    <row r="447" spans="1:19" x14ac:dyDescent="0.3">
      <c r="A447" t="s">
        <v>12</v>
      </c>
      <c r="B447">
        <v>2016110011</v>
      </c>
      <c r="C447" t="s">
        <v>50</v>
      </c>
      <c r="E447" t="s">
        <v>370</v>
      </c>
      <c r="F447" t="s">
        <v>371</v>
      </c>
      <c r="G447">
        <v>2</v>
      </c>
      <c r="H447" t="s">
        <v>438</v>
      </c>
      <c r="I447" s="4">
        <f t="shared" si="51"/>
        <v>3</v>
      </c>
      <c r="J447">
        <f t="shared" si="52"/>
        <v>6</v>
      </c>
      <c r="K447">
        <v>46</v>
      </c>
      <c r="L447">
        <v>14</v>
      </c>
      <c r="M447" s="2">
        <v>3.29</v>
      </c>
      <c r="N447" s="2">
        <v>2.97</v>
      </c>
      <c r="O447">
        <v>0</v>
      </c>
      <c r="P447">
        <v>5</v>
      </c>
      <c r="Q447" t="s">
        <v>566</v>
      </c>
      <c r="R447" t="s">
        <v>260</v>
      </c>
      <c r="S447" t="str">
        <f t="shared" si="50"/>
        <v>PA</v>
      </c>
    </row>
    <row r="448" spans="1:19" x14ac:dyDescent="0.3">
      <c r="A448" t="s">
        <v>12</v>
      </c>
      <c r="B448">
        <v>2016110011</v>
      </c>
      <c r="C448" t="s">
        <v>50</v>
      </c>
      <c r="E448" t="s">
        <v>190</v>
      </c>
      <c r="F448" t="s">
        <v>191</v>
      </c>
      <c r="G448">
        <v>4</v>
      </c>
      <c r="H448" t="s">
        <v>438</v>
      </c>
      <c r="I448" s="4">
        <f t="shared" si="51"/>
        <v>3</v>
      </c>
      <c r="J448">
        <f t="shared" si="52"/>
        <v>12</v>
      </c>
      <c r="K448">
        <v>48</v>
      </c>
      <c r="L448">
        <v>16</v>
      </c>
      <c r="M448" s="2">
        <v>3</v>
      </c>
      <c r="N448" s="2">
        <v>2.97</v>
      </c>
      <c r="O448">
        <v>0</v>
      </c>
      <c r="P448">
        <v>3</v>
      </c>
      <c r="Q448" t="s">
        <v>563</v>
      </c>
      <c r="R448" t="s">
        <v>260</v>
      </c>
      <c r="S448" t="str">
        <f t="shared" si="50"/>
        <v>PA</v>
      </c>
    </row>
    <row r="449" spans="1:19" x14ac:dyDescent="0.3">
      <c r="A449" t="s">
        <v>12</v>
      </c>
      <c r="B449">
        <v>2016110011</v>
      </c>
      <c r="C449" t="s">
        <v>50</v>
      </c>
      <c r="E449" t="s">
        <v>39</v>
      </c>
      <c r="F449" t="s">
        <v>11</v>
      </c>
      <c r="G449">
        <v>2</v>
      </c>
      <c r="H449" t="s">
        <v>438</v>
      </c>
      <c r="I449" s="4">
        <f t="shared" si="51"/>
        <v>3</v>
      </c>
      <c r="J449">
        <f t="shared" si="52"/>
        <v>6</v>
      </c>
      <c r="K449">
        <v>30</v>
      </c>
      <c r="L449">
        <v>10</v>
      </c>
      <c r="M449" s="2">
        <v>3</v>
      </c>
      <c r="N449" s="2">
        <v>2.97</v>
      </c>
      <c r="O449">
        <v>0</v>
      </c>
      <c r="P449">
        <v>8</v>
      </c>
      <c r="Q449" t="s">
        <v>569</v>
      </c>
      <c r="R449" t="s">
        <v>260</v>
      </c>
      <c r="S449" t="str">
        <f t="shared" si="50"/>
        <v>PA</v>
      </c>
    </row>
    <row r="450" spans="1:19" x14ac:dyDescent="0.3">
      <c r="A450" t="s">
        <v>12</v>
      </c>
      <c r="B450">
        <v>2016110011</v>
      </c>
      <c r="C450" t="s">
        <v>50</v>
      </c>
      <c r="E450" t="s">
        <v>273</v>
      </c>
      <c r="F450" t="s">
        <v>274</v>
      </c>
      <c r="G450">
        <v>2</v>
      </c>
      <c r="H450" t="s">
        <v>438</v>
      </c>
      <c r="I450" s="4">
        <f t="shared" si="51"/>
        <v>3</v>
      </c>
      <c r="J450">
        <f t="shared" si="52"/>
        <v>6</v>
      </c>
      <c r="K450">
        <v>66</v>
      </c>
      <c r="L450">
        <v>22</v>
      </c>
      <c r="M450" s="2">
        <v>3</v>
      </c>
      <c r="N450" s="2">
        <v>2.97</v>
      </c>
      <c r="O450">
        <v>0</v>
      </c>
      <c r="P450">
        <v>6</v>
      </c>
      <c r="Q450" t="s">
        <v>567</v>
      </c>
      <c r="R450" t="s">
        <v>260</v>
      </c>
      <c r="S450" t="str">
        <f t="shared" si="50"/>
        <v>PA</v>
      </c>
    </row>
    <row r="451" spans="1:19" x14ac:dyDescent="0.3">
      <c r="A451" t="s">
        <v>12</v>
      </c>
      <c r="B451">
        <v>2016110011</v>
      </c>
      <c r="C451" t="s">
        <v>50</v>
      </c>
      <c r="E451" t="s">
        <v>170</v>
      </c>
      <c r="F451" t="s">
        <v>171</v>
      </c>
      <c r="G451">
        <v>4</v>
      </c>
      <c r="H451" t="s">
        <v>438</v>
      </c>
      <c r="I451" s="4">
        <f t="shared" si="51"/>
        <v>3</v>
      </c>
      <c r="J451">
        <f t="shared" si="52"/>
        <v>12</v>
      </c>
      <c r="K451">
        <v>48</v>
      </c>
      <c r="L451">
        <v>16</v>
      </c>
      <c r="M451" s="2">
        <v>3</v>
      </c>
      <c r="N451" s="2">
        <v>2.97</v>
      </c>
      <c r="O451">
        <v>0</v>
      </c>
      <c r="P451">
        <v>3</v>
      </c>
      <c r="Q451" t="s">
        <v>563</v>
      </c>
      <c r="R451" t="s">
        <v>260</v>
      </c>
      <c r="S451" t="str">
        <f t="shared" si="50"/>
        <v>PA</v>
      </c>
    </row>
    <row r="452" spans="1:19" x14ac:dyDescent="0.3">
      <c r="A452" t="s">
        <v>12</v>
      </c>
      <c r="B452">
        <v>2016110011</v>
      </c>
      <c r="C452" t="s">
        <v>50</v>
      </c>
      <c r="E452" t="s">
        <v>348</v>
      </c>
      <c r="F452" t="s">
        <v>493</v>
      </c>
      <c r="G452">
        <v>4</v>
      </c>
      <c r="H452" t="s">
        <v>438</v>
      </c>
      <c r="I452" s="4">
        <f t="shared" si="51"/>
        <v>3</v>
      </c>
      <c r="J452">
        <f t="shared" si="52"/>
        <v>12</v>
      </c>
      <c r="K452">
        <v>30</v>
      </c>
      <c r="L452">
        <v>10</v>
      </c>
      <c r="M452" s="2">
        <v>3</v>
      </c>
      <c r="N452" s="2">
        <v>2.97</v>
      </c>
      <c r="O452">
        <v>0</v>
      </c>
      <c r="P452">
        <v>8</v>
      </c>
      <c r="Q452" t="s">
        <v>569</v>
      </c>
      <c r="R452" t="s">
        <v>260</v>
      </c>
      <c r="S452" t="str">
        <f t="shared" si="50"/>
        <v>PA</v>
      </c>
    </row>
    <row r="453" spans="1:19" x14ac:dyDescent="0.3">
      <c r="A453" t="s">
        <v>12</v>
      </c>
      <c r="B453">
        <v>2016110011</v>
      </c>
      <c r="C453" t="s">
        <v>50</v>
      </c>
      <c r="E453" t="s">
        <v>122</v>
      </c>
      <c r="F453" t="s">
        <v>123</v>
      </c>
      <c r="G453">
        <v>4</v>
      </c>
      <c r="H453" t="s">
        <v>438</v>
      </c>
      <c r="I453" s="4">
        <f t="shared" si="51"/>
        <v>3</v>
      </c>
      <c r="J453">
        <f t="shared" si="52"/>
        <v>12</v>
      </c>
      <c r="K453">
        <v>62</v>
      </c>
      <c r="L453">
        <v>20</v>
      </c>
      <c r="M453" s="2">
        <v>3.1</v>
      </c>
      <c r="N453" s="2">
        <v>2.97</v>
      </c>
      <c r="O453">
        <v>0</v>
      </c>
      <c r="P453">
        <v>1</v>
      </c>
      <c r="Q453" t="s">
        <v>558</v>
      </c>
      <c r="R453" t="s">
        <v>260</v>
      </c>
      <c r="S453" t="str">
        <f t="shared" si="50"/>
        <v>PA</v>
      </c>
    </row>
    <row r="454" spans="1:19" x14ac:dyDescent="0.3">
      <c r="A454" t="s">
        <v>12</v>
      </c>
      <c r="B454">
        <v>2016110011</v>
      </c>
      <c r="C454" t="s">
        <v>50</v>
      </c>
      <c r="E454" t="s">
        <v>262</v>
      </c>
      <c r="F454" t="s">
        <v>263</v>
      </c>
      <c r="G454">
        <v>2</v>
      </c>
      <c r="H454" t="s">
        <v>438</v>
      </c>
      <c r="I454" s="4">
        <f t="shared" si="51"/>
        <v>3</v>
      </c>
      <c r="J454">
        <f t="shared" si="52"/>
        <v>6</v>
      </c>
      <c r="K454">
        <v>66</v>
      </c>
      <c r="L454">
        <v>22</v>
      </c>
      <c r="M454" s="2">
        <v>3</v>
      </c>
      <c r="N454" s="2">
        <v>2.97</v>
      </c>
      <c r="O454">
        <v>0</v>
      </c>
      <c r="P454">
        <v>6</v>
      </c>
      <c r="Q454" t="s">
        <v>567</v>
      </c>
      <c r="R454" t="s">
        <v>260</v>
      </c>
      <c r="S454" t="str">
        <f t="shared" si="50"/>
        <v>PA</v>
      </c>
    </row>
    <row r="455" spans="1:19" x14ac:dyDescent="0.3">
      <c r="A455" t="s">
        <v>12</v>
      </c>
      <c r="B455">
        <v>2016110011</v>
      </c>
      <c r="C455" t="s">
        <v>50</v>
      </c>
      <c r="E455" t="s">
        <v>316</v>
      </c>
      <c r="F455" t="s">
        <v>317</v>
      </c>
      <c r="G455">
        <v>2</v>
      </c>
      <c r="H455" t="s">
        <v>438</v>
      </c>
      <c r="I455" s="4">
        <f t="shared" si="51"/>
        <v>3</v>
      </c>
      <c r="J455">
        <f t="shared" si="52"/>
        <v>6</v>
      </c>
      <c r="K455">
        <v>48</v>
      </c>
      <c r="L455">
        <v>16</v>
      </c>
      <c r="M455" s="2">
        <v>3</v>
      </c>
      <c r="N455" s="2">
        <v>2.97</v>
      </c>
      <c r="O455">
        <v>0</v>
      </c>
      <c r="P455">
        <v>3</v>
      </c>
      <c r="Q455" t="s">
        <v>563</v>
      </c>
      <c r="R455" t="s">
        <v>260</v>
      </c>
      <c r="S455" t="str">
        <f t="shared" si="50"/>
        <v>PA</v>
      </c>
    </row>
    <row r="456" spans="1:19" x14ac:dyDescent="0.3">
      <c r="A456" t="s">
        <v>12</v>
      </c>
      <c r="B456">
        <v>2016110011</v>
      </c>
      <c r="C456" t="s">
        <v>50</v>
      </c>
      <c r="E456" t="s">
        <v>151</v>
      </c>
      <c r="F456" t="s">
        <v>152</v>
      </c>
      <c r="G456">
        <v>2</v>
      </c>
      <c r="H456" t="s">
        <v>438</v>
      </c>
      <c r="I456" s="4">
        <f t="shared" si="51"/>
        <v>3</v>
      </c>
      <c r="J456">
        <f t="shared" si="52"/>
        <v>6</v>
      </c>
      <c r="K456">
        <v>62</v>
      </c>
      <c r="L456">
        <v>20</v>
      </c>
      <c r="M456" s="2">
        <v>3.1</v>
      </c>
      <c r="N456" s="2">
        <v>2.97</v>
      </c>
      <c r="O456">
        <v>0</v>
      </c>
      <c r="P456">
        <v>1</v>
      </c>
      <c r="Q456" t="s">
        <v>558</v>
      </c>
      <c r="R456" t="s">
        <v>260</v>
      </c>
      <c r="S456" t="str">
        <f t="shared" si="50"/>
        <v>PA</v>
      </c>
    </row>
    <row r="457" spans="1:19" x14ac:dyDescent="0.3">
      <c r="A457" t="s">
        <v>12</v>
      </c>
      <c r="B457">
        <v>2016110011</v>
      </c>
      <c r="C457" t="s">
        <v>50</v>
      </c>
      <c r="E457" t="s">
        <v>427</v>
      </c>
      <c r="F457" t="s">
        <v>428</v>
      </c>
      <c r="G457">
        <v>2</v>
      </c>
      <c r="H457" t="s">
        <v>438</v>
      </c>
      <c r="I457" s="4">
        <f t="shared" si="51"/>
        <v>3</v>
      </c>
      <c r="J457">
        <f t="shared" si="52"/>
        <v>6</v>
      </c>
      <c r="K457">
        <v>66</v>
      </c>
      <c r="L457">
        <v>22</v>
      </c>
      <c r="M457" s="2">
        <v>3</v>
      </c>
      <c r="N457" s="2">
        <v>2.97</v>
      </c>
      <c r="O457">
        <v>0</v>
      </c>
      <c r="P457">
        <v>6</v>
      </c>
      <c r="Q457" t="s">
        <v>567</v>
      </c>
      <c r="R457" t="s">
        <v>260</v>
      </c>
      <c r="S457" t="str">
        <f t="shared" si="50"/>
        <v>PA</v>
      </c>
    </row>
    <row r="458" spans="1:19" x14ac:dyDescent="0.3">
      <c r="A458" t="s">
        <v>12</v>
      </c>
      <c r="B458">
        <v>2016110011</v>
      </c>
      <c r="C458" t="s">
        <v>50</v>
      </c>
      <c r="E458" t="s">
        <v>374</v>
      </c>
      <c r="F458" t="s">
        <v>375</v>
      </c>
      <c r="G458">
        <v>2</v>
      </c>
      <c r="H458" t="s">
        <v>438</v>
      </c>
      <c r="I458" s="4">
        <f t="shared" si="51"/>
        <v>3</v>
      </c>
      <c r="J458">
        <f t="shared" si="52"/>
        <v>6</v>
      </c>
      <c r="K458">
        <v>42</v>
      </c>
      <c r="L458">
        <v>18</v>
      </c>
      <c r="M458" s="2">
        <v>2.33</v>
      </c>
      <c r="N458" s="2">
        <v>2.97</v>
      </c>
      <c r="O458">
        <v>0</v>
      </c>
      <c r="P458">
        <v>4</v>
      </c>
      <c r="Q458" t="s">
        <v>565</v>
      </c>
      <c r="R458" t="s">
        <v>260</v>
      </c>
      <c r="S458" t="str">
        <f t="shared" si="50"/>
        <v>PA</v>
      </c>
    </row>
    <row r="459" spans="1:19" x14ac:dyDescent="0.3">
      <c r="A459" t="s">
        <v>12</v>
      </c>
      <c r="B459">
        <v>2016110011</v>
      </c>
      <c r="C459" t="s">
        <v>50</v>
      </c>
      <c r="E459" t="s">
        <v>357</v>
      </c>
      <c r="F459" t="s">
        <v>358</v>
      </c>
      <c r="G459">
        <v>4</v>
      </c>
      <c r="H459" t="s">
        <v>438</v>
      </c>
      <c r="I459" s="4">
        <f t="shared" si="51"/>
        <v>3</v>
      </c>
      <c r="J459">
        <f t="shared" si="52"/>
        <v>12</v>
      </c>
      <c r="K459">
        <v>18</v>
      </c>
      <c r="L459">
        <v>6</v>
      </c>
      <c r="M459" s="2">
        <v>3</v>
      </c>
      <c r="N459" s="2">
        <v>2.97</v>
      </c>
      <c r="O459">
        <v>0</v>
      </c>
      <c r="P459">
        <v>9</v>
      </c>
      <c r="Q459" t="s">
        <v>570</v>
      </c>
      <c r="R459" t="s">
        <v>260</v>
      </c>
      <c r="S459" t="str">
        <f t="shared" si="50"/>
        <v>PA</v>
      </c>
    </row>
    <row r="460" spans="1:19" x14ac:dyDescent="0.3">
      <c r="A460" t="s">
        <v>12</v>
      </c>
      <c r="B460">
        <v>2016110011</v>
      </c>
      <c r="C460" t="s">
        <v>50</v>
      </c>
      <c r="E460" t="s">
        <v>257</v>
      </c>
      <c r="F460" t="s">
        <v>258</v>
      </c>
      <c r="G460">
        <v>4</v>
      </c>
      <c r="H460" t="s">
        <v>438</v>
      </c>
      <c r="I460" s="4">
        <f t="shared" si="51"/>
        <v>3</v>
      </c>
      <c r="J460">
        <f t="shared" si="52"/>
        <v>12</v>
      </c>
      <c r="K460">
        <v>66</v>
      </c>
      <c r="L460">
        <v>22</v>
      </c>
      <c r="M460" s="2">
        <v>3</v>
      </c>
      <c r="N460" s="2">
        <v>2.97</v>
      </c>
      <c r="O460">
        <v>0</v>
      </c>
      <c r="P460">
        <v>6</v>
      </c>
      <c r="Q460" t="s">
        <v>567</v>
      </c>
      <c r="R460" t="s">
        <v>260</v>
      </c>
      <c r="S460" t="str">
        <f t="shared" si="50"/>
        <v>PA</v>
      </c>
    </row>
    <row r="461" spans="1:19" x14ac:dyDescent="0.3">
      <c r="A461" t="s">
        <v>12</v>
      </c>
      <c r="B461">
        <v>2016110011</v>
      </c>
      <c r="C461" t="s">
        <v>50</v>
      </c>
      <c r="E461" t="s">
        <v>248</v>
      </c>
      <c r="F461" t="s">
        <v>249</v>
      </c>
      <c r="G461">
        <v>2</v>
      </c>
      <c r="H461" t="s">
        <v>438</v>
      </c>
      <c r="I461" s="4">
        <f t="shared" si="51"/>
        <v>3</v>
      </c>
      <c r="J461">
        <f t="shared" si="52"/>
        <v>6</v>
      </c>
      <c r="K461">
        <v>42</v>
      </c>
      <c r="L461">
        <v>18</v>
      </c>
      <c r="M461" s="2">
        <v>2.33</v>
      </c>
      <c r="N461" s="2">
        <v>2.97</v>
      </c>
      <c r="O461">
        <v>0</v>
      </c>
      <c r="P461">
        <v>4</v>
      </c>
      <c r="Q461" t="s">
        <v>565</v>
      </c>
      <c r="R461" t="s">
        <v>260</v>
      </c>
      <c r="S461" t="str">
        <f t="shared" si="50"/>
        <v>PA</v>
      </c>
    </row>
    <row r="462" spans="1:19" x14ac:dyDescent="0.3">
      <c r="A462" t="s">
        <v>12</v>
      </c>
      <c r="B462">
        <v>2016110011</v>
      </c>
      <c r="C462" t="s">
        <v>50</v>
      </c>
      <c r="E462" t="s">
        <v>437</v>
      </c>
      <c r="F462" t="s">
        <v>169</v>
      </c>
      <c r="G462">
        <v>4</v>
      </c>
      <c r="H462" t="s">
        <v>438</v>
      </c>
      <c r="I462" s="4">
        <f t="shared" si="51"/>
        <v>3</v>
      </c>
      <c r="J462">
        <f t="shared" si="52"/>
        <v>12</v>
      </c>
      <c r="K462">
        <v>62</v>
      </c>
      <c r="L462">
        <v>20</v>
      </c>
      <c r="M462" s="2">
        <v>3.1</v>
      </c>
      <c r="N462" s="2">
        <v>2.97</v>
      </c>
      <c r="O462">
        <v>0</v>
      </c>
      <c r="P462">
        <v>1</v>
      </c>
      <c r="Q462" t="s">
        <v>558</v>
      </c>
      <c r="R462" t="s">
        <v>260</v>
      </c>
      <c r="S462" t="str">
        <f t="shared" si="50"/>
        <v>PA</v>
      </c>
    </row>
    <row r="463" spans="1:19" x14ac:dyDescent="0.3">
      <c r="A463" t="s">
        <v>12</v>
      </c>
      <c r="B463">
        <v>2016110011</v>
      </c>
      <c r="C463" t="s">
        <v>50</v>
      </c>
      <c r="E463" t="s">
        <v>330</v>
      </c>
      <c r="F463" t="s">
        <v>108</v>
      </c>
      <c r="G463">
        <v>2</v>
      </c>
      <c r="H463" t="s">
        <v>438</v>
      </c>
      <c r="I463" s="4">
        <f t="shared" si="51"/>
        <v>3</v>
      </c>
      <c r="J463">
        <f t="shared" si="52"/>
        <v>6</v>
      </c>
      <c r="K463">
        <v>52</v>
      </c>
      <c r="L463">
        <v>20</v>
      </c>
      <c r="M463" s="2">
        <v>2.6</v>
      </c>
      <c r="N463" s="2">
        <v>2.97</v>
      </c>
      <c r="O463">
        <v>0</v>
      </c>
      <c r="P463">
        <v>7</v>
      </c>
      <c r="Q463" t="s">
        <v>568</v>
      </c>
      <c r="R463" t="s">
        <v>260</v>
      </c>
      <c r="S463" t="str">
        <f t="shared" si="50"/>
        <v>PA</v>
      </c>
    </row>
    <row r="464" spans="1:19" x14ac:dyDescent="0.3">
      <c r="A464" t="s">
        <v>12</v>
      </c>
      <c r="B464">
        <v>2016110011</v>
      </c>
      <c r="C464" t="s">
        <v>50</v>
      </c>
      <c r="E464" t="s">
        <v>97</v>
      </c>
      <c r="F464" t="s">
        <v>416</v>
      </c>
      <c r="G464">
        <v>4</v>
      </c>
      <c r="H464" t="s">
        <v>438</v>
      </c>
      <c r="I464" s="4">
        <f t="shared" si="51"/>
        <v>3</v>
      </c>
      <c r="J464">
        <f t="shared" si="52"/>
        <v>12</v>
      </c>
      <c r="K464">
        <v>42</v>
      </c>
      <c r="L464">
        <v>18</v>
      </c>
      <c r="M464" s="2">
        <v>2.33</v>
      </c>
      <c r="N464" s="2">
        <v>2.97</v>
      </c>
      <c r="O464">
        <v>0</v>
      </c>
      <c r="P464">
        <v>4</v>
      </c>
      <c r="Q464" t="s">
        <v>565</v>
      </c>
      <c r="R464" t="s">
        <v>260</v>
      </c>
      <c r="S464" t="str">
        <f t="shared" si="50"/>
        <v>PA</v>
      </c>
    </row>
    <row r="465" spans="1:19" x14ac:dyDescent="0.3">
      <c r="A465" t="s">
        <v>12</v>
      </c>
      <c r="B465">
        <v>2016110011</v>
      </c>
      <c r="C465" t="s">
        <v>50</v>
      </c>
      <c r="E465" t="s">
        <v>283</v>
      </c>
      <c r="F465" t="s">
        <v>284</v>
      </c>
      <c r="G465">
        <v>2</v>
      </c>
      <c r="H465" t="s">
        <v>438</v>
      </c>
      <c r="I465" s="4">
        <f t="shared" si="51"/>
        <v>3</v>
      </c>
      <c r="J465">
        <f t="shared" si="52"/>
        <v>6</v>
      </c>
      <c r="K465">
        <v>52</v>
      </c>
      <c r="L465">
        <v>20</v>
      </c>
      <c r="M465" s="2">
        <v>2.6</v>
      </c>
      <c r="N465" s="2">
        <v>2.97</v>
      </c>
      <c r="O465">
        <v>0</v>
      </c>
      <c r="P465">
        <v>7</v>
      </c>
      <c r="Q465" t="s">
        <v>568</v>
      </c>
      <c r="R465" t="s">
        <v>260</v>
      </c>
      <c r="S465" t="str">
        <f t="shared" si="50"/>
        <v>PA</v>
      </c>
    </row>
    <row r="466" spans="1:19" x14ac:dyDescent="0.3">
      <c r="A466" t="s">
        <v>12</v>
      </c>
      <c r="B466">
        <v>2016110011</v>
      </c>
      <c r="C466" t="s">
        <v>50</v>
      </c>
      <c r="E466" t="s">
        <v>241</v>
      </c>
      <c r="F466" t="s">
        <v>45</v>
      </c>
      <c r="G466">
        <v>2</v>
      </c>
      <c r="H466" t="s">
        <v>438</v>
      </c>
      <c r="I466" s="4">
        <f t="shared" si="51"/>
        <v>3</v>
      </c>
      <c r="J466">
        <f t="shared" si="52"/>
        <v>6</v>
      </c>
      <c r="K466">
        <v>52</v>
      </c>
      <c r="L466">
        <v>20</v>
      </c>
      <c r="M466" s="2">
        <v>2.6</v>
      </c>
      <c r="N466" s="2">
        <v>2.97</v>
      </c>
      <c r="O466">
        <v>0</v>
      </c>
      <c r="P466">
        <v>7</v>
      </c>
      <c r="Q466" t="s">
        <v>568</v>
      </c>
      <c r="R466" t="s">
        <v>260</v>
      </c>
      <c r="S466" t="str">
        <f t="shared" si="50"/>
        <v>PA</v>
      </c>
    </row>
    <row r="467" spans="1:19" x14ac:dyDescent="0.3">
      <c r="A467" t="s">
        <v>12</v>
      </c>
      <c r="B467">
        <v>2016110011</v>
      </c>
      <c r="C467" t="s">
        <v>50</v>
      </c>
      <c r="E467" t="s">
        <v>236</v>
      </c>
      <c r="F467" t="s">
        <v>237</v>
      </c>
      <c r="G467">
        <v>2</v>
      </c>
      <c r="H467" t="s">
        <v>438</v>
      </c>
      <c r="I467" s="4">
        <f t="shared" si="51"/>
        <v>3</v>
      </c>
      <c r="J467">
        <f t="shared" si="52"/>
        <v>6</v>
      </c>
      <c r="K467">
        <v>46</v>
      </c>
      <c r="L467">
        <v>14</v>
      </c>
      <c r="M467" s="2">
        <v>3.29</v>
      </c>
      <c r="N467" s="2">
        <v>2.97</v>
      </c>
      <c r="O467">
        <v>0</v>
      </c>
      <c r="P467">
        <v>5</v>
      </c>
      <c r="Q467" t="s">
        <v>566</v>
      </c>
      <c r="R467" t="s">
        <v>260</v>
      </c>
      <c r="S467" t="str">
        <f t="shared" si="50"/>
        <v>PA</v>
      </c>
    </row>
    <row r="468" spans="1:19" x14ac:dyDescent="0.3">
      <c r="A468" t="s">
        <v>12</v>
      </c>
      <c r="B468">
        <v>2016110011</v>
      </c>
      <c r="C468" t="s">
        <v>50</v>
      </c>
      <c r="E468" t="s">
        <v>279</v>
      </c>
      <c r="F468" t="s">
        <v>280</v>
      </c>
      <c r="G468">
        <v>2</v>
      </c>
      <c r="H468" t="s">
        <v>438</v>
      </c>
      <c r="I468" s="4">
        <f t="shared" si="51"/>
        <v>3</v>
      </c>
      <c r="J468">
        <f t="shared" si="52"/>
        <v>6</v>
      </c>
      <c r="K468">
        <v>38</v>
      </c>
      <c r="L468">
        <v>14</v>
      </c>
      <c r="M468" s="2">
        <v>2.71</v>
      </c>
      <c r="N468" s="2">
        <v>2.97</v>
      </c>
      <c r="O468">
        <v>0</v>
      </c>
      <c r="P468">
        <v>2</v>
      </c>
      <c r="Q468" t="s">
        <v>559</v>
      </c>
      <c r="R468" t="s">
        <v>260</v>
      </c>
      <c r="S468" t="str">
        <f t="shared" si="50"/>
        <v>PA</v>
      </c>
    </row>
    <row r="469" spans="1:19" x14ac:dyDescent="0.3">
      <c r="A469" t="s">
        <v>12</v>
      </c>
      <c r="B469">
        <v>2016110011</v>
      </c>
      <c r="C469" t="s">
        <v>50</v>
      </c>
      <c r="E469" t="s">
        <v>234</v>
      </c>
      <c r="F469" t="s">
        <v>235</v>
      </c>
      <c r="G469">
        <v>4</v>
      </c>
      <c r="H469" t="s">
        <v>438</v>
      </c>
      <c r="I469" s="4">
        <f t="shared" si="51"/>
        <v>3</v>
      </c>
      <c r="J469">
        <f t="shared" si="52"/>
        <v>12</v>
      </c>
      <c r="K469">
        <v>48</v>
      </c>
      <c r="L469">
        <v>16</v>
      </c>
      <c r="M469" s="2">
        <v>3</v>
      </c>
      <c r="N469" s="2">
        <v>2.97</v>
      </c>
      <c r="O469">
        <v>0</v>
      </c>
      <c r="P469">
        <v>3</v>
      </c>
      <c r="Q469" t="s">
        <v>563</v>
      </c>
      <c r="R469" t="s">
        <v>260</v>
      </c>
      <c r="S469" t="str">
        <f t="shared" si="50"/>
        <v>PA</v>
      </c>
    </row>
    <row r="470" spans="1:19" x14ac:dyDescent="0.3">
      <c r="A470" t="s">
        <v>12</v>
      </c>
      <c r="B470">
        <v>2016110011</v>
      </c>
      <c r="C470" t="s">
        <v>50</v>
      </c>
      <c r="E470" t="s">
        <v>432</v>
      </c>
      <c r="F470" t="s">
        <v>433</v>
      </c>
      <c r="G470">
        <v>4</v>
      </c>
      <c r="H470" t="s">
        <v>438</v>
      </c>
      <c r="I470" s="4">
        <f t="shared" si="51"/>
        <v>3</v>
      </c>
      <c r="J470">
        <f t="shared" si="52"/>
        <v>12</v>
      </c>
      <c r="K470">
        <v>30</v>
      </c>
      <c r="L470">
        <v>10</v>
      </c>
      <c r="M470" s="2">
        <v>3</v>
      </c>
      <c r="N470" s="2">
        <v>2.97</v>
      </c>
      <c r="O470">
        <v>0</v>
      </c>
      <c r="P470">
        <v>8</v>
      </c>
      <c r="Q470" t="s">
        <v>569</v>
      </c>
      <c r="R470" t="s">
        <v>260</v>
      </c>
      <c r="S470" t="str">
        <f t="shared" si="50"/>
        <v>PA</v>
      </c>
    </row>
    <row r="471" spans="1:19" x14ac:dyDescent="0.3">
      <c r="A471" t="s">
        <v>12</v>
      </c>
      <c r="B471">
        <v>2016110011</v>
      </c>
      <c r="C471" t="s">
        <v>50</v>
      </c>
      <c r="E471" t="s">
        <v>372</v>
      </c>
      <c r="F471" t="s">
        <v>373</v>
      </c>
      <c r="G471">
        <v>2</v>
      </c>
      <c r="H471" t="s">
        <v>438</v>
      </c>
      <c r="I471" s="4">
        <f t="shared" si="51"/>
        <v>3</v>
      </c>
      <c r="J471">
        <f t="shared" si="52"/>
        <v>6</v>
      </c>
      <c r="K471">
        <v>66</v>
      </c>
      <c r="L471">
        <v>22</v>
      </c>
      <c r="M471" s="2">
        <v>3</v>
      </c>
      <c r="N471" s="2">
        <v>2.97</v>
      </c>
      <c r="O471">
        <v>0</v>
      </c>
      <c r="P471">
        <v>6</v>
      </c>
      <c r="Q471" t="s">
        <v>567</v>
      </c>
      <c r="R471" t="s">
        <v>260</v>
      </c>
      <c r="S471" t="str">
        <f t="shared" si="50"/>
        <v>PA</v>
      </c>
    </row>
    <row r="472" spans="1:19" x14ac:dyDescent="0.3">
      <c r="A472" t="s">
        <v>12</v>
      </c>
      <c r="B472">
        <v>2016110011</v>
      </c>
      <c r="C472" t="s">
        <v>50</v>
      </c>
      <c r="E472" t="s">
        <v>173</v>
      </c>
      <c r="F472" t="s">
        <v>8</v>
      </c>
      <c r="G472">
        <v>2</v>
      </c>
      <c r="H472" t="s">
        <v>438</v>
      </c>
      <c r="I472" s="4">
        <f t="shared" si="51"/>
        <v>3</v>
      </c>
      <c r="J472">
        <f t="shared" si="52"/>
        <v>6</v>
      </c>
      <c r="K472">
        <v>48</v>
      </c>
      <c r="L472">
        <v>16</v>
      </c>
      <c r="M472" s="2">
        <v>3</v>
      </c>
      <c r="N472" s="2">
        <v>2.97</v>
      </c>
      <c r="O472">
        <v>0</v>
      </c>
      <c r="P472">
        <v>3</v>
      </c>
      <c r="Q472" t="s">
        <v>563</v>
      </c>
      <c r="R472" t="s">
        <v>260</v>
      </c>
      <c r="S472" t="str">
        <f t="shared" si="50"/>
        <v>PA</v>
      </c>
    </row>
    <row r="473" spans="1:19" x14ac:dyDescent="0.3">
      <c r="A473" t="s">
        <v>12</v>
      </c>
      <c r="B473">
        <v>2016110011</v>
      </c>
      <c r="C473" t="s">
        <v>50</v>
      </c>
      <c r="E473" t="s">
        <v>142</v>
      </c>
      <c r="F473" t="s">
        <v>143</v>
      </c>
      <c r="G473">
        <v>2</v>
      </c>
      <c r="H473" t="s">
        <v>438</v>
      </c>
      <c r="I473" s="4">
        <f t="shared" si="51"/>
        <v>3</v>
      </c>
      <c r="J473">
        <f t="shared" si="52"/>
        <v>6</v>
      </c>
      <c r="K473">
        <v>62</v>
      </c>
      <c r="L473">
        <v>20</v>
      </c>
      <c r="M473" s="2">
        <v>3.1</v>
      </c>
      <c r="N473" s="2">
        <v>2.97</v>
      </c>
      <c r="O473">
        <v>0</v>
      </c>
      <c r="P473">
        <v>1</v>
      </c>
      <c r="Q473" t="s">
        <v>558</v>
      </c>
      <c r="R473" t="s">
        <v>260</v>
      </c>
      <c r="S473" t="str">
        <f t="shared" si="50"/>
        <v>PA</v>
      </c>
    </row>
    <row r="474" spans="1:19" x14ac:dyDescent="0.3">
      <c r="A474" t="s">
        <v>12</v>
      </c>
      <c r="B474">
        <v>2016110011</v>
      </c>
      <c r="C474" t="s">
        <v>50</v>
      </c>
      <c r="E474" t="s">
        <v>297</v>
      </c>
      <c r="F474" t="s">
        <v>342</v>
      </c>
      <c r="G474">
        <v>4</v>
      </c>
      <c r="H474" t="s">
        <v>438</v>
      </c>
      <c r="I474" s="4">
        <f t="shared" si="51"/>
        <v>3</v>
      </c>
      <c r="J474">
        <f t="shared" si="52"/>
        <v>12</v>
      </c>
      <c r="K474">
        <v>66</v>
      </c>
      <c r="L474">
        <v>22</v>
      </c>
      <c r="M474" s="2">
        <v>3</v>
      </c>
      <c r="N474" s="2">
        <v>2.97</v>
      </c>
      <c r="O474">
        <v>0</v>
      </c>
      <c r="P474">
        <v>6</v>
      </c>
      <c r="Q474" t="s">
        <v>567</v>
      </c>
      <c r="R474" t="s">
        <v>260</v>
      </c>
      <c r="S474" t="str">
        <f t="shared" si="50"/>
        <v>PA</v>
      </c>
    </row>
    <row r="475" spans="1:19" x14ac:dyDescent="0.3">
      <c r="A475" t="s">
        <v>12</v>
      </c>
      <c r="B475">
        <v>2016110011</v>
      </c>
      <c r="C475" t="s">
        <v>50</v>
      </c>
      <c r="E475" t="s">
        <v>306</v>
      </c>
      <c r="F475" t="s">
        <v>307</v>
      </c>
      <c r="G475">
        <v>2</v>
      </c>
      <c r="H475" t="s">
        <v>438</v>
      </c>
      <c r="I475" s="4">
        <f t="shared" si="51"/>
        <v>3</v>
      </c>
      <c r="J475">
        <f t="shared" si="52"/>
        <v>6</v>
      </c>
      <c r="K475">
        <v>18</v>
      </c>
      <c r="L475">
        <v>6</v>
      </c>
      <c r="M475" s="2">
        <v>3</v>
      </c>
      <c r="N475" s="2">
        <v>2.97</v>
      </c>
      <c r="O475">
        <v>0</v>
      </c>
      <c r="P475">
        <v>9</v>
      </c>
      <c r="Q475" t="s">
        <v>570</v>
      </c>
      <c r="R475" t="s">
        <v>260</v>
      </c>
      <c r="S475" t="str">
        <f t="shared" si="50"/>
        <v>PA</v>
      </c>
    </row>
    <row r="476" spans="1:19" x14ac:dyDescent="0.3">
      <c r="A476" t="s">
        <v>12</v>
      </c>
      <c r="B476">
        <v>2016110011</v>
      </c>
      <c r="C476" t="s">
        <v>50</v>
      </c>
      <c r="E476" t="s">
        <v>165</v>
      </c>
      <c r="F476" t="s">
        <v>166</v>
      </c>
      <c r="G476">
        <v>2</v>
      </c>
      <c r="H476" t="s">
        <v>438</v>
      </c>
      <c r="I476" s="4">
        <f t="shared" si="51"/>
        <v>3</v>
      </c>
      <c r="J476">
        <f t="shared" si="52"/>
        <v>6</v>
      </c>
      <c r="K476">
        <v>62</v>
      </c>
      <c r="L476">
        <v>20</v>
      </c>
      <c r="M476" s="2">
        <v>3.1</v>
      </c>
      <c r="N476" s="2">
        <v>2.97</v>
      </c>
      <c r="O476">
        <v>0</v>
      </c>
      <c r="P476">
        <v>1</v>
      </c>
      <c r="Q476" t="s">
        <v>558</v>
      </c>
      <c r="R476" t="s">
        <v>260</v>
      </c>
      <c r="S476" t="str">
        <f t="shared" si="50"/>
        <v>PA</v>
      </c>
    </row>
    <row r="477" spans="1:19" x14ac:dyDescent="0.3">
      <c r="A477" t="s">
        <v>12</v>
      </c>
      <c r="B477">
        <v>2016110011</v>
      </c>
      <c r="C477" t="s">
        <v>50</v>
      </c>
      <c r="E477" t="s">
        <v>446</v>
      </c>
      <c r="F477" t="s">
        <v>447</v>
      </c>
      <c r="G477">
        <v>2</v>
      </c>
      <c r="H477" t="s">
        <v>438</v>
      </c>
      <c r="I477" s="4">
        <f t="shared" si="51"/>
        <v>3</v>
      </c>
      <c r="J477">
        <f t="shared" si="52"/>
        <v>6</v>
      </c>
      <c r="K477">
        <v>66</v>
      </c>
      <c r="L477">
        <v>22</v>
      </c>
      <c r="M477" s="2">
        <v>3</v>
      </c>
      <c r="N477" s="2">
        <v>2.97</v>
      </c>
      <c r="O477">
        <v>0</v>
      </c>
      <c r="P477">
        <v>6</v>
      </c>
      <c r="Q477" t="s">
        <v>567</v>
      </c>
      <c r="R477" t="s">
        <v>260</v>
      </c>
      <c r="S477" t="str">
        <f t="shared" si="50"/>
        <v>PA</v>
      </c>
    </row>
    <row r="478" spans="1:19" x14ac:dyDescent="0.3">
      <c r="A478" t="s">
        <v>12</v>
      </c>
      <c r="B478">
        <v>2016110011</v>
      </c>
      <c r="C478" t="s">
        <v>50</v>
      </c>
      <c r="E478" t="s">
        <v>244</v>
      </c>
      <c r="F478" t="s">
        <v>228</v>
      </c>
      <c r="G478">
        <v>2</v>
      </c>
      <c r="H478" t="s">
        <v>438</v>
      </c>
      <c r="I478" s="4">
        <f t="shared" si="51"/>
        <v>3</v>
      </c>
      <c r="J478">
        <f t="shared" si="52"/>
        <v>6</v>
      </c>
      <c r="K478">
        <v>42</v>
      </c>
      <c r="L478">
        <v>18</v>
      </c>
      <c r="M478" s="2">
        <v>2.33</v>
      </c>
      <c r="N478" s="2">
        <v>2.97</v>
      </c>
      <c r="O478">
        <v>0</v>
      </c>
      <c r="P478">
        <v>4</v>
      </c>
      <c r="Q478" t="s">
        <v>565</v>
      </c>
      <c r="R478" t="s">
        <v>260</v>
      </c>
      <c r="S478" t="str">
        <f t="shared" si="50"/>
        <v>PA</v>
      </c>
    </row>
    <row r="479" spans="1:19" x14ac:dyDescent="0.3">
      <c r="A479" t="s">
        <v>12</v>
      </c>
      <c r="B479">
        <v>2016110011</v>
      </c>
      <c r="C479" t="s">
        <v>50</v>
      </c>
      <c r="E479" t="s">
        <v>131</v>
      </c>
      <c r="F479" t="s">
        <v>132</v>
      </c>
      <c r="G479">
        <v>2</v>
      </c>
      <c r="H479" t="s">
        <v>438</v>
      </c>
      <c r="I479" s="4">
        <f t="shared" si="51"/>
        <v>3</v>
      </c>
      <c r="J479">
        <f t="shared" si="52"/>
        <v>6</v>
      </c>
      <c r="K479">
        <v>62</v>
      </c>
      <c r="L479">
        <v>20</v>
      </c>
      <c r="M479" s="2">
        <v>3.1</v>
      </c>
      <c r="N479" s="2">
        <v>2.97</v>
      </c>
      <c r="O479">
        <v>0</v>
      </c>
      <c r="P479">
        <v>1</v>
      </c>
      <c r="Q479" t="s">
        <v>558</v>
      </c>
      <c r="R479" t="s">
        <v>260</v>
      </c>
      <c r="S479" t="str">
        <f t="shared" si="50"/>
        <v>PA</v>
      </c>
    </row>
    <row r="480" spans="1:19" x14ac:dyDescent="0.3">
      <c r="A480" t="s">
        <v>12</v>
      </c>
      <c r="B480">
        <v>2016110011</v>
      </c>
      <c r="C480" t="s">
        <v>50</v>
      </c>
      <c r="E480" t="s">
        <v>302</v>
      </c>
      <c r="F480" t="s">
        <v>303</v>
      </c>
      <c r="G480">
        <v>2</v>
      </c>
      <c r="H480" t="s">
        <v>438</v>
      </c>
      <c r="I480" s="4">
        <f t="shared" si="51"/>
        <v>3</v>
      </c>
      <c r="J480">
        <f t="shared" si="52"/>
        <v>6</v>
      </c>
      <c r="K480">
        <v>66</v>
      </c>
      <c r="L480">
        <v>22</v>
      </c>
      <c r="M480" s="2">
        <v>3</v>
      </c>
      <c r="N480" s="2">
        <v>2.97</v>
      </c>
      <c r="O480">
        <v>0</v>
      </c>
      <c r="P480">
        <v>6</v>
      </c>
      <c r="Q480" t="s">
        <v>567</v>
      </c>
      <c r="R480" t="s">
        <v>260</v>
      </c>
      <c r="S480" t="str">
        <f t="shared" si="50"/>
        <v>PA</v>
      </c>
    </row>
    <row r="481" spans="1:19" x14ac:dyDescent="0.3">
      <c r="A481" t="s">
        <v>12</v>
      </c>
      <c r="B481">
        <v>2016110011</v>
      </c>
      <c r="C481" t="s">
        <v>50</v>
      </c>
      <c r="E481" t="s">
        <v>100</v>
      </c>
      <c r="F481" t="s">
        <v>101</v>
      </c>
      <c r="G481">
        <v>4</v>
      </c>
      <c r="H481" t="s">
        <v>524</v>
      </c>
      <c r="I481" s="4">
        <f t="shared" si="51"/>
        <v>2</v>
      </c>
      <c r="J481">
        <f t="shared" si="52"/>
        <v>8</v>
      </c>
      <c r="K481">
        <v>38</v>
      </c>
      <c r="L481">
        <v>14</v>
      </c>
      <c r="M481" s="2">
        <v>2.71</v>
      </c>
      <c r="N481" s="2">
        <v>2.97</v>
      </c>
      <c r="O481">
        <v>0</v>
      </c>
      <c r="P481">
        <v>2</v>
      </c>
      <c r="Q481" t="s">
        <v>559</v>
      </c>
      <c r="R481" t="s">
        <v>260</v>
      </c>
      <c r="S481" t="str">
        <f t="shared" si="50"/>
        <v>PA</v>
      </c>
    </row>
    <row r="482" spans="1:19" x14ac:dyDescent="0.3">
      <c r="A482" t="s">
        <v>12</v>
      </c>
      <c r="B482">
        <v>2016110011</v>
      </c>
      <c r="C482" t="s">
        <v>50</v>
      </c>
      <c r="E482" t="s">
        <v>100</v>
      </c>
      <c r="F482" t="s">
        <v>101</v>
      </c>
      <c r="G482">
        <v>4</v>
      </c>
      <c r="H482" t="s">
        <v>438</v>
      </c>
      <c r="I482" s="4">
        <f t="shared" si="51"/>
        <v>3</v>
      </c>
      <c r="J482">
        <f t="shared" si="52"/>
        <v>12</v>
      </c>
      <c r="K482">
        <v>28</v>
      </c>
      <c r="L482">
        <v>8</v>
      </c>
      <c r="M482" s="2">
        <v>3.5</v>
      </c>
      <c r="N482" s="2">
        <v>2.97</v>
      </c>
      <c r="O482">
        <v>1</v>
      </c>
      <c r="P482">
        <v>8</v>
      </c>
      <c r="Q482" t="s">
        <v>571</v>
      </c>
      <c r="R482" t="s">
        <v>260</v>
      </c>
      <c r="S482" t="str">
        <f t="shared" si="50"/>
        <v>PA</v>
      </c>
    </row>
    <row r="483" spans="1:19" x14ac:dyDescent="0.3">
      <c r="A483" t="s">
        <v>12</v>
      </c>
      <c r="B483">
        <v>2016110011</v>
      </c>
      <c r="C483" t="s">
        <v>50</v>
      </c>
      <c r="E483" t="s">
        <v>205</v>
      </c>
      <c r="F483" t="s">
        <v>116</v>
      </c>
      <c r="G483">
        <v>4</v>
      </c>
      <c r="H483" t="s">
        <v>524</v>
      </c>
      <c r="I483" s="4">
        <f t="shared" si="51"/>
        <v>2</v>
      </c>
      <c r="J483">
        <f t="shared" si="52"/>
        <v>8</v>
      </c>
      <c r="K483">
        <v>52</v>
      </c>
      <c r="L483">
        <v>20</v>
      </c>
      <c r="M483" s="2">
        <v>2.6</v>
      </c>
      <c r="N483" s="2">
        <v>2.97</v>
      </c>
      <c r="O483">
        <v>0</v>
      </c>
      <c r="P483">
        <v>7</v>
      </c>
      <c r="Q483" t="s">
        <v>568</v>
      </c>
      <c r="R483" t="s">
        <v>260</v>
      </c>
      <c r="S483" t="str">
        <f t="shared" si="50"/>
        <v>PA</v>
      </c>
    </row>
    <row r="484" spans="1:19" x14ac:dyDescent="0.3">
      <c r="A484" t="s">
        <v>12</v>
      </c>
      <c r="B484">
        <v>2016110011</v>
      </c>
      <c r="C484" t="s">
        <v>50</v>
      </c>
      <c r="E484" t="s">
        <v>264</v>
      </c>
      <c r="F484" t="s">
        <v>265</v>
      </c>
      <c r="G484">
        <v>2</v>
      </c>
      <c r="H484" t="s">
        <v>535</v>
      </c>
      <c r="I484" s="4">
        <f t="shared" si="51"/>
        <v>1</v>
      </c>
      <c r="J484">
        <f t="shared" si="52"/>
        <v>2</v>
      </c>
      <c r="K484">
        <v>52</v>
      </c>
      <c r="L484">
        <v>20</v>
      </c>
      <c r="M484" s="2">
        <v>2.6</v>
      </c>
      <c r="N484" s="2">
        <v>2.97</v>
      </c>
      <c r="O484">
        <v>0</v>
      </c>
      <c r="P484">
        <v>7</v>
      </c>
      <c r="Q484" t="s">
        <v>568</v>
      </c>
      <c r="R484" t="s">
        <v>260</v>
      </c>
      <c r="S484" t="str">
        <f t="shared" si="50"/>
        <v>FA</v>
      </c>
    </row>
    <row r="485" spans="1:19" x14ac:dyDescent="0.3">
      <c r="A485" t="s">
        <v>12</v>
      </c>
      <c r="B485">
        <v>2016110011</v>
      </c>
      <c r="C485" t="s">
        <v>50</v>
      </c>
      <c r="E485" t="s">
        <v>309</v>
      </c>
      <c r="F485" t="s">
        <v>310</v>
      </c>
      <c r="G485">
        <v>4</v>
      </c>
      <c r="H485" t="s">
        <v>539</v>
      </c>
      <c r="I485" s="4">
        <f t="shared" si="51"/>
        <v>0</v>
      </c>
      <c r="J485">
        <f t="shared" si="52"/>
        <v>0</v>
      </c>
      <c r="K485">
        <v>42</v>
      </c>
      <c r="L485">
        <v>18</v>
      </c>
      <c r="M485" s="2">
        <v>2.33</v>
      </c>
      <c r="N485" s="2">
        <v>2.97</v>
      </c>
      <c r="O485">
        <v>0</v>
      </c>
      <c r="P485">
        <v>4</v>
      </c>
      <c r="Q485" t="s">
        <v>565</v>
      </c>
      <c r="R485" t="s">
        <v>260</v>
      </c>
      <c r="S485" t="str">
        <f t="shared" si="50"/>
        <v>FA</v>
      </c>
    </row>
    <row r="486" spans="1:19" x14ac:dyDescent="0.3">
      <c r="A486" t="s">
        <v>12</v>
      </c>
      <c r="B486">
        <v>2016110011</v>
      </c>
      <c r="C486" t="s">
        <v>50</v>
      </c>
      <c r="E486" t="s">
        <v>309</v>
      </c>
      <c r="F486" t="s">
        <v>310</v>
      </c>
      <c r="G486">
        <v>4</v>
      </c>
      <c r="H486" t="s">
        <v>260</v>
      </c>
      <c r="I486" s="4">
        <f t="shared" si="51"/>
        <v>4</v>
      </c>
      <c r="J486">
        <f t="shared" si="52"/>
        <v>16</v>
      </c>
      <c r="K486">
        <v>28</v>
      </c>
      <c r="L486">
        <v>8</v>
      </c>
      <c r="M486" s="2">
        <v>3.5</v>
      </c>
      <c r="N486" s="2">
        <v>2.97</v>
      </c>
      <c r="O486">
        <v>1</v>
      </c>
      <c r="P486">
        <v>8</v>
      </c>
      <c r="Q486" t="s">
        <v>571</v>
      </c>
      <c r="R486" t="s">
        <v>260</v>
      </c>
      <c r="S486" t="str">
        <f t="shared" si="50"/>
        <v>PA</v>
      </c>
    </row>
    <row r="487" spans="1:19" x14ac:dyDescent="0.3">
      <c r="A487" t="s">
        <v>12</v>
      </c>
      <c r="B487">
        <v>2016110011</v>
      </c>
      <c r="C487" t="s">
        <v>50</v>
      </c>
      <c r="E487" t="s">
        <v>139</v>
      </c>
      <c r="F487" t="s">
        <v>140</v>
      </c>
      <c r="G487">
        <v>2</v>
      </c>
      <c r="J487">
        <v>0</v>
      </c>
      <c r="K487">
        <v>38</v>
      </c>
      <c r="L487">
        <v>14</v>
      </c>
      <c r="M487" s="2">
        <v>2.71</v>
      </c>
      <c r="N487" s="2">
        <v>2.97</v>
      </c>
      <c r="O487">
        <v>0</v>
      </c>
      <c r="P487">
        <v>2</v>
      </c>
      <c r="Q487" t="s">
        <v>559</v>
      </c>
      <c r="R487" t="s">
        <v>260</v>
      </c>
      <c r="S487" t="s">
        <v>595</v>
      </c>
    </row>
    <row r="488" spans="1:19" x14ac:dyDescent="0.3">
      <c r="A488" t="s">
        <v>12</v>
      </c>
      <c r="B488">
        <v>2016110011</v>
      </c>
      <c r="C488" t="s">
        <v>50</v>
      </c>
      <c r="E488" t="s">
        <v>139</v>
      </c>
      <c r="F488" t="s">
        <v>140</v>
      </c>
      <c r="G488">
        <v>2</v>
      </c>
      <c r="H488" t="s">
        <v>438</v>
      </c>
      <c r="I488" s="4">
        <f>IF(H488="A",4,IF(H488="B",3,IF(H488="C",2,IF(H488="D",1,0))))</f>
        <v>3</v>
      </c>
      <c r="J488">
        <f t="shared" ref="J488:J495" si="53">G488*I488</f>
        <v>6</v>
      </c>
      <c r="K488">
        <v>66</v>
      </c>
      <c r="L488">
        <v>22</v>
      </c>
      <c r="M488" s="2">
        <v>3</v>
      </c>
      <c r="N488" s="2">
        <v>2.97</v>
      </c>
      <c r="O488">
        <v>1</v>
      </c>
      <c r="P488">
        <v>6</v>
      </c>
      <c r="Q488" t="s">
        <v>567</v>
      </c>
      <c r="R488" t="s">
        <v>260</v>
      </c>
      <c r="S488" t="str">
        <f>IF(OR(H488="A",H488="B",H488="C"),"PA","FA")</f>
        <v>PA</v>
      </c>
    </row>
    <row r="489" spans="1:19" x14ac:dyDescent="0.3">
      <c r="A489" t="s">
        <v>12</v>
      </c>
      <c r="B489">
        <v>2016110012</v>
      </c>
      <c r="C489" t="s">
        <v>13</v>
      </c>
      <c r="E489" t="s">
        <v>14</v>
      </c>
      <c r="F489" t="s">
        <v>15</v>
      </c>
      <c r="G489">
        <v>2</v>
      </c>
      <c r="J489">
        <f t="shared" si="53"/>
        <v>0</v>
      </c>
      <c r="K489">
        <v>18</v>
      </c>
      <c r="L489">
        <v>6</v>
      </c>
      <c r="M489" s="2">
        <v>3</v>
      </c>
      <c r="N489" s="2">
        <v>2.85</v>
      </c>
      <c r="O489">
        <v>0</v>
      </c>
      <c r="P489">
        <v>10</v>
      </c>
      <c r="Q489" t="s">
        <v>560</v>
      </c>
      <c r="R489" t="s">
        <v>260</v>
      </c>
      <c r="S489" t="s">
        <v>595</v>
      </c>
    </row>
    <row r="490" spans="1:19" x14ac:dyDescent="0.3">
      <c r="A490" t="s">
        <v>12</v>
      </c>
      <c r="B490">
        <v>2016110012</v>
      </c>
      <c r="C490" t="s">
        <v>13</v>
      </c>
      <c r="E490" t="s">
        <v>31</v>
      </c>
      <c r="F490" t="s">
        <v>20</v>
      </c>
      <c r="G490">
        <v>4</v>
      </c>
      <c r="J490">
        <f t="shared" si="53"/>
        <v>0</v>
      </c>
      <c r="K490">
        <v>18</v>
      </c>
      <c r="L490">
        <v>6</v>
      </c>
      <c r="M490" s="2">
        <v>3</v>
      </c>
      <c r="N490" s="2">
        <v>2.85</v>
      </c>
      <c r="O490">
        <v>0</v>
      </c>
      <c r="P490">
        <v>10</v>
      </c>
      <c r="Q490" t="s">
        <v>560</v>
      </c>
      <c r="R490" t="s">
        <v>260</v>
      </c>
      <c r="S490" t="s">
        <v>595</v>
      </c>
    </row>
    <row r="491" spans="1:19" x14ac:dyDescent="0.3">
      <c r="A491" t="s">
        <v>12</v>
      </c>
      <c r="B491">
        <v>2016110012</v>
      </c>
      <c r="C491" t="s">
        <v>13</v>
      </c>
      <c r="E491" t="s">
        <v>31</v>
      </c>
      <c r="F491" t="s">
        <v>20</v>
      </c>
      <c r="G491">
        <v>4</v>
      </c>
      <c r="J491">
        <f t="shared" si="53"/>
        <v>0</v>
      </c>
      <c r="K491">
        <v>0</v>
      </c>
      <c r="L491">
        <v>0</v>
      </c>
      <c r="M491" s="2" t="s">
        <v>574</v>
      </c>
      <c r="N491" s="2">
        <v>2.85</v>
      </c>
      <c r="O491">
        <v>2</v>
      </c>
      <c r="P491">
        <v>12</v>
      </c>
      <c r="Q491" t="s">
        <v>575</v>
      </c>
      <c r="R491" t="s">
        <v>260</v>
      </c>
      <c r="S491" t="s">
        <v>595</v>
      </c>
    </row>
    <row r="492" spans="1:19" x14ac:dyDescent="0.3">
      <c r="A492" t="s">
        <v>12</v>
      </c>
      <c r="B492">
        <v>2016110012</v>
      </c>
      <c r="C492" t="s">
        <v>13</v>
      </c>
      <c r="E492" t="s">
        <v>31</v>
      </c>
      <c r="F492" t="s">
        <v>20</v>
      </c>
      <c r="G492">
        <v>4</v>
      </c>
      <c r="H492" t="s">
        <v>524</v>
      </c>
      <c r="I492" s="4">
        <f>IF(H492="A",4,IF(H492="B",3,IF(H492="C",2,IF(H492="D",1,0))))</f>
        <v>2</v>
      </c>
      <c r="J492">
        <f t="shared" si="53"/>
        <v>8</v>
      </c>
      <c r="K492">
        <v>8</v>
      </c>
      <c r="L492">
        <v>4</v>
      </c>
      <c r="M492" s="2">
        <v>2</v>
      </c>
      <c r="N492" s="2">
        <v>2.85</v>
      </c>
      <c r="O492">
        <v>3</v>
      </c>
      <c r="P492">
        <v>13</v>
      </c>
      <c r="Q492" t="s">
        <v>576</v>
      </c>
      <c r="R492" t="s">
        <v>596</v>
      </c>
      <c r="S492" t="str">
        <f t="shared" ref="S492:S493" si="54">IF(OR(H492="A",H492="B",H492="C"),"PA","FA")</f>
        <v>PA</v>
      </c>
    </row>
    <row r="493" spans="1:19" x14ac:dyDescent="0.3">
      <c r="A493" t="s">
        <v>12</v>
      </c>
      <c r="B493">
        <v>2016110012</v>
      </c>
      <c r="C493" t="s">
        <v>13</v>
      </c>
      <c r="E493" t="s">
        <v>14</v>
      </c>
      <c r="F493" t="s">
        <v>15</v>
      </c>
      <c r="G493">
        <v>2</v>
      </c>
      <c r="H493" t="s">
        <v>438</v>
      </c>
      <c r="I493" s="4">
        <f>IF(H493="A",4,IF(H493="B",3,IF(H493="C",2,IF(H493="D",1,0))))</f>
        <v>3</v>
      </c>
      <c r="J493">
        <f t="shared" si="53"/>
        <v>6</v>
      </c>
      <c r="K493">
        <v>6</v>
      </c>
      <c r="L493">
        <v>2</v>
      </c>
      <c r="M493" s="2">
        <v>3</v>
      </c>
      <c r="N493" s="2">
        <v>2.85</v>
      </c>
      <c r="O493">
        <v>1</v>
      </c>
      <c r="P493">
        <v>11</v>
      </c>
      <c r="Q493" t="s">
        <v>573</v>
      </c>
      <c r="R493" t="s">
        <v>260</v>
      </c>
      <c r="S493" t="str">
        <f t="shared" si="54"/>
        <v>PA</v>
      </c>
    </row>
    <row r="494" spans="1:19" x14ac:dyDescent="0.3">
      <c r="A494" t="s">
        <v>12</v>
      </c>
      <c r="B494">
        <v>2016110012</v>
      </c>
      <c r="C494" t="s">
        <v>13</v>
      </c>
      <c r="E494" t="s">
        <v>31</v>
      </c>
      <c r="F494" t="s">
        <v>20</v>
      </c>
      <c r="G494">
        <v>4</v>
      </c>
      <c r="J494">
        <f t="shared" si="53"/>
        <v>0</v>
      </c>
      <c r="K494">
        <v>6</v>
      </c>
      <c r="L494">
        <v>2</v>
      </c>
      <c r="M494" s="2">
        <v>3</v>
      </c>
      <c r="N494" s="2">
        <v>2.85</v>
      </c>
      <c r="O494">
        <v>1</v>
      </c>
      <c r="P494">
        <v>11</v>
      </c>
      <c r="Q494" t="s">
        <v>573</v>
      </c>
      <c r="R494" t="s">
        <v>260</v>
      </c>
      <c r="S494" t="s">
        <v>595</v>
      </c>
    </row>
    <row r="495" spans="1:19" x14ac:dyDescent="0.3">
      <c r="A495" t="s">
        <v>12</v>
      </c>
      <c r="B495">
        <v>2016110012</v>
      </c>
      <c r="C495" t="s">
        <v>13</v>
      </c>
      <c r="E495" t="s">
        <v>77</v>
      </c>
      <c r="F495" t="s">
        <v>78</v>
      </c>
      <c r="G495">
        <v>2</v>
      </c>
      <c r="H495" t="s">
        <v>260</v>
      </c>
      <c r="I495" s="4">
        <f t="shared" ref="I495" si="55">IF(H495="A",4,IF(H495="B",3,IF(H495="C",2,IF(H495="D",1,0))))</f>
        <v>4</v>
      </c>
      <c r="J495">
        <f t="shared" si="53"/>
        <v>8</v>
      </c>
      <c r="K495">
        <v>46</v>
      </c>
      <c r="L495">
        <v>20</v>
      </c>
      <c r="M495" s="2">
        <v>2.2999999999999998</v>
      </c>
      <c r="N495" s="2">
        <v>2.85</v>
      </c>
      <c r="O495">
        <v>0</v>
      </c>
      <c r="P495">
        <v>1</v>
      </c>
      <c r="Q495" t="s">
        <v>558</v>
      </c>
      <c r="R495" t="s">
        <v>260</v>
      </c>
      <c r="S495" t="str">
        <f t="shared" ref="S495:S558" si="56">IF(OR(H495="A",H495="B",H495="C"),"PA","FA")</f>
        <v>PA</v>
      </c>
    </row>
    <row r="496" spans="1:19" x14ac:dyDescent="0.3">
      <c r="A496" t="s">
        <v>12</v>
      </c>
      <c r="B496">
        <v>2016110012</v>
      </c>
      <c r="C496" t="s">
        <v>13</v>
      </c>
      <c r="E496" t="s">
        <v>337</v>
      </c>
      <c r="F496" t="s">
        <v>338</v>
      </c>
      <c r="G496">
        <v>2</v>
      </c>
      <c r="H496" t="s">
        <v>260</v>
      </c>
      <c r="I496" s="4">
        <f t="shared" ref="I496:I558" si="57">IF(H496="A",4,IF(H496="B",3,IF(H496="C",2,IF(H496="D",1,0))))</f>
        <v>4</v>
      </c>
      <c r="J496">
        <f t="shared" ref="J496:J558" si="58">G496*I496</f>
        <v>8</v>
      </c>
      <c r="K496">
        <v>48</v>
      </c>
      <c r="L496">
        <v>18</v>
      </c>
      <c r="M496" s="2">
        <v>2.67</v>
      </c>
      <c r="N496" s="2">
        <v>2.85</v>
      </c>
      <c r="O496">
        <v>0</v>
      </c>
      <c r="P496">
        <v>5</v>
      </c>
      <c r="Q496" t="s">
        <v>566</v>
      </c>
      <c r="R496" t="s">
        <v>260</v>
      </c>
      <c r="S496" t="str">
        <f t="shared" si="56"/>
        <v>PA</v>
      </c>
    </row>
    <row r="497" spans="1:19" x14ac:dyDescent="0.3">
      <c r="A497" t="s">
        <v>12</v>
      </c>
      <c r="B497">
        <v>2016110012</v>
      </c>
      <c r="C497" t="s">
        <v>13</v>
      </c>
      <c r="E497" t="s">
        <v>306</v>
      </c>
      <c r="F497" t="s">
        <v>307</v>
      </c>
      <c r="G497">
        <v>2</v>
      </c>
      <c r="H497" t="s">
        <v>260</v>
      </c>
      <c r="I497" s="4">
        <f t="shared" si="57"/>
        <v>4</v>
      </c>
      <c r="J497">
        <f t="shared" si="58"/>
        <v>8</v>
      </c>
      <c r="K497">
        <v>48</v>
      </c>
      <c r="L497">
        <v>18</v>
      </c>
      <c r="M497" s="2">
        <v>2.67</v>
      </c>
      <c r="N497" s="2">
        <v>2.85</v>
      </c>
      <c r="O497">
        <v>0</v>
      </c>
      <c r="P497">
        <v>5</v>
      </c>
      <c r="Q497" t="s">
        <v>566</v>
      </c>
      <c r="R497" t="s">
        <v>260</v>
      </c>
      <c r="S497" t="str">
        <f t="shared" si="56"/>
        <v>PA</v>
      </c>
    </row>
    <row r="498" spans="1:19" x14ac:dyDescent="0.3">
      <c r="A498" t="s">
        <v>12</v>
      </c>
      <c r="B498">
        <v>2016110012</v>
      </c>
      <c r="C498" t="s">
        <v>13</v>
      </c>
      <c r="E498" t="s">
        <v>372</v>
      </c>
      <c r="F498" t="s">
        <v>373</v>
      </c>
      <c r="G498">
        <v>2</v>
      </c>
      <c r="H498" t="s">
        <v>438</v>
      </c>
      <c r="I498" s="4">
        <f t="shared" si="57"/>
        <v>3</v>
      </c>
      <c r="J498">
        <f t="shared" si="58"/>
        <v>6</v>
      </c>
      <c r="K498">
        <v>54</v>
      </c>
      <c r="L498">
        <v>22</v>
      </c>
      <c r="M498" s="2">
        <v>2.4500000000000002</v>
      </c>
      <c r="N498" s="2">
        <v>2.85</v>
      </c>
      <c r="O498">
        <v>0</v>
      </c>
      <c r="P498">
        <v>6</v>
      </c>
      <c r="Q498" t="s">
        <v>567</v>
      </c>
      <c r="R498" t="s">
        <v>260</v>
      </c>
      <c r="S498" t="str">
        <f t="shared" si="56"/>
        <v>PA</v>
      </c>
    </row>
    <row r="499" spans="1:19" x14ac:dyDescent="0.3">
      <c r="A499" t="s">
        <v>12</v>
      </c>
      <c r="B499">
        <v>2016110012</v>
      </c>
      <c r="C499" t="s">
        <v>13</v>
      </c>
      <c r="E499" t="s">
        <v>151</v>
      </c>
      <c r="F499" t="s">
        <v>152</v>
      </c>
      <c r="G499">
        <v>2</v>
      </c>
      <c r="H499" t="s">
        <v>438</v>
      </c>
      <c r="I499" s="4">
        <f t="shared" si="57"/>
        <v>3</v>
      </c>
      <c r="J499">
        <f t="shared" si="58"/>
        <v>6</v>
      </c>
      <c r="K499">
        <v>46</v>
      </c>
      <c r="L499">
        <v>20</v>
      </c>
      <c r="M499" s="2">
        <v>2.2999999999999998</v>
      </c>
      <c r="N499" s="2">
        <v>2.85</v>
      </c>
      <c r="O499">
        <v>0</v>
      </c>
      <c r="P499">
        <v>1</v>
      </c>
      <c r="Q499" t="s">
        <v>558</v>
      </c>
      <c r="R499" t="s">
        <v>260</v>
      </c>
      <c r="S499" t="str">
        <f t="shared" si="56"/>
        <v>PA</v>
      </c>
    </row>
    <row r="500" spans="1:19" x14ac:dyDescent="0.3">
      <c r="A500" t="s">
        <v>12</v>
      </c>
      <c r="B500">
        <v>2016110012</v>
      </c>
      <c r="C500" t="s">
        <v>13</v>
      </c>
      <c r="E500" t="s">
        <v>170</v>
      </c>
      <c r="F500" t="s">
        <v>171</v>
      </c>
      <c r="G500">
        <v>4</v>
      </c>
      <c r="H500" t="s">
        <v>438</v>
      </c>
      <c r="I500" s="4">
        <f t="shared" si="57"/>
        <v>3</v>
      </c>
      <c r="J500">
        <f t="shared" si="58"/>
        <v>12</v>
      </c>
      <c r="K500">
        <v>52</v>
      </c>
      <c r="L500">
        <v>18</v>
      </c>
      <c r="M500" s="2">
        <v>2.89</v>
      </c>
      <c r="N500" s="2">
        <v>2.85</v>
      </c>
      <c r="O500">
        <v>0</v>
      </c>
      <c r="P500">
        <v>3</v>
      </c>
      <c r="Q500" t="s">
        <v>563</v>
      </c>
      <c r="R500" t="s">
        <v>260</v>
      </c>
      <c r="S500" t="str">
        <f t="shared" si="56"/>
        <v>PA</v>
      </c>
    </row>
    <row r="501" spans="1:19" x14ac:dyDescent="0.3">
      <c r="A501" t="s">
        <v>12</v>
      </c>
      <c r="B501">
        <v>2016110012</v>
      </c>
      <c r="C501" t="s">
        <v>13</v>
      </c>
      <c r="E501" t="s">
        <v>262</v>
      </c>
      <c r="F501" t="s">
        <v>263</v>
      </c>
      <c r="G501">
        <v>2</v>
      </c>
      <c r="H501" t="s">
        <v>438</v>
      </c>
      <c r="I501" s="4">
        <f t="shared" si="57"/>
        <v>3</v>
      </c>
      <c r="J501">
        <f t="shared" si="58"/>
        <v>6</v>
      </c>
      <c r="K501">
        <v>54</v>
      </c>
      <c r="L501">
        <v>22</v>
      </c>
      <c r="M501" s="2">
        <v>2.4500000000000002</v>
      </c>
      <c r="N501" s="2">
        <v>2.85</v>
      </c>
      <c r="O501">
        <v>0</v>
      </c>
      <c r="P501">
        <v>6</v>
      </c>
      <c r="Q501" t="s">
        <v>567</v>
      </c>
      <c r="R501" t="s">
        <v>260</v>
      </c>
      <c r="S501" t="str">
        <f t="shared" si="56"/>
        <v>PA</v>
      </c>
    </row>
    <row r="502" spans="1:19" x14ac:dyDescent="0.3">
      <c r="A502" t="s">
        <v>12</v>
      </c>
      <c r="B502">
        <v>2016110012</v>
      </c>
      <c r="C502" t="s">
        <v>13</v>
      </c>
      <c r="E502" t="s">
        <v>244</v>
      </c>
      <c r="F502" t="s">
        <v>228</v>
      </c>
      <c r="G502">
        <v>2</v>
      </c>
      <c r="H502" t="s">
        <v>438</v>
      </c>
      <c r="I502" s="4">
        <f t="shared" si="57"/>
        <v>3</v>
      </c>
      <c r="J502">
        <f t="shared" si="58"/>
        <v>6</v>
      </c>
      <c r="K502">
        <v>38</v>
      </c>
      <c r="L502">
        <v>18</v>
      </c>
      <c r="M502" s="2">
        <v>2.11</v>
      </c>
      <c r="N502" s="2">
        <v>2.85</v>
      </c>
      <c r="O502">
        <v>0</v>
      </c>
      <c r="P502">
        <v>4</v>
      </c>
      <c r="Q502" t="s">
        <v>565</v>
      </c>
      <c r="R502" t="s">
        <v>260</v>
      </c>
      <c r="S502" t="str">
        <f t="shared" si="56"/>
        <v>PA</v>
      </c>
    </row>
    <row r="503" spans="1:19" x14ac:dyDescent="0.3">
      <c r="A503" t="s">
        <v>12</v>
      </c>
      <c r="B503">
        <v>2016110012</v>
      </c>
      <c r="C503" t="s">
        <v>13</v>
      </c>
      <c r="E503" t="s">
        <v>276</v>
      </c>
      <c r="F503" t="s">
        <v>137</v>
      </c>
      <c r="G503">
        <v>4</v>
      </c>
      <c r="H503" t="s">
        <v>438</v>
      </c>
      <c r="I503" s="4">
        <f t="shared" si="57"/>
        <v>3</v>
      </c>
      <c r="J503">
        <f t="shared" si="58"/>
        <v>12</v>
      </c>
      <c r="K503">
        <v>38</v>
      </c>
      <c r="L503">
        <v>18</v>
      </c>
      <c r="M503" s="2">
        <v>2.11</v>
      </c>
      <c r="N503" s="2">
        <v>2.85</v>
      </c>
      <c r="O503">
        <v>0</v>
      </c>
      <c r="P503">
        <v>4</v>
      </c>
      <c r="Q503" t="s">
        <v>565</v>
      </c>
      <c r="R503" t="s">
        <v>260</v>
      </c>
      <c r="S503" t="str">
        <f t="shared" si="56"/>
        <v>PA</v>
      </c>
    </row>
    <row r="504" spans="1:19" x14ac:dyDescent="0.3">
      <c r="A504" t="s">
        <v>12</v>
      </c>
      <c r="B504">
        <v>2016110012</v>
      </c>
      <c r="C504" t="s">
        <v>13</v>
      </c>
      <c r="E504" t="s">
        <v>290</v>
      </c>
      <c r="F504" t="s">
        <v>327</v>
      </c>
      <c r="G504">
        <v>4</v>
      </c>
      <c r="H504" t="s">
        <v>438</v>
      </c>
      <c r="I504" s="4">
        <f t="shared" si="57"/>
        <v>3</v>
      </c>
      <c r="J504">
        <f t="shared" si="58"/>
        <v>12</v>
      </c>
      <c r="K504">
        <v>46</v>
      </c>
      <c r="L504">
        <v>20</v>
      </c>
      <c r="M504" s="2">
        <v>2.2999999999999998</v>
      </c>
      <c r="N504" s="2">
        <v>2.85</v>
      </c>
      <c r="O504">
        <v>0</v>
      </c>
      <c r="P504">
        <v>2</v>
      </c>
      <c r="Q504" t="s">
        <v>559</v>
      </c>
      <c r="R504" t="s">
        <v>260</v>
      </c>
      <c r="S504" t="str">
        <f t="shared" si="56"/>
        <v>PA</v>
      </c>
    </row>
    <row r="505" spans="1:19" x14ac:dyDescent="0.3">
      <c r="A505" t="s">
        <v>12</v>
      </c>
      <c r="B505">
        <v>2016110012</v>
      </c>
      <c r="C505" t="s">
        <v>13</v>
      </c>
      <c r="E505" t="s">
        <v>344</v>
      </c>
      <c r="F505" t="s">
        <v>345</v>
      </c>
      <c r="G505">
        <v>2</v>
      </c>
      <c r="H505" t="s">
        <v>438</v>
      </c>
      <c r="I505" s="4">
        <f t="shared" si="57"/>
        <v>3</v>
      </c>
      <c r="J505">
        <f t="shared" si="58"/>
        <v>6</v>
      </c>
      <c r="K505">
        <v>44</v>
      </c>
      <c r="L505">
        <v>16</v>
      </c>
      <c r="M505" s="2">
        <v>2.75</v>
      </c>
      <c r="N505" s="2">
        <v>2.85</v>
      </c>
      <c r="O505">
        <v>0</v>
      </c>
      <c r="P505">
        <v>7</v>
      </c>
      <c r="Q505" t="s">
        <v>568</v>
      </c>
      <c r="R505" t="s">
        <v>260</v>
      </c>
      <c r="S505" t="str">
        <f t="shared" si="56"/>
        <v>PA</v>
      </c>
    </row>
    <row r="506" spans="1:19" x14ac:dyDescent="0.3">
      <c r="A506" t="s">
        <v>12</v>
      </c>
      <c r="B506">
        <v>2016110012</v>
      </c>
      <c r="C506" t="s">
        <v>13</v>
      </c>
      <c r="E506" t="s">
        <v>316</v>
      </c>
      <c r="F506" t="s">
        <v>317</v>
      </c>
      <c r="G506">
        <v>2</v>
      </c>
      <c r="H506" t="s">
        <v>438</v>
      </c>
      <c r="I506" s="4">
        <f t="shared" si="57"/>
        <v>3</v>
      </c>
      <c r="J506">
        <f t="shared" si="58"/>
        <v>6</v>
      </c>
      <c r="K506">
        <v>44</v>
      </c>
      <c r="L506">
        <v>16</v>
      </c>
      <c r="M506" s="2">
        <v>2.75</v>
      </c>
      <c r="N506" s="2">
        <v>2.85</v>
      </c>
      <c r="O506">
        <v>0</v>
      </c>
      <c r="P506">
        <v>7</v>
      </c>
      <c r="Q506" t="s">
        <v>568</v>
      </c>
      <c r="R506" t="s">
        <v>260</v>
      </c>
      <c r="S506" t="str">
        <f t="shared" si="56"/>
        <v>PA</v>
      </c>
    </row>
    <row r="507" spans="1:19" x14ac:dyDescent="0.3">
      <c r="A507" t="s">
        <v>12</v>
      </c>
      <c r="B507">
        <v>2016110012</v>
      </c>
      <c r="C507" t="s">
        <v>13</v>
      </c>
      <c r="E507" t="s">
        <v>241</v>
      </c>
      <c r="F507" t="s">
        <v>45</v>
      </c>
      <c r="G507">
        <v>2</v>
      </c>
      <c r="H507" t="s">
        <v>438</v>
      </c>
      <c r="I507" s="4">
        <f t="shared" si="57"/>
        <v>3</v>
      </c>
      <c r="J507">
        <f t="shared" si="58"/>
        <v>6</v>
      </c>
      <c r="K507">
        <v>52</v>
      </c>
      <c r="L507">
        <v>18</v>
      </c>
      <c r="M507" s="2">
        <v>2.89</v>
      </c>
      <c r="N507" s="2">
        <v>2.85</v>
      </c>
      <c r="O507">
        <v>0</v>
      </c>
      <c r="P507">
        <v>3</v>
      </c>
      <c r="Q507" t="s">
        <v>563</v>
      </c>
      <c r="R507" t="s">
        <v>260</v>
      </c>
      <c r="S507" t="str">
        <f t="shared" si="56"/>
        <v>PA</v>
      </c>
    </row>
    <row r="508" spans="1:19" x14ac:dyDescent="0.3">
      <c r="A508" t="s">
        <v>12</v>
      </c>
      <c r="B508">
        <v>2016110012</v>
      </c>
      <c r="C508" t="s">
        <v>13</v>
      </c>
      <c r="E508" t="s">
        <v>190</v>
      </c>
      <c r="F508" t="s">
        <v>191</v>
      </c>
      <c r="G508">
        <v>4</v>
      </c>
      <c r="H508" t="s">
        <v>438</v>
      </c>
      <c r="I508" s="4">
        <f t="shared" si="57"/>
        <v>3</v>
      </c>
      <c r="J508">
        <f t="shared" si="58"/>
        <v>12</v>
      </c>
      <c r="K508">
        <v>44</v>
      </c>
      <c r="L508">
        <v>16</v>
      </c>
      <c r="M508" s="2">
        <v>2.75</v>
      </c>
      <c r="N508" s="2">
        <v>2.85</v>
      </c>
      <c r="O508">
        <v>0</v>
      </c>
      <c r="P508">
        <v>7</v>
      </c>
      <c r="Q508" t="s">
        <v>568</v>
      </c>
      <c r="R508" t="s">
        <v>260</v>
      </c>
      <c r="S508" t="str">
        <f t="shared" si="56"/>
        <v>PA</v>
      </c>
    </row>
    <row r="509" spans="1:19" x14ac:dyDescent="0.3">
      <c r="A509" t="s">
        <v>12</v>
      </c>
      <c r="B509">
        <v>2016110012</v>
      </c>
      <c r="C509" t="s">
        <v>13</v>
      </c>
      <c r="E509" t="s">
        <v>205</v>
      </c>
      <c r="F509" t="s">
        <v>116</v>
      </c>
      <c r="G509">
        <v>4</v>
      </c>
      <c r="H509" t="s">
        <v>438</v>
      </c>
      <c r="I509" s="4">
        <f t="shared" si="57"/>
        <v>3</v>
      </c>
      <c r="J509">
        <f t="shared" si="58"/>
        <v>12</v>
      </c>
      <c r="K509">
        <v>52</v>
      </c>
      <c r="L509">
        <v>18</v>
      </c>
      <c r="M509" s="2">
        <v>2.89</v>
      </c>
      <c r="N509" s="2">
        <v>2.85</v>
      </c>
      <c r="O509">
        <v>0</v>
      </c>
      <c r="P509">
        <v>3</v>
      </c>
      <c r="Q509" t="s">
        <v>563</v>
      </c>
      <c r="R509" t="s">
        <v>260</v>
      </c>
      <c r="S509" t="str">
        <f t="shared" si="56"/>
        <v>PA</v>
      </c>
    </row>
    <row r="510" spans="1:19" x14ac:dyDescent="0.3">
      <c r="A510" t="s">
        <v>12</v>
      </c>
      <c r="B510">
        <v>2016110012</v>
      </c>
      <c r="C510" t="s">
        <v>13</v>
      </c>
      <c r="E510" t="s">
        <v>39</v>
      </c>
      <c r="F510" t="s">
        <v>11</v>
      </c>
      <c r="G510">
        <v>2</v>
      </c>
      <c r="H510" t="s">
        <v>438</v>
      </c>
      <c r="I510" s="4">
        <f t="shared" si="57"/>
        <v>3</v>
      </c>
      <c r="J510">
        <f t="shared" si="58"/>
        <v>6</v>
      </c>
      <c r="K510">
        <v>40</v>
      </c>
      <c r="L510">
        <v>16</v>
      </c>
      <c r="M510" s="2">
        <v>2.5</v>
      </c>
      <c r="N510" s="2">
        <v>2.85</v>
      </c>
      <c r="O510">
        <v>0</v>
      </c>
      <c r="P510">
        <v>8</v>
      </c>
      <c r="Q510" t="s">
        <v>569</v>
      </c>
      <c r="R510" t="s">
        <v>260</v>
      </c>
      <c r="S510" t="str">
        <f t="shared" si="56"/>
        <v>PA</v>
      </c>
    </row>
    <row r="511" spans="1:19" x14ac:dyDescent="0.3">
      <c r="A511" t="s">
        <v>12</v>
      </c>
      <c r="B511">
        <v>2016110012</v>
      </c>
      <c r="C511" t="s">
        <v>13</v>
      </c>
      <c r="E511" t="s">
        <v>427</v>
      </c>
      <c r="F511" t="s">
        <v>428</v>
      </c>
      <c r="G511">
        <v>2</v>
      </c>
      <c r="H511" t="s">
        <v>438</v>
      </c>
      <c r="I511" s="4">
        <f t="shared" si="57"/>
        <v>3</v>
      </c>
      <c r="J511">
        <f t="shared" si="58"/>
        <v>6</v>
      </c>
      <c r="K511">
        <v>54</v>
      </c>
      <c r="L511">
        <v>22</v>
      </c>
      <c r="M511" s="2">
        <v>2.4500000000000002</v>
      </c>
      <c r="N511" s="2">
        <v>2.85</v>
      </c>
      <c r="O511">
        <v>0</v>
      </c>
      <c r="P511">
        <v>6</v>
      </c>
      <c r="Q511" t="s">
        <v>567</v>
      </c>
      <c r="R511" t="s">
        <v>260</v>
      </c>
      <c r="S511" t="str">
        <f t="shared" si="56"/>
        <v>PA</v>
      </c>
    </row>
    <row r="512" spans="1:19" x14ac:dyDescent="0.3">
      <c r="A512" t="s">
        <v>12</v>
      </c>
      <c r="B512">
        <v>2016110012</v>
      </c>
      <c r="C512" t="s">
        <v>13</v>
      </c>
      <c r="E512" t="s">
        <v>192</v>
      </c>
      <c r="F512" t="s">
        <v>106</v>
      </c>
      <c r="G512">
        <v>2</v>
      </c>
      <c r="H512" t="s">
        <v>438</v>
      </c>
      <c r="I512" s="4">
        <f t="shared" si="57"/>
        <v>3</v>
      </c>
      <c r="J512">
        <f t="shared" si="58"/>
        <v>6</v>
      </c>
      <c r="K512">
        <v>52</v>
      </c>
      <c r="L512">
        <v>18</v>
      </c>
      <c r="M512" s="2">
        <v>2.89</v>
      </c>
      <c r="N512" s="2">
        <v>2.85</v>
      </c>
      <c r="O512">
        <v>0</v>
      </c>
      <c r="P512">
        <v>3</v>
      </c>
      <c r="Q512" t="s">
        <v>563</v>
      </c>
      <c r="R512" t="s">
        <v>260</v>
      </c>
      <c r="S512" t="str">
        <f t="shared" si="56"/>
        <v>PA</v>
      </c>
    </row>
    <row r="513" spans="1:19" x14ac:dyDescent="0.3">
      <c r="A513" t="s">
        <v>12</v>
      </c>
      <c r="B513">
        <v>2016110012</v>
      </c>
      <c r="C513" t="s">
        <v>13</v>
      </c>
      <c r="E513" t="s">
        <v>302</v>
      </c>
      <c r="F513" t="s">
        <v>303</v>
      </c>
      <c r="G513">
        <v>2</v>
      </c>
      <c r="H513" t="s">
        <v>438</v>
      </c>
      <c r="I513" s="4">
        <f t="shared" si="57"/>
        <v>3</v>
      </c>
      <c r="J513">
        <f t="shared" si="58"/>
        <v>6</v>
      </c>
      <c r="K513">
        <v>54</v>
      </c>
      <c r="L513">
        <v>22</v>
      </c>
      <c r="M513" s="2">
        <v>2.4500000000000002</v>
      </c>
      <c r="N513" s="2">
        <v>2.85</v>
      </c>
      <c r="O513">
        <v>0</v>
      </c>
      <c r="P513">
        <v>6</v>
      </c>
      <c r="Q513" t="s">
        <v>567</v>
      </c>
      <c r="R513" t="s">
        <v>260</v>
      </c>
      <c r="S513" t="str">
        <f t="shared" si="56"/>
        <v>PA</v>
      </c>
    </row>
    <row r="514" spans="1:19" x14ac:dyDescent="0.3">
      <c r="A514" t="s">
        <v>12</v>
      </c>
      <c r="B514">
        <v>2016110012</v>
      </c>
      <c r="C514" t="s">
        <v>13</v>
      </c>
      <c r="E514" t="s">
        <v>165</v>
      </c>
      <c r="F514" t="s">
        <v>166</v>
      </c>
      <c r="G514">
        <v>2</v>
      </c>
      <c r="H514" t="s">
        <v>438</v>
      </c>
      <c r="I514" s="4">
        <f t="shared" si="57"/>
        <v>3</v>
      </c>
      <c r="J514">
        <f t="shared" si="58"/>
        <v>6</v>
      </c>
      <c r="K514">
        <v>46</v>
      </c>
      <c r="L514">
        <v>20</v>
      </c>
      <c r="M514" s="2">
        <v>2.2999999999999998</v>
      </c>
      <c r="N514" s="2">
        <v>2.85</v>
      </c>
      <c r="O514">
        <v>0</v>
      </c>
      <c r="P514">
        <v>1</v>
      </c>
      <c r="Q514" t="s">
        <v>558</v>
      </c>
      <c r="R514" t="s">
        <v>260</v>
      </c>
      <c r="S514" t="str">
        <f t="shared" si="56"/>
        <v>PA</v>
      </c>
    </row>
    <row r="515" spans="1:19" x14ac:dyDescent="0.3">
      <c r="A515" t="s">
        <v>12</v>
      </c>
      <c r="B515">
        <v>2016110012</v>
      </c>
      <c r="C515" t="s">
        <v>13</v>
      </c>
      <c r="E515" t="s">
        <v>131</v>
      </c>
      <c r="F515" t="s">
        <v>132</v>
      </c>
      <c r="G515">
        <v>2</v>
      </c>
      <c r="H515" t="s">
        <v>438</v>
      </c>
      <c r="I515" s="4">
        <f t="shared" si="57"/>
        <v>3</v>
      </c>
      <c r="J515">
        <f t="shared" si="58"/>
        <v>6</v>
      </c>
      <c r="K515">
        <v>46</v>
      </c>
      <c r="L515">
        <v>20</v>
      </c>
      <c r="M515" s="2">
        <v>2.2999999999999998</v>
      </c>
      <c r="N515" s="2">
        <v>2.85</v>
      </c>
      <c r="O515">
        <v>0</v>
      </c>
      <c r="P515">
        <v>1</v>
      </c>
      <c r="Q515" t="s">
        <v>558</v>
      </c>
      <c r="R515" t="s">
        <v>260</v>
      </c>
      <c r="S515" t="str">
        <f t="shared" si="56"/>
        <v>PA</v>
      </c>
    </row>
    <row r="516" spans="1:19" x14ac:dyDescent="0.3">
      <c r="A516" t="s">
        <v>12</v>
      </c>
      <c r="B516">
        <v>2016110012</v>
      </c>
      <c r="C516" t="s">
        <v>13</v>
      </c>
      <c r="E516" t="s">
        <v>446</v>
      </c>
      <c r="F516" t="s">
        <v>447</v>
      </c>
      <c r="G516">
        <v>2</v>
      </c>
      <c r="H516" t="s">
        <v>438</v>
      </c>
      <c r="I516" s="4">
        <f t="shared" si="57"/>
        <v>3</v>
      </c>
      <c r="J516">
        <f t="shared" si="58"/>
        <v>6</v>
      </c>
      <c r="K516">
        <v>54</v>
      </c>
      <c r="L516">
        <v>22</v>
      </c>
      <c r="M516" s="2">
        <v>2.4500000000000002</v>
      </c>
      <c r="N516" s="2">
        <v>2.85</v>
      </c>
      <c r="O516">
        <v>0</v>
      </c>
      <c r="P516">
        <v>6</v>
      </c>
      <c r="Q516" t="s">
        <v>567</v>
      </c>
      <c r="R516" t="s">
        <v>260</v>
      </c>
      <c r="S516" t="str">
        <f t="shared" si="56"/>
        <v>PA</v>
      </c>
    </row>
    <row r="517" spans="1:19" x14ac:dyDescent="0.3">
      <c r="A517" t="s">
        <v>12</v>
      </c>
      <c r="B517">
        <v>2016110012</v>
      </c>
      <c r="C517" t="s">
        <v>13</v>
      </c>
      <c r="E517" t="s">
        <v>330</v>
      </c>
      <c r="F517" t="s">
        <v>108</v>
      </c>
      <c r="G517">
        <v>2</v>
      </c>
      <c r="H517" t="s">
        <v>438</v>
      </c>
      <c r="I517" s="4">
        <f t="shared" si="57"/>
        <v>3</v>
      </c>
      <c r="J517">
        <f t="shared" si="58"/>
        <v>6</v>
      </c>
      <c r="K517">
        <v>44</v>
      </c>
      <c r="L517">
        <v>16</v>
      </c>
      <c r="M517" s="2">
        <v>2.75</v>
      </c>
      <c r="N517" s="2">
        <v>2.85</v>
      </c>
      <c r="O517">
        <v>0</v>
      </c>
      <c r="P517">
        <v>7</v>
      </c>
      <c r="Q517" t="s">
        <v>568</v>
      </c>
      <c r="R517" t="s">
        <v>260</v>
      </c>
      <c r="S517" t="str">
        <f t="shared" si="56"/>
        <v>PA</v>
      </c>
    </row>
    <row r="518" spans="1:19" x14ac:dyDescent="0.3">
      <c r="A518" t="s">
        <v>12</v>
      </c>
      <c r="B518">
        <v>2016110012</v>
      </c>
      <c r="C518" t="s">
        <v>13</v>
      </c>
      <c r="E518" t="s">
        <v>208</v>
      </c>
      <c r="F518" t="s">
        <v>209</v>
      </c>
      <c r="G518">
        <v>2</v>
      </c>
      <c r="H518" t="s">
        <v>438</v>
      </c>
      <c r="I518" s="4">
        <f t="shared" si="57"/>
        <v>3</v>
      </c>
      <c r="J518">
        <f t="shared" si="58"/>
        <v>6</v>
      </c>
      <c r="K518">
        <v>48</v>
      </c>
      <c r="L518">
        <v>18</v>
      </c>
      <c r="M518" s="2">
        <v>2.67</v>
      </c>
      <c r="N518" s="2">
        <v>2.85</v>
      </c>
      <c r="O518">
        <v>0</v>
      </c>
      <c r="P518">
        <v>5</v>
      </c>
      <c r="Q518" t="s">
        <v>566</v>
      </c>
      <c r="R518" t="s">
        <v>260</v>
      </c>
      <c r="S518" t="str">
        <f t="shared" si="56"/>
        <v>PA</v>
      </c>
    </row>
    <row r="519" spans="1:19" x14ac:dyDescent="0.3">
      <c r="A519" t="s">
        <v>12</v>
      </c>
      <c r="B519">
        <v>2016110012</v>
      </c>
      <c r="C519" t="s">
        <v>13</v>
      </c>
      <c r="E519" t="s">
        <v>283</v>
      </c>
      <c r="F519" t="s">
        <v>284</v>
      </c>
      <c r="G519">
        <v>2</v>
      </c>
      <c r="H519" t="s">
        <v>438</v>
      </c>
      <c r="I519" s="4">
        <f t="shared" si="57"/>
        <v>3</v>
      </c>
      <c r="J519">
        <f t="shared" si="58"/>
        <v>6</v>
      </c>
      <c r="K519">
        <v>44</v>
      </c>
      <c r="L519">
        <v>16</v>
      </c>
      <c r="M519" s="2">
        <v>2.75</v>
      </c>
      <c r="N519" s="2">
        <v>2.85</v>
      </c>
      <c r="O519">
        <v>0</v>
      </c>
      <c r="P519">
        <v>7</v>
      </c>
      <c r="Q519" t="s">
        <v>568</v>
      </c>
      <c r="R519" t="s">
        <v>260</v>
      </c>
      <c r="S519" t="str">
        <f t="shared" si="56"/>
        <v>PA</v>
      </c>
    </row>
    <row r="520" spans="1:19" x14ac:dyDescent="0.3">
      <c r="A520" t="s">
        <v>12</v>
      </c>
      <c r="B520">
        <v>2016110012</v>
      </c>
      <c r="C520" t="s">
        <v>13</v>
      </c>
      <c r="E520" t="s">
        <v>279</v>
      </c>
      <c r="F520" t="s">
        <v>280</v>
      </c>
      <c r="G520">
        <v>2</v>
      </c>
      <c r="H520" t="s">
        <v>438</v>
      </c>
      <c r="I520" s="4">
        <f t="shared" si="57"/>
        <v>3</v>
      </c>
      <c r="J520">
        <f t="shared" si="58"/>
        <v>6</v>
      </c>
      <c r="K520">
        <v>46</v>
      </c>
      <c r="L520">
        <v>20</v>
      </c>
      <c r="M520" s="2">
        <v>2.2999999999999998</v>
      </c>
      <c r="N520" s="2">
        <v>2.85</v>
      </c>
      <c r="O520">
        <v>0</v>
      </c>
      <c r="P520">
        <v>2</v>
      </c>
      <c r="Q520" t="s">
        <v>559</v>
      </c>
      <c r="R520" t="s">
        <v>260</v>
      </c>
      <c r="S520" t="str">
        <f t="shared" si="56"/>
        <v>PA</v>
      </c>
    </row>
    <row r="521" spans="1:19" x14ac:dyDescent="0.3">
      <c r="A521" t="s">
        <v>12</v>
      </c>
      <c r="B521">
        <v>2016110012</v>
      </c>
      <c r="C521" t="s">
        <v>13</v>
      </c>
      <c r="E521" t="s">
        <v>370</v>
      </c>
      <c r="F521" t="s">
        <v>371</v>
      </c>
      <c r="G521">
        <v>2</v>
      </c>
      <c r="H521" t="s">
        <v>438</v>
      </c>
      <c r="I521" s="4">
        <f t="shared" si="57"/>
        <v>3</v>
      </c>
      <c r="J521">
        <f t="shared" si="58"/>
        <v>6</v>
      </c>
      <c r="K521">
        <v>48</v>
      </c>
      <c r="L521">
        <v>18</v>
      </c>
      <c r="M521" s="2">
        <v>2.67</v>
      </c>
      <c r="N521" s="2">
        <v>2.85</v>
      </c>
      <c r="O521">
        <v>0</v>
      </c>
      <c r="P521">
        <v>5</v>
      </c>
      <c r="Q521" t="s">
        <v>566</v>
      </c>
      <c r="R521" t="s">
        <v>260</v>
      </c>
      <c r="S521" t="str">
        <f t="shared" si="56"/>
        <v>PA</v>
      </c>
    </row>
    <row r="522" spans="1:19" x14ac:dyDescent="0.3">
      <c r="A522" t="s">
        <v>12</v>
      </c>
      <c r="B522">
        <v>2016110012</v>
      </c>
      <c r="C522" t="s">
        <v>13</v>
      </c>
      <c r="E522" t="s">
        <v>234</v>
      </c>
      <c r="F522" t="s">
        <v>235</v>
      </c>
      <c r="G522">
        <v>4</v>
      </c>
      <c r="H522" t="s">
        <v>438</v>
      </c>
      <c r="I522" s="4">
        <f t="shared" si="57"/>
        <v>3</v>
      </c>
      <c r="J522">
        <f t="shared" si="58"/>
        <v>12</v>
      </c>
      <c r="K522">
        <v>52</v>
      </c>
      <c r="L522">
        <v>18</v>
      </c>
      <c r="M522" s="2">
        <v>2.89</v>
      </c>
      <c r="N522" s="2">
        <v>2.85</v>
      </c>
      <c r="O522">
        <v>0</v>
      </c>
      <c r="P522">
        <v>3</v>
      </c>
      <c r="Q522" t="s">
        <v>563</v>
      </c>
      <c r="R522" t="s">
        <v>260</v>
      </c>
      <c r="S522" t="str">
        <f t="shared" si="56"/>
        <v>PA</v>
      </c>
    </row>
    <row r="523" spans="1:19" x14ac:dyDescent="0.3">
      <c r="A523" t="s">
        <v>12</v>
      </c>
      <c r="B523">
        <v>2016110012</v>
      </c>
      <c r="C523" t="s">
        <v>13</v>
      </c>
      <c r="E523" t="s">
        <v>374</v>
      </c>
      <c r="F523" t="s">
        <v>375</v>
      </c>
      <c r="G523">
        <v>2</v>
      </c>
      <c r="H523" t="s">
        <v>524</v>
      </c>
      <c r="I523" s="4">
        <f t="shared" si="57"/>
        <v>2</v>
      </c>
      <c r="J523">
        <f t="shared" si="58"/>
        <v>4</v>
      </c>
      <c r="K523">
        <v>38</v>
      </c>
      <c r="L523">
        <v>18</v>
      </c>
      <c r="M523" s="2">
        <v>2.11</v>
      </c>
      <c r="N523" s="2">
        <v>2.85</v>
      </c>
      <c r="O523">
        <v>0</v>
      </c>
      <c r="P523">
        <v>4</v>
      </c>
      <c r="Q523" t="s">
        <v>565</v>
      </c>
      <c r="R523" t="s">
        <v>260</v>
      </c>
      <c r="S523" t="str">
        <f t="shared" si="56"/>
        <v>PA</v>
      </c>
    </row>
    <row r="524" spans="1:19" x14ac:dyDescent="0.3">
      <c r="A524" t="s">
        <v>12</v>
      </c>
      <c r="B524">
        <v>2016110012</v>
      </c>
      <c r="C524" t="s">
        <v>13</v>
      </c>
      <c r="E524" t="s">
        <v>374</v>
      </c>
      <c r="F524" t="s">
        <v>375</v>
      </c>
      <c r="G524">
        <v>2</v>
      </c>
      <c r="H524" t="s">
        <v>438</v>
      </c>
      <c r="I524" s="4">
        <f t="shared" si="57"/>
        <v>3</v>
      </c>
      <c r="J524">
        <f t="shared" si="58"/>
        <v>6</v>
      </c>
      <c r="K524">
        <v>18</v>
      </c>
      <c r="L524">
        <v>6</v>
      </c>
      <c r="M524" s="2">
        <v>3</v>
      </c>
      <c r="N524" s="2">
        <v>2.85</v>
      </c>
      <c r="O524">
        <v>1</v>
      </c>
      <c r="P524">
        <v>10</v>
      </c>
      <c r="Q524" t="s">
        <v>560</v>
      </c>
      <c r="R524" t="s">
        <v>260</v>
      </c>
      <c r="S524" t="str">
        <f t="shared" si="56"/>
        <v>PA</v>
      </c>
    </row>
    <row r="525" spans="1:19" x14ac:dyDescent="0.3">
      <c r="A525" t="s">
        <v>12</v>
      </c>
      <c r="B525">
        <v>2016110012</v>
      </c>
      <c r="C525" t="s">
        <v>13</v>
      </c>
      <c r="E525" t="s">
        <v>257</v>
      </c>
      <c r="F525" t="s">
        <v>258</v>
      </c>
      <c r="G525">
        <v>4</v>
      </c>
      <c r="H525" t="s">
        <v>524</v>
      </c>
      <c r="I525" s="4">
        <f t="shared" si="57"/>
        <v>2</v>
      </c>
      <c r="J525">
        <f t="shared" si="58"/>
        <v>8</v>
      </c>
      <c r="K525">
        <v>54</v>
      </c>
      <c r="L525">
        <v>22</v>
      </c>
      <c r="M525" s="2">
        <v>2.4500000000000002</v>
      </c>
      <c r="N525" s="2">
        <v>2.85</v>
      </c>
      <c r="O525">
        <v>0</v>
      </c>
      <c r="P525">
        <v>6</v>
      </c>
      <c r="Q525" t="s">
        <v>567</v>
      </c>
      <c r="R525" t="s">
        <v>260</v>
      </c>
      <c r="S525" t="str">
        <f t="shared" si="56"/>
        <v>PA</v>
      </c>
    </row>
    <row r="526" spans="1:19" x14ac:dyDescent="0.3">
      <c r="A526" t="s">
        <v>12</v>
      </c>
      <c r="B526">
        <v>2016110012</v>
      </c>
      <c r="C526" t="s">
        <v>13</v>
      </c>
      <c r="E526" t="s">
        <v>257</v>
      </c>
      <c r="F526" t="s">
        <v>258</v>
      </c>
      <c r="G526">
        <v>4</v>
      </c>
      <c r="H526" t="s">
        <v>438</v>
      </c>
      <c r="I526" s="4">
        <f t="shared" si="57"/>
        <v>3</v>
      </c>
      <c r="J526">
        <f t="shared" si="58"/>
        <v>12</v>
      </c>
      <c r="K526">
        <v>60</v>
      </c>
      <c r="L526">
        <v>20</v>
      </c>
      <c r="M526" s="2">
        <v>3</v>
      </c>
      <c r="N526" s="2">
        <v>2.85</v>
      </c>
      <c r="O526">
        <v>1</v>
      </c>
      <c r="P526">
        <v>12</v>
      </c>
      <c r="Q526" t="s">
        <v>577</v>
      </c>
      <c r="R526" t="s">
        <v>260</v>
      </c>
      <c r="S526" t="str">
        <f t="shared" si="56"/>
        <v>PA</v>
      </c>
    </row>
    <row r="527" spans="1:19" x14ac:dyDescent="0.3">
      <c r="A527" t="s">
        <v>12</v>
      </c>
      <c r="B527">
        <v>2016110012</v>
      </c>
      <c r="C527" t="s">
        <v>13</v>
      </c>
      <c r="E527" t="s">
        <v>437</v>
      </c>
      <c r="F527" t="s">
        <v>169</v>
      </c>
      <c r="G527">
        <v>4</v>
      </c>
      <c r="H527" t="s">
        <v>524</v>
      </c>
      <c r="I527" s="4">
        <f t="shared" si="57"/>
        <v>2</v>
      </c>
      <c r="J527">
        <f t="shared" si="58"/>
        <v>8</v>
      </c>
      <c r="K527">
        <v>46</v>
      </c>
      <c r="L527">
        <v>20</v>
      </c>
      <c r="M527" s="2">
        <v>2.2999999999999998</v>
      </c>
      <c r="N527" s="2">
        <v>2.85</v>
      </c>
      <c r="O527">
        <v>0</v>
      </c>
      <c r="P527">
        <v>1</v>
      </c>
      <c r="Q527" t="s">
        <v>558</v>
      </c>
      <c r="R527" t="s">
        <v>260</v>
      </c>
      <c r="S527" t="str">
        <f t="shared" si="56"/>
        <v>PA</v>
      </c>
    </row>
    <row r="528" spans="1:19" x14ac:dyDescent="0.3">
      <c r="A528" t="s">
        <v>12</v>
      </c>
      <c r="B528">
        <v>2016110012</v>
      </c>
      <c r="C528" t="s">
        <v>13</v>
      </c>
      <c r="E528" t="s">
        <v>437</v>
      </c>
      <c r="F528" t="s">
        <v>169</v>
      </c>
      <c r="G528">
        <v>4</v>
      </c>
      <c r="H528" t="s">
        <v>438</v>
      </c>
      <c r="I528" s="4">
        <f t="shared" si="57"/>
        <v>3</v>
      </c>
      <c r="J528">
        <f t="shared" si="58"/>
        <v>12</v>
      </c>
      <c r="K528">
        <v>30</v>
      </c>
      <c r="L528">
        <v>10</v>
      </c>
      <c r="M528" s="2">
        <v>3</v>
      </c>
      <c r="N528" s="2">
        <v>2.85</v>
      </c>
      <c r="O528">
        <v>1</v>
      </c>
      <c r="P528">
        <v>9</v>
      </c>
      <c r="Q528" t="s">
        <v>570</v>
      </c>
      <c r="R528" t="s">
        <v>260</v>
      </c>
      <c r="S528" t="str">
        <f t="shared" si="56"/>
        <v>PA</v>
      </c>
    </row>
    <row r="529" spans="1:19" x14ac:dyDescent="0.3">
      <c r="A529" t="s">
        <v>12</v>
      </c>
      <c r="B529">
        <v>2016110012</v>
      </c>
      <c r="C529" t="s">
        <v>13</v>
      </c>
      <c r="E529" t="s">
        <v>97</v>
      </c>
      <c r="F529" t="s">
        <v>98</v>
      </c>
      <c r="G529">
        <v>4</v>
      </c>
      <c r="H529" t="s">
        <v>524</v>
      </c>
      <c r="I529" s="4">
        <f t="shared" si="57"/>
        <v>2</v>
      </c>
      <c r="J529">
        <f t="shared" si="58"/>
        <v>8</v>
      </c>
      <c r="K529">
        <v>46</v>
      </c>
      <c r="L529">
        <v>20</v>
      </c>
      <c r="M529" s="2">
        <v>2.2999999999999998</v>
      </c>
      <c r="N529" s="2">
        <v>2.85</v>
      </c>
      <c r="O529">
        <v>0</v>
      </c>
      <c r="P529">
        <v>2</v>
      </c>
      <c r="Q529" t="s">
        <v>559</v>
      </c>
      <c r="R529" t="s">
        <v>260</v>
      </c>
      <c r="S529" t="str">
        <f t="shared" si="56"/>
        <v>PA</v>
      </c>
    </row>
    <row r="530" spans="1:19" x14ac:dyDescent="0.3">
      <c r="A530" t="s">
        <v>12</v>
      </c>
      <c r="B530">
        <v>2016110012</v>
      </c>
      <c r="C530" t="s">
        <v>13</v>
      </c>
      <c r="E530" t="s">
        <v>273</v>
      </c>
      <c r="F530" t="s">
        <v>274</v>
      </c>
      <c r="G530">
        <v>2</v>
      </c>
      <c r="H530" t="s">
        <v>524</v>
      </c>
      <c r="I530" s="4">
        <f t="shared" si="57"/>
        <v>2</v>
      </c>
      <c r="J530">
        <f t="shared" si="58"/>
        <v>4</v>
      </c>
      <c r="K530">
        <v>54</v>
      </c>
      <c r="L530">
        <v>22</v>
      </c>
      <c r="M530" s="2">
        <v>2.4500000000000002</v>
      </c>
      <c r="N530" s="2">
        <v>2.85</v>
      </c>
      <c r="O530">
        <v>0</v>
      </c>
      <c r="P530">
        <v>6</v>
      </c>
      <c r="Q530" t="s">
        <v>567</v>
      </c>
      <c r="R530" t="s">
        <v>260</v>
      </c>
      <c r="S530" t="str">
        <f t="shared" si="56"/>
        <v>PA</v>
      </c>
    </row>
    <row r="531" spans="1:19" x14ac:dyDescent="0.3">
      <c r="A531" t="s">
        <v>12</v>
      </c>
      <c r="B531">
        <v>2016110012</v>
      </c>
      <c r="C531" t="s">
        <v>13</v>
      </c>
      <c r="E531" t="s">
        <v>103</v>
      </c>
      <c r="F531" t="s">
        <v>104</v>
      </c>
      <c r="G531">
        <v>4</v>
      </c>
      <c r="H531" t="s">
        <v>524</v>
      </c>
      <c r="I531" s="4">
        <f t="shared" si="57"/>
        <v>2</v>
      </c>
      <c r="J531">
        <f t="shared" si="58"/>
        <v>8</v>
      </c>
      <c r="K531">
        <v>46</v>
      </c>
      <c r="L531">
        <v>20</v>
      </c>
      <c r="M531" s="2">
        <v>2.2999999999999998</v>
      </c>
      <c r="N531" s="2">
        <v>2.85</v>
      </c>
      <c r="O531">
        <v>0</v>
      </c>
      <c r="P531">
        <v>2</v>
      </c>
      <c r="Q531" t="s">
        <v>559</v>
      </c>
      <c r="R531" t="s">
        <v>260</v>
      </c>
      <c r="S531" t="str">
        <f t="shared" si="56"/>
        <v>PA</v>
      </c>
    </row>
    <row r="532" spans="1:19" x14ac:dyDescent="0.3">
      <c r="A532" t="s">
        <v>12</v>
      </c>
      <c r="B532">
        <v>2016110012</v>
      </c>
      <c r="C532" t="s">
        <v>13</v>
      </c>
      <c r="E532" t="s">
        <v>103</v>
      </c>
      <c r="F532" t="s">
        <v>104</v>
      </c>
      <c r="G532">
        <v>4</v>
      </c>
      <c r="H532" t="s">
        <v>438</v>
      </c>
      <c r="I532" s="4">
        <f t="shared" si="57"/>
        <v>3</v>
      </c>
      <c r="J532">
        <f t="shared" si="58"/>
        <v>12</v>
      </c>
      <c r="K532">
        <v>18</v>
      </c>
      <c r="L532">
        <v>6</v>
      </c>
      <c r="M532" s="2">
        <v>3</v>
      </c>
      <c r="N532" s="2">
        <v>2.85</v>
      </c>
      <c r="O532">
        <v>1</v>
      </c>
      <c r="P532">
        <v>10</v>
      </c>
      <c r="Q532" t="s">
        <v>560</v>
      </c>
      <c r="R532" t="s">
        <v>260</v>
      </c>
      <c r="S532" t="str">
        <f t="shared" si="56"/>
        <v>PA</v>
      </c>
    </row>
    <row r="533" spans="1:19" x14ac:dyDescent="0.3">
      <c r="A533" t="s">
        <v>12</v>
      </c>
      <c r="B533">
        <v>2016110012</v>
      </c>
      <c r="C533" t="s">
        <v>13</v>
      </c>
      <c r="E533" t="s">
        <v>211</v>
      </c>
      <c r="F533" t="s">
        <v>186</v>
      </c>
      <c r="G533">
        <v>4</v>
      </c>
      <c r="H533" t="s">
        <v>524</v>
      </c>
      <c r="I533" s="4">
        <f t="shared" si="57"/>
        <v>2</v>
      </c>
      <c r="J533">
        <f t="shared" si="58"/>
        <v>8</v>
      </c>
      <c r="K533">
        <v>48</v>
      </c>
      <c r="L533">
        <v>18</v>
      </c>
      <c r="M533" s="2">
        <v>2.67</v>
      </c>
      <c r="N533" s="2">
        <v>2.85</v>
      </c>
      <c r="O533">
        <v>0</v>
      </c>
      <c r="P533">
        <v>5</v>
      </c>
      <c r="Q533" t="s">
        <v>566</v>
      </c>
      <c r="R533" t="s">
        <v>260</v>
      </c>
      <c r="S533" t="str">
        <f t="shared" si="56"/>
        <v>PA</v>
      </c>
    </row>
    <row r="534" spans="1:19" x14ac:dyDescent="0.3">
      <c r="A534" t="s">
        <v>12</v>
      </c>
      <c r="B534">
        <v>2016110012</v>
      </c>
      <c r="C534" t="s">
        <v>13</v>
      </c>
      <c r="E534" t="s">
        <v>264</v>
      </c>
      <c r="F534" t="s">
        <v>265</v>
      </c>
      <c r="G534">
        <v>2</v>
      </c>
      <c r="H534" t="s">
        <v>524</v>
      </c>
      <c r="I534" s="4">
        <f t="shared" si="57"/>
        <v>2</v>
      </c>
      <c r="J534">
        <f t="shared" si="58"/>
        <v>4</v>
      </c>
      <c r="K534">
        <v>48</v>
      </c>
      <c r="L534">
        <v>18</v>
      </c>
      <c r="M534" s="2">
        <v>2.67</v>
      </c>
      <c r="N534" s="2">
        <v>2.85</v>
      </c>
      <c r="O534">
        <v>0</v>
      </c>
      <c r="P534">
        <v>5</v>
      </c>
      <c r="Q534" t="s">
        <v>566</v>
      </c>
      <c r="R534" t="s">
        <v>260</v>
      </c>
      <c r="S534" t="str">
        <f t="shared" si="56"/>
        <v>PA</v>
      </c>
    </row>
    <row r="535" spans="1:19" x14ac:dyDescent="0.3">
      <c r="A535" t="s">
        <v>12</v>
      </c>
      <c r="B535">
        <v>2016110012</v>
      </c>
      <c r="C535" t="s">
        <v>13</v>
      </c>
      <c r="E535" t="s">
        <v>142</v>
      </c>
      <c r="F535" t="s">
        <v>143</v>
      </c>
      <c r="G535">
        <v>2</v>
      </c>
      <c r="H535" t="s">
        <v>524</v>
      </c>
      <c r="I535" s="4">
        <f t="shared" si="57"/>
        <v>2</v>
      </c>
      <c r="J535">
        <f t="shared" si="58"/>
        <v>4</v>
      </c>
      <c r="K535">
        <v>46</v>
      </c>
      <c r="L535">
        <v>20</v>
      </c>
      <c r="M535" s="2">
        <v>2.2999999999999998</v>
      </c>
      <c r="N535" s="2">
        <v>2.85</v>
      </c>
      <c r="O535">
        <v>0</v>
      </c>
      <c r="P535">
        <v>1</v>
      </c>
      <c r="Q535" t="s">
        <v>558</v>
      </c>
      <c r="R535" t="s">
        <v>260</v>
      </c>
      <c r="S535" t="str">
        <f t="shared" si="56"/>
        <v>PA</v>
      </c>
    </row>
    <row r="536" spans="1:19" x14ac:dyDescent="0.3">
      <c r="A536" t="s">
        <v>12</v>
      </c>
      <c r="B536">
        <v>2016110012</v>
      </c>
      <c r="C536" t="s">
        <v>13</v>
      </c>
      <c r="E536" t="s">
        <v>142</v>
      </c>
      <c r="F536" t="s">
        <v>143</v>
      </c>
      <c r="G536">
        <v>2</v>
      </c>
      <c r="H536" t="s">
        <v>260</v>
      </c>
      <c r="I536" s="4">
        <f t="shared" si="57"/>
        <v>4</v>
      </c>
      <c r="J536">
        <f t="shared" si="58"/>
        <v>8</v>
      </c>
      <c r="K536">
        <v>30</v>
      </c>
      <c r="L536">
        <v>10</v>
      </c>
      <c r="M536" s="2">
        <v>3</v>
      </c>
      <c r="N536" s="2">
        <v>2.85</v>
      </c>
      <c r="O536">
        <v>1</v>
      </c>
      <c r="P536">
        <v>9</v>
      </c>
      <c r="Q536" t="s">
        <v>570</v>
      </c>
      <c r="R536" t="s">
        <v>260</v>
      </c>
      <c r="S536" t="str">
        <f t="shared" si="56"/>
        <v>PA</v>
      </c>
    </row>
    <row r="537" spans="1:19" x14ac:dyDescent="0.3">
      <c r="A537" t="s">
        <v>12</v>
      </c>
      <c r="B537">
        <v>2016110012</v>
      </c>
      <c r="C537" t="s">
        <v>13</v>
      </c>
      <c r="E537" t="s">
        <v>432</v>
      </c>
      <c r="F537" t="s">
        <v>433</v>
      </c>
      <c r="G537">
        <v>4</v>
      </c>
      <c r="H537" t="s">
        <v>524</v>
      </c>
      <c r="I537" s="4">
        <f t="shared" si="57"/>
        <v>2</v>
      </c>
      <c r="J537">
        <f t="shared" si="58"/>
        <v>8</v>
      </c>
      <c r="K537">
        <v>38</v>
      </c>
      <c r="L537">
        <v>18</v>
      </c>
      <c r="M537" s="2">
        <v>2.11</v>
      </c>
      <c r="N537" s="2">
        <v>2.85</v>
      </c>
      <c r="O537">
        <v>0</v>
      </c>
      <c r="P537">
        <v>4</v>
      </c>
      <c r="Q537" t="s">
        <v>565</v>
      </c>
      <c r="R537" t="s">
        <v>260</v>
      </c>
      <c r="S537" t="str">
        <f t="shared" si="56"/>
        <v>PA</v>
      </c>
    </row>
    <row r="538" spans="1:19" x14ac:dyDescent="0.3">
      <c r="A538" t="s">
        <v>12</v>
      </c>
      <c r="B538">
        <v>2016110012</v>
      </c>
      <c r="C538" t="s">
        <v>13</v>
      </c>
      <c r="E538" t="s">
        <v>432</v>
      </c>
      <c r="F538" t="s">
        <v>433</v>
      </c>
      <c r="G538">
        <v>4</v>
      </c>
      <c r="H538" t="s">
        <v>524</v>
      </c>
      <c r="I538" s="4">
        <f t="shared" si="57"/>
        <v>2</v>
      </c>
      <c r="J538">
        <f t="shared" si="58"/>
        <v>8</v>
      </c>
      <c r="K538">
        <v>40</v>
      </c>
      <c r="L538">
        <v>16</v>
      </c>
      <c r="M538" s="2">
        <v>2.5</v>
      </c>
      <c r="N538" s="2">
        <v>2.85</v>
      </c>
      <c r="O538">
        <v>1</v>
      </c>
      <c r="P538">
        <v>8</v>
      </c>
      <c r="Q538" t="s">
        <v>569</v>
      </c>
      <c r="R538" t="s">
        <v>260</v>
      </c>
      <c r="S538" t="str">
        <f t="shared" si="56"/>
        <v>PA</v>
      </c>
    </row>
    <row r="539" spans="1:19" x14ac:dyDescent="0.3">
      <c r="A539" t="s">
        <v>12</v>
      </c>
      <c r="B539">
        <v>2016110012</v>
      </c>
      <c r="C539" t="s">
        <v>13</v>
      </c>
      <c r="E539" t="s">
        <v>90</v>
      </c>
      <c r="F539" t="s">
        <v>91</v>
      </c>
      <c r="G539">
        <v>2</v>
      </c>
      <c r="H539" t="s">
        <v>524</v>
      </c>
      <c r="I539" s="4">
        <f t="shared" si="57"/>
        <v>2</v>
      </c>
      <c r="J539">
        <f t="shared" si="58"/>
        <v>4</v>
      </c>
      <c r="K539">
        <v>46</v>
      </c>
      <c r="L539">
        <v>20</v>
      </c>
      <c r="M539" s="2">
        <v>2.2999999999999998</v>
      </c>
      <c r="N539" s="2">
        <v>2.85</v>
      </c>
      <c r="O539">
        <v>0</v>
      </c>
      <c r="P539">
        <v>1</v>
      </c>
      <c r="Q539" t="s">
        <v>558</v>
      </c>
      <c r="R539" t="s">
        <v>260</v>
      </c>
      <c r="S539" t="str">
        <f t="shared" si="56"/>
        <v>PA</v>
      </c>
    </row>
    <row r="540" spans="1:19" x14ac:dyDescent="0.3">
      <c r="A540" t="s">
        <v>12</v>
      </c>
      <c r="B540">
        <v>2016110012</v>
      </c>
      <c r="C540" t="s">
        <v>13</v>
      </c>
      <c r="E540" t="s">
        <v>248</v>
      </c>
      <c r="F540" t="s">
        <v>249</v>
      </c>
      <c r="G540">
        <v>2</v>
      </c>
      <c r="H540" t="s">
        <v>524</v>
      </c>
      <c r="I540" s="4">
        <f t="shared" si="57"/>
        <v>2</v>
      </c>
      <c r="J540">
        <f t="shared" si="58"/>
        <v>4</v>
      </c>
      <c r="K540">
        <v>38</v>
      </c>
      <c r="L540">
        <v>18</v>
      </c>
      <c r="M540" s="2">
        <v>2.11</v>
      </c>
      <c r="N540" s="2">
        <v>2.85</v>
      </c>
      <c r="O540">
        <v>0</v>
      </c>
      <c r="P540">
        <v>4</v>
      </c>
      <c r="Q540" t="s">
        <v>565</v>
      </c>
      <c r="R540" t="s">
        <v>260</v>
      </c>
      <c r="S540" t="str">
        <f t="shared" si="56"/>
        <v>PA</v>
      </c>
    </row>
    <row r="541" spans="1:19" x14ac:dyDescent="0.3">
      <c r="A541" t="s">
        <v>12</v>
      </c>
      <c r="B541">
        <v>2016110012</v>
      </c>
      <c r="C541" t="s">
        <v>13</v>
      </c>
      <c r="E541" t="s">
        <v>248</v>
      </c>
      <c r="F541" t="s">
        <v>249</v>
      </c>
      <c r="G541">
        <v>2</v>
      </c>
      <c r="H541" t="s">
        <v>438</v>
      </c>
      <c r="I541" s="4">
        <f t="shared" si="57"/>
        <v>3</v>
      </c>
      <c r="J541">
        <f t="shared" si="58"/>
        <v>6</v>
      </c>
      <c r="K541">
        <v>40</v>
      </c>
      <c r="L541">
        <v>16</v>
      </c>
      <c r="M541" s="2">
        <v>2.5</v>
      </c>
      <c r="N541" s="2">
        <v>2.85</v>
      </c>
      <c r="O541">
        <v>1</v>
      </c>
      <c r="P541">
        <v>8</v>
      </c>
      <c r="Q541" t="s">
        <v>569</v>
      </c>
      <c r="R541" t="s">
        <v>260</v>
      </c>
      <c r="S541" t="str">
        <f t="shared" si="56"/>
        <v>PA</v>
      </c>
    </row>
    <row r="542" spans="1:19" x14ac:dyDescent="0.3">
      <c r="A542" t="s">
        <v>12</v>
      </c>
      <c r="B542">
        <v>2016110012</v>
      </c>
      <c r="C542" t="s">
        <v>13</v>
      </c>
      <c r="E542" t="s">
        <v>139</v>
      </c>
      <c r="F542" t="s">
        <v>140</v>
      </c>
      <c r="G542">
        <v>2</v>
      </c>
      <c r="H542" t="s">
        <v>524</v>
      </c>
      <c r="I542" s="4">
        <f t="shared" si="57"/>
        <v>2</v>
      </c>
      <c r="J542">
        <f t="shared" si="58"/>
        <v>4</v>
      </c>
      <c r="K542">
        <v>46</v>
      </c>
      <c r="L542">
        <v>20</v>
      </c>
      <c r="M542" s="2">
        <v>2.2999999999999998</v>
      </c>
      <c r="N542" s="2">
        <v>2.85</v>
      </c>
      <c r="O542">
        <v>0</v>
      </c>
      <c r="P542">
        <v>2</v>
      </c>
      <c r="Q542" t="s">
        <v>559</v>
      </c>
      <c r="R542" t="s">
        <v>260</v>
      </c>
      <c r="S542" t="str">
        <f t="shared" si="56"/>
        <v>PA</v>
      </c>
    </row>
    <row r="543" spans="1:19" x14ac:dyDescent="0.3">
      <c r="A543" t="s">
        <v>12</v>
      </c>
      <c r="B543">
        <v>2016110012</v>
      </c>
      <c r="C543" t="s">
        <v>13</v>
      </c>
      <c r="E543" t="s">
        <v>139</v>
      </c>
      <c r="F543" t="s">
        <v>140</v>
      </c>
      <c r="G543">
        <v>2</v>
      </c>
      <c r="H543" t="s">
        <v>260</v>
      </c>
      <c r="I543" s="4">
        <f t="shared" si="57"/>
        <v>4</v>
      </c>
      <c r="J543">
        <f t="shared" si="58"/>
        <v>8</v>
      </c>
      <c r="K543">
        <v>54</v>
      </c>
      <c r="L543">
        <v>22</v>
      </c>
      <c r="M543" s="2">
        <v>2.4500000000000002</v>
      </c>
      <c r="N543" s="2">
        <v>2.85</v>
      </c>
      <c r="O543">
        <v>1</v>
      </c>
      <c r="P543">
        <v>6</v>
      </c>
      <c r="Q543" t="s">
        <v>567</v>
      </c>
      <c r="R543" t="s">
        <v>260</v>
      </c>
      <c r="S543" t="str">
        <f t="shared" si="56"/>
        <v>PA</v>
      </c>
    </row>
    <row r="544" spans="1:19" x14ac:dyDescent="0.3">
      <c r="A544" t="s">
        <v>12</v>
      </c>
      <c r="B544">
        <v>2016110012</v>
      </c>
      <c r="C544" t="s">
        <v>13</v>
      </c>
      <c r="E544" t="s">
        <v>100</v>
      </c>
      <c r="F544" t="s">
        <v>101</v>
      </c>
      <c r="G544">
        <v>4</v>
      </c>
      <c r="H544" t="s">
        <v>524</v>
      </c>
      <c r="I544" s="4">
        <f t="shared" si="57"/>
        <v>2</v>
      </c>
      <c r="J544">
        <f t="shared" si="58"/>
        <v>8</v>
      </c>
      <c r="K544">
        <v>46</v>
      </c>
      <c r="L544">
        <v>20</v>
      </c>
      <c r="M544" s="2">
        <v>2.2999999999999998</v>
      </c>
      <c r="N544" s="2">
        <v>2.85</v>
      </c>
      <c r="O544">
        <v>0</v>
      </c>
      <c r="P544">
        <v>2</v>
      </c>
      <c r="Q544" t="s">
        <v>559</v>
      </c>
      <c r="R544" t="s">
        <v>260</v>
      </c>
      <c r="S544" t="str">
        <f t="shared" si="56"/>
        <v>PA</v>
      </c>
    </row>
    <row r="545" spans="1:19" x14ac:dyDescent="0.3">
      <c r="A545" t="s">
        <v>12</v>
      </c>
      <c r="B545">
        <v>2016110012</v>
      </c>
      <c r="C545" t="s">
        <v>13</v>
      </c>
      <c r="E545" t="s">
        <v>100</v>
      </c>
      <c r="F545" t="s">
        <v>101</v>
      </c>
      <c r="G545">
        <v>4</v>
      </c>
      <c r="H545" t="s">
        <v>438</v>
      </c>
      <c r="I545" s="4">
        <f t="shared" si="57"/>
        <v>3</v>
      </c>
      <c r="J545">
        <f t="shared" si="58"/>
        <v>12</v>
      </c>
      <c r="K545">
        <v>60</v>
      </c>
      <c r="L545">
        <v>20</v>
      </c>
      <c r="M545" s="2">
        <v>3</v>
      </c>
      <c r="N545" s="2">
        <v>2.85</v>
      </c>
      <c r="O545">
        <v>1</v>
      </c>
      <c r="P545">
        <v>12</v>
      </c>
      <c r="Q545" t="s">
        <v>577</v>
      </c>
      <c r="R545" t="s">
        <v>260</v>
      </c>
      <c r="S545" t="str">
        <f t="shared" si="56"/>
        <v>PA</v>
      </c>
    </row>
    <row r="546" spans="1:19" x14ac:dyDescent="0.3">
      <c r="A546" t="s">
        <v>12</v>
      </c>
      <c r="B546">
        <v>2016110012</v>
      </c>
      <c r="C546" t="s">
        <v>13</v>
      </c>
      <c r="E546" t="s">
        <v>357</v>
      </c>
      <c r="F546" t="s">
        <v>358</v>
      </c>
      <c r="G546">
        <v>4</v>
      </c>
      <c r="H546" t="s">
        <v>524</v>
      </c>
      <c r="I546" s="4">
        <f t="shared" si="57"/>
        <v>2</v>
      </c>
      <c r="J546">
        <f t="shared" si="58"/>
        <v>8</v>
      </c>
      <c r="K546">
        <v>48</v>
      </c>
      <c r="L546">
        <v>18</v>
      </c>
      <c r="M546" s="2">
        <v>2.67</v>
      </c>
      <c r="N546" s="2">
        <v>2.85</v>
      </c>
      <c r="O546">
        <v>0</v>
      </c>
      <c r="P546">
        <v>5</v>
      </c>
      <c r="Q546" t="s">
        <v>566</v>
      </c>
      <c r="R546" t="s">
        <v>260</v>
      </c>
      <c r="S546" t="str">
        <f t="shared" si="56"/>
        <v>PA</v>
      </c>
    </row>
    <row r="547" spans="1:19" x14ac:dyDescent="0.3">
      <c r="A547" t="s">
        <v>12</v>
      </c>
      <c r="B547">
        <v>2016110012</v>
      </c>
      <c r="C547" t="s">
        <v>13</v>
      </c>
      <c r="E547" t="s">
        <v>382</v>
      </c>
      <c r="F547" t="s">
        <v>383</v>
      </c>
      <c r="G547">
        <v>4</v>
      </c>
      <c r="H547" t="s">
        <v>524</v>
      </c>
      <c r="I547" s="4">
        <f t="shared" si="57"/>
        <v>2</v>
      </c>
      <c r="J547">
        <f t="shared" si="58"/>
        <v>8</v>
      </c>
      <c r="K547">
        <v>44</v>
      </c>
      <c r="L547">
        <v>16</v>
      </c>
      <c r="M547" s="2">
        <v>2.75</v>
      </c>
      <c r="N547" s="2">
        <v>2.85</v>
      </c>
      <c r="O547">
        <v>0</v>
      </c>
      <c r="P547">
        <v>7</v>
      </c>
      <c r="Q547" t="s">
        <v>568</v>
      </c>
      <c r="R547" t="s">
        <v>260</v>
      </c>
      <c r="S547" t="str">
        <f t="shared" si="56"/>
        <v>PA</v>
      </c>
    </row>
    <row r="548" spans="1:19" x14ac:dyDescent="0.3">
      <c r="A548" t="s">
        <v>12</v>
      </c>
      <c r="B548">
        <v>2016110012</v>
      </c>
      <c r="C548" t="s">
        <v>13</v>
      </c>
      <c r="E548" t="s">
        <v>382</v>
      </c>
      <c r="F548" t="s">
        <v>383</v>
      </c>
      <c r="G548">
        <v>4</v>
      </c>
      <c r="H548" t="s">
        <v>438</v>
      </c>
      <c r="I548" s="4">
        <f t="shared" si="57"/>
        <v>3</v>
      </c>
      <c r="J548">
        <f t="shared" si="58"/>
        <v>12</v>
      </c>
      <c r="K548">
        <v>60</v>
      </c>
      <c r="L548">
        <v>20</v>
      </c>
      <c r="M548" s="2">
        <v>3</v>
      </c>
      <c r="N548" s="2">
        <v>2.85</v>
      </c>
      <c r="O548">
        <v>1</v>
      </c>
      <c r="P548">
        <v>12</v>
      </c>
      <c r="Q548" t="s">
        <v>577</v>
      </c>
      <c r="R548" t="s">
        <v>260</v>
      </c>
      <c r="S548" t="str">
        <f t="shared" si="56"/>
        <v>PA</v>
      </c>
    </row>
    <row r="549" spans="1:19" x14ac:dyDescent="0.3">
      <c r="A549" t="s">
        <v>12</v>
      </c>
      <c r="B549">
        <v>2016110012</v>
      </c>
      <c r="C549" t="s">
        <v>13</v>
      </c>
      <c r="E549" t="s">
        <v>348</v>
      </c>
      <c r="F549" t="s">
        <v>493</v>
      </c>
      <c r="G549">
        <v>4</v>
      </c>
      <c r="H549" t="s">
        <v>524</v>
      </c>
      <c r="I549" s="4">
        <f t="shared" si="57"/>
        <v>2</v>
      </c>
      <c r="J549">
        <f t="shared" si="58"/>
        <v>8</v>
      </c>
      <c r="K549">
        <v>40</v>
      </c>
      <c r="L549">
        <v>16</v>
      </c>
      <c r="M549" s="2">
        <v>2.5</v>
      </c>
      <c r="N549" s="2">
        <v>2.85</v>
      </c>
      <c r="O549">
        <v>0</v>
      </c>
      <c r="P549">
        <v>8</v>
      </c>
      <c r="Q549" t="s">
        <v>569</v>
      </c>
      <c r="R549" t="s">
        <v>260</v>
      </c>
      <c r="S549" t="str">
        <f t="shared" si="56"/>
        <v>PA</v>
      </c>
    </row>
    <row r="550" spans="1:19" x14ac:dyDescent="0.3">
      <c r="A550" t="s">
        <v>12</v>
      </c>
      <c r="B550">
        <v>2016110012</v>
      </c>
      <c r="C550" t="s">
        <v>13</v>
      </c>
      <c r="E550" t="s">
        <v>173</v>
      </c>
      <c r="F550" t="s">
        <v>8</v>
      </c>
      <c r="G550">
        <v>2</v>
      </c>
      <c r="H550" t="s">
        <v>524</v>
      </c>
      <c r="I550" s="4">
        <f t="shared" si="57"/>
        <v>2</v>
      </c>
      <c r="J550">
        <f t="shared" si="58"/>
        <v>4</v>
      </c>
      <c r="K550">
        <v>52</v>
      </c>
      <c r="L550">
        <v>18</v>
      </c>
      <c r="M550" s="2">
        <v>2.89</v>
      </c>
      <c r="N550" s="2">
        <v>2.85</v>
      </c>
      <c r="O550">
        <v>0</v>
      </c>
      <c r="P550">
        <v>3</v>
      </c>
      <c r="Q550" t="s">
        <v>563</v>
      </c>
      <c r="R550" t="s">
        <v>260</v>
      </c>
      <c r="S550" t="str">
        <f t="shared" si="56"/>
        <v>PA</v>
      </c>
    </row>
    <row r="551" spans="1:19" x14ac:dyDescent="0.3">
      <c r="A551" t="s">
        <v>12</v>
      </c>
      <c r="B551">
        <v>2016110012</v>
      </c>
      <c r="C551" t="s">
        <v>13</v>
      </c>
      <c r="E551" t="s">
        <v>173</v>
      </c>
      <c r="F551" t="s">
        <v>8</v>
      </c>
      <c r="G551">
        <v>2</v>
      </c>
      <c r="H551" t="s">
        <v>438</v>
      </c>
      <c r="I551" s="4">
        <f t="shared" si="57"/>
        <v>3</v>
      </c>
      <c r="J551">
        <f t="shared" si="58"/>
        <v>6</v>
      </c>
      <c r="K551">
        <v>30</v>
      </c>
      <c r="L551">
        <v>10</v>
      </c>
      <c r="M551" s="2">
        <v>3</v>
      </c>
      <c r="N551" s="2">
        <v>2.85</v>
      </c>
      <c r="O551">
        <v>1</v>
      </c>
      <c r="P551">
        <v>9</v>
      </c>
      <c r="Q551" t="s">
        <v>570</v>
      </c>
      <c r="R551" t="s">
        <v>260</v>
      </c>
      <c r="S551" t="str">
        <f t="shared" si="56"/>
        <v>PA</v>
      </c>
    </row>
    <row r="552" spans="1:19" x14ac:dyDescent="0.3">
      <c r="A552" t="s">
        <v>12</v>
      </c>
      <c r="B552">
        <v>2016110012</v>
      </c>
      <c r="C552" t="s">
        <v>13</v>
      </c>
      <c r="E552" t="s">
        <v>236</v>
      </c>
      <c r="F552" t="s">
        <v>237</v>
      </c>
      <c r="G552">
        <v>2</v>
      </c>
      <c r="H552" t="s">
        <v>524</v>
      </c>
      <c r="I552" s="4">
        <f t="shared" si="57"/>
        <v>2</v>
      </c>
      <c r="J552">
        <f t="shared" si="58"/>
        <v>4</v>
      </c>
      <c r="K552">
        <v>30</v>
      </c>
      <c r="L552">
        <v>10</v>
      </c>
      <c r="M552" s="2">
        <v>3</v>
      </c>
      <c r="N552" s="2">
        <v>2.85</v>
      </c>
      <c r="O552">
        <v>0</v>
      </c>
      <c r="P552">
        <v>9</v>
      </c>
      <c r="Q552" t="s">
        <v>570</v>
      </c>
      <c r="R552" t="s">
        <v>260</v>
      </c>
      <c r="S552" t="str">
        <f t="shared" si="56"/>
        <v>PA</v>
      </c>
    </row>
    <row r="553" spans="1:19" x14ac:dyDescent="0.3">
      <c r="A553" t="s">
        <v>12</v>
      </c>
      <c r="B553">
        <v>2016110012</v>
      </c>
      <c r="C553" t="s">
        <v>13</v>
      </c>
      <c r="E553" t="s">
        <v>309</v>
      </c>
      <c r="F553" t="s">
        <v>310</v>
      </c>
      <c r="G553">
        <v>4</v>
      </c>
      <c r="H553" t="s">
        <v>535</v>
      </c>
      <c r="I553" s="4">
        <f t="shared" si="57"/>
        <v>1</v>
      </c>
      <c r="J553">
        <f t="shared" si="58"/>
        <v>4</v>
      </c>
      <c r="K553">
        <v>38</v>
      </c>
      <c r="L553">
        <v>18</v>
      </c>
      <c r="M553" s="2">
        <v>2.11</v>
      </c>
      <c r="N553" s="2">
        <v>2.85</v>
      </c>
      <c r="O553">
        <v>0</v>
      </c>
      <c r="P553">
        <v>4</v>
      </c>
      <c r="Q553" t="s">
        <v>565</v>
      </c>
      <c r="R553" t="s">
        <v>260</v>
      </c>
      <c r="S553" t="str">
        <f t="shared" si="56"/>
        <v>FA</v>
      </c>
    </row>
    <row r="554" spans="1:19" x14ac:dyDescent="0.3">
      <c r="A554" t="s">
        <v>12</v>
      </c>
      <c r="B554">
        <v>2016110012</v>
      </c>
      <c r="C554" t="s">
        <v>13</v>
      </c>
      <c r="E554" t="s">
        <v>309</v>
      </c>
      <c r="F554" t="s">
        <v>310</v>
      </c>
      <c r="G554">
        <v>4</v>
      </c>
      <c r="H554" t="s">
        <v>438</v>
      </c>
      <c r="I554" s="4">
        <f t="shared" si="57"/>
        <v>3</v>
      </c>
      <c r="J554">
        <f t="shared" si="58"/>
        <v>12</v>
      </c>
      <c r="K554">
        <v>60</v>
      </c>
      <c r="L554">
        <v>20</v>
      </c>
      <c r="M554" s="2">
        <v>3</v>
      </c>
      <c r="N554" s="2">
        <v>2.85</v>
      </c>
      <c r="O554">
        <v>1</v>
      </c>
      <c r="P554">
        <v>12</v>
      </c>
      <c r="Q554" t="s">
        <v>577</v>
      </c>
      <c r="R554" t="s">
        <v>260</v>
      </c>
      <c r="S554" t="str">
        <f t="shared" si="56"/>
        <v>PA</v>
      </c>
    </row>
    <row r="555" spans="1:19" x14ac:dyDescent="0.3">
      <c r="A555" t="s">
        <v>12</v>
      </c>
      <c r="B555">
        <v>2016110012</v>
      </c>
      <c r="C555" t="s">
        <v>13</v>
      </c>
      <c r="E555" t="s">
        <v>297</v>
      </c>
      <c r="F555" t="s">
        <v>342</v>
      </c>
      <c r="G555">
        <v>4</v>
      </c>
      <c r="H555" t="s">
        <v>535</v>
      </c>
      <c r="I555" s="4">
        <f t="shared" si="57"/>
        <v>1</v>
      </c>
      <c r="J555">
        <f t="shared" si="58"/>
        <v>4</v>
      </c>
      <c r="K555">
        <v>54</v>
      </c>
      <c r="L555">
        <v>22</v>
      </c>
      <c r="M555" s="2">
        <v>2.4500000000000002</v>
      </c>
      <c r="N555" s="2">
        <v>2.85</v>
      </c>
      <c r="O555">
        <v>0</v>
      </c>
      <c r="P555">
        <v>6</v>
      </c>
      <c r="Q555" t="s">
        <v>567</v>
      </c>
      <c r="R555" t="s">
        <v>260</v>
      </c>
      <c r="S555" t="str">
        <f t="shared" si="56"/>
        <v>FA</v>
      </c>
    </row>
    <row r="556" spans="1:19" x14ac:dyDescent="0.3">
      <c r="A556" t="s">
        <v>12</v>
      </c>
      <c r="B556">
        <v>2016110012</v>
      </c>
      <c r="C556" t="s">
        <v>13</v>
      </c>
      <c r="E556" t="s">
        <v>297</v>
      </c>
      <c r="F556" t="s">
        <v>342</v>
      </c>
      <c r="G556">
        <v>4</v>
      </c>
      <c r="H556" t="s">
        <v>438</v>
      </c>
      <c r="I556" s="4">
        <f t="shared" si="57"/>
        <v>3</v>
      </c>
      <c r="J556">
        <f t="shared" si="58"/>
        <v>12</v>
      </c>
      <c r="K556">
        <v>40</v>
      </c>
      <c r="L556">
        <v>16</v>
      </c>
      <c r="M556" s="2">
        <v>2.5</v>
      </c>
      <c r="N556" s="2">
        <v>2.85</v>
      </c>
      <c r="O556">
        <v>1</v>
      </c>
      <c r="P556">
        <v>8</v>
      </c>
      <c r="Q556" t="s">
        <v>569</v>
      </c>
      <c r="R556" t="s">
        <v>260</v>
      </c>
      <c r="S556" t="str">
        <f t="shared" si="56"/>
        <v>PA</v>
      </c>
    </row>
    <row r="557" spans="1:19" x14ac:dyDescent="0.3">
      <c r="A557" t="s">
        <v>12</v>
      </c>
      <c r="B557">
        <v>2016110012</v>
      </c>
      <c r="C557" t="s">
        <v>13</v>
      </c>
      <c r="E557" t="s">
        <v>122</v>
      </c>
      <c r="F557" t="s">
        <v>123</v>
      </c>
      <c r="G557">
        <v>4</v>
      </c>
      <c r="H557" t="s">
        <v>535</v>
      </c>
      <c r="I557" s="4">
        <f t="shared" si="57"/>
        <v>1</v>
      </c>
      <c r="J557">
        <f t="shared" si="58"/>
        <v>4</v>
      </c>
      <c r="K557">
        <v>46</v>
      </c>
      <c r="L557">
        <v>20</v>
      </c>
      <c r="M557" s="2">
        <v>2.2999999999999998</v>
      </c>
      <c r="N557" s="2">
        <v>2.85</v>
      </c>
      <c r="O557">
        <v>0</v>
      </c>
      <c r="P557">
        <v>1</v>
      </c>
      <c r="Q557" t="s">
        <v>558</v>
      </c>
      <c r="R557" t="s">
        <v>260</v>
      </c>
      <c r="S557" t="str">
        <f t="shared" si="56"/>
        <v>FA</v>
      </c>
    </row>
    <row r="558" spans="1:19" x14ac:dyDescent="0.3">
      <c r="A558" t="s">
        <v>12</v>
      </c>
      <c r="B558">
        <v>2016110012</v>
      </c>
      <c r="C558" t="s">
        <v>13</v>
      </c>
      <c r="E558" t="s">
        <v>122</v>
      </c>
      <c r="F558" t="s">
        <v>123</v>
      </c>
      <c r="G558">
        <v>4</v>
      </c>
      <c r="H558" t="s">
        <v>438</v>
      </c>
      <c r="I558" s="4">
        <f t="shared" si="57"/>
        <v>3</v>
      </c>
      <c r="J558">
        <f t="shared" si="58"/>
        <v>12</v>
      </c>
      <c r="K558">
        <v>60</v>
      </c>
      <c r="L558">
        <v>20</v>
      </c>
      <c r="M558" s="2">
        <v>3</v>
      </c>
      <c r="N558" s="2">
        <v>2.85</v>
      </c>
      <c r="O558">
        <v>1</v>
      </c>
      <c r="P558">
        <v>12</v>
      </c>
      <c r="Q558" t="s">
        <v>577</v>
      </c>
      <c r="R558" t="s">
        <v>260</v>
      </c>
      <c r="S558" t="str">
        <f t="shared" si="56"/>
        <v>PA</v>
      </c>
    </row>
    <row r="559" spans="1:19" x14ac:dyDescent="0.3">
      <c r="A559" t="s">
        <v>12</v>
      </c>
      <c r="B559">
        <v>2016110013</v>
      </c>
      <c r="C559" t="s">
        <v>212</v>
      </c>
      <c r="E559" t="s">
        <v>100</v>
      </c>
      <c r="F559" t="s">
        <v>101</v>
      </c>
      <c r="G559">
        <v>4</v>
      </c>
      <c r="J559">
        <v>0</v>
      </c>
      <c r="K559">
        <v>34</v>
      </c>
      <c r="L559">
        <v>16</v>
      </c>
      <c r="M559" s="2">
        <v>2.13</v>
      </c>
      <c r="N559" s="2">
        <v>2.0299999999999998</v>
      </c>
      <c r="O559">
        <v>0</v>
      </c>
      <c r="P559">
        <v>2</v>
      </c>
      <c r="Q559" t="s">
        <v>559</v>
      </c>
      <c r="R559" t="s">
        <v>260</v>
      </c>
      <c r="S559" t="s">
        <v>595</v>
      </c>
    </row>
    <row r="560" spans="1:19" x14ac:dyDescent="0.3">
      <c r="A560" t="s">
        <v>12</v>
      </c>
      <c r="B560">
        <v>2016110013</v>
      </c>
      <c r="C560" t="s">
        <v>212</v>
      </c>
      <c r="E560" t="s">
        <v>190</v>
      </c>
      <c r="F560" t="s">
        <v>191</v>
      </c>
      <c r="G560">
        <v>4</v>
      </c>
      <c r="J560">
        <v>0</v>
      </c>
      <c r="K560">
        <v>28</v>
      </c>
      <c r="L560">
        <v>14</v>
      </c>
      <c r="M560" s="2">
        <v>2</v>
      </c>
      <c r="N560" s="2">
        <v>2.0299999999999998</v>
      </c>
      <c r="O560">
        <v>0</v>
      </c>
      <c r="P560">
        <v>3</v>
      </c>
      <c r="Q560" t="s">
        <v>563</v>
      </c>
      <c r="R560" t="s">
        <v>260</v>
      </c>
      <c r="S560" t="s">
        <v>595</v>
      </c>
    </row>
    <row r="561" spans="1:19" x14ac:dyDescent="0.3">
      <c r="A561" t="s">
        <v>12</v>
      </c>
      <c r="B561">
        <v>2016110013</v>
      </c>
      <c r="C561" t="s">
        <v>212</v>
      </c>
      <c r="E561" t="s">
        <v>77</v>
      </c>
      <c r="F561" t="s">
        <v>78</v>
      </c>
      <c r="G561">
        <v>2</v>
      </c>
      <c r="H561" t="s">
        <v>260</v>
      </c>
      <c r="I561" s="4">
        <f t="shared" ref="I561" si="59">IF(H561="A",4,IF(H561="B",3,IF(H561="C",2,IF(H561="D",1,0))))</f>
        <v>4</v>
      </c>
      <c r="J561">
        <f t="shared" ref="J561" si="60">G561*I561</f>
        <v>8</v>
      </c>
      <c r="K561">
        <v>44</v>
      </c>
      <c r="L561">
        <v>20</v>
      </c>
      <c r="M561" s="2">
        <v>2.2000000000000002</v>
      </c>
      <c r="N561" s="2">
        <v>2.0299999999999998</v>
      </c>
      <c r="O561">
        <v>0</v>
      </c>
      <c r="P561">
        <v>1</v>
      </c>
      <c r="Q561" t="s">
        <v>558</v>
      </c>
      <c r="R561" t="s">
        <v>260</v>
      </c>
      <c r="S561" t="str">
        <f t="shared" ref="S561:S584" si="61">IF(OR(H561="A",H561="B",H561="C"),"PA","FA")</f>
        <v>PA</v>
      </c>
    </row>
    <row r="562" spans="1:19" x14ac:dyDescent="0.3">
      <c r="A562" t="s">
        <v>12</v>
      </c>
      <c r="B562">
        <v>2016110013</v>
      </c>
      <c r="C562" t="s">
        <v>212</v>
      </c>
      <c r="E562" t="s">
        <v>165</v>
      </c>
      <c r="F562" t="s">
        <v>166</v>
      </c>
      <c r="G562">
        <v>2</v>
      </c>
      <c r="H562" t="s">
        <v>438</v>
      </c>
      <c r="I562" s="4">
        <f t="shared" ref="I562:I584" si="62">IF(H562="A",4,IF(H562="B",3,IF(H562="C",2,IF(H562="D",1,0))))</f>
        <v>3</v>
      </c>
      <c r="J562">
        <f t="shared" ref="J562:J584" si="63">G562*I562</f>
        <v>6</v>
      </c>
      <c r="K562">
        <v>44</v>
      </c>
      <c r="L562">
        <v>20</v>
      </c>
      <c r="M562" s="2">
        <v>2.2000000000000002</v>
      </c>
      <c r="N562" s="2">
        <v>2.0299999999999998</v>
      </c>
      <c r="O562">
        <v>0</v>
      </c>
      <c r="P562">
        <v>1</v>
      </c>
      <c r="Q562" t="s">
        <v>558</v>
      </c>
      <c r="R562" t="s">
        <v>260</v>
      </c>
      <c r="S562" t="str">
        <f t="shared" si="61"/>
        <v>PA</v>
      </c>
    </row>
    <row r="563" spans="1:19" x14ac:dyDescent="0.3">
      <c r="A563" t="s">
        <v>12</v>
      </c>
      <c r="B563">
        <v>2016110013</v>
      </c>
      <c r="C563" t="s">
        <v>212</v>
      </c>
      <c r="E563" t="s">
        <v>131</v>
      </c>
      <c r="F563" t="s">
        <v>132</v>
      </c>
      <c r="G563">
        <v>2</v>
      </c>
      <c r="H563" t="s">
        <v>438</v>
      </c>
      <c r="I563" s="4">
        <f t="shared" si="62"/>
        <v>3</v>
      </c>
      <c r="J563">
        <f t="shared" si="63"/>
        <v>6</v>
      </c>
      <c r="K563">
        <v>44</v>
      </c>
      <c r="L563">
        <v>20</v>
      </c>
      <c r="M563" s="2">
        <v>2.2000000000000002</v>
      </c>
      <c r="N563" s="2">
        <v>2.0299999999999998</v>
      </c>
      <c r="O563">
        <v>0</v>
      </c>
      <c r="P563">
        <v>1</v>
      </c>
      <c r="Q563" t="s">
        <v>558</v>
      </c>
      <c r="R563" t="s">
        <v>260</v>
      </c>
      <c r="S563" t="str">
        <f t="shared" si="61"/>
        <v>PA</v>
      </c>
    </row>
    <row r="564" spans="1:19" x14ac:dyDescent="0.3">
      <c r="A564" t="s">
        <v>12</v>
      </c>
      <c r="B564">
        <v>2016110013</v>
      </c>
      <c r="C564" t="s">
        <v>212</v>
      </c>
      <c r="E564" t="s">
        <v>279</v>
      </c>
      <c r="F564" t="s">
        <v>280</v>
      </c>
      <c r="G564">
        <v>2</v>
      </c>
      <c r="H564" t="s">
        <v>438</v>
      </c>
      <c r="I564" s="4">
        <f t="shared" si="62"/>
        <v>3</v>
      </c>
      <c r="J564">
        <f t="shared" si="63"/>
        <v>6</v>
      </c>
      <c r="K564">
        <v>34</v>
      </c>
      <c r="L564">
        <v>16</v>
      </c>
      <c r="M564" s="2">
        <v>2.13</v>
      </c>
      <c r="N564" s="2">
        <v>2.0299999999999998</v>
      </c>
      <c r="O564">
        <v>0</v>
      </c>
      <c r="P564">
        <v>2</v>
      </c>
      <c r="Q564" t="s">
        <v>559</v>
      </c>
      <c r="R564" t="s">
        <v>260</v>
      </c>
      <c r="S564" t="str">
        <f t="shared" si="61"/>
        <v>PA</v>
      </c>
    </row>
    <row r="565" spans="1:19" x14ac:dyDescent="0.3">
      <c r="A565" t="s">
        <v>12</v>
      </c>
      <c r="B565">
        <v>2016110013</v>
      </c>
      <c r="C565" t="s">
        <v>212</v>
      </c>
      <c r="E565" t="s">
        <v>244</v>
      </c>
      <c r="F565" t="s">
        <v>228</v>
      </c>
      <c r="G565">
        <v>2</v>
      </c>
      <c r="H565" t="s">
        <v>438</v>
      </c>
      <c r="I565" s="4">
        <f t="shared" si="62"/>
        <v>3</v>
      </c>
      <c r="J565">
        <f t="shared" si="63"/>
        <v>6</v>
      </c>
      <c r="K565">
        <v>32</v>
      </c>
      <c r="L565">
        <v>18</v>
      </c>
      <c r="M565" s="2">
        <v>1.78</v>
      </c>
      <c r="N565" s="2">
        <v>2.0299999999999998</v>
      </c>
      <c r="O565">
        <v>0</v>
      </c>
      <c r="P565">
        <v>4</v>
      </c>
      <c r="Q565" t="s">
        <v>565</v>
      </c>
      <c r="R565" t="s">
        <v>535</v>
      </c>
      <c r="S565" t="str">
        <f t="shared" si="61"/>
        <v>PA</v>
      </c>
    </row>
    <row r="566" spans="1:19" x14ac:dyDescent="0.3">
      <c r="A566" t="s">
        <v>12</v>
      </c>
      <c r="B566">
        <v>2016110013</v>
      </c>
      <c r="C566" t="s">
        <v>212</v>
      </c>
      <c r="E566" t="s">
        <v>276</v>
      </c>
      <c r="F566" t="s">
        <v>137</v>
      </c>
      <c r="G566">
        <v>4</v>
      </c>
      <c r="H566" t="s">
        <v>438</v>
      </c>
      <c r="I566" s="4">
        <f t="shared" si="62"/>
        <v>3</v>
      </c>
      <c r="J566">
        <f t="shared" si="63"/>
        <v>12</v>
      </c>
      <c r="K566">
        <v>32</v>
      </c>
      <c r="L566">
        <v>18</v>
      </c>
      <c r="M566" s="2">
        <v>1.78</v>
      </c>
      <c r="N566" s="2">
        <v>2.0299999999999998</v>
      </c>
      <c r="O566">
        <v>0</v>
      </c>
      <c r="P566">
        <v>4</v>
      </c>
      <c r="Q566" t="s">
        <v>565</v>
      </c>
      <c r="R566" t="s">
        <v>535</v>
      </c>
      <c r="S566" t="str">
        <f t="shared" si="61"/>
        <v>PA</v>
      </c>
    </row>
    <row r="567" spans="1:19" x14ac:dyDescent="0.3">
      <c r="A567" t="s">
        <v>12</v>
      </c>
      <c r="B567">
        <v>2016110013</v>
      </c>
      <c r="C567" t="s">
        <v>212</v>
      </c>
      <c r="E567" t="s">
        <v>173</v>
      </c>
      <c r="F567" t="s">
        <v>8</v>
      </c>
      <c r="G567">
        <v>2</v>
      </c>
      <c r="H567" t="s">
        <v>524</v>
      </c>
      <c r="I567" s="4">
        <f t="shared" si="62"/>
        <v>2</v>
      </c>
      <c r="J567">
        <f t="shared" si="63"/>
        <v>4</v>
      </c>
      <c r="K567">
        <v>28</v>
      </c>
      <c r="L567">
        <v>14</v>
      </c>
      <c r="M567" s="2">
        <v>2</v>
      </c>
      <c r="N567" s="2">
        <v>2.0299999999999998</v>
      </c>
      <c r="O567">
        <v>0</v>
      </c>
      <c r="P567">
        <v>3</v>
      </c>
      <c r="Q567" t="s">
        <v>563</v>
      </c>
      <c r="R567" t="s">
        <v>260</v>
      </c>
      <c r="S567" t="str">
        <f t="shared" si="61"/>
        <v>PA</v>
      </c>
    </row>
    <row r="568" spans="1:19" x14ac:dyDescent="0.3">
      <c r="A568" t="s">
        <v>12</v>
      </c>
      <c r="B568">
        <v>2016110013</v>
      </c>
      <c r="C568" t="s">
        <v>212</v>
      </c>
      <c r="E568" t="s">
        <v>234</v>
      </c>
      <c r="F568" t="s">
        <v>235</v>
      </c>
      <c r="G568">
        <v>4</v>
      </c>
      <c r="H568" t="s">
        <v>524</v>
      </c>
      <c r="I568" s="4">
        <f t="shared" si="62"/>
        <v>2</v>
      </c>
      <c r="J568">
        <f t="shared" si="63"/>
        <v>8</v>
      </c>
      <c r="K568">
        <v>28</v>
      </c>
      <c r="L568">
        <v>14</v>
      </c>
      <c r="M568" s="2">
        <v>2</v>
      </c>
      <c r="N568" s="2">
        <v>2.0299999999999998</v>
      </c>
      <c r="O568">
        <v>0</v>
      </c>
      <c r="P568">
        <v>3</v>
      </c>
      <c r="Q568" t="s">
        <v>563</v>
      </c>
      <c r="R568" t="s">
        <v>260</v>
      </c>
      <c r="S568" t="str">
        <f t="shared" si="61"/>
        <v>PA</v>
      </c>
    </row>
    <row r="569" spans="1:19" x14ac:dyDescent="0.3">
      <c r="A569" t="s">
        <v>12</v>
      </c>
      <c r="B569">
        <v>2016110013</v>
      </c>
      <c r="C569" t="s">
        <v>212</v>
      </c>
      <c r="E569" t="s">
        <v>142</v>
      </c>
      <c r="F569" t="s">
        <v>143</v>
      </c>
      <c r="G569">
        <v>2</v>
      </c>
      <c r="H569" t="s">
        <v>524</v>
      </c>
      <c r="I569" s="4">
        <f t="shared" si="62"/>
        <v>2</v>
      </c>
      <c r="J569">
        <f t="shared" si="63"/>
        <v>4</v>
      </c>
      <c r="K569">
        <v>44</v>
      </c>
      <c r="L569">
        <v>20</v>
      </c>
      <c r="M569" s="2">
        <v>2.2000000000000002</v>
      </c>
      <c r="N569" s="2">
        <v>2.0299999999999998</v>
      </c>
      <c r="O569">
        <v>0</v>
      </c>
      <c r="P569">
        <v>1</v>
      </c>
      <c r="Q569" t="s">
        <v>558</v>
      </c>
      <c r="R569" t="s">
        <v>260</v>
      </c>
      <c r="S569" t="str">
        <f t="shared" si="61"/>
        <v>PA</v>
      </c>
    </row>
    <row r="570" spans="1:19" x14ac:dyDescent="0.3">
      <c r="A570" t="s">
        <v>12</v>
      </c>
      <c r="B570">
        <v>2016110013</v>
      </c>
      <c r="C570" t="s">
        <v>212</v>
      </c>
      <c r="E570" t="s">
        <v>241</v>
      </c>
      <c r="F570" t="s">
        <v>45</v>
      </c>
      <c r="G570">
        <v>2</v>
      </c>
      <c r="H570" t="s">
        <v>524</v>
      </c>
      <c r="I570" s="4">
        <f t="shared" si="62"/>
        <v>2</v>
      </c>
      <c r="J570">
        <f t="shared" si="63"/>
        <v>4</v>
      </c>
      <c r="K570">
        <v>28</v>
      </c>
      <c r="L570">
        <v>14</v>
      </c>
      <c r="M570" s="2">
        <v>2</v>
      </c>
      <c r="N570" s="2">
        <v>2.0299999999999998</v>
      </c>
      <c r="O570">
        <v>0</v>
      </c>
      <c r="P570">
        <v>3</v>
      </c>
      <c r="Q570" t="s">
        <v>563</v>
      </c>
      <c r="R570" t="s">
        <v>260</v>
      </c>
      <c r="S570" t="str">
        <f t="shared" si="61"/>
        <v>PA</v>
      </c>
    </row>
    <row r="571" spans="1:19" x14ac:dyDescent="0.3">
      <c r="A571" t="s">
        <v>12</v>
      </c>
      <c r="B571">
        <v>2016110013</v>
      </c>
      <c r="C571" t="s">
        <v>212</v>
      </c>
      <c r="E571" t="s">
        <v>432</v>
      </c>
      <c r="F571" t="s">
        <v>433</v>
      </c>
      <c r="G571">
        <v>4</v>
      </c>
      <c r="H571" t="s">
        <v>524</v>
      </c>
      <c r="I571" s="4">
        <f t="shared" si="62"/>
        <v>2</v>
      </c>
      <c r="J571">
        <f t="shared" si="63"/>
        <v>8</v>
      </c>
      <c r="K571">
        <v>32</v>
      </c>
      <c r="L571">
        <v>18</v>
      </c>
      <c r="M571" s="2">
        <v>1.78</v>
      </c>
      <c r="N571" s="2">
        <v>2.0299999999999998</v>
      </c>
      <c r="O571">
        <v>0</v>
      </c>
      <c r="P571">
        <v>4</v>
      </c>
      <c r="Q571" t="s">
        <v>565</v>
      </c>
      <c r="R571" t="s">
        <v>535</v>
      </c>
      <c r="S571" t="str">
        <f t="shared" si="61"/>
        <v>PA</v>
      </c>
    </row>
    <row r="572" spans="1:19" x14ac:dyDescent="0.3">
      <c r="A572" t="s">
        <v>12</v>
      </c>
      <c r="B572">
        <v>2016110013</v>
      </c>
      <c r="C572" t="s">
        <v>212</v>
      </c>
      <c r="E572" t="s">
        <v>248</v>
      </c>
      <c r="F572" t="s">
        <v>249</v>
      </c>
      <c r="G572">
        <v>2</v>
      </c>
      <c r="H572" t="s">
        <v>524</v>
      </c>
      <c r="I572" s="4">
        <f t="shared" si="62"/>
        <v>2</v>
      </c>
      <c r="J572">
        <f t="shared" si="63"/>
        <v>4</v>
      </c>
      <c r="K572">
        <v>32</v>
      </c>
      <c r="L572">
        <v>18</v>
      </c>
      <c r="M572" s="2">
        <v>1.78</v>
      </c>
      <c r="N572" s="2">
        <v>2.0299999999999998</v>
      </c>
      <c r="O572">
        <v>0</v>
      </c>
      <c r="P572">
        <v>4</v>
      </c>
      <c r="Q572" t="s">
        <v>565</v>
      </c>
      <c r="R572" t="s">
        <v>535</v>
      </c>
      <c r="S572" t="str">
        <f t="shared" si="61"/>
        <v>PA</v>
      </c>
    </row>
    <row r="573" spans="1:19" x14ac:dyDescent="0.3">
      <c r="A573" t="s">
        <v>12</v>
      </c>
      <c r="B573">
        <v>2016110013</v>
      </c>
      <c r="C573" t="s">
        <v>212</v>
      </c>
      <c r="E573" t="s">
        <v>90</v>
      </c>
      <c r="F573" t="s">
        <v>91</v>
      </c>
      <c r="G573">
        <v>2</v>
      </c>
      <c r="H573" t="s">
        <v>524</v>
      </c>
      <c r="I573" s="4">
        <f t="shared" si="62"/>
        <v>2</v>
      </c>
      <c r="J573">
        <f t="shared" si="63"/>
        <v>4</v>
      </c>
      <c r="K573">
        <v>44</v>
      </c>
      <c r="L573">
        <v>20</v>
      </c>
      <c r="M573" s="2">
        <v>2.2000000000000002</v>
      </c>
      <c r="N573" s="2">
        <v>2.0299999999999998</v>
      </c>
      <c r="O573">
        <v>0</v>
      </c>
      <c r="P573">
        <v>1</v>
      </c>
      <c r="Q573" t="s">
        <v>558</v>
      </c>
      <c r="R573" t="s">
        <v>260</v>
      </c>
      <c r="S573" t="str">
        <f t="shared" si="61"/>
        <v>PA</v>
      </c>
    </row>
    <row r="574" spans="1:19" x14ac:dyDescent="0.3">
      <c r="A574" t="s">
        <v>12</v>
      </c>
      <c r="B574">
        <v>2016110013</v>
      </c>
      <c r="C574" t="s">
        <v>212</v>
      </c>
      <c r="E574" t="s">
        <v>139</v>
      </c>
      <c r="F574" t="s">
        <v>140</v>
      </c>
      <c r="G574">
        <v>2</v>
      </c>
      <c r="H574" t="s">
        <v>524</v>
      </c>
      <c r="I574" s="4">
        <f t="shared" si="62"/>
        <v>2</v>
      </c>
      <c r="J574">
        <f t="shared" si="63"/>
        <v>4</v>
      </c>
      <c r="K574">
        <v>34</v>
      </c>
      <c r="L574">
        <v>16</v>
      </c>
      <c r="M574" s="2">
        <v>2.13</v>
      </c>
      <c r="N574" s="2">
        <v>2.0299999999999998</v>
      </c>
      <c r="O574">
        <v>0</v>
      </c>
      <c r="P574">
        <v>2</v>
      </c>
      <c r="Q574" t="s">
        <v>559</v>
      </c>
      <c r="R574" t="s">
        <v>260</v>
      </c>
      <c r="S574" t="str">
        <f t="shared" si="61"/>
        <v>PA</v>
      </c>
    </row>
    <row r="575" spans="1:19" x14ac:dyDescent="0.3">
      <c r="A575" t="s">
        <v>12</v>
      </c>
      <c r="B575">
        <v>2016110013</v>
      </c>
      <c r="C575" t="s">
        <v>212</v>
      </c>
      <c r="E575" t="s">
        <v>192</v>
      </c>
      <c r="F575" t="s">
        <v>106</v>
      </c>
      <c r="G575">
        <v>2</v>
      </c>
      <c r="H575" t="s">
        <v>524</v>
      </c>
      <c r="I575" s="4">
        <f t="shared" si="62"/>
        <v>2</v>
      </c>
      <c r="J575">
        <f t="shared" si="63"/>
        <v>4</v>
      </c>
      <c r="K575">
        <v>28</v>
      </c>
      <c r="L575">
        <v>14</v>
      </c>
      <c r="M575" s="2">
        <v>2</v>
      </c>
      <c r="N575" s="2">
        <v>2.0299999999999998</v>
      </c>
      <c r="O575">
        <v>0</v>
      </c>
      <c r="P575">
        <v>3</v>
      </c>
      <c r="Q575" t="s">
        <v>563</v>
      </c>
      <c r="R575" t="s">
        <v>260</v>
      </c>
      <c r="S575" t="str">
        <f t="shared" si="61"/>
        <v>PA</v>
      </c>
    </row>
    <row r="576" spans="1:19" x14ac:dyDescent="0.3">
      <c r="A576" t="s">
        <v>12</v>
      </c>
      <c r="B576">
        <v>2016110013</v>
      </c>
      <c r="C576" t="s">
        <v>212</v>
      </c>
      <c r="E576" t="s">
        <v>151</v>
      </c>
      <c r="F576" t="s">
        <v>152</v>
      </c>
      <c r="G576">
        <v>2</v>
      </c>
      <c r="H576" t="s">
        <v>524</v>
      </c>
      <c r="I576" s="4">
        <f t="shared" si="62"/>
        <v>2</v>
      </c>
      <c r="J576">
        <f t="shared" si="63"/>
        <v>4</v>
      </c>
      <c r="K576">
        <v>44</v>
      </c>
      <c r="L576">
        <v>20</v>
      </c>
      <c r="M576" s="2">
        <v>2.2000000000000002</v>
      </c>
      <c r="N576" s="2">
        <v>2.0299999999999998</v>
      </c>
      <c r="O576">
        <v>0</v>
      </c>
      <c r="P576">
        <v>1</v>
      </c>
      <c r="Q576" t="s">
        <v>558</v>
      </c>
      <c r="R576" t="s">
        <v>260</v>
      </c>
      <c r="S576" t="str">
        <f t="shared" si="61"/>
        <v>PA</v>
      </c>
    </row>
    <row r="577" spans="1:19" x14ac:dyDescent="0.3">
      <c r="A577" t="s">
        <v>12</v>
      </c>
      <c r="B577">
        <v>2016110013</v>
      </c>
      <c r="C577" t="s">
        <v>212</v>
      </c>
      <c r="E577" t="s">
        <v>205</v>
      </c>
      <c r="F577" t="s">
        <v>116</v>
      </c>
      <c r="G577">
        <v>4</v>
      </c>
      <c r="H577" t="s">
        <v>524</v>
      </c>
      <c r="I577" s="4">
        <f t="shared" si="62"/>
        <v>2</v>
      </c>
      <c r="J577">
        <f t="shared" si="63"/>
        <v>8</v>
      </c>
      <c r="K577">
        <v>28</v>
      </c>
      <c r="L577">
        <v>14</v>
      </c>
      <c r="M577" s="2">
        <v>2</v>
      </c>
      <c r="N577" s="2">
        <v>2.0299999999999998</v>
      </c>
      <c r="O577">
        <v>0</v>
      </c>
      <c r="P577">
        <v>3</v>
      </c>
      <c r="Q577" t="s">
        <v>563</v>
      </c>
      <c r="R577" t="s">
        <v>260</v>
      </c>
      <c r="S577" t="str">
        <f t="shared" si="61"/>
        <v>PA</v>
      </c>
    </row>
    <row r="578" spans="1:19" x14ac:dyDescent="0.3">
      <c r="A578" t="s">
        <v>12</v>
      </c>
      <c r="B578">
        <v>2016110013</v>
      </c>
      <c r="C578" t="s">
        <v>212</v>
      </c>
      <c r="E578" t="s">
        <v>437</v>
      </c>
      <c r="F578" t="s">
        <v>169</v>
      </c>
      <c r="G578">
        <v>4</v>
      </c>
      <c r="H578" t="s">
        <v>524</v>
      </c>
      <c r="I578" s="4">
        <f t="shared" si="62"/>
        <v>2</v>
      </c>
      <c r="J578">
        <f t="shared" si="63"/>
        <v>8</v>
      </c>
      <c r="K578">
        <v>44</v>
      </c>
      <c r="L578">
        <v>20</v>
      </c>
      <c r="M578" s="2">
        <v>2.2000000000000002</v>
      </c>
      <c r="N578" s="2">
        <v>2.0299999999999998</v>
      </c>
      <c r="O578">
        <v>0</v>
      </c>
      <c r="P578">
        <v>1</v>
      </c>
      <c r="Q578" t="s">
        <v>558</v>
      </c>
      <c r="R578" t="s">
        <v>260</v>
      </c>
      <c r="S578" t="str">
        <f t="shared" si="61"/>
        <v>PA</v>
      </c>
    </row>
    <row r="579" spans="1:19" x14ac:dyDescent="0.3">
      <c r="A579" t="s">
        <v>12</v>
      </c>
      <c r="B579">
        <v>2016110013</v>
      </c>
      <c r="C579" t="s">
        <v>212</v>
      </c>
      <c r="E579" t="s">
        <v>97</v>
      </c>
      <c r="F579" t="s">
        <v>98</v>
      </c>
      <c r="G579">
        <v>4</v>
      </c>
      <c r="H579" t="s">
        <v>524</v>
      </c>
      <c r="I579" s="4">
        <f t="shared" si="62"/>
        <v>2</v>
      </c>
      <c r="J579">
        <f t="shared" si="63"/>
        <v>8</v>
      </c>
      <c r="K579">
        <v>34</v>
      </c>
      <c r="L579">
        <v>16</v>
      </c>
      <c r="M579" s="2">
        <v>2.13</v>
      </c>
      <c r="N579" s="2">
        <v>2.0299999999999998</v>
      </c>
      <c r="O579">
        <v>0</v>
      </c>
      <c r="P579">
        <v>2</v>
      </c>
      <c r="Q579" t="s">
        <v>559</v>
      </c>
      <c r="R579" t="s">
        <v>260</v>
      </c>
      <c r="S579" t="str">
        <f t="shared" si="61"/>
        <v>PA</v>
      </c>
    </row>
    <row r="580" spans="1:19" x14ac:dyDescent="0.3">
      <c r="A580" t="s">
        <v>12</v>
      </c>
      <c r="B580">
        <v>2016110013</v>
      </c>
      <c r="C580" t="s">
        <v>212</v>
      </c>
      <c r="E580" t="s">
        <v>290</v>
      </c>
      <c r="F580" t="s">
        <v>327</v>
      </c>
      <c r="G580">
        <v>4</v>
      </c>
      <c r="H580" t="s">
        <v>524</v>
      </c>
      <c r="I580" s="4">
        <f t="shared" si="62"/>
        <v>2</v>
      </c>
      <c r="J580">
        <f t="shared" si="63"/>
        <v>8</v>
      </c>
      <c r="K580">
        <v>34</v>
      </c>
      <c r="L580">
        <v>16</v>
      </c>
      <c r="M580" s="2">
        <v>2.13</v>
      </c>
      <c r="N580" s="2">
        <v>2.0299999999999998</v>
      </c>
      <c r="O580">
        <v>0</v>
      </c>
      <c r="P580">
        <v>2</v>
      </c>
      <c r="Q580" t="s">
        <v>559</v>
      </c>
      <c r="R580" t="s">
        <v>260</v>
      </c>
      <c r="S580" t="str">
        <f t="shared" si="61"/>
        <v>PA</v>
      </c>
    </row>
    <row r="581" spans="1:19" x14ac:dyDescent="0.3">
      <c r="A581" t="s">
        <v>12</v>
      </c>
      <c r="B581">
        <v>2016110013</v>
      </c>
      <c r="C581" t="s">
        <v>212</v>
      </c>
      <c r="E581" t="s">
        <v>103</v>
      </c>
      <c r="F581" t="s">
        <v>104</v>
      </c>
      <c r="G581">
        <v>4</v>
      </c>
      <c r="H581" t="s">
        <v>524</v>
      </c>
      <c r="I581" s="4">
        <f t="shared" si="62"/>
        <v>2</v>
      </c>
      <c r="J581">
        <f t="shared" si="63"/>
        <v>8</v>
      </c>
      <c r="K581">
        <v>34</v>
      </c>
      <c r="L581">
        <v>16</v>
      </c>
      <c r="M581" s="2">
        <v>2.13</v>
      </c>
      <c r="N581" s="2">
        <v>2.0299999999999998</v>
      </c>
      <c r="O581">
        <v>0</v>
      </c>
      <c r="P581">
        <v>2</v>
      </c>
      <c r="Q581" t="s">
        <v>559</v>
      </c>
      <c r="R581" t="s">
        <v>260</v>
      </c>
      <c r="S581" t="str">
        <f t="shared" si="61"/>
        <v>PA</v>
      </c>
    </row>
    <row r="582" spans="1:19" x14ac:dyDescent="0.3">
      <c r="A582" t="s">
        <v>12</v>
      </c>
      <c r="B582">
        <v>2016110013</v>
      </c>
      <c r="C582" t="s">
        <v>212</v>
      </c>
      <c r="E582" t="s">
        <v>374</v>
      </c>
      <c r="F582" t="s">
        <v>375</v>
      </c>
      <c r="G582">
        <v>2</v>
      </c>
      <c r="H582" t="s">
        <v>535</v>
      </c>
      <c r="I582" s="4">
        <f t="shared" si="62"/>
        <v>1</v>
      </c>
      <c r="J582">
        <f t="shared" si="63"/>
        <v>2</v>
      </c>
      <c r="K582">
        <v>32</v>
      </c>
      <c r="L582">
        <v>18</v>
      </c>
      <c r="M582" s="2">
        <v>1.78</v>
      </c>
      <c r="N582" s="2">
        <v>2.0299999999999998</v>
      </c>
      <c r="O582">
        <v>0</v>
      </c>
      <c r="P582">
        <v>4</v>
      </c>
      <c r="Q582" t="s">
        <v>565</v>
      </c>
      <c r="R582" t="s">
        <v>535</v>
      </c>
      <c r="S582" t="str">
        <f t="shared" si="61"/>
        <v>FA</v>
      </c>
    </row>
    <row r="583" spans="1:19" x14ac:dyDescent="0.3">
      <c r="A583" t="s">
        <v>12</v>
      </c>
      <c r="B583">
        <v>2016110013</v>
      </c>
      <c r="C583" t="s">
        <v>212</v>
      </c>
      <c r="E583" t="s">
        <v>122</v>
      </c>
      <c r="F583" t="s">
        <v>123</v>
      </c>
      <c r="G583">
        <v>4</v>
      </c>
      <c r="H583" t="s">
        <v>535</v>
      </c>
      <c r="I583" s="4">
        <f t="shared" si="62"/>
        <v>1</v>
      </c>
      <c r="J583">
        <f t="shared" si="63"/>
        <v>4</v>
      </c>
      <c r="K583">
        <v>44</v>
      </c>
      <c r="L583">
        <v>20</v>
      </c>
      <c r="M583" s="2">
        <v>2.2000000000000002</v>
      </c>
      <c r="N583" s="2">
        <v>2.0299999999999998</v>
      </c>
      <c r="O583">
        <v>0</v>
      </c>
      <c r="P583">
        <v>1</v>
      </c>
      <c r="Q583" t="s">
        <v>558</v>
      </c>
      <c r="R583" t="s">
        <v>260</v>
      </c>
      <c r="S583" t="str">
        <f t="shared" si="61"/>
        <v>FA</v>
      </c>
    </row>
    <row r="584" spans="1:19" x14ac:dyDescent="0.3">
      <c r="A584" t="s">
        <v>12</v>
      </c>
      <c r="B584">
        <v>2016110013</v>
      </c>
      <c r="C584" t="s">
        <v>212</v>
      </c>
      <c r="E584" t="s">
        <v>348</v>
      </c>
      <c r="F584" t="s">
        <v>402</v>
      </c>
      <c r="G584">
        <v>4</v>
      </c>
      <c r="H584" t="s">
        <v>539</v>
      </c>
      <c r="I584" s="4">
        <f t="shared" si="62"/>
        <v>0</v>
      </c>
      <c r="J584">
        <f t="shared" si="63"/>
        <v>0</v>
      </c>
      <c r="K584">
        <v>32</v>
      </c>
      <c r="L584">
        <v>18</v>
      </c>
      <c r="M584" s="2">
        <v>1.78</v>
      </c>
      <c r="N584" s="2">
        <v>2.0299999999999998</v>
      </c>
      <c r="O584">
        <v>0</v>
      </c>
      <c r="P584">
        <v>4</v>
      </c>
      <c r="Q584" t="s">
        <v>565</v>
      </c>
      <c r="R584" t="s">
        <v>535</v>
      </c>
      <c r="S584" t="str">
        <f t="shared" si="61"/>
        <v>FA</v>
      </c>
    </row>
    <row r="585" spans="1:19" x14ac:dyDescent="0.3">
      <c r="A585" t="s">
        <v>12</v>
      </c>
      <c r="B585">
        <v>2016110014</v>
      </c>
      <c r="C585" t="s">
        <v>49</v>
      </c>
      <c r="E585" t="s">
        <v>39</v>
      </c>
      <c r="F585" t="s">
        <v>11</v>
      </c>
      <c r="G585">
        <v>2</v>
      </c>
      <c r="J585">
        <v>0</v>
      </c>
      <c r="K585">
        <v>46</v>
      </c>
      <c r="L585">
        <v>16</v>
      </c>
      <c r="M585" s="2">
        <v>2.88</v>
      </c>
      <c r="N585" s="2">
        <v>3.01</v>
      </c>
      <c r="O585">
        <v>0</v>
      </c>
      <c r="P585">
        <v>7</v>
      </c>
      <c r="Q585" t="s">
        <v>568</v>
      </c>
      <c r="R585" t="s">
        <v>260</v>
      </c>
      <c r="S585" t="s">
        <v>595</v>
      </c>
    </row>
    <row r="586" spans="1:19" x14ac:dyDescent="0.3">
      <c r="A586" t="s">
        <v>12</v>
      </c>
      <c r="B586">
        <v>2016110014</v>
      </c>
      <c r="C586" t="s">
        <v>49</v>
      </c>
      <c r="E586" t="s">
        <v>39</v>
      </c>
      <c r="F586" t="s">
        <v>11</v>
      </c>
      <c r="G586">
        <v>2</v>
      </c>
      <c r="H586" t="s">
        <v>438</v>
      </c>
      <c r="I586" s="4">
        <f t="shared" ref="I586" si="64">IF(H586="A",4,IF(H586="B",3,IF(H586="C",2,IF(H586="D",1,0))))</f>
        <v>3</v>
      </c>
      <c r="J586">
        <f t="shared" ref="J586" si="65">G586*I586</f>
        <v>6</v>
      </c>
      <c r="K586">
        <v>4</v>
      </c>
      <c r="L586">
        <v>2</v>
      </c>
      <c r="M586" s="2">
        <v>2</v>
      </c>
      <c r="N586" s="2">
        <v>3.01</v>
      </c>
      <c r="O586">
        <v>1</v>
      </c>
      <c r="P586">
        <v>8</v>
      </c>
      <c r="Q586" t="s">
        <v>569</v>
      </c>
      <c r="R586" t="s">
        <v>596</v>
      </c>
      <c r="S586" t="str">
        <f t="shared" ref="S586:S649" si="66">IF(OR(H586="A",H586="B",H586="C"),"PA","FA")</f>
        <v>PA</v>
      </c>
    </row>
    <row r="587" spans="1:19" x14ac:dyDescent="0.3">
      <c r="A587" t="s">
        <v>12</v>
      </c>
      <c r="B587">
        <v>2016110014</v>
      </c>
      <c r="C587" t="s">
        <v>49</v>
      </c>
      <c r="E587" t="s">
        <v>31</v>
      </c>
      <c r="F587" t="s">
        <v>20</v>
      </c>
      <c r="G587">
        <v>4</v>
      </c>
      <c r="H587" t="s">
        <v>524</v>
      </c>
      <c r="I587" s="4">
        <f t="shared" ref="I587:I650" si="67">IF(H587="A",4,IF(H587="B",3,IF(H587="C",2,IF(H587="D",1,0))))</f>
        <v>2</v>
      </c>
      <c r="J587">
        <f t="shared" ref="J587:J650" si="68">G587*I587</f>
        <v>8</v>
      </c>
      <c r="K587">
        <v>4</v>
      </c>
      <c r="L587">
        <v>2</v>
      </c>
      <c r="M587" s="2">
        <v>2</v>
      </c>
      <c r="N587" s="2">
        <v>3.01</v>
      </c>
      <c r="O587">
        <v>0</v>
      </c>
      <c r="P587">
        <v>8</v>
      </c>
      <c r="Q587" t="s">
        <v>569</v>
      </c>
      <c r="R587" t="s">
        <v>596</v>
      </c>
      <c r="S587" t="str">
        <f t="shared" si="66"/>
        <v>PA</v>
      </c>
    </row>
    <row r="588" spans="1:19" x14ac:dyDescent="0.3">
      <c r="A588" t="s">
        <v>12</v>
      </c>
      <c r="B588">
        <v>2016110014</v>
      </c>
      <c r="C588" t="s">
        <v>49</v>
      </c>
      <c r="E588" t="s">
        <v>170</v>
      </c>
      <c r="F588" t="s">
        <v>171</v>
      </c>
      <c r="G588">
        <v>4</v>
      </c>
      <c r="H588" t="s">
        <v>260</v>
      </c>
      <c r="I588" s="4">
        <f t="shared" si="67"/>
        <v>4</v>
      </c>
      <c r="J588">
        <f t="shared" si="68"/>
        <v>16</v>
      </c>
      <c r="K588">
        <v>80</v>
      </c>
      <c r="L588">
        <v>24</v>
      </c>
      <c r="M588" s="2">
        <v>3.33</v>
      </c>
      <c r="N588" s="2">
        <v>3.01</v>
      </c>
      <c r="O588">
        <v>0</v>
      </c>
      <c r="P588">
        <v>3</v>
      </c>
      <c r="Q588" t="s">
        <v>563</v>
      </c>
      <c r="R588" t="s">
        <v>260</v>
      </c>
      <c r="S588" t="str">
        <f t="shared" si="66"/>
        <v>PA</v>
      </c>
    </row>
    <row r="589" spans="1:19" x14ac:dyDescent="0.3">
      <c r="A589" t="s">
        <v>12</v>
      </c>
      <c r="B589">
        <v>2016110014</v>
      </c>
      <c r="C589" t="s">
        <v>49</v>
      </c>
      <c r="E589" t="s">
        <v>131</v>
      </c>
      <c r="F589" t="s">
        <v>132</v>
      </c>
      <c r="G589">
        <v>2</v>
      </c>
      <c r="H589" t="s">
        <v>260</v>
      </c>
      <c r="I589" s="4">
        <f t="shared" si="67"/>
        <v>4</v>
      </c>
      <c r="J589">
        <f t="shared" si="68"/>
        <v>8</v>
      </c>
      <c r="K589">
        <v>66</v>
      </c>
      <c r="L589">
        <v>20</v>
      </c>
      <c r="M589" s="2">
        <v>3.3</v>
      </c>
      <c r="N589" s="2">
        <v>3.01</v>
      </c>
      <c r="O589">
        <v>0</v>
      </c>
      <c r="P589">
        <v>1</v>
      </c>
      <c r="Q589" t="s">
        <v>558</v>
      </c>
      <c r="R589" t="s">
        <v>260</v>
      </c>
      <c r="S589" t="str">
        <f t="shared" si="66"/>
        <v>PA</v>
      </c>
    </row>
    <row r="590" spans="1:19" x14ac:dyDescent="0.3">
      <c r="A590" t="s">
        <v>12</v>
      </c>
      <c r="B590">
        <v>2016110014</v>
      </c>
      <c r="C590" t="s">
        <v>49</v>
      </c>
      <c r="E590" t="s">
        <v>103</v>
      </c>
      <c r="F590" t="s">
        <v>104</v>
      </c>
      <c r="G590">
        <v>4</v>
      </c>
      <c r="H590" t="s">
        <v>260</v>
      </c>
      <c r="I590" s="4">
        <f t="shared" si="67"/>
        <v>4</v>
      </c>
      <c r="J590">
        <f t="shared" si="68"/>
        <v>16</v>
      </c>
      <c r="K590">
        <v>62</v>
      </c>
      <c r="L590">
        <v>20</v>
      </c>
      <c r="M590" s="2">
        <v>3.1</v>
      </c>
      <c r="N590" s="2">
        <v>3.01</v>
      </c>
      <c r="O590">
        <v>0</v>
      </c>
      <c r="P590">
        <v>2</v>
      </c>
      <c r="Q590" t="s">
        <v>559</v>
      </c>
      <c r="R590" t="s">
        <v>260</v>
      </c>
      <c r="S590" t="str">
        <f t="shared" si="66"/>
        <v>PA</v>
      </c>
    </row>
    <row r="591" spans="1:19" x14ac:dyDescent="0.3">
      <c r="A591" t="s">
        <v>12</v>
      </c>
      <c r="B591">
        <v>2016110014</v>
      </c>
      <c r="C591" t="s">
        <v>49</v>
      </c>
      <c r="E591" t="s">
        <v>151</v>
      </c>
      <c r="F591" t="s">
        <v>152</v>
      </c>
      <c r="G591">
        <v>2</v>
      </c>
      <c r="H591" t="s">
        <v>260</v>
      </c>
      <c r="I591" s="4">
        <f t="shared" si="67"/>
        <v>4</v>
      </c>
      <c r="J591">
        <f t="shared" si="68"/>
        <v>8</v>
      </c>
      <c r="K591">
        <v>66</v>
      </c>
      <c r="L591">
        <v>20</v>
      </c>
      <c r="M591" s="2">
        <v>3.3</v>
      </c>
      <c r="N591" s="2">
        <v>3.01</v>
      </c>
      <c r="O591">
        <v>0</v>
      </c>
      <c r="P591">
        <v>1</v>
      </c>
      <c r="Q591" t="s">
        <v>558</v>
      </c>
      <c r="R591" t="s">
        <v>260</v>
      </c>
      <c r="S591" t="str">
        <f t="shared" si="66"/>
        <v>PA</v>
      </c>
    </row>
    <row r="592" spans="1:19" x14ac:dyDescent="0.3">
      <c r="A592" t="s">
        <v>12</v>
      </c>
      <c r="B592">
        <v>2016110014</v>
      </c>
      <c r="C592" t="s">
        <v>49</v>
      </c>
      <c r="E592" t="s">
        <v>77</v>
      </c>
      <c r="F592" t="s">
        <v>78</v>
      </c>
      <c r="G592">
        <v>2</v>
      </c>
      <c r="H592" t="s">
        <v>260</v>
      </c>
      <c r="I592" s="4">
        <f t="shared" si="67"/>
        <v>4</v>
      </c>
      <c r="J592">
        <f t="shared" si="68"/>
        <v>8</v>
      </c>
      <c r="K592">
        <v>66</v>
      </c>
      <c r="L592">
        <v>20</v>
      </c>
      <c r="M592" s="2">
        <v>3.3</v>
      </c>
      <c r="N592" s="2">
        <v>3.01</v>
      </c>
      <c r="O592">
        <v>0</v>
      </c>
      <c r="P592">
        <v>1</v>
      </c>
      <c r="Q592" t="s">
        <v>558</v>
      </c>
      <c r="R592" t="s">
        <v>260</v>
      </c>
      <c r="S592" t="str">
        <f t="shared" si="66"/>
        <v>PA</v>
      </c>
    </row>
    <row r="593" spans="1:19" x14ac:dyDescent="0.3">
      <c r="A593" t="s">
        <v>12</v>
      </c>
      <c r="B593">
        <v>2016110014</v>
      </c>
      <c r="C593" t="s">
        <v>49</v>
      </c>
      <c r="E593" t="s">
        <v>297</v>
      </c>
      <c r="F593" t="s">
        <v>342</v>
      </c>
      <c r="G593">
        <v>4</v>
      </c>
      <c r="H593" t="s">
        <v>260</v>
      </c>
      <c r="I593" s="4">
        <f t="shared" si="67"/>
        <v>4</v>
      </c>
      <c r="J593">
        <f t="shared" si="68"/>
        <v>16</v>
      </c>
      <c r="K593">
        <v>62</v>
      </c>
      <c r="L593">
        <v>20</v>
      </c>
      <c r="M593" s="2">
        <v>3.1</v>
      </c>
      <c r="N593" s="2">
        <v>3.01</v>
      </c>
      <c r="O593">
        <v>0</v>
      </c>
      <c r="P593">
        <v>6</v>
      </c>
      <c r="Q593" t="s">
        <v>567</v>
      </c>
      <c r="R593" t="s">
        <v>260</v>
      </c>
      <c r="S593" t="str">
        <f t="shared" si="66"/>
        <v>PA</v>
      </c>
    </row>
    <row r="594" spans="1:19" x14ac:dyDescent="0.3">
      <c r="A594" t="s">
        <v>12</v>
      </c>
      <c r="B594">
        <v>2016110014</v>
      </c>
      <c r="C594" t="s">
        <v>49</v>
      </c>
      <c r="E594" t="s">
        <v>370</v>
      </c>
      <c r="F594" t="s">
        <v>371</v>
      </c>
      <c r="G594">
        <v>2</v>
      </c>
      <c r="H594" t="s">
        <v>260</v>
      </c>
      <c r="I594" s="4">
        <f t="shared" si="67"/>
        <v>4</v>
      </c>
      <c r="J594">
        <f t="shared" si="68"/>
        <v>8</v>
      </c>
      <c r="K594">
        <v>46</v>
      </c>
      <c r="L594">
        <v>16</v>
      </c>
      <c r="M594" s="2">
        <v>2.88</v>
      </c>
      <c r="N594" s="2">
        <v>3.01</v>
      </c>
      <c r="O594">
        <v>0</v>
      </c>
      <c r="P594">
        <v>7</v>
      </c>
      <c r="Q594" t="s">
        <v>568</v>
      </c>
      <c r="R594" t="s">
        <v>260</v>
      </c>
      <c r="S594" t="str">
        <f t="shared" si="66"/>
        <v>PA</v>
      </c>
    </row>
    <row r="595" spans="1:19" x14ac:dyDescent="0.3">
      <c r="A595" t="s">
        <v>12</v>
      </c>
      <c r="B595">
        <v>2016110014</v>
      </c>
      <c r="C595" t="s">
        <v>49</v>
      </c>
      <c r="E595" t="s">
        <v>279</v>
      </c>
      <c r="F595" t="s">
        <v>280</v>
      </c>
      <c r="G595">
        <v>2</v>
      </c>
      <c r="H595" t="s">
        <v>260</v>
      </c>
      <c r="I595" s="4">
        <f t="shared" si="67"/>
        <v>4</v>
      </c>
      <c r="J595">
        <f t="shared" si="68"/>
        <v>8</v>
      </c>
      <c r="K595">
        <v>62</v>
      </c>
      <c r="L595">
        <v>20</v>
      </c>
      <c r="M595" s="2">
        <v>3.1</v>
      </c>
      <c r="N595" s="2">
        <v>3.01</v>
      </c>
      <c r="O595">
        <v>0</v>
      </c>
      <c r="P595">
        <v>2</v>
      </c>
      <c r="Q595" t="s">
        <v>559</v>
      </c>
      <c r="R595" t="s">
        <v>260</v>
      </c>
      <c r="S595" t="str">
        <f t="shared" si="66"/>
        <v>PA</v>
      </c>
    </row>
    <row r="596" spans="1:19" x14ac:dyDescent="0.3">
      <c r="A596" t="s">
        <v>12</v>
      </c>
      <c r="B596">
        <v>2016110014</v>
      </c>
      <c r="C596" t="s">
        <v>49</v>
      </c>
      <c r="E596" t="s">
        <v>142</v>
      </c>
      <c r="F596" t="s">
        <v>143</v>
      </c>
      <c r="G596">
        <v>2</v>
      </c>
      <c r="H596" t="s">
        <v>260</v>
      </c>
      <c r="I596" s="4">
        <f t="shared" si="67"/>
        <v>4</v>
      </c>
      <c r="J596">
        <f t="shared" si="68"/>
        <v>8</v>
      </c>
      <c r="K596">
        <v>66</v>
      </c>
      <c r="L596">
        <v>20</v>
      </c>
      <c r="M596" s="2">
        <v>3.3</v>
      </c>
      <c r="N596" s="2">
        <v>3.01</v>
      </c>
      <c r="O596">
        <v>0</v>
      </c>
      <c r="P596">
        <v>1</v>
      </c>
      <c r="Q596" t="s">
        <v>558</v>
      </c>
      <c r="R596" t="s">
        <v>260</v>
      </c>
      <c r="S596" t="str">
        <f t="shared" si="66"/>
        <v>PA</v>
      </c>
    </row>
    <row r="597" spans="1:19" x14ac:dyDescent="0.3">
      <c r="A597" t="s">
        <v>12</v>
      </c>
      <c r="B597">
        <v>2016110014</v>
      </c>
      <c r="C597" t="s">
        <v>49</v>
      </c>
      <c r="E597" t="s">
        <v>293</v>
      </c>
      <c r="F597" t="s">
        <v>294</v>
      </c>
      <c r="G597">
        <v>2</v>
      </c>
      <c r="H597" t="s">
        <v>260</v>
      </c>
      <c r="I597" s="4">
        <f t="shared" si="67"/>
        <v>4</v>
      </c>
      <c r="J597">
        <f t="shared" si="68"/>
        <v>8</v>
      </c>
      <c r="K597">
        <v>40</v>
      </c>
      <c r="L597">
        <v>14</v>
      </c>
      <c r="M597" s="2">
        <v>2.86</v>
      </c>
      <c r="N597" s="2">
        <v>3.01</v>
      </c>
      <c r="O597">
        <v>0</v>
      </c>
      <c r="P597">
        <v>5</v>
      </c>
      <c r="Q597" t="s">
        <v>566</v>
      </c>
      <c r="R597" t="s">
        <v>260</v>
      </c>
      <c r="S597" t="str">
        <f t="shared" si="66"/>
        <v>PA</v>
      </c>
    </row>
    <row r="598" spans="1:19" x14ac:dyDescent="0.3">
      <c r="A598" t="s">
        <v>12</v>
      </c>
      <c r="B598">
        <v>2016110014</v>
      </c>
      <c r="C598" t="s">
        <v>49</v>
      </c>
      <c r="E598" t="s">
        <v>190</v>
      </c>
      <c r="F598" t="s">
        <v>191</v>
      </c>
      <c r="G598">
        <v>4</v>
      </c>
      <c r="H598" t="s">
        <v>260</v>
      </c>
      <c r="I598" s="4">
        <f t="shared" si="67"/>
        <v>4</v>
      </c>
      <c r="J598">
        <f t="shared" si="68"/>
        <v>16</v>
      </c>
      <c r="K598">
        <v>80</v>
      </c>
      <c r="L598">
        <v>24</v>
      </c>
      <c r="M598" s="2">
        <v>3.33</v>
      </c>
      <c r="N598" s="2">
        <v>3.01</v>
      </c>
      <c r="O598">
        <v>0</v>
      </c>
      <c r="P598">
        <v>3</v>
      </c>
      <c r="Q598" t="s">
        <v>563</v>
      </c>
      <c r="R598" t="s">
        <v>260</v>
      </c>
      <c r="S598" t="str">
        <f t="shared" si="66"/>
        <v>PA</v>
      </c>
    </row>
    <row r="599" spans="1:19" x14ac:dyDescent="0.3">
      <c r="A599" t="s">
        <v>12</v>
      </c>
      <c r="B599">
        <v>2016110014</v>
      </c>
      <c r="C599" t="s">
        <v>49</v>
      </c>
      <c r="E599" t="s">
        <v>387</v>
      </c>
      <c r="F599" t="s">
        <v>388</v>
      </c>
      <c r="G599">
        <v>2</v>
      </c>
      <c r="H599" t="s">
        <v>260</v>
      </c>
      <c r="I599" s="4">
        <f t="shared" si="67"/>
        <v>4</v>
      </c>
      <c r="J599">
        <f t="shared" si="68"/>
        <v>8</v>
      </c>
      <c r="K599">
        <v>62</v>
      </c>
      <c r="L599">
        <v>20</v>
      </c>
      <c r="M599" s="2">
        <v>3.1</v>
      </c>
      <c r="N599" s="2">
        <v>3.01</v>
      </c>
      <c r="O599">
        <v>0</v>
      </c>
      <c r="P599">
        <v>6</v>
      </c>
      <c r="Q599" t="s">
        <v>567</v>
      </c>
      <c r="R599" t="s">
        <v>260</v>
      </c>
      <c r="S599" t="str">
        <f t="shared" si="66"/>
        <v>PA</v>
      </c>
    </row>
    <row r="600" spans="1:19" x14ac:dyDescent="0.3">
      <c r="A600" t="s">
        <v>12</v>
      </c>
      <c r="B600">
        <v>2016110014</v>
      </c>
      <c r="C600" t="s">
        <v>49</v>
      </c>
      <c r="E600" t="s">
        <v>262</v>
      </c>
      <c r="F600" t="s">
        <v>263</v>
      </c>
      <c r="G600">
        <v>2</v>
      </c>
      <c r="H600" t="s">
        <v>438</v>
      </c>
      <c r="I600" s="4">
        <f t="shared" si="67"/>
        <v>3</v>
      </c>
      <c r="J600">
        <f t="shared" si="68"/>
        <v>6</v>
      </c>
      <c r="K600">
        <v>62</v>
      </c>
      <c r="L600">
        <v>20</v>
      </c>
      <c r="M600" s="2">
        <v>3.1</v>
      </c>
      <c r="N600" s="2">
        <v>3.01</v>
      </c>
      <c r="O600">
        <v>0</v>
      </c>
      <c r="P600">
        <v>6</v>
      </c>
      <c r="Q600" t="s">
        <v>567</v>
      </c>
      <c r="R600" t="s">
        <v>260</v>
      </c>
      <c r="S600" t="str">
        <f t="shared" si="66"/>
        <v>PA</v>
      </c>
    </row>
    <row r="601" spans="1:19" x14ac:dyDescent="0.3">
      <c r="A601" t="s">
        <v>12</v>
      </c>
      <c r="B601">
        <v>2016110014</v>
      </c>
      <c r="C601" t="s">
        <v>49</v>
      </c>
      <c r="E601" t="s">
        <v>290</v>
      </c>
      <c r="F601" t="s">
        <v>327</v>
      </c>
      <c r="G601">
        <v>4</v>
      </c>
      <c r="H601" t="s">
        <v>438</v>
      </c>
      <c r="I601" s="4">
        <f t="shared" si="67"/>
        <v>3</v>
      </c>
      <c r="J601">
        <f t="shared" si="68"/>
        <v>12</v>
      </c>
      <c r="K601">
        <v>62</v>
      </c>
      <c r="L601">
        <v>20</v>
      </c>
      <c r="M601" s="2">
        <v>3.1</v>
      </c>
      <c r="N601" s="2">
        <v>3.01</v>
      </c>
      <c r="O601">
        <v>0</v>
      </c>
      <c r="P601">
        <v>2</v>
      </c>
      <c r="Q601" t="s">
        <v>559</v>
      </c>
      <c r="R601" t="s">
        <v>260</v>
      </c>
      <c r="S601" t="str">
        <f t="shared" si="66"/>
        <v>PA</v>
      </c>
    </row>
    <row r="602" spans="1:19" x14ac:dyDescent="0.3">
      <c r="A602" t="s">
        <v>12</v>
      </c>
      <c r="B602">
        <v>2016110014</v>
      </c>
      <c r="C602" t="s">
        <v>49</v>
      </c>
      <c r="E602" t="s">
        <v>446</v>
      </c>
      <c r="F602" t="s">
        <v>447</v>
      </c>
      <c r="G602">
        <v>2</v>
      </c>
      <c r="H602" t="s">
        <v>438</v>
      </c>
      <c r="I602" s="4">
        <f t="shared" si="67"/>
        <v>3</v>
      </c>
      <c r="J602">
        <f t="shared" si="68"/>
        <v>6</v>
      </c>
      <c r="K602">
        <v>62</v>
      </c>
      <c r="L602">
        <v>20</v>
      </c>
      <c r="M602" s="2">
        <v>3.1</v>
      </c>
      <c r="N602" s="2">
        <v>3.01</v>
      </c>
      <c r="O602">
        <v>0</v>
      </c>
      <c r="P602">
        <v>6</v>
      </c>
      <c r="Q602" t="s">
        <v>567</v>
      </c>
      <c r="R602" t="s">
        <v>260</v>
      </c>
      <c r="S602" t="str">
        <f t="shared" si="66"/>
        <v>PA</v>
      </c>
    </row>
    <row r="603" spans="1:19" x14ac:dyDescent="0.3">
      <c r="A603" t="s">
        <v>12</v>
      </c>
      <c r="B603">
        <v>2016110014</v>
      </c>
      <c r="C603" t="s">
        <v>49</v>
      </c>
      <c r="E603" t="s">
        <v>248</v>
      </c>
      <c r="F603" t="s">
        <v>249</v>
      </c>
      <c r="G603">
        <v>2</v>
      </c>
      <c r="H603" t="s">
        <v>438</v>
      </c>
      <c r="I603" s="4">
        <f t="shared" si="67"/>
        <v>3</v>
      </c>
      <c r="J603">
        <f t="shared" si="68"/>
        <v>6</v>
      </c>
      <c r="K603">
        <v>38</v>
      </c>
      <c r="L603">
        <v>24</v>
      </c>
      <c r="M603" s="2">
        <v>1.58</v>
      </c>
      <c r="N603" s="2">
        <v>3.01</v>
      </c>
      <c r="O603">
        <v>0</v>
      </c>
      <c r="P603">
        <v>4</v>
      </c>
      <c r="Q603" t="s">
        <v>565</v>
      </c>
      <c r="R603" t="s">
        <v>260</v>
      </c>
      <c r="S603" t="str">
        <f t="shared" si="66"/>
        <v>PA</v>
      </c>
    </row>
    <row r="604" spans="1:19" x14ac:dyDescent="0.3">
      <c r="A604" t="s">
        <v>12</v>
      </c>
      <c r="B604">
        <v>2016110014</v>
      </c>
      <c r="C604" t="s">
        <v>49</v>
      </c>
      <c r="E604" t="s">
        <v>306</v>
      </c>
      <c r="F604" t="s">
        <v>307</v>
      </c>
      <c r="G604">
        <v>2</v>
      </c>
      <c r="H604" t="s">
        <v>438</v>
      </c>
      <c r="I604" s="4">
        <f t="shared" si="67"/>
        <v>3</v>
      </c>
      <c r="J604">
        <f t="shared" si="68"/>
        <v>6</v>
      </c>
      <c r="K604">
        <v>46</v>
      </c>
      <c r="L604">
        <v>16</v>
      </c>
      <c r="M604" s="2">
        <v>2.88</v>
      </c>
      <c r="N604" s="2">
        <v>3.01</v>
      </c>
      <c r="O604">
        <v>0</v>
      </c>
      <c r="P604">
        <v>7</v>
      </c>
      <c r="Q604" t="s">
        <v>568</v>
      </c>
      <c r="R604" t="s">
        <v>260</v>
      </c>
      <c r="S604" t="str">
        <f t="shared" si="66"/>
        <v>PA</v>
      </c>
    </row>
    <row r="605" spans="1:19" x14ac:dyDescent="0.3">
      <c r="A605" t="s">
        <v>12</v>
      </c>
      <c r="B605">
        <v>2016110014</v>
      </c>
      <c r="C605" t="s">
        <v>49</v>
      </c>
      <c r="E605" t="s">
        <v>97</v>
      </c>
      <c r="F605" t="s">
        <v>98</v>
      </c>
      <c r="G605">
        <v>4</v>
      </c>
      <c r="H605" t="s">
        <v>438</v>
      </c>
      <c r="I605" s="4">
        <f t="shared" si="67"/>
        <v>3</v>
      </c>
      <c r="J605">
        <f t="shared" si="68"/>
        <v>12</v>
      </c>
      <c r="K605">
        <v>62</v>
      </c>
      <c r="L605">
        <v>20</v>
      </c>
      <c r="M605" s="2">
        <v>3.1</v>
      </c>
      <c r="N605" s="2">
        <v>3.01</v>
      </c>
      <c r="O605">
        <v>0</v>
      </c>
      <c r="P605">
        <v>2</v>
      </c>
      <c r="Q605" t="s">
        <v>559</v>
      </c>
      <c r="R605" t="s">
        <v>260</v>
      </c>
      <c r="S605" t="str">
        <f t="shared" si="66"/>
        <v>PA</v>
      </c>
    </row>
    <row r="606" spans="1:19" x14ac:dyDescent="0.3">
      <c r="A606" t="s">
        <v>12</v>
      </c>
      <c r="B606">
        <v>2016110014</v>
      </c>
      <c r="C606" t="s">
        <v>49</v>
      </c>
      <c r="E606" t="s">
        <v>344</v>
      </c>
      <c r="F606" t="s">
        <v>345</v>
      </c>
      <c r="G606">
        <v>2</v>
      </c>
      <c r="H606" t="s">
        <v>438</v>
      </c>
      <c r="I606" s="4">
        <f t="shared" si="67"/>
        <v>3</v>
      </c>
      <c r="J606">
        <f t="shared" si="68"/>
        <v>6</v>
      </c>
      <c r="K606">
        <v>46</v>
      </c>
      <c r="L606">
        <v>16</v>
      </c>
      <c r="M606" s="2">
        <v>2.88</v>
      </c>
      <c r="N606" s="2">
        <v>3.01</v>
      </c>
      <c r="O606">
        <v>0</v>
      </c>
      <c r="P606">
        <v>7</v>
      </c>
      <c r="Q606" t="s">
        <v>568</v>
      </c>
      <c r="R606" t="s">
        <v>260</v>
      </c>
      <c r="S606" t="str">
        <f t="shared" si="66"/>
        <v>PA</v>
      </c>
    </row>
    <row r="607" spans="1:19" x14ac:dyDescent="0.3">
      <c r="A607" t="s">
        <v>12</v>
      </c>
      <c r="B607">
        <v>2016110014</v>
      </c>
      <c r="C607" t="s">
        <v>49</v>
      </c>
      <c r="E607" t="s">
        <v>334</v>
      </c>
      <c r="F607" t="s">
        <v>335</v>
      </c>
      <c r="G607">
        <v>2</v>
      </c>
      <c r="H607" t="s">
        <v>438</v>
      </c>
      <c r="I607" s="4">
        <f t="shared" si="67"/>
        <v>3</v>
      </c>
      <c r="J607">
        <f t="shared" si="68"/>
        <v>6</v>
      </c>
      <c r="K607">
        <v>40</v>
      </c>
      <c r="L607">
        <v>14</v>
      </c>
      <c r="M607" s="2">
        <v>2.86</v>
      </c>
      <c r="N607" s="2">
        <v>3.01</v>
      </c>
      <c r="O607">
        <v>0</v>
      </c>
      <c r="P607">
        <v>5</v>
      </c>
      <c r="Q607" t="s">
        <v>566</v>
      </c>
      <c r="R607" t="s">
        <v>260</v>
      </c>
      <c r="S607" t="str">
        <f t="shared" si="66"/>
        <v>PA</v>
      </c>
    </row>
    <row r="608" spans="1:19" x14ac:dyDescent="0.3">
      <c r="A608" t="s">
        <v>12</v>
      </c>
      <c r="B608">
        <v>2016110014</v>
      </c>
      <c r="C608" t="s">
        <v>49</v>
      </c>
      <c r="E608" t="s">
        <v>205</v>
      </c>
      <c r="F608" t="s">
        <v>116</v>
      </c>
      <c r="G608">
        <v>4</v>
      </c>
      <c r="H608" t="s">
        <v>438</v>
      </c>
      <c r="I608" s="4">
        <f t="shared" si="67"/>
        <v>3</v>
      </c>
      <c r="J608">
        <f t="shared" si="68"/>
        <v>12</v>
      </c>
      <c r="K608">
        <v>80</v>
      </c>
      <c r="L608">
        <v>24</v>
      </c>
      <c r="M608" s="2">
        <v>3.33</v>
      </c>
      <c r="N608" s="2">
        <v>3.01</v>
      </c>
      <c r="O608">
        <v>0</v>
      </c>
      <c r="P608">
        <v>3</v>
      </c>
      <c r="Q608" t="s">
        <v>563</v>
      </c>
      <c r="R608" t="s">
        <v>260</v>
      </c>
      <c r="S608" t="str">
        <f t="shared" si="66"/>
        <v>PA</v>
      </c>
    </row>
    <row r="609" spans="1:19" x14ac:dyDescent="0.3">
      <c r="A609" t="s">
        <v>12</v>
      </c>
      <c r="B609">
        <v>2016110014</v>
      </c>
      <c r="C609" t="s">
        <v>49</v>
      </c>
      <c r="E609" t="s">
        <v>122</v>
      </c>
      <c r="F609" t="s">
        <v>123</v>
      </c>
      <c r="G609">
        <v>4</v>
      </c>
      <c r="H609" t="s">
        <v>438</v>
      </c>
      <c r="I609" s="4">
        <f t="shared" si="67"/>
        <v>3</v>
      </c>
      <c r="J609">
        <f t="shared" si="68"/>
        <v>12</v>
      </c>
      <c r="K609">
        <v>66</v>
      </c>
      <c r="L609">
        <v>20</v>
      </c>
      <c r="M609" s="2">
        <v>3.3</v>
      </c>
      <c r="N609" s="2">
        <v>3.01</v>
      </c>
      <c r="O609">
        <v>0</v>
      </c>
      <c r="P609">
        <v>1</v>
      </c>
      <c r="Q609" t="s">
        <v>558</v>
      </c>
      <c r="R609" t="s">
        <v>260</v>
      </c>
      <c r="S609" t="str">
        <f t="shared" si="66"/>
        <v>PA</v>
      </c>
    </row>
    <row r="610" spans="1:19" x14ac:dyDescent="0.3">
      <c r="A610" t="s">
        <v>12</v>
      </c>
      <c r="B610">
        <v>2016110014</v>
      </c>
      <c r="C610" t="s">
        <v>49</v>
      </c>
      <c r="E610" t="s">
        <v>357</v>
      </c>
      <c r="F610" t="s">
        <v>358</v>
      </c>
      <c r="G610">
        <v>4</v>
      </c>
      <c r="H610" t="s">
        <v>438</v>
      </c>
      <c r="I610" s="4">
        <f t="shared" si="67"/>
        <v>3</v>
      </c>
      <c r="J610">
        <f t="shared" si="68"/>
        <v>12</v>
      </c>
      <c r="K610">
        <v>40</v>
      </c>
      <c r="L610">
        <v>14</v>
      </c>
      <c r="M610" s="2">
        <v>2.86</v>
      </c>
      <c r="N610" s="2">
        <v>3.01</v>
      </c>
      <c r="O610">
        <v>0</v>
      </c>
      <c r="P610">
        <v>5</v>
      </c>
      <c r="Q610" t="s">
        <v>566</v>
      </c>
      <c r="R610" t="s">
        <v>260</v>
      </c>
      <c r="S610" t="str">
        <f t="shared" si="66"/>
        <v>PA</v>
      </c>
    </row>
    <row r="611" spans="1:19" x14ac:dyDescent="0.3">
      <c r="A611" t="s">
        <v>12</v>
      </c>
      <c r="B611">
        <v>2016110014</v>
      </c>
      <c r="C611" t="s">
        <v>49</v>
      </c>
      <c r="E611" t="s">
        <v>234</v>
      </c>
      <c r="F611" t="s">
        <v>235</v>
      </c>
      <c r="G611">
        <v>4</v>
      </c>
      <c r="H611" t="s">
        <v>438</v>
      </c>
      <c r="I611" s="4">
        <f t="shared" si="67"/>
        <v>3</v>
      </c>
      <c r="J611">
        <f t="shared" si="68"/>
        <v>12</v>
      </c>
      <c r="K611">
        <v>80</v>
      </c>
      <c r="L611">
        <v>24</v>
      </c>
      <c r="M611" s="2">
        <v>3.33</v>
      </c>
      <c r="N611" s="2">
        <v>3.01</v>
      </c>
      <c r="O611">
        <v>0</v>
      </c>
      <c r="P611">
        <v>3</v>
      </c>
      <c r="Q611" t="s">
        <v>563</v>
      </c>
      <c r="R611" t="s">
        <v>260</v>
      </c>
      <c r="S611" t="str">
        <f t="shared" si="66"/>
        <v>PA</v>
      </c>
    </row>
    <row r="612" spans="1:19" x14ac:dyDescent="0.3">
      <c r="A612" t="s">
        <v>12</v>
      </c>
      <c r="B612">
        <v>2016110014</v>
      </c>
      <c r="C612" t="s">
        <v>49</v>
      </c>
      <c r="E612" t="s">
        <v>236</v>
      </c>
      <c r="F612" t="s">
        <v>237</v>
      </c>
      <c r="G612">
        <v>2</v>
      </c>
      <c r="H612" t="s">
        <v>438</v>
      </c>
      <c r="I612" s="4">
        <f t="shared" si="67"/>
        <v>3</v>
      </c>
      <c r="J612">
        <f t="shared" si="68"/>
        <v>6</v>
      </c>
      <c r="K612">
        <v>40</v>
      </c>
      <c r="L612">
        <v>14</v>
      </c>
      <c r="M612" s="2">
        <v>2.86</v>
      </c>
      <c r="N612" s="2">
        <v>3.01</v>
      </c>
      <c r="O612">
        <v>0</v>
      </c>
      <c r="P612">
        <v>5</v>
      </c>
      <c r="Q612" t="s">
        <v>566</v>
      </c>
      <c r="R612" t="s">
        <v>260</v>
      </c>
      <c r="S612" t="str">
        <f t="shared" si="66"/>
        <v>PA</v>
      </c>
    </row>
    <row r="613" spans="1:19" x14ac:dyDescent="0.3">
      <c r="A613" t="s">
        <v>12</v>
      </c>
      <c r="B613">
        <v>2016110014</v>
      </c>
      <c r="C613" t="s">
        <v>49</v>
      </c>
      <c r="E613" t="s">
        <v>173</v>
      </c>
      <c r="F613" t="s">
        <v>8</v>
      </c>
      <c r="G613">
        <v>2</v>
      </c>
      <c r="H613" t="s">
        <v>438</v>
      </c>
      <c r="I613" s="4">
        <f t="shared" si="67"/>
        <v>3</v>
      </c>
      <c r="J613">
        <f t="shared" si="68"/>
        <v>6</v>
      </c>
      <c r="K613">
        <v>80</v>
      </c>
      <c r="L613">
        <v>24</v>
      </c>
      <c r="M613" s="2">
        <v>3.33</v>
      </c>
      <c r="N613" s="2">
        <v>3.01</v>
      </c>
      <c r="O613">
        <v>0</v>
      </c>
      <c r="P613">
        <v>3</v>
      </c>
      <c r="Q613" t="s">
        <v>563</v>
      </c>
      <c r="R613" t="s">
        <v>260</v>
      </c>
      <c r="S613" t="str">
        <f t="shared" si="66"/>
        <v>PA</v>
      </c>
    </row>
    <row r="614" spans="1:19" x14ac:dyDescent="0.3">
      <c r="A614" t="s">
        <v>12</v>
      </c>
      <c r="B614">
        <v>2016110014</v>
      </c>
      <c r="C614" t="s">
        <v>49</v>
      </c>
      <c r="E614" t="s">
        <v>427</v>
      </c>
      <c r="F614" t="s">
        <v>428</v>
      </c>
      <c r="G614">
        <v>2</v>
      </c>
      <c r="H614" t="s">
        <v>438</v>
      </c>
      <c r="I614" s="4">
        <f t="shared" si="67"/>
        <v>3</v>
      </c>
      <c r="J614">
        <f t="shared" si="68"/>
        <v>6</v>
      </c>
      <c r="K614">
        <v>62</v>
      </c>
      <c r="L614">
        <v>20</v>
      </c>
      <c r="M614" s="2">
        <v>3.1</v>
      </c>
      <c r="N614" s="2">
        <v>3.01</v>
      </c>
      <c r="O614">
        <v>0</v>
      </c>
      <c r="P614">
        <v>6</v>
      </c>
      <c r="Q614" t="s">
        <v>567</v>
      </c>
      <c r="R614" t="s">
        <v>260</v>
      </c>
      <c r="S614" t="str">
        <f t="shared" si="66"/>
        <v>PA</v>
      </c>
    </row>
    <row r="615" spans="1:19" x14ac:dyDescent="0.3">
      <c r="A615" t="s">
        <v>12</v>
      </c>
      <c r="B615">
        <v>2016110014</v>
      </c>
      <c r="C615" t="s">
        <v>49</v>
      </c>
      <c r="E615" t="s">
        <v>283</v>
      </c>
      <c r="F615" t="s">
        <v>284</v>
      </c>
      <c r="G615">
        <v>2</v>
      </c>
      <c r="H615" t="s">
        <v>438</v>
      </c>
      <c r="I615" s="4">
        <f t="shared" si="67"/>
        <v>3</v>
      </c>
      <c r="J615">
        <f t="shared" si="68"/>
        <v>6</v>
      </c>
      <c r="K615">
        <v>80</v>
      </c>
      <c r="L615">
        <v>24</v>
      </c>
      <c r="M615" s="2">
        <v>3.33</v>
      </c>
      <c r="N615" s="2">
        <v>3.01</v>
      </c>
      <c r="O615">
        <v>0</v>
      </c>
      <c r="P615">
        <v>3</v>
      </c>
      <c r="Q615" t="s">
        <v>563</v>
      </c>
      <c r="R615" t="s">
        <v>260</v>
      </c>
      <c r="S615" t="str">
        <f t="shared" si="66"/>
        <v>PA</v>
      </c>
    </row>
    <row r="616" spans="1:19" x14ac:dyDescent="0.3">
      <c r="A616" t="s">
        <v>12</v>
      </c>
      <c r="B616">
        <v>2016110014</v>
      </c>
      <c r="C616" t="s">
        <v>49</v>
      </c>
      <c r="E616" t="s">
        <v>437</v>
      </c>
      <c r="F616" t="s">
        <v>169</v>
      </c>
      <c r="G616">
        <v>4</v>
      </c>
      <c r="H616" t="s">
        <v>438</v>
      </c>
      <c r="I616" s="4">
        <f t="shared" si="67"/>
        <v>3</v>
      </c>
      <c r="J616">
        <f t="shared" si="68"/>
        <v>12</v>
      </c>
      <c r="K616">
        <v>66</v>
      </c>
      <c r="L616">
        <v>20</v>
      </c>
      <c r="M616" s="2">
        <v>3.3</v>
      </c>
      <c r="N616" s="2">
        <v>3.01</v>
      </c>
      <c r="O616">
        <v>0</v>
      </c>
      <c r="P616">
        <v>1</v>
      </c>
      <c r="Q616" t="s">
        <v>558</v>
      </c>
      <c r="R616" t="s">
        <v>260</v>
      </c>
      <c r="S616" t="str">
        <f t="shared" si="66"/>
        <v>PA</v>
      </c>
    </row>
    <row r="617" spans="1:19" x14ac:dyDescent="0.3">
      <c r="A617" t="s">
        <v>12</v>
      </c>
      <c r="B617">
        <v>2016110014</v>
      </c>
      <c r="C617" t="s">
        <v>49</v>
      </c>
      <c r="E617" t="s">
        <v>257</v>
      </c>
      <c r="F617" t="s">
        <v>258</v>
      </c>
      <c r="G617">
        <v>4</v>
      </c>
      <c r="H617" t="s">
        <v>438</v>
      </c>
      <c r="I617" s="4">
        <f t="shared" si="67"/>
        <v>3</v>
      </c>
      <c r="J617">
        <f t="shared" si="68"/>
        <v>12</v>
      </c>
      <c r="K617">
        <v>62</v>
      </c>
      <c r="L617">
        <v>20</v>
      </c>
      <c r="M617" s="2">
        <v>3.1</v>
      </c>
      <c r="N617" s="2">
        <v>3.01</v>
      </c>
      <c r="O617">
        <v>0</v>
      </c>
      <c r="P617">
        <v>6</v>
      </c>
      <c r="Q617" t="s">
        <v>567</v>
      </c>
      <c r="R617" t="s">
        <v>260</v>
      </c>
      <c r="S617" t="str">
        <f t="shared" si="66"/>
        <v>PA</v>
      </c>
    </row>
    <row r="618" spans="1:19" x14ac:dyDescent="0.3">
      <c r="A618" t="s">
        <v>12</v>
      </c>
      <c r="B618">
        <v>2016110014</v>
      </c>
      <c r="C618" t="s">
        <v>49</v>
      </c>
      <c r="E618" t="s">
        <v>139</v>
      </c>
      <c r="F618" t="s">
        <v>140</v>
      </c>
      <c r="G618">
        <v>2</v>
      </c>
      <c r="H618" t="s">
        <v>438</v>
      </c>
      <c r="I618" s="4">
        <f t="shared" si="67"/>
        <v>3</v>
      </c>
      <c r="J618">
        <f t="shared" si="68"/>
        <v>6</v>
      </c>
      <c r="K618">
        <v>62</v>
      </c>
      <c r="L618">
        <v>20</v>
      </c>
      <c r="M618" s="2">
        <v>3.1</v>
      </c>
      <c r="N618" s="2">
        <v>3.01</v>
      </c>
      <c r="O618">
        <v>0</v>
      </c>
      <c r="P618">
        <v>2</v>
      </c>
      <c r="Q618" t="s">
        <v>559</v>
      </c>
      <c r="R618" t="s">
        <v>260</v>
      </c>
      <c r="S618" t="str">
        <f t="shared" si="66"/>
        <v>PA</v>
      </c>
    </row>
    <row r="619" spans="1:19" x14ac:dyDescent="0.3">
      <c r="A619" t="s">
        <v>12</v>
      </c>
      <c r="B619">
        <v>2016110014</v>
      </c>
      <c r="C619" t="s">
        <v>49</v>
      </c>
      <c r="E619" t="s">
        <v>244</v>
      </c>
      <c r="F619" t="s">
        <v>228</v>
      </c>
      <c r="G619">
        <v>2</v>
      </c>
      <c r="H619" t="s">
        <v>438</v>
      </c>
      <c r="I619" s="4">
        <f t="shared" si="67"/>
        <v>3</v>
      </c>
      <c r="J619">
        <f t="shared" si="68"/>
        <v>6</v>
      </c>
      <c r="K619">
        <v>38</v>
      </c>
      <c r="L619">
        <v>24</v>
      </c>
      <c r="M619" s="2">
        <v>1.58</v>
      </c>
      <c r="N619" s="2">
        <v>3.01</v>
      </c>
      <c r="O619">
        <v>0</v>
      </c>
      <c r="P619">
        <v>4</v>
      </c>
      <c r="Q619" t="s">
        <v>565</v>
      </c>
      <c r="R619" t="s">
        <v>260</v>
      </c>
      <c r="S619" t="str">
        <f t="shared" si="66"/>
        <v>PA</v>
      </c>
    </row>
    <row r="620" spans="1:19" x14ac:dyDescent="0.3">
      <c r="A620" t="s">
        <v>12</v>
      </c>
      <c r="B620">
        <v>2016110014</v>
      </c>
      <c r="C620" t="s">
        <v>49</v>
      </c>
      <c r="E620" t="s">
        <v>316</v>
      </c>
      <c r="F620" t="s">
        <v>317</v>
      </c>
      <c r="G620">
        <v>2</v>
      </c>
      <c r="H620" t="s">
        <v>438</v>
      </c>
      <c r="I620" s="4">
        <f t="shared" si="67"/>
        <v>3</v>
      </c>
      <c r="J620">
        <f t="shared" si="68"/>
        <v>6</v>
      </c>
      <c r="K620">
        <v>46</v>
      </c>
      <c r="L620">
        <v>16</v>
      </c>
      <c r="M620" s="2">
        <v>2.88</v>
      </c>
      <c r="N620" s="2">
        <v>3.01</v>
      </c>
      <c r="O620">
        <v>0</v>
      </c>
      <c r="P620">
        <v>7</v>
      </c>
      <c r="Q620" t="s">
        <v>568</v>
      </c>
      <c r="R620" t="s">
        <v>260</v>
      </c>
      <c r="S620" t="str">
        <f t="shared" si="66"/>
        <v>PA</v>
      </c>
    </row>
    <row r="621" spans="1:19" x14ac:dyDescent="0.3">
      <c r="A621" t="s">
        <v>12</v>
      </c>
      <c r="B621">
        <v>2016110014</v>
      </c>
      <c r="C621" t="s">
        <v>49</v>
      </c>
      <c r="E621" t="s">
        <v>360</v>
      </c>
      <c r="F621" t="s">
        <v>361</v>
      </c>
      <c r="G621">
        <v>2</v>
      </c>
      <c r="H621" t="s">
        <v>438</v>
      </c>
      <c r="I621" s="4">
        <f t="shared" si="67"/>
        <v>3</v>
      </c>
      <c r="J621">
        <f t="shared" si="68"/>
        <v>6</v>
      </c>
      <c r="K621">
        <v>38</v>
      </c>
      <c r="L621">
        <v>24</v>
      </c>
      <c r="M621" s="2">
        <v>1.58</v>
      </c>
      <c r="N621" s="2">
        <v>3.01</v>
      </c>
      <c r="O621">
        <v>0</v>
      </c>
      <c r="P621">
        <v>4</v>
      </c>
      <c r="Q621" t="s">
        <v>565</v>
      </c>
      <c r="R621" t="s">
        <v>260</v>
      </c>
      <c r="S621" t="str">
        <f t="shared" si="66"/>
        <v>PA</v>
      </c>
    </row>
    <row r="622" spans="1:19" x14ac:dyDescent="0.3">
      <c r="A622" t="s">
        <v>12</v>
      </c>
      <c r="B622">
        <v>2016110014</v>
      </c>
      <c r="C622" t="s">
        <v>49</v>
      </c>
      <c r="E622" t="s">
        <v>192</v>
      </c>
      <c r="F622" t="s">
        <v>106</v>
      </c>
      <c r="G622">
        <v>2</v>
      </c>
      <c r="H622" t="s">
        <v>438</v>
      </c>
      <c r="I622" s="4">
        <f t="shared" si="67"/>
        <v>3</v>
      </c>
      <c r="J622">
        <f t="shared" si="68"/>
        <v>6</v>
      </c>
      <c r="K622">
        <v>80</v>
      </c>
      <c r="L622">
        <v>24</v>
      </c>
      <c r="M622" s="2">
        <v>3.33</v>
      </c>
      <c r="N622" s="2">
        <v>3.01</v>
      </c>
      <c r="O622">
        <v>0</v>
      </c>
      <c r="P622">
        <v>3</v>
      </c>
      <c r="Q622" t="s">
        <v>563</v>
      </c>
      <c r="R622" t="s">
        <v>260</v>
      </c>
      <c r="S622" t="str">
        <f t="shared" si="66"/>
        <v>PA</v>
      </c>
    </row>
    <row r="623" spans="1:19" x14ac:dyDescent="0.3">
      <c r="A623" t="s">
        <v>12</v>
      </c>
      <c r="B623">
        <v>2016110014</v>
      </c>
      <c r="C623" t="s">
        <v>49</v>
      </c>
      <c r="E623" t="s">
        <v>330</v>
      </c>
      <c r="F623" t="s">
        <v>108</v>
      </c>
      <c r="G623">
        <v>2</v>
      </c>
      <c r="H623" t="s">
        <v>438</v>
      </c>
      <c r="I623" s="4">
        <f t="shared" si="67"/>
        <v>3</v>
      </c>
      <c r="J623">
        <f t="shared" si="68"/>
        <v>6</v>
      </c>
      <c r="K623">
        <v>46</v>
      </c>
      <c r="L623">
        <v>16</v>
      </c>
      <c r="M623" s="2">
        <v>2.88</v>
      </c>
      <c r="N623" s="2">
        <v>3.01</v>
      </c>
      <c r="O623">
        <v>0</v>
      </c>
      <c r="P623">
        <v>7</v>
      </c>
      <c r="Q623" t="s">
        <v>568</v>
      </c>
      <c r="R623" t="s">
        <v>260</v>
      </c>
      <c r="S623" t="str">
        <f t="shared" si="66"/>
        <v>PA</v>
      </c>
    </row>
    <row r="624" spans="1:19" x14ac:dyDescent="0.3">
      <c r="A624" t="s">
        <v>12</v>
      </c>
      <c r="B624">
        <v>2016110014</v>
      </c>
      <c r="C624" t="s">
        <v>49</v>
      </c>
      <c r="E624" t="s">
        <v>241</v>
      </c>
      <c r="F624" t="s">
        <v>45</v>
      </c>
      <c r="G624">
        <v>2</v>
      </c>
      <c r="H624" t="s">
        <v>438</v>
      </c>
      <c r="I624" s="4">
        <f t="shared" si="67"/>
        <v>3</v>
      </c>
      <c r="J624">
        <f t="shared" si="68"/>
        <v>6</v>
      </c>
      <c r="K624">
        <v>80</v>
      </c>
      <c r="L624">
        <v>24</v>
      </c>
      <c r="M624" s="2">
        <v>3.33</v>
      </c>
      <c r="N624" s="2">
        <v>3.01</v>
      </c>
      <c r="O624">
        <v>0</v>
      </c>
      <c r="P624">
        <v>3</v>
      </c>
      <c r="Q624" t="s">
        <v>563</v>
      </c>
      <c r="R624" t="s">
        <v>260</v>
      </c>
      <c r="S624" t="str">
        <f t="shared" si="66"/>
        <v>PA</v>
      </c>
    </row>
    <row r="625" spans="1:19" x14ac:dyDescent="0.3">
      <c r="A625" t="s">
        <v>12</v>
      </c>
      <c r="B625">
        <v>2016110014</v>
      </c>
      <c r="C625" t="s">
        <v>49</v>
      </c>
      <c r="E625" t="s">
        <v>264</v>
      </c>
      <c r="F625" t="s">
        <v>265</v>
      </c>
      <c r="G625">
        <v>2</v>
      </c>
      <c r="H625" t="s">
        <v>438</v>
      </c>
      <c r="I625" s="4">
        <f t="shared" si="67"/>
        <v>3</v>
      </c>
      <c r="J625">
        <f t="shared" si="68"/>
        <v>6</v>
      </c>
      <c r="K625">
        <v>46</v>
      </c>
      <c r="L625">
        <v>16</v>
      </c>
      <c r="M625" s="2">
        <v>2.88</v>
      </c>
      <c r="N625" s="2">
        <v>3.01</v>
      </c>
      <c r="O625">
        <v>0</v>
      </c>
      <c r="P625">
        <v>7</v>
      </c>
      <c r="Q625" t="s">
        <v>568</v>
      </c>
      <c r="R625" t="s">
        <v>260</v>
      </c>
      <c r="S625" t="str">
        <f t="shared" si="66"/>
        <v>PA</v>
      </c>
    </row>
    <row r="626" spans="1:19" x14ac:dyDescent="0.3">
      <c r="A626" t="s">
        <v>12</v>
      </c>
      <c r="B626">
        <v>2016110014</v>
      </c>
      <c r="C626" t="s">
        <v>49</v>
      </c>
      <c r="E626" t="s">
        <v>165</v>
      </c>
      <c r="F626" t="s">
        <v>166</v>
      </c>
      <c r="G626">
        <v>2</v>
      </c>
      <c r="H626" t="s">
        <v>438</v>
      </c>
      <c r="I626" s="4">
        <f t="shared" si="67"/>
        <v>3</v>
      </c>
      <c r="J626">
        <f t="shared" si="68"/>
        <v>6</v>
      </c>
      <c r="K626">
        <v>66</v>
      </c>
      <c r="L626">
        <v>20</v>
      </c>
      <c r="M626" s="2">
        <v>3.3</v>
      </c>
      <c r="N626" s="2">
        <v>3.01</v>
      </c>
      <c r="O626">
        <v>0</v>
      </c>
      <c r="P626">
        <v>1</v>
      </c>
      <c r="Q626" t="s">
        <v>558</v>
      </c>
      <c r="R626" t="s">
        <v>260</v>
      </c>
      <c r="S626" t="str">
        <f t="shared" si="66"/>
        <v>PA</v>
      </c>
    </row>
    <row r="627" spans="1:19" x14ac:dyDescent="0.3">
      <c r="A627" t="s">
        <v>12</v>
      </c>
      <c r="B627">
        <v>2016110014</v>
      </c>
      <c r="C627" t="s">
        <v>49</v>
      </c>
      <c r="E627" t="s">
        <v>273</v>
      </c>
      <c r="F627" t="s">
        <v>274</v>
      </c>
      <c r="G627">
        <v>2</v>
      </c>
      <c r="H627" t="s">
        <v>524</v>
      </c>
      <c r="I627" s="4">
        <f t="shared" si="67"/>
        <v>2</v>
      </c>
      <c r="J627">
        <f t="shared" si="68"/>
        <v>4</v>
      </c>
      <c r="K627">
        <v>62</v>
      </c>
      <c r="L627">
        <v>20</v>
      </c>
      <c r="M627" s="2">
        <v>3.1</v>
      </c>
      <c r="N627" s="2">
        <v>3.01</v>
      </c>
      <c r="O627">
        <v>0</v>
      </c>
      <c r="P627">
        <v>6</v>
      </c>
      <c r="Q627" t="s">
        <v>567</v>
      </c>
      <c r="R627" t="s">
        <v>260</v>
      </c>
      <c r="S627" t="str">
        <f t="shared" si="66"/>
        <v>PA</v>
      </c>
    </row>
    <row r="628" spans="1:19" x14ac:dyDescent="0.3">
      <c r="A628" t="s">
        <v>12</v>
      </c>
      <c r="B628">
        <v>2016110014</v>
      </c>
      <c r="C628" t="s">
        <v>49</v>
      </c>
      <c r="E628" t="s">
        <v>309</v>
      </c>
      <c r="F628" t="s">
        <v>310</v>
      </c>
      <c r="G628">
        <v>4</v>
      </c>
      <c r="H628" t="s">
        <v>524</v>
      </c>
      <c r="I628" s="4">
        <f t="shared" si="67"/>
        <v>2</v>
      </c>
      <c r="J628">
        <f t="shared" si="68"/>
        <v>8</v>
      </c>
      <c r="K628">
        <v>38</v>
      </c>
      <c r="L628">
        <v>24</v>
      </c>
      <c r="M628" s="2">
        <v>1.58</v>
      </c>
      <c r="N628" s="2">
        <v>3.01</v>
      </c>
      <c r="O628">
        <v>0</v>
      </c>
      <c r="P628">
        <v>4</v>
      </c>
      <c r="Q628" t="s">
        <v>565</v>
      </c>
      <c r="R628" t="s">
        <v>260</v>
      </c>
      <c r="S628" t="str">
        <f t="shared" si="66"/>
        <v>PA</v>
      </c>
    </row>
    <row r="629" spans="1:19" x14ac:dyDescent="0.3">
      <c r="A629" t="s">
        <v>12</v>
      </c>
      <c r="B629">
        <v>2016110014</v>
      </c>
      <c r="C629" t="s">
        <v>49</v>
      </c>
      <c r="E629" t="s">
        <v>90</v>
      </c>
      <c r="F629" t="s">
        <v>91</v>
      </c>
      <c r="G629">
        <v>2</v>
      </c>
      <c r="H629" t="s">
        <v>524</v>
      </c>
      <c r="I629" s="4">
        <f t="shared" si="67"/>
        <v>2</v>
      </c>
      <c r="J629">
        <f t="shared" si="68"/>
        <v>4</v>
      </c>
      <c r="K629">
        <v>66</v>
      </c>
      <c r="L629">
        <v>20</v>
      </c>
      <c r="M629" s="2">
        <v>3.3</v>
      </c>
      <c r="N629" s="2">
        <v>3.01</v>
      </c>
      <c r="O629">
        <v>0</v>
      </c>
      <c r="P629">
        <v>1</v>
      </c>
      <c r="Q629" t="s">
        <v>558</v>
      </c>
      <c r="R629" t="s">
        <v>260</v>
      </c>
      <c r="S629" t="str">
        <f t="shared" si="66"/>
        <v>PA</v>
      </c>
    </row>
    <row r="630" spans="1:19" x14ac:dyDescent="0.3">
      <c r="A630" t="s">
        <v>12</v>
      </c>
      <c r="B630">
        <v>2016110014</v>
      </c>
      <c r="C630" t="s">
        <v>49</v>
      </c>
      <c r="E630" t="s">
        <v>374</v>
      </c>
      <c r="F630" t="s">
        <v>375</v>
      </c>
      <c r="G630">
        <v>2</v>
      </c>
      <c r="H630" t="s">
        <v>524</v>
      </c>
      <c r="I630" s="4">
        <f t="shared" si="67"/>
        <v>2</v>
      </c>
      <c r="J630">
        <f t="shared" si="68"/>
        <v>4</v>
      </c>
      <c r="K630">
        <v>38</v>
      </c>
      <c r="L630">
        <v>24</v>
      </c>
      <c r="M630" s="2">
        <v>1.58</v>
      </c>
      <c r="N630" s="2">
        <v>3.01</v>
      </c>
      <c r="O630">
        <v>0</v>
      </c>
      <c r="P630">
        <v>4</v>
      </c>
      <c r="Q630" t="s">
        <v>565</v>
      </c>
      <c r="R630" t="s">
        <v>260</v>
      </c>
      <c r="S630" t="str">
        <f t="shared" si="66"/>
        <v>PA</v>
      </c>
    </row>
    <row r="631" spans="1:19" x14ac:dyDescent="0.3">
      <c r="A631" t="s">
        <v>12</v>
      </c>
      <c r="B631">
        <v>2016110014</v>
      </c>
      <c r="C631" t="s">
        <v>49</v>
      </c>
      <c r="E631" t="s">
        <v>374</v>
      </c>
      <c r="F631" t="s">
        <v>375</v>
      </c>
      <c r="G631">
        <v>2</v>
      </c>
      <c r="H631" t="s">
        <v>524</v>
      </c>
      <c r="I631" s="4">
        <f t="shared" si="67"/>
        <v>2</v>
      </c>
      <c r="J631">
        <f t="shared" si="68"/>
        <v>4</v>
      </c>
      <c r="K631">
        <v>62</v>
      </c>
      <c r="L631">
        <v>20</v>
      </c>
      <c r="M631" s="2">
        <v>3.1</v>
      </c>
      <c r="N631" s="2">
        <v>3.01</v>
      </c>
      <c r="O631">
        <v>1</v>
      </c>
      <c r="P631">
        <v>6</v>
      </c>
      <c r="Q631" t="s">
        <v>567</v>
      </c>
      <c r="R631" t="s">
        <v>260</v>
      </c>
      <c r="S631" t="str">
        <f t="shared" si="66"/>
        <v>PA</v>
      </c>
    </row>
    <row r="632" spans="1:19" x14ac:dyDescent="0.3">
      <c r="A632" t="s">
        <v>12</v>
      </c>
      <c r="B632">
        <v>2016110014</v>
      </c>
      <c r="C632" t="s">
        <v>49</v>
      </c>
      <c r="E632" t="s">
        <v>382</v>
      </c>
      <c r="F632" t="s">
        <v>383</v>
      </c>
      <c r="G632">
        <v>4</v>
      </c>
      <c r="H632" t="s">
        <v>524</v>
      </c>
      <c r="I632" s="4">
        <f t="shared" si="67"/>
        <v>2</v>
      </c>
      <c r="J632">
        <f t="shared" si="68"/>
        <v>8</v>
      </c>
      <c r="K632">
        <v>46</v>
      </c>
      <c r="L632">
        <v>16</v>
      </c>
      <c r="M632" s="2">
        <v>2.88</v>
      </c>
      <c r="N632" s="2">
        <v>3.01</v>
      </c>
      <c r="O632">
        <v>0</v>
      </c>
      <c r="P632">
        <v>7</v>
      </c>
      <c r="Q632" t="s">
        <v>568</v>
      </c>
      <c r="R632" t="s">
        <v>260</v>
      </c>
      <c r="S632" t="str">
        <f t="shared" si="66"/>
        <v>PA</v>
      </c>
    </row>
    <row r="633" spans="1:19" x14ac:dyDescent="0.3">
      <c r="A633" t="s">
        <v>12</v>
      </c>
      <c r="B633">
        <v>2016110014</v>
      </c>
      <c r="C633" t="s">
        <v>49</v>
      </c>
      <c r="E633" t="s">
        <v>14</v>
      </c>
      <c r="F633" t="s">
        <v>15</v>
      </c>
      <c r="G633">
        <v>2</v>
      </c>
      <c r="H633" t="s">
        <v>524</v>
      </c>
      <c r="I633" s="4">
        <f t="shared" si="67"/>
        <v>2</v>
      </c>
      <c r="J633">
        <f t="shared" si="68"/>
        <v>4</v>
      </c>
      <c r="K633">
        <v>4</v>
      </c>
      <c r="L633">
        <v>2</v>
      </c>
      <c r="M633" s="2">
        <v>2</v>
      </c>
      <c r="N633" s="2">
        <v>3.01</v>
      </c>
      <c r="O633">
        <v>0</v>
      </c>
      <c r="P633">
        <v>8</v>
      </c>
      <c r="Q633" t="s">
        <v>569</v>
      </c>
      <c r="R633" t="s">
        <v>596</v>
      </c>
      <c r="S633" t="str">
        <f t="shared" si="66"/>
        <v>PA</v>
      </c>
    </row>
    <row r="634" spans="1:19" x14ac:dyDescent="0.3">
      <c r="A634" t="s">
        <v>12</v>
      </c>
      <c r="B634">
        <v>2016110014</v>
      </c>
      <c r="C634" t="s">
        <v>49</v>
      </c>
      <c r="E634" t="s">
        <v>432</v>
      </c>
      <c r="F634" t="s">
        <v>433</v>
      </c>
      <c r="G634">
        <v>4</v>
      </c>
      <c r="H634" t="s">
        <v>524</v>
      </c>
      <c r="I634" s="4">
        <f t="shared" si="67"/>
        <v>2</v>
      </c>
      <c r="J634">
        <f t="shared" si="68"/>
        <v>8</v>
      </c>
      <c r="K634">
        <v>38</v>
      </c>
      <c r="L634">
        <v>24</v>
      </c>
      <c r="M634" s="2">
        <v>1.58</v>
      </c>
      <c r="N634" s="2">
        <v>3.01</v>
      </c>
      <c r="O634">
        <v>0</v>
      </c>
      <c r="P634">
        <v>4</v>
      </c>
      <c r="Q634" t="s">
        <v>565</v>
      </c>
      <c r="R634" t="s">
        <v>260</v>
      </c>
      <c r="S634" t="str">
        <f t="shared" si="66"/>
        <v>PA</v>
      </c>
    </row>
    <row r="635" spans="1:19" x14ac:dyDescent="0.3">
      <c r="A635" t="s">
        <v>12</v>
      </c>
      <c r="B635">
        <v>2016110014</v>
      </c>
      <c r="C635" t="s">
        <v>49</v>
      </c>
      <c r="E635" t="s">
        <v>100</v>
      </c>
      <c r="F635" t="s">
        <v>101</v>
      </c>
      <c r="G635">
        <v>4</v>
      </c>
      <c r="H635" t="s">
        <v>524</v>
      </c>
      <c r="I635" s="4">
        <f t="shared" si="67"/>
        <v>2</v>
      </c>
      <c r="J635">
        <f t="shared" si="68"/>
        <v>8</v>
      </c>
      <c r="K635">
        <v>62</v>
      </c>
      <c r="L635">
        <v>20</v>
      </c>
      <c r="M635" s="2">
        <v>3.1</v>
      </c>
      <c r="N635" s="2">
        <v>3.01</v>
      </c>
      <c r="O635">
        <v>0</v>
      </c>
      <c r="P635">
        <v>2</v>
      </c>
      <c r="Q635" t="s">
        <v>559</v>
      </c>
      <c r="R635" t="s">
        <v>260</v>
      </c>
      <c r="S635" t="str">
        <f t="shared" si="66"/>
        <v>PA</v>
      </c>
    </row>
    <row r="636" spans="1:19" x14ac:dyDescent="0.3">
      <c r="A636" t="s">
        <v>12</v>
      </c>
      <c r="B636">
        <v>2016110014</v>
      </c>
      <c r="C636" t="s">
        <v>49</v>
      </c>
      <c r="E636" t="s">
        <v>211</v>
      </c>
      <c r="F636" t="s">
        <v>186</v>
      </c>
      <c r="G636">
        <v>4</v>
      </c>
      <c r="H636" t="s">
        <v>524</v>
      </c>
      <c r="I636" s="4">
        <f t="shared" si="67"/>
        <v>2</v>
      </c>
      <c r="J636">
        <f t="shared" si="68"/>
        <v>8</v>
      </c>
      <c r="K636">
        <v>40</v>
      </c>
      <c r="L636">
        <v>14</v>
      </c>
      <c r="M636" s="2">
        <v>2.86</v>
      </c>
      <c r="N636" s="2">
        <v>3.01</v>
      </c>
      <c r="O636">
        <v>0</v>
      </c>
      <c r="P636">
        <v>5</v>
      </c>
      <c r="Q636" t="s">
        <v>566</v>
      </c>
      <c r="R636" t="s">
        <v>260</v>
      </c>
      <c r="S636" t="str">
        <f t="shared" si="66"/>
        <v>PA</v>
      </c>
    </row>
    <row r="637" spans="1:19" x14ac:dyDescent="0.3">
      <c r="A637" t="s">
        <v>12</v>
      </c>
      <c r="B637">
        <v>2016110014</v>
      </c>
      <c r="C637" t="s">
        <v>49</v>
      </c>
      <c r="E637" t="s">
        <v>276</v>
      </c>
      <c r="F637" t="s">
        <v>137</v>
      </c>
      <c r="G637">
        <v>4</v>
      </c>
      <c r="H637" t="s">
        <v>539</v>
      </c>
      <c r="I637" s="4">
        <f t="shared" si="67"/>
        <v>0</v>
      </c>
      <c r="J637">
        <f t="shared" si="68"/>
        <v>0</v>
      </c>
      <c r="K637">
        <v>38</v>
      </c>
      <c r="L637">
        <v>24</v>
      </c>
      <c r="M637" s="2">
        <v>1.58</v>
      </c>
      <c r="N637" s="2">
        <v>3.01</v>
      </c>
      <c r="O637">
        <v>0</v>
      </c>
      <c r="P637">
        <v>4</v>
      </c>
      <c r="Q637" t="s">
        <v>565</v>
      </c>
      <c r="R637" t="s">
        <v>260</v>
      </c>
      <c r="S637" t="str">
        <f t="shared" si="66"/>
        <v>FA</v>
      </c>
    </row>
    <row r="638" spans="1:19" x14ac:dyDescent="0.3">
      <c r="A638" t="s">
        <v>12</v>
      </c>
      <c r="B638">
        <v>2016110014</v>
      </c>
      <c r="C638" t="s">
        <v>49</v>
      </c>
      <c r="E638" t="s">
        <v>348</v>
      </c>
      <c r="F638" t="s">
        <v>402</v>
      </c>
      <c r="G638">
        <v>4</v>
      </c>
      <c r="H638" t="s">
        <v>539</v>
      </c>
      <c r="I638" s="4">
        <f t="shared" si="67"/>
        <v>0</v>
      </c>
      <c r="J638">
        <f t="shared" si="68"/>
        <v>0</v>
      </c>
      <c r="K638">
        <v>38</v>
      </c>
      <c r="L638">
        <v>24</v>
      </c>
      <c r="M638" s="2">
        <v>1.58</v>
      </c>
      <c r="N638" s="2">
        <v>3.01</v>
      </c>
      <c r="O638">
        <v>0</v>
      </c>
      <c r="P638">
        <v>4</v>
      </c>
      <c r="Q638" t="s">
        <v>565</v>
      </c>
      <c r="R638" t="s">
        <v>260</v>
      </c>
      <c r="S638" t="str">
        <f t="shared" si="66"/>
        <v>FA</v>
      </c>
    </row>
    <row r="639" spans="1:19" x14ac:dyDescent="0.3">
      <c r="A639" t="s">
        <v>12</v>
      </c>
      <c r="B639">
        <v>2016110014</v>
      </c>
      <c r="C639" t="s">
        <v>49</v>
      </c>
      <c r="E639" t="s">
        <v>276</v>
      </c>
      <c r="F639" t="s">
        <v>137</v>
      </c>
      <c r="G639">
        <v>4</v>
      </c>
      <c r="H639" t="s">
        <v>438</v>
      </c>
      <c r="I639" s="4">
        <f t="shared" si="67"/>
        <v>3</v>
      </c>
      <c r="J639">
        <f t="shared" si="68"/>
        <v>12</v>
      </c>
      <c r="K639">
        <v>28</v>
      </c>
      <c r="L639">
        <v>8</v>
      </c>
      <c r="M639" s="2">
        <v>3.5</v>
      </c>
      <c r="N639" s="2">
        <v>3.01</v>
      </c>
      <c r="O639">
        <v>1</v>
      </c>
      <c r="P639">
        <v>6</v>
      </c>
      <c r="Q639" t="s">
        <v>572</v>
      </c>
      <c r="R639" t="s">
        <v>260</v>
      </c>
      <c r="S639" t="str">
        <f t="shared" si="66"/>
        <v>PA</v>
      </c>
    </row>
    <row r="640" spans="1:19" x14ac:dyDescent="0.3">
      <c r="A640" t="s">
        <v>12</v>
      </c>
      <c r="B640">
        <v>2016110014</v>
      </c>
      <c r="C640" t="s">
        <v>49</v>
      </c>
      <c r="E640" t="s">
        <v>348</v>
      </c>
      <c r="F640" t="s">
        <v>402</v>
      </c>
      <c r="G640">
        <v>4</v>
      </c>
      <c r="H640" t="s">
        <v>260</v>
      </c>
      <c r="I640" s="4">
        <f t="shared" si="67"/>
        <v>4</v>
      </c>
      <c r="J640">
        <f t="shared" si="68"/>
        <v>16</v>
      </c>
      <c r="K640">
        <v>28</v>
      </c>
      <c r="L640">
        <v>8</v>
      </c>
      <c r="M640" s="2">
        <v>3.5</v>
      </c>
      <c r="N640" s="2">
        <v>3.01</v>
      </c>
      <c r="O640">
        <v>1</v>
      </c>
      <c r="P640">
        <v>6</v>
      </c>
      <c r="Q640" t="s">
        <v>572</v>
      </c>
      <c r="R640" t="s">
        <v>260</v>
      </c>
      <c r="S640" t="str">
        <f t="shared" si="66"/>
        <v>PA</v>
      </c>
    </row>
    <row r="641" spans="1:19" x14ac:dyDescent="0.3">
      <c r="A641" t="s">
        <v>12</v>
      </c>
      <c r="B641">
        <v>2016110015</v>
      </c>
      <c r="C641" t="s">
        <v>320</v>
      </c>
      <c r="E641" t="s">
        <v>192</v>
      </c>
      <c r="F641" t="s">
        <v>106</v>
      </c>
      <c r="G641">
        <v>2</v>
      </c>
      <c r="H641" t="s">
        <v>260</v>
      </c>
      <c r="I641" s="4">
        <f t="shared" si="67"/>
        <v>4</v>
      </c>
      <c r="J641">
        <f t="shared" si="68"/>
        <v>8</v>
      </c>
      <c r="K641">
        <v>64</v>
      </c>
      <c r="L641">
        <v>18</v>
      </c>
      <c r="M641" s="2">
        <v>3.56</v>
      </c>
      <c r="N641" s="2">
        <v>2.97</v>
      </c>
      <c r="O641">
        <v>0</v>
      </c>
      <c r="P641">
        <v>3</v>
      </c>
      <c r="Q641" s="4" t="str">
        <f t="shared" ref="Q641" si="69">IF(P641=1,"2016/2017-Ganjil",IF(P641=2,"2016/2017-Genap",IF(P641=3,"2017/2018-Ganjil",IF(P641=4,"2017/2018-Genap",IF(P641=5,"2018/2019-Ganjil",IF(P641=6,"2018/2019-Genap",IF(P641=7,"2019/2020-Ganjil",IF(P641=8,"2019/2020-Genap",IF(P641=9,"2020/2021-Ganjil",IF(P641=10,"2020/2021-Genap",IF(P641=11,"2021/2022-Ganjil",IF(P641=12,"2021/2022-Genap",IF(P641=13,"2022/2023-Ganjil","2022/2023-Genap")))))))))))))</f>
        <v>2017/2018-Ganjil</v>
      </c>
      <c r="R641" t="s">
        <v>260</v>
      </c>
      <c r="S641" t="str">
        <f t="shared" si="66"/>
        <v>PA</v>
      </c>
    </row>
    <row r="642" spans="1:19" x14ac:dyDescent="0.3">
      <c r="A642" t="s">
        <v>12</v>
      </c>
      <c r="B642">
        <v>2016110015</v>
      </c>
      <c r="C642" t="s">
        <v>320</v>
      </c>
      <c r="E642" t="s">
        <v>205</v>
      </c>
      <c r="F642" t="s">
        <v>116</v>
      </c>
      <c r="G642">
        <v>4</v>
      </c>
      <c r="H642" t="s">
        <v>260</v>
      </c>
      <c r="I642" s="4">
        <f t="shared" si="67"/>
        <v>4</v>
      </c>
      <c r="J642">
        <f t="shared" si="68"/>
        <v>16</v>
      </c>
      <c r="K642">
        <v>64</v>
      </c>
      <c r="L642">
        <v>18</v>
      </c>
      <c r="M642" s="2">
        <v>3.56</v>
      </c>
      <c r="N642" s="2">
        <v>2.97</v>
      </c>
      <c r="O642">
        <v>0</v>
      </c>
      <c r="P642">
        <v>3</v>
      </c>
      <c r="Q642" s="4" t="str">
        <f t="shared" ref="Q642" si="70">IF(P642=1,"2016/2017-Ganjil",IF(P642=2,"2016/2017-Genap",IF(P642=3,"2017/2018-Ganjil",IF(P642=4,"2017/2018-Genap",IF(P642=5,"2018/2019-Ganjil",IF(P642=6,"2018/2019-Genap",IF(P642=7,"2019/2020-Ganjil",IF(P642=8,"2019/2020-Genap",IF(P642=9,"2020/2021-Ganjil",IF(P642=10,"2020/2021-Genap",IF(P642=11,"2021/2022-Ganjil",IF(P642=12,"2021/2022-Genap",IF(P642=13,"2022/2023-Ganjil","2022/2023-Genap")))))))))))))</f>
        <v>2017/2018-Ganjil</v>
      </c>
      <c r="R642" t="s">
        <v>260</v>
      </c>
      <c r="S642" t="str">
        <f t="shared" si="66"/>
        <v>PA</v>
      </c>
    </row>
    <row r="643" spans="1:19" x14ac:dyDescent="0.3">
      <c r="A643" t="s">
        <v>12</v>
      </c>
      <c r="B643">
        <v>2016110015</v>
      </c>
      <c r="C643" t="s">
        <v>320</v>
      </c>
      <c r="E643" t="s">
        <v>165</v>
      </c>
      <c r="F643" t="s">
        <v>166</v>
      </c>
      <c r="G643">
        <v>2</v>
      </c>
      <c r="H643" t="s">
        <v>260</v>
      </c>
      <c r="I643" s="4">
        <f t="shared" si="67"/>
        <v>4</v>
      </c>
      <c r="J643">
        <f t="shared" si="68"/>
        <v>8</v>
      </c>
      <c r="K643">
        <v>58</v>
      </c>
      <c r="L643">
        <v>20</v>
      </c>
      <c r="M643" s="2">
        <v>2.9</v>
      </c>
      <c r="N643" s="2">
        <v>2.97</v>
      </c>
      <c r="O643">
        <v>0</v>
      </c>
      <c r="P643">
        <v>1</v>
      </c>
      <c r="Q643" s="4" t="str">
        <f t="shared" ref="Q643" si="71">IF(P643=1,"2016/2017-Ganjil",IF(P643=2,"2016/2017-Genap",IF(P643=3,"2017/2018-Ganjil",IF(P643=4,"2017/2018-Genap",IF(P643=5,"2018/2019-Ganjil",IF(P643=6,"2018/2019-Genap",IF(P643=7,"2019/2020-Ganjil",IF(P643=8,"2019/2020-Genap",IF(P643=9,"2020/2021-Ganjil",IF(P643=10,"2020/2021-Genap",IF(P643=11,"2021/2022-Ganjil",IF(P643=12,"2021/2022-Genap",IF(P643=13,"2022/2023-Ganjil","2022/2023-Genap")))))))))))))</f>
        <v>2016/2017-Ganjil</v>
      </c>
      <c r="R643" t="s">
        <v>260</v>
      </c>
      <c r="S643" t="str">
        <f t="shared" si="66"/>
        <v>PA</v>
      </c>
    </row>
    <row r="644" spans="1:19" x14ac:dyDescent="0.3">
      <c r="A644" t="s">
        <v>12</v>
      </c>
      <c r="B644">
        <v>2016110015</v>
      </c>
      <c r="C644" t="s">
        <v>320</v>
      </c>
      <c r="E644" t="s">
        <v>372</v>
      </c>
      <c r="F644" t="s">
        <v>373</v>
      </c>
      <c r="G644">
        <v>2</v>
      </c>
      <c r="H644" t="s">
        <v>260</v>
      </c>
      <c r="I644" s="4">
        <f t="shared" si="67"/>
        <v>4</v>
      </c>
      <c r="J644">
        <f t="shared" si="68"/>
        <v>8</v>
      </c>
      <c r="K644">
        <v>72</v>
      </c>
      <c r="L644">
        <v>22</v>
      </c>
      <c r="M644" s="2">
        <v>3.27</v>
      </c>
      <c r="N644" s="2">
        <v>2.97</v>
      </c>
      <c r="O644">
        <v>0</v>
      </c>
      <c r="P644">
        <v>6</v>
      </c>
      <c r="Q644" s="4" t="str">
        <f t="shared" ref="Q644:Q647" si="72">IF(P644=1,"2016/2017-Ganjil",IF(P644=2,"2016/2017-Genap",IF(P644=3,"2017/2018-Ganjil",IF(P644=4,"2017/2018-Genap",IF(P644=5,"2018/2019-Ganjil",IF(P644=6,"2018/2019-Genap",IF(P644=7,"2019/2020-Ganjil",IF(P644=8,"2019/2020-Genap",IF(P644=9,"2020/2021-Ganjil",IF(P644=10,"2020/2021-Genap",IF(P644=11,"2021/2022-Ganjil",IF(P644=12,"2021/2022-Genap",IF(P644=13,"2022/2023-Ganjil","2022/2023-Genap")))))))))))))</f>
        <v>2018/2019-Genap</v>
      </c>
      <c r="R644" t="s">
        <v>260</v>
      </c>
      <c r="S644" t="str">
        <f t="shared" si="66"/>
        <v>PA</v>
      </c>
    </row>
    <row r="645" spans="1:19" x14ac:dyDescent="0.3">
      <c r="A645" t="s">
        <v>12</v>
      </c>
      <c r="B645">
        <v>2016110015</v>
      </c>
      <c r="C645" t="s">
        <v>320</v>
      </c>
      <c r="E645" t="s">
        <v>248</v>
      </c>
      <c r="F645" t="s">
        <v>249</v>
      </c>
      <c r="G645">
        <v>2</v>
      </c>
      <c r="H645" t="s">
        <v>260</v>
      </c>
      <c r="I645" s="4">
        <f t="shared" si="67"/>
        <v>4</v>
      </c>
      <c r="J645">
        <f t="shared" si="68"/>
        <v>8</v>
      </c>
      <c r="K645">
        <v>64</v>
      </c>
      <c r="L645">
        <v>24</v>
      </c>
      <c r="M645" s="2">
        <v>2.67</v>
      </c>
      <c r="N645" s="2">
        <v>2.97</v>
      </c>
      <c r="O645">
        <v>0</v>
      </c>
      <c r="P645">
        <v>4</v>
      </c>
      <c r="Q645" s="4" t="str">
        <f t="shared" si="72"/>
        <v>2017/2018-Genap</v>
      </c>
      <c r="R645" t="s">
        <v>260</v>
      </c>
      <c r="S645" t="str">
        <f t="shared" si="66"/>
        <v>PA</v>
      </c>
    </row>
    <row r="646" spans="1:19" x14ac:dyDescent="0.3">
      <c r="A646" t="s">
        <v>12</v>
      </c>
      <c r="B646">
        <v>2016110015</v>
      </c>
      <c r="C646" t="s">
        <v>320</v>
      </c>
      <c r="E646" t="s">
        <v>262</v>
      </c>
      <c r="F646" t="s">
        <v>263</v>
      </c>
      <c r="G646">
        <v>2</v>
      </c>
      <c r="H646" t="s">
        <v>260</v>
      </c>
      <c r="I646" s="4">
        <f t="shared" si="67"/>
        <v>4</v>
      </c>
      <c r="J646">
        <f t="shared" si="68"/>
        <v>8</v>
      </c>
      <c r="K646">
        <v>72</v>
      </c>
      <c r="L646">
        <v>22</v>
      </c>
      <c r="M646" s="2">
        <v>3.27</v>
      </c>
      <c r="N646" s="2">
        <v>2.97</v>
      </c>
      <c r="O646">
        <v>0</v>
      </c>
      <c r="P646">
        <v>6</v>
      </c>
      <c r="Q646" t="s">
        <v>567</v>
      </c>
      <c r="R646" t="s">
        <v>260</v>
      </c>
      <c r="S646" t="str">
        <f t="shared" si="66"/>
        <v>PA</v>
      </c>
    </row>
    <row r="647" spans="1:19" x14ac:dyDescent="0.3">
      <c r="A647" t="s">
        <v>12</v>
      </c>
      <c r="B647">
        <v>2016110015</v>
      </c>
      <c r="C647" t="s">
        <v>320</v>
      </c>
      <c r="E647" t="s">
        <v>337</v>
      </c>
      <c r="F647" t="s">
        <v>338</v>
      </c>
      <c r="G647">
        <v>2</v>
      </c>
      <c r="H647" t="s">
        <v>260</v>
      </c>
      <c r="I647" s="4">
        <f t="shared" si="67"/>
        <v>4</v>
      </c>
      <c r="J647">
        <f t="shared" si="68"/>
        <v>8</v>
      </c>
      <c r="K647">
        <v>62</v>
      </c>
      <c r="L647">
        <v>22</v>
      </c>
      <c r="M647" s="2">
        <v>2.82</v>
      </c>
      <c r="N647" s="2">
        <v>2.97</v>
      </c>
      <c r="O647">
        <v>0</v>
      </c>
      <c r="P647">
        <v>5</v>
      </c>
      <c r="Q647" s="4" t="str">
        <f t="shared" si="72"/>
        <v>2018/2019-Ganjil</v>
      </c>
      <c r="R647" t="s">
        <v>260</v>
      </c>
      <c r="S647" t="str">
        <f t="shared" si="66"/>
        <v>PA</v>
      </c>
    </row>
    <row r="648" spans="1:19" x14ac:dyDescent="0.3">
      <c r="A648" t="s">
        <v>12</v>
      </c>
      <c r="B648">
        <v>2016110015</v>
      </c>
      <c r="C648" t="s">
        <v>320</v>
      </c>
      <c r="E648" t="s">
        <v>170</v>
      </c>
      <c r="F648" t="s">
        <v>171</v>
      </c>
      <c r="G648">
        <v>4</v>
      </c>
      <c r="H648" t="s">
        <v>260</v>
      </c>
      <c r="I648" s="4">
        <f t="shared" si="67"/>
        <v>4</v>
      </c>
      <c r="J648">
        <f t="shared" si="68"/>
        <v>16</v>
      </c>
      <c r="K648">
        <v>64</v>
      </c>
      <c r="L648">
        <v>18</v>
      </c>
      <c r="M648" s="2">
        <v>3.56</v>
      </c>
      <c r="N648" s="2">
        <v>2.97</v>
      </c>
      <c r="O648">
        <v>0</v>
      </c>
      <c r="P648">
        <v>3</v>
      </c>
      <c r="Q648" s="4" t="str">
        <f t="shared" ref="Q648" si="73">IF(P648=1,"2016/2017-Ganjil",IF(P648=2,"2016/2017-Genap",IF(P648=3,"2017/2018-Ganjil",IF(P648=4,"2017/2018-Genap",IF(P648=5,"2018/2019-Ganjil",IF(P648=6,"2018/2019-Genap",IF(P648=7,"2019/2020-Ganjil",IF(P648=8,"2019/2020-Genap",IF(P648=9,"2020/2021-Ganjil",IF(P648=10,"2020/2021-Genap",IF(P648=11,"2021/2022-Ganjil",IF(P648=12,"2021/2022-Genap",IF(P648=13,"2022/2023-Ganjil","2022/2023-Genap")))))))))))))</f>
        <v>2017/2018-Ganjil</v>
      </c>
      <c r="R648" t="s">
        <v>260</v>
      </c>
      <c r="S648" t="str">
        <f t="shared" si="66"/>
        <v>PA</v>
      </c>
    </row>
    <row r="649" spans="1:19" x14ac:dyDescent="0.3">
      <c r="A649" t="s">
        <v>12</v>
      </c>
      <c r="B649">
        <v>2016110015</v>
      </c>
      <c r="C649" t="s">
        <v>320</v>
      </c>
      <c r="E649" t="s">
        <v>77</v>
      </c>
      <c r="F649" t="s">
        <v>78</v>
      </c>
      <c r="G649">
        <v>2</v>
      </c>
      <c r="H649" t="s">
        <v>260</v>
      </c>
      <c r="I649" s="4">
        <f t="shared" si="67"/>
        <v>4</v>
      </c>
      <c r="J649">
        <f t="shared" si="68"/>
        <v>8</v>
      </c>
      <c r="K649">
        <v>58</v>
      </c>
      <c r="L649">
        <v>20</v>
      </c>
      <c r="M649" s="2">
        <v>2.9</v>
      </c>
      <c r="N649" s="2">
        <v>2.97</v>
      </c>
      <c r="O649">
        <v>0</v>
      </c>
      <c r="P649">
        <v>1</v>
      </c>
      <c r="Q649" s="4" t="str">
        <f t="shared" ref="Q649" si="74">IF(P649=1,"2016/2017-Ganjil",IF(P649=2,"2016/2017-Genap",IF(P649=3,"2017/2018-Ganjil",IF(P649=4,"2017/2018-Genap",IF(P649=5,"2018/2019-Ganjil",IF(P649=6,"2018/2019-Genap",IF(P649=7,"2019/2020-Ganjil",IF(P649=8,"2019/2020-Genap",IF(P649=9,"2020/2021-Ganjil",IF(P649=10,"2020/2021-Genap",IF(P649=11,"2021/2022-Ganjil",IF(P649=12,"2021/2022-Genap",IF(P649=13,"2022/2023-Ganjil","2022/2023-Genap")))))))))))))</f>
        <v>2016/2017-Ganjil</v>
      </c>
      <c r="R649" t="s">
        <v>260</v>
      </c>
      <c r="S649" t="str">
        <f t="shared" si="66"/>
        <v>PA</v>
      </c>
    </row>
    <row r="650" spans="1:19" x14ac:dyDescent="0.3">
      <c r="A650" t="s">
        <v>12</v>
      </c>
      <c r="B650">
        <v>2016110015</v>
      </c>
      <c r="C650" t="s">
        <v>320</v>
      </c>
      <c r="E650" t="s">
        <v>244</v>
      </c>
      <c r="F650" t="s">
        <v>228</v>
      </c>
      <c r="G650">
        <v>2</v>
      </c>
      <c r="H650" t="s">
        <v>260</v>
      </c>
      <c r="I650" s="4">
        <f t="shared" si="67"/>
        <v>4</v>
      </c>
      <c r="J650">
        <f t="shared" si="68"/>
        <v>8</v>
      </c>
      <c r="K650">
        <v>64</v>
      </c>
      <c r="L650">
        <v>24</v>
      </c>
      <c r="M650" s="2">
        <v>2.67</v>
      </c>
      <c r="N650" s="2">
        <v>2.97</v>
      </c>
      <c r="O650">
        <v>0</v>
      </c>
      <c r="P650">
        <v>4</v>
      </c>
      <c r="Q650" t="s">
        <v>565</v>
      </c>
      <c r="R650" t="s">
        <v>260</v>
      </c>
      <c r="S650" t="str">
        <f t="shared" ref="S650:S696" si="75">IF(OR(H650="A",H650="B",H650="C"),"PA","FA")</f>
        <v>PA</v>
      </c>
    </row>
    <row r="651" spans="1:19" x14ac:dyDescent="0.3">
      <c r="A651" t="s">
        <v>12</v>
      </c>
      <c r="B651">
        <v>2016110015</v>
      </c>
      <c r="C651" t="s">
        <v>320</v>
      </c>
      <c r="E651" t="s">
        <v>241</v>
      </c>
      <c r="F651" t="s">
        <v>45</v>
      </c>
      <c r="G651">
        <v>2</v>
      </c>
      <c r="H651" t="s">
        <v>260</v>
      </c>
      <c r="I651" s="4">
        <f t="shared" ref="I651:I696" si="76">IF(H651="A",4,IF(H651="B",3,IF(H651="C",2,IF(H651="D",1,0))))</f>
        <v>4</v>
      </c>
      <c r="J651">
        <f t="shared" ref="J651:J696" si="77">G651*I651</f>
        <v>8</v>
      </c>
      <c r="K651">
        <v>64</v>
      </c>
      <c r="L651">
        <v>18</v>
      </c>
      <c r="M651" s="2">
        <v>3.56</v>
      </c>
      <c r="N651" s="2">
        <v>2.97</v>
      </c>
      <c r="O651">
        <v>0</v>
      </c>
      <c r="P651">
        <v>3</v>
      </c>
      <c r="Q651" s="4" t="str">
        <f t="shared" ref="Q651" si="78">IF(P651=1,"2016/2017-Ganjil",IF(P651=2,"2016/2017-Genap",IF(P651=3,"2017/2018-Ganjil",IF(P651=4,"2017/2018-Genap",IF(P651=5,"2018/2019-Ganjil",IF(P651=6,"2018/2019-Genap",IF(P651=7,"2019/2020-Ganjil",IF(P651=8,"2019/2020-Genap",IF(P651=9,"2020/2021-Ganjil",IF(P651=10,"2020/2021-Genap",IF(P651=11,"2021/2022-Ganjil",IF(P651=12,"2021/2022-Genap",IF(P651=13,"2022/2023-Ganjil","2022/2023-Genap")))))))))))))</f>
        <v>2017/2018-Ganjil</v>
      </c>
      <c r="R651" t="s">
        <v>260</v>
      </c>
      <c r="S651" t="str">
        <f t="shared" si="75"/>
        <v>PA</v>
      </c>
    </row>
    <row r="652" spans="1:19" x14ac:dyDescent="0.3">
      <c r="A652" t="s">
        <v>12</v>
      </c>
      <c r="B652">
        <v>2016110015</v>
      </c>
      <c r="C652" t="s">
        <v>320</v>
      </c>
      <c r="E652" t="s">
        <v>370</v>
      </c>
      <c r="F652" t="s">
        <v>371</v>
      </c>
      <c r="G652">
        <v>2</v>
      </c>
      <c r="H652" t="s">
        <v>438</v>
      </c>
      <c r="I652" s="4">
        <f t="shared" si="76"/>
        <v>3</v>
      </c>
      <c r="J652">
        <f t="shared" si="77"/>
        <v>6</v>
      </c>
      <c r="K652">
        <v>62</v>
      </c>
      <c r="L652">
        <v>22</v>
      </c>
      <c r="M652" s="2">
        <v>2.82</v>
      </c>
      <c r="N652" s="2">
        <v>2.97</v>
      </c>
      <c r="O652">
        <v>0</v>
      </c>
      <c r="P652">
        <v>5</v>
      </c>
      <c r="Q652" t="s">
        <v>566</v>
      </c>
      <c r="R652" t="s">
        <v>260</v>
      </c>
      <c r="S652" t="str">
        <f t="shared" si="75"/>
        <v>PA</v>
      </c>
    </row>
    <row r="653" spans="1:19" x14ac:dyDescent="0.3">
      <c r="A653" t="s">
        <v>12</v>
      </c>
      <c r="B653">
        <v>2016110015</v>
      </c>
      <c r="C653" t="s">
        <v>320</v>
      </c>
      <c r="E653" t="s">
        <v>236</v>
      </c>
      <c r="F653" t="s">
        <v>237</v>
      </c>
      <c r="G653">
        <v>2</v>
      </c>
      <c r="H653" t="s">
        <v>438</v>
      </c>
      <c r="I653" s="4">
        <f t="shared" si="76"/>
        <v>3</v>
      </c>
      <c r="J653">
        <f t="shared" si="77"/>
        <v>6</v>
      </c>
      <c r="K653">
        <v>46</v>
      </c>
      <c r="L653">
        <v>16</v>
      </c>
      <c r="M653" s="2">
        <v>2.88</v>
      </c>
      <c r="N653" s="2">
        <v>2.97</v>
      </c>
      <c r="O653">
        <v>0</v>
      </c>
      <c r="P653">
        <v>7</v>
      </c>
      <c r="Q653" t="s">
        <v>568</v>
      </c>
      <c r="R653" t="s">
        <v>260</v>
      </c>
      <c r="S653" t="str">
        <f t="shared" si="75"/>
        <v>PA</v>
      </c>
    </row>
    <row r="654" spans="1:19" x14ac:dyDescent="0.3">
      <c r="A654" t="s">
        <v>12</v>
      </c>
      <c r="B654">
        <v>2016110015</v>
      </c>
      <c r="C654" t="s">
        <v>320</v>
      </c>
      <c r="E654" t="s">
        <v>211</v>
      </c>
      <c r="F654" t="s">
        <v>186</v>
      </c>
      <c r="G654">
        <v>4</v>
      </c>
      <c r="H654" t="s">
        <v>438</v>
      </c>
      <c r="I654" s="4">
        <f t="shared" si="76"/>
        <v>3</v>
      </c>
      <c r="J654">
        <f t="shared" si="77"/>
        <v>12</v>
      </c>
      <c r="K654">
        <v>62</v>
      </c>
      <c r="L654">
        <v>22</v>
      </c>
      <c r="M654" s="2">
        <v>2.82</v>
      </c>
      <c r="N654" s="2">
        <v>2.97</v>
      </c>
      <c r="O654">
        <v>0</v>
      </c>
      <c r="P654">
        <v>5</v>
      </c>
      <c r="Q654" t="s">
        <v>566</v>
      </c>
      <c r="R654" t="s">
        <v>260</v>
      </c>
      <c r="S654" t="str">
        <f t="shared" si="75"/>
        <v>PA</v>
      </c>
    </row>
    <row r="655" spans="1:19" x14ac:dyDescent="0.3">
      <c r="A655" t="s">
        <v>12</v>
      </c>
      <c r="B655">
        <v>2016110015</v>
      </c>
      <c r="C655" t="s">
        <v>320</v>
      </c>
      <c r="E655" t="s">
        <v>306</v>
      </c>
      <c r="F655" t="s">
        <v>307</v>
      </c>
      <c r="G655">
        <v>2</v>
      </c>
      <c r="H655" t="s">
        <v>438</v>
      </c>
      <c r="I655" s="4">
        <f t="shared" si="76"/>
        <v>3</v>
      </c>
      <c r="J655">
        <f t="shared" si="77"/>
        <v>6</v>
      </c>
      <c r="K655">
        <v>62</v>
      </c>
      <c r="L655">
        <v>22</v>
      </c>
      <c r="M655" s="2">
        <v>2.82</v>
      </c>
      <c r="N655" s="2">
        <v>2.97</v>
      </c>
      <c r="O655">
        <v>0</v>
      </c>
      <c r="P655">
        <v>5</v>
      </c>
      <c r="Q655" t="s">
        <v>566</v>
      </c>
      <c r="R655" t="s">
        <v>260</v>
      </c>
      <c r="S655" t="str">
        <f t="shared" si="75"/>
        <v>PA</v>
      </c>
    </row>
    <row r="656" spans="1:19" x14ac:dyDescent="0.3">
      <c r="A656" t="s">
        <v>12</v>
      </c>
      <c r="B656">
        <v>2016110015</v>
      </c>
      <c r="C656" t="s">
        <v>320</v>
      </c>
      <c r="E656" t="s">
        <v>131</v>
      </c>
      <c r="F656" t="s">
        <v>132</v>
      </c>
      <c r="G656">
        <v>2</v>
      </c>
      <c r="H656" t="s">
        <v>438</v>
      </c>
      <c r="I656" s="4">
        <f t="shared" si="76"/>
        <v>3</v>
      </c>
      <c r="J656">
        <f t="shared" si="77"/>
        <v>6</v>
      </c>
      <c r="K656">
        <v>58</v>
      </c>
      <c r="L656">
        <v>20</v>
      </c>
      <c r="M656" s="2">
        <v>2.9</v>
      </c>
      <c r="N656" s="2">
        <v>2.97</v>
      </c>
      <c r="O656">
        <v>0</v>
      </c>
      <c r="P656">
        <v>1</v>
      </c>
      <c r="Q656" s="4" t="str">
        <f t="shared" ref="Q656" si="79">IF(P656=1,"2016/2017-Ganjil",IF(P656=2,"2016/2017-Genap",IF(P656=3,"2017/2018-Ganjil",IF(P656=4,"2017/2018-Genap",IF(P656=5,"2018/2019-Ganjil",IF(P656=6,"2018/2019-Genap",IF(P656=7,"2019/2020-Ganjil",IF(P656=8,"2019/2020-Genap",IF(P656=9,"2020/2021-Ganjil",IF(P656=10,"2020/2021-Genap",IF(P656=11,"2021/2022-Ganjil",IF(P656=12,"2021/2022-Genap",IF(P656=13,"2022/2023-Ganjil","2022/2023-Genap")))))))))))))</f>
        <v>2016/2017-Ganjil</v>
      </c>
      <c r="R656" t="s">
        <v>260</v>
      </c>
      <c r="S656" t="str">
        <f t="shared" si="75"/>
        <v>PA</v>
      </c>
    </row>
    <row r="657" spans="1:19" x14ac:dyDescent="0.3">
      <c r="A657" t="s">
        <v>12</v>
      </c>
      <c r="B657">
        <v>2016110015</v>
      </c>
      <c r="C657" t="s">
        <v>320</v>
      </c>
      <c r="E657" t="s">
        <v>374</v>
      </c>
      <c r="F657" t="s">
        <v>375</v>
      </c>
      <c r="G657">
        <v>2</v>
      </c>
      <c r="H657" t="s">
        <v>438</v>
      </c>
      <c r="I657" s="4">
        <f t="shared" si="76"/>
        <v>3</v>
      </c>
      <c r="J657">
        <f t="shared" si="77"/>
        <v>6</v>
      </c>
      <c r="K657">
        <v>64</v>
      </c>
      <c r="L657">
        <v>24</v>
      </c>
      <c r="M657" s="2">
        <v>2.67</v>
      </c>
      <c r="N657" s="2">
        <v>2.97</v>
      </c>
      <c r="O657">
        <v>0</v>
      </c>
      <c r="P657">
        <v>4</v>
      </c>
      <c r="Q657" t="s">
        <v>565</v>
      </c>
      <c r="R657" t="s">
        <v>260</v>
      </c>
      <c r="S657" t="str">
        <f t="shared" si="75"/>
        <v>PA</v>
      </c>
    </row>
    <row r="658" spans="1:19" x14ac:dyDescent="0.3">
      <c r="A658" t="s">
        <v>12</v>
      </c>
      <c r="B658">
        <v>2016110015</v>
      </c>
      <c r="C658" t="s">
        <v>320</v>
      </c>
      <c r="E658" t="s">
        <v>90</v>
      </c>
      <c r="F658" t="s">
        <v>91</v>
      </c>
      <c r="G658">
        <v>2</v>
      </c>
      <c r="H658" t="s">
        <v>438</v>
      </c>
      <c r="I658" s="4">
        <f t="shared" si="76"/>
        <v>3</v>
      </c>
      <c r="J658">
        <f t="shared" si="77"/>
        <v>6</v>
      </c>
      <c r="K658">
        <v>58</v>
      </c>
      <c r="L658">
        <v>20</v>
      </c>
      <c r="M658" s="2">
        <v>2.9</v>
      </c>
      <c r="N658" s="2">
        <v>2.97</v>
      </c>
      <c r="O658">
        <v>0</v>
      </c>
      <c r="P658">
        <v>1</v>
      </c>
      <c r="Q658" s="4" t="str">
        <f t="shared" ref="Q658" si="80">IF(P658=1,"2016/2017-Ganjil",IF(P658=2,"2016/2017-Genap",IF(P658=3,"2017/2018-Ganjil",IF(P658=4,"2017/2018-Genap",IF(P658=5,"2018/2019-Ganjil",IF(P658=6,"2018/2019-Genap",IF(P658=7,"2019/2020-Ganjil",IF(P658=8,"2019/2020-Genap",IF(P658=9,"2020/2021-Ganjil",IF(P658=10,"2020/2021-Genap",IF(P658=11,"2021/2022-Ganjil",IF(P658=12,"2021/2022-Genap",IF(P658=13,"2022/2023-Ganjil","2022/2023-Genap")))))))))))))</f>
        <v>2016/2017-Ganjil</v>
      </c>
      <c r="R658" t="s">
        <v>260</v>
      </c>
      <c r="S658" t="str">
        <f t="shared" si="75"/>
        <v>PA</v>
      </c>
    </row>
    <row r="659" spans="1:19" x14ac:dyDescent="0.3">
      <c r="A659" t="s">
        <v>12</v>
      </c>
      <c r="B659">
        <v>2016110015</v>
      </c>
      <c r="C659" t="s">
        <v>320</v>
      </c>
      <c r="E659" t="s">
        <v>297</v>
      </c>
      <c r="F659" t="s">
        <v>342</v>
      </c>
      <c r="G659">
        <v>4</v>
      </c>
      <c r="H659" t="s">
        <v>438</v>
      </c>
      <c r="I659" s="4">
        <f t="shared" si="76"/>
        <v>3</v>
      </c>
      <c r="J659">
        <f t="shared" si="77"/>
        <v>12</v>
      </c>
      <c r="K659">
        <v>72</v>
      </c>
      <c r="L659">
        <v>22</v>
      </c>
      <c r="M659" s="2">
        <v>3.27</v>
      </c>
      <c r="N659" s="2">
        <v>2.97</v>
      </c>
      <c r="O659">
        <v>0</v>
      </c>
      <c r="P659">
        <v>6</v>
      </c>
      <c r="Q659" t="s">
        <v>567</v>
      </c>
      <c r="R659" t="s">
        <v>260</v>
      </c>
      <c r="S659" t="str">
        <f t="shared" si="75"/>
        <v>PA</v>
      </c>
    </row>
    <row r="660" spans="1:19" x14ac:dyDescent="0.3">
      <c r="A660" t="s">
        <v>12</v>
      </c>
      <c r="B660">
        <v>2016110015</v>
      </c>
      <c r="C660" t="s">
        <v>320</v>
      </c>
      <c r="E660" t="s">
        <v>276</v>
      </c>
      <c r="F660" t="s">
        <v>137</v>
      </c>
      <c r="G660">
        <v>4</v>
      </c>
      <c r="H660" t="s">
        <v>438</v>
      </c>
      <c r="I660" s="4">
        <f t="shared" si="76"/>
        <v>3</v>
      </c>
      <c r="J660">
        <f t="shared" si="77"/>
        <v>12</v>
      </c>
      <c r="K660">
        <v>64</v>
      </c>
      <c r="L660">
        <v>24</v>
      </c>
      <c r="M660" s="2">
        <v>2.67</v>
      </c>
      <c r="N660" s="2">
        <v>2.97</v>
      </c>
      <c r="O660">
        <v>0</v>
      </c>
      <c r="P660">
        <v>4</v>
      </c>
      <c r="Q660" t="s">
        <v>565</v>
      </c>
      <c r="R660" t="s">
        <v>260</v>
      </c>
      <c r="S660" t="str">
        <f t="shared" si="75"/>
        <v>PA</v>
      </c>
    </row>
    <row r="661" spans="1:19" x14ac:dyDescent="0.3">
      <c r="A661" t="s">
        <v>12</v>
      </c>
      <c r="B661">
        <v>2016110015</v>
      </c>
      <c r="C661" t="s">
        <v>320</v>
      </c>
      <c r="E661" t="s">
        <v>103</v>
      </c>
      <c r="F661" t="s">
        <v>104</v>
      </c>
      <c r="G661">
        <v>4</v>
      </c>
      <c r="H661" t="s">
        <v>438</v>
      </c>
      <c r="I661" s="4">
        <f t="shared" si="76"/>
        <v>3</v>
      </c>
      <c r="J661">
        <f t="shared" si="77"/>
        <v>12</v>
      </c>
      <c r="K661">
        <v>50</v>
      </c>
      <c r="L661">
        <v>20</v>
      </c>
      <c r="M661" s="2">
        <v>2.5</v>
      </c>
      <c r="N661" s="2">
        <v>2.97</v>
      </c>
      <c r="O661">
        <v>0</v>
      </c>
      <c r="P661">
        <v>2</v>
      </c>
      <c r="Q661" s="4" t="str">
        <f t="shared" ref="Q661" si="81">IF(P661=1,"2016/2017-Ganjil",IF(P661=2,"2016/2017-Genap",IF(P661=3,"2017/2018-Ganjil",IF(P661=4,"2017/2018-Genap",IF(P661=5,"2018/2019-Ganjil",IF(P661=6,"2018/2019-Genap",IF(P661=7,"2019/2020-Ganjil",IF(P661=8,"2019/2020-Genap",IF(P661=9,"2020/2021-Ganjil",IF(P661=10,"2020/2021-Genap",IF(P661=11,"2021/2022-Ganjil",IF(P661=12,"2021/2022-Genap",IF(P661=13,"2022/2023-Ganjil","2022/2023-Genap")))))))))))))</f>
        <v>2016/2017-Genap</v>
      </c>
      <c r="R661" t="s">
        <v>260</v>
      </c>
      <c r="S661" t="str">
        <f t="shared" si="75"/>
        <v>PA</v>
      </c>
    </row>
    <row r="662" spans="1:19" x14ac:dyDescent="0.3">
      <c r="A662" t="s">
        <v>12</v>
      </c>
      <c r="B662">
        <v>2016110015</v>
      </c>
      <c r="C662" t="s">
        <v>320</v>
      </c>
      <c r="E662" t="s">
        <v>39</v>
      </c>
      <c r="F662" t="s">
        <v>11</v>
      </c>
      <c r="G662">
        <v>2</v>
      </c>
      <c r="H662" t="s">
        <v>438</v>
      </c>
      <c r="I662" s="4">
        <f t="shared" si="76"/>
        <v>3</v>
      </c>
      <c r="J662">
        <f t="shared" si="77"/>
        <v>6</v>
      </c>
      <c r="K662">
        <v>72</v>
      </c>
      <c r="L662">
        <v>22</v>
      </c>
      <c r="M662" s="2">
        <v>3.27</v>
      </c>
      <c r="N662" s="2">
        <v>2.97</v>
      </c>
      <c r="O662">
        <v>0</v>
      </c>
      <c r="P662">
        <v>6</v>
      </c>
      <c r="Q662" t="s">
        <v>567</v>
      </c>
      <c r="R662" t="s">
        <v>260</v>
      </c>
      <c r="S662" t="str">
        <f t="shared" si="75"/>
        <v>PA</v>
      </c>
    </row>
    <row r="663" spans="1:19" x14ac:dyDescent="0.3">
      <c r="A663" t="s">
        <v>12</v>
      </c>
      <c r="B663">
        <v>2016110015</v>
      </c>
      <c r="C663" t="s">
        <v>320</v>
      </c>
      <c r="E663" t="s">
        <v>208</v>
      </c>
      <c r="F663" t="s">
        <v>209</v>
      </c>
      <c r="G663">
        <v>2</v>
      </c>
      <c r="H663" t="s">
        <v>438</v>
      </c>
      <c r="I663" s="4">
        <f t="shared" si="76"/>
        <v>3</v>
      </c>
      <c r="J663">
        <f t="shared" si="77"/>
        <v>6</v>
      </c>
      <c r="K663">
        <v>62</v>
      </c>
      <c r="L663">
        <v>22</v>
      </c>
      <c r="M663" s="2">
        <v>2.82</v>
      </c>
      <c r="N663" s="2">
        <v>2.97</v>
      </c>
      <c r="O663">
        <v>0</v>
      </c>
      <c r="P663">
        <v>5</v>
      </c>
      <c r="Q663" t="s">
        <v>566</v>
      </c>
      <c r="R663" t="s">
        <v>260</v>
      </c>
      <c r="S663" t="str">
        <f t="shared" si="75"/>
        <v>PA</v>
      </c>
    </row>
    <row r="664" spans="1:19" x14ac:dyDescent="0.3">
      <c r="A664" t="s">
        <v>12</v>
      </c>
      <c r="B664">
        <v>2016110015</v>
      </c>
      <c r="C664" t="s">
        <v>320</v>
      </c>
      <c r="E664" t="s">
        <v>283</v>
      </c>
      <c r="F664" t="s">
        <v>284</v>
      </c>
      <c r="G664">
        <v>2</v>
      </c>
      <c r="H664" t="s">
        <v>438</v>
      </c>
      <c r="I664" s="4">
        <f t="shared" si="76"/>
        <v>3</v>
      </c>
      <c r="J664">
        <f t="shared" si="77"/>
        <v>6</v>
      </c>
      <c r="K664">
        <v>46</v>
      </c>
      <c r="L664">
        <v>16</v>
      </c>
      <c r="M664" s="2">
        <v>2.88</v>
      </c>
      <c r="N664" s="2">
        <v>2.97</v>
      </c>
      <c r="O664">
        <v>0</v>
      </c>
      <c r="P664">
        <v>7</v>
      </c>
      <c r="Q664" t="s">
        <v>568</v>
      </c>
      <c r="R664" t="s">
        <v>260</v>
      </c>
      <c r="S664" t="str">
        <f t="shared" si="75"/>
        <v>PA</v>
      </c>
    </row>
    <row r="665" spans="1:19" x14ac:dyDescent="0.3">
      <c r="A665" t="s">
        <v>12</v>
      </c>
      <c r="B665">
        <v>2016110015</v>
      </c>
      <c r="C665" t="s">
        <v>320</v>
      </c>
      <c r="E665" t="s">
        <v>97</v>
      </c>
      <c r="F665" t="s">
        <v>98</v>
      </c>
      <c r="G665">
        <v>4</v>
      </c>
      <c r="H665" t="s">
        <v>438</v>
      </c>
      <c r="I665" s="4">
        <f t="shared" si="76"/>
        <v>3</v>
      </c>
      <c r="J665">
        <f t="shared" si="77"/>
        <v>12</v>
      </c>
      <c r="K665">
        <v>50</v>
      </c>
      <c r="L665">
        <v>20</v>
      </c>
      <c r="M665" s="2">
        <v>2.5</v>
      </c>
      <c r="N665" s="2">
        <v>2.97</v>
      </c>
      <c r="O665">
        <v>0</v>
      </c>
      <c r="P665">
        <v>2</v>
      </c>
      <c r="Q665" s="4" t="str">
        <f t="shared" ref="Q665" si="82">IF(P665=1,"2016/2017-Ganjil",IF(P665=2,"2016/2017-Genap",IF(P665=3,"2017/2018-Ganjil",IF(P665=4,"2017/2018-Genap",IF(P665=5,"2018/2019-Ganjil",IF(P665=6,"2018/2019-Genap",IF(P665=7,"2019/2020-Ganjil",IF(P665=8,"2019/2020-Genap",IF(P665=9,"2020/2021-Ganjil",IF(P665=10,"2020/2021-Genap",IF(P665=11,"2021/2022-Ganjil",IF(P665=12,"2021/2022-Genap",IF(P665=13,"2022/2023-Ganjil","2022/2023-Genap")))))))))))))</f>
        <v>2016/2017-Genap</v>
      </c>
      <c r="R665" t="s">
        <v>260</v>
      </c>
      <c r="S665" t="str">
        <f t="shared" si="75"/>
        <v>PA</v>
      </c>
    </row>
    <row r="666" spans="1:19" x14ac:dyDescent="0.3">
      <c r="A666" t="s">
        <v>12</v>
      </c>
      <c r="B666">
        <v>2016110015</v>
      </c>
      <c r="C666" t="s">
        <v>320</v>
      </c>
      <c r="E666" t="s">
        <v>330</v>
      </c>
      <c r="F666" t="s">
        <v>108</v>
      </c>
      <c r="G666">
        <v>2</v>
      </c>
      <c r="H666" t="s">
        <v>438</v>
      </c>
      <c r="I666" s="4">
        <f t="shared" si="76"/>
        <v>3</v>
      </c>
      <c r="J666">
        <f t="shared" si="77"/>
        <v>6</v>
      </c>
      <c r="K666">
        <v>46</v>
      </c>
      <c r="L666">
        <v>16</v>
      </c>
      <c r="M666" s="2">
        <v>2.88</v>
      </c>
      <c r="N666" s="2">
        <v>2.97</v>
      </c>
      <c r="O666">
        <v>0</v>
      </c>
      <c r="P666">
        <v>7</v>
      </c>
      <c r="Q666" t="s">
        <v>568</v>
      </c>
      <c r="R666" t="s">
        <v>260</v>
      </c>
      <c r="S666" t="str">
        <f t="shared" si="75"/>
        <v>PA</v>
      </c>
    </row>
    <row r="667" spans="1:19" x14ac:dyDescent="0.3">
      <c r="A667" t="s">
        <v>12</v>
      </c>
      <c r="B667">
        <v>2016110015</v>
      </c>
      <c r="C667" t="s">
        <v>320</v>
      </c>
      <c r="E667" t="s">
        <v>234</v>
      </c>
      <c r="F667" t="s">
        <v>235</v>
      </c>
      <c r="G667">
        <v>4</v>
      </c>
      <c r="H667" t="s">
        <v>438</v>
      </c>
      <c r="I667" s="4">
        <f t="shared" si="76"/>
        <v>3</v>
      </c>
      <c r="J667">
        <f t="shared" si="77"/>
        <v>12</v>
      </c>
      <c r="K667">
        <v>64</v>
      </c>
      <c r="L667">
        <v>18</v>
      </c>
      <c r="M667" s="2">
        <v>3.56</v>
      </c>
      <c r="N667" s="2">
        <v>2.97</v>
      </c>
      <c r="O667">
        <v>0</v>
      </c>
      <c r="P667">
        <v>3</v>
      </c>
      <c r="Q667" s="4" t="str">
        <f t="shared" ref="Q667" si="83">IF(P667=1,"2016/2017-Ganjil",IF(P667=2,"2016/2017-Genap",IF(P667=3,"2017/2018-Ganjil",IF(P667=4,"2017/2018-Genap",IF(P667=5,"2018/2019-Ganjil",IF(P667=6,"2018/2019-Genap",IF(P667=7,"2019/2020-Ganjil",IF(P667=8,"2019/2020-Genap",IF(P667=9,"2020/2021-Ganjil",IF(P667=10,"2020/2021-Genap",IF(P667=11,"2021/2022-Ganjil",IF(P667=12,"2021/2022-Genap",IF(P667=13,"2022/2023-Ganjil","2022/2023-Genap")))))))))))))</f>
        <v>2017/2018-Ganjil</v>
      </c>
      <c r="R667" t="s">
        <v>260</v>
      </c>
      <c r="S667" t="str">
        <f t="shared" si="75"/>
        <v>PA</v>
      </c>
    </row>
    <row r="668" spans="1:19" x14ac:dyDescent="0.3">
      <c r="A668" t="s">
        <v>12</v>
      </c>
      <c r="B668">
        <v>2016110015</v>
      </c>
      <c r="C668" t="s">
        <v>320</v>
      </c>
      <c r="E668" t="s">
        <v>151</v>
      </c>
      <c r="F668" t="s">
        <v>152</v>
      </c>
      <c r="G668">
        <v>2</v>
      </c>
      <c r="H668" t="s">
        <v>438</v>
      </c>
      <c r="I668" s="4">
        <f t="shared" si="76"/>
        <v>3</v>
      </c>
      <c r="J668">
        <f t="shared" si="77"/>
        <v>6</v>
      </c>
      <c r="K668">
        <v>58</v>
      </c>
      <c r="L668">
        <v>20</v>
      </c>
      <c r="M668" s="2">
        <v>2.9</v>
      </c>
      <c r="N668" s="2">
        <v>2.97</v>
      </c>
      <c r="O668">
        <v>0</v>
      </c>
      <c r="P668">
        <v>1</v>
      </c>
      <c r="Q668" s="4" t="str">
        <f t="shared" ref="Q668" si="84">IF(P668=1,"2016/2017-Ganjil",IF(P668=2,"2016/2017-Genap",IF(P668=3,"2017/2018-Ganjil",IF(P668=4,"2017/2018-Genap",IF(P668=5,"2018/2019-Ganjil",IF(P668=6,"2018/2019-Genap",IF(P668=7,"2019/2020-Ganjil",IF(P668=8,"2019/2020-Genap",IF(P668=9,"2020/2021-Ganjil",IF(P668=10,"2020/2021-Genap",IF(P668=11,"2021/2022-Ganjil",IF(P668=12,"2021/2022-Genap",IF(P668=13,"2022/2023-Ganjil","2022/2023-Genap")))))))))))))</f>
        <v>2016/2017-Ganjil</v>
      </c>
      <c r="R668" t="s">
        <v>260</v>
      </c>
      <c r="S668" t="str">
        <f t="shared" si="75"/>
        <v>PA</v>
      </c>
    </row>
    <row r="669" spans="1:19" x14ac:dyDescent="0.3">
      <c r="A669" t="s">
        <v>12</v>
      </c>
      <c r="B669">
        <v>2016110015</v>
      </c>
      <c r="C669" t="s">
        <v>320</v>
      </c>
      <c r="E669" t="s">
        <v>190</v>
      </c>
      <c r="F669" t="s">
        <v>191</v>
      </c>
      <c r="G669">
        <v>4</v>
      </c>
      <c r="H669" t="s">
        <v>438</v>
      </c>
      <c r="I669" s="4">
        <f t="shared" si="76"/>
        <v>3</v>
      </c>
      <c r="J669">
        <f t="shared" si="77"/>
        <v>12</v>
      </c>
      <c r="K669">
        <v>62</v>
      </c>
      <c r="L669">
        <v>22</v>
      </c>
      <c r="M669" s="2">
        <v>2.82</v>
      </c>
      <c r="N669" s="2">
        <v>2.97</v>
      </c>
      <c r="O669">
        <v>0</v>
      </c>
      <c r="P669">
        <v>5</v>
      </c>
      <c r="Q669" t="s">
        <v>566</v>
      </c>
      <c r="R669" t="s">
        <v>260</v>
      </c>
      <c r="S669" t="str">
        <f t="shared" si="75"/>
        <v>PA</v>
      </c>
    </row>
    <row r="670" spans="1:19" x14ac:dyDescent="0.3">
      <c r="A670" t="s">
        <v>12</v>
      </c>
      <c r="B670">
        <v>2016110015</v>
      </c>
      <c r="C670" t="s">
        <v>320</v>
      </c>
      <c r="E670" t="s">
        <v>427</v>
      </c>
      <c r="F670" t="s">
        <v>428</v>
      </c>
      <c r="G670">
        <v>2</v>
      </c>
      <c r="H670" t="s">
        <v>438</v>
      </c>
      <c r="I670" s="4">
        <f t="shared" si="76"/>
        <v>3</v>
      </c>
      <c r="J670">
        <f t="shared" si="77"/>
        <v>6</v>
      </c>
      <c r="K670">
        <v>72</v>
      </c>
      <c r="L670">
        <v>22</v>
      </c>
      <c r="M670" s="2">
        <v>3.27</v>
      </c>
      <c r="N670" s="2">
        <v>2.97</v>
      </c>
      <c r="O670">
        <v>0</v>
      </c>
      <c r="P670">
        <v>6</v>
      </c>
      <c r="Q670" t="s">
        <v>567</v>
      </c>
      <c r="R670" t="s">
        <v>260</v>
      </c>
      <c r="S670" t="str">
        <f t="shared" si="75"/>
        <v>PA</v>
      </c>
    </row>
    <row r="671" spans="1:19" x14ac:dyDescent="0.3">
      <c r="A671" t="s">
        <v>12</v>
      </c>
      <c r="B671">
        <v>2016110015</v>
      </c>
      <c r="C671" t="s">
        <v>320</v>
      </c>
      <c r="E671" t="s">
        <v>437</v>
      </c>
      <c r="F671" t="s">
        <v>169</v>
      </c>
      <c r="G671">
        <v>4</v>
      </c>
      <c r="H671" t="s">
        <v>438</v>
      </c>
      <c r="I671" s="4">
        <f t="shared" si="76"/>
        <v>3</v>
      </c>
      <c r="J671">
        <f t="shared" si="77"/>
        <v>12</v>
      </c>
      <c r="K671">
        <v>58</v>
      </c>
      <c r="L671">
        <v>20</v>
      </c>
      <c r="M671" s="2">
        <v>2.9</v>
      </c>
      <c r="N671" s="2">
        <v>2.97</v>
      </c>
      <c r="O671">
        <v>0</v>
      </c>
      <c r="P671">
        <v>1</v>
      </c>
      <c r="Q671" s="4" t="str">
        <f t="shared" ref="Q671" si="85">IF(P671=1,"2016/2017-Ganjil",IF(P671=2,"2016/2017-Genap",IF(P671=3,"2017/2018-Ganjil",IF(P671=4,"2017/2018-Genap",IF(P671=5,"2018/2019-Ganjil",IF(P671=6,"2018/2019-Genap",IF(P671=7,"2019/2020-Ganjil",IF(P671=8,"2019/2020-Genap",IF(P671=9,"2020/2021-Ganjil",IF(P671=10,"2020/2021-Genap",IF(P671=11,"2021/2022-Ganjil",IF(P671=12,"2021/2022-Genap",IF(P671=13,"2022/2023-Ganjil","2022/2023-Genap")))))))))))))</f>
        <v>2016/2017-Ganjil</v>
      </c>
      <c r="R671" t="s">
        <v>260</v>
      </c>
      <c r="S671" t="str">
        <f t="shared" si="75"/>
        <v>PA</v>
      </c>
    </row>
    <row r="672" spans="1:19" x14ac:dyDescent="0.3">
      <c r="A672" t="s">
        <v>12</v>
      </c>
      <c r="B672">
        <v>2016110015</v>
      </c>
      <c r="C672" t="s">
        <v>320</v>
      </c>
      <c r="E672" t="s">
        <v>446</v>
      </c>
      <c r="F672" t="s">
        <v>447</v>
      </c>
      <c r="G672">
        <v>2</v>
      </c>
      <c r="H672" t="s">
        <v>438</v>
      </c>
      <c r="I672" s="4">
        <f t="shared" si="76"/>
        <v>3</v>
      </c>
      <c r="J672">
        <f t="shared" si="77"/>
        <v>6</v>
      </c>
      <c r="K672">
        <v>72</v>
      </c>
      <c r="L672">
        <v>22</v>
      </c>
      <c r="M672" s="2">
        <v>3.27</v>
      </c>
      <c r="N672" s="2">
        <v>2.97</v>
      </c>
      <c r="O672">
        <v>0</v>
      </c>
      <c r="P672">
        <v>6</v>
      </c>
      <c r="Q672" t="s">
        <v>567</v>
      </c>
      <c r="R672" t="s">
        <v>260</v>
      </c>
      <c r="S672" t="str">
        <f t="shared" si="75"/>
        <v>PA</v>
      </c>
    </row>
    <row r="673" spans="1:19" x14ac:dyDescent="0.3">
      <c r="A673" t="s">
        <v>12</v>
      </c>
      <c r="B673">
        <v>2016110015</v>
      </c>
      <c r="C673" t="s">
        <v>320</v>
      </c>
      <c r="E673" t="s">
        <v>257</v>
      </c>
      <c r="F673" t="s">
        <v>258</v>
      </c>
      <c r="G673">
        <v>4</v>
      </c>
      <c r="H673" t="s">
        <v>438</v>
      </c>
      <c r="I673" s="4">
        <f t="shared" si="76"/>
        <v>3</v>
      </c>
      <c r="J673">
        <f t="shared" si="77"/>
        <v>12</v>
      </c>
      <c r="K673">
        <v>72</v>
      </c>
      <c r="L673">
        <v>22</v>
      </c>
      <c r="M673" s="2">
        <v>3.27</v>
      </c>
      <c r="N673" s="2">
        <v>2.97</v>
      </c>
      <c r="O673">
        <v>0</v>
      </c>
      <c r="P673">
        <v>6</v>
      </c>
      <c r="Q673" t="s">
        <v>567</v>
      </c>
      <c r="R673" t="s">
        <v>260</v>
      </c>
      <c r="S673" t="str">
        <f t="shared" si="75"/>
        <v>PA</v>
      </c>
    </row>
    <row r="674" spans="1:19" x14ac:dyDescent="0.3">
      <c r="A674" t="s">
        <v>12</v>
      </c>
      <c r="B674">
        <v>2016110015</v>
      </c>
      <c r="C674" t="s">
        <v>320</v>
      </c>
      <c r="E674" t="s">
        <v>302</v>
      </c>
      <c r="F674" t="s">
        <v>303</v>
      </c>
      <c r="G674">
        <v>2</v>
      </c>
      <c r="H674" t="s">
        <v>438</v>
      </c>
      <c r="I674" s="4">
        <f t="shared" si="76"/>
        <v>3</v>
      </c>
      <c r="J674">
        <f t="shared" si="77"/>
        <v>6</v>
      </c>
      <c r="K674">
        <v>72</v>
      </c>
      <c r="L674">
        <v>22</v>
      </c>
      <c r="M674" s="2">
        <v>3.27</v>
      </c>
      <c r="N674" s="2">
        <v>2.97</v>
      </c>
      <c r="O674">
        <v>0</v>
      </c>
      <c r="P674">
        <v>6</v>
      </c>
      <c r="Q674" t="s">
        <v>567</v>
      </c>
      <c r="R674" t="s">
        <v>260</v>
      </c>
      <c r="S674" t="str">
        <f t="shared" si="75"/>
        <v>PA</v>
      </c>
    </row>
    <row r="675" spans="1:19" x14ac:dyDescent="0.3">
      <c r="A675" t="s">
        <v>12</v>
      </c>
      <c r="B675">
        <v>2016110015</v>
      </c>
      <c r="C675" t="s">
        <v>320</v>
      </c>
      <c r="E675" t="s">
        <v>273</v>
      </c>
      <c r="F675" t="s">
        <v>274</v>
      </c>
      <c r="G675">
        <v>2</v>
      </c>
      <c r="H675" t="s">
        <v>438</v>
      </c>
      <c r="I675" s="4">
        <f t="shared" si="76"/>
        <v>3</v>
      </c>
      <c r="J675">
        <f t="shared" si="77"/>
        <v>6</v>
      </c>
      <c r="K675">
        <v>64</v>
      </c>
      <c r="L675">
        <v>24</v>
      </c>
      <c r="M675" s="2">
        <v>2.67</v>
      </c>
      <c r="N675" s="2">
        <v>2.97</v>
      </c>
      <c r="O675">
        <v>0</v>
      </c>
      <c r="P675">
        <v>4</v>
      </c>
      <c r="Q675" t="s">
        <v>565</v>
      </c>
      <c r="R675" t="s">
        <v>260</v>
      </c>
      <c r="S675" t="str">
        <f t="shared" si="75"/>
        <v>PA</v>
      </c>
    </row>
    <row r="676" spans="1:19" x14ac:dyDescent="0.3">
      <c r="A676" t="s">
        <v>12</v>
      </c>
      <c r="B676">
        <v>2016110015</v>
      </c>
      <c r="C676" t="s">
        <v>320</v>
      </c>
      <c r="E676" t="s">
        <v>279</v>
      </c>
      <c r="F676" t="s">
        <v>280</v>
      </c>
      <c r="G676">
        <v>2</v>
      </c>
      <c r="H676" t="s">
        <v>438</v>
      </c>
      <c r="I676" s="4">
        <f t="shared" si="76"/>
        <v>3</v>
      </c>
      <c r="J676">
        <f t="shared" si="77"/>
        <v>6</v>
      </c>
      <c r="K676">
        <v>50</v>
      </c>
      <c r="L676">
        <v>20</v>
      </c>
      <c r="M676" s="2">
        <v>2.5</v>
      </c>
      <c r="N676" s="2">
        <v>2.97</v>
      </c>
      <c r="O676">
        <v>0</v>
      </c>
      <c r="P676">
        <v>2</v>
      </c>
      <c r="Q676" s="4" t="str">
        <f t="shared" ref="Q676" si="86">IF(P676=1,"2016/2017-Ganjil",IF(P676=2,"2016/2017-Genap",IF(P676=3,"2017/2018-Ganjil",IF(P676=4,"2017/2018-Genap",IF(P676=5,"2018/2019-Ganjil",IF(P676=6,"2018/2019-Genap",IF(P676=7,"2019/2020-Ganjil",IF(P676=8,"2019/2020-Genap",IF(P676=9,"2020/2021-Ganjil",IF(P676=10,"2020/2021-Genap",IF(P676=11,"2021/2022-Ganjil",IF(P676=12,"2021/2022-Genap",IF(P676=13,"2022/2023-Ganjil","2022/2023-Genap")))))))))))))</f>
        <v>2016/2017-Genap</v>
      </c>
      <c r="R676" t="s">
        <v>260</v>
      </c>
      <c r="S676" t="str">
        <f t="shared" si="75"/>
        <v>PA</v>
      </c>
    </row>
    <row r="677" spans="1:19" x14ac:dyDescent="0.3">
      <c r="A677" t="s">
        <v>12</v>
      </c>
      <c r="B677">
        <v>2016110015</v>
      </c>
      <c r="C677" t="s">
        <v>320</v>
      </c>
      <c r="E677" t="s">
        <v>316</v>
      </c>
      <c r="F677" t="s">
        <v>317</v>
      </c>
      <c r="G677">
        <v>2</v>
      </c>
      <c r="H677" t="s">
        <v>438</v>
      </c>
      <c r="I677" s="4">
        <f t="shared" si="76"/>
        <v>3</v>
      </c>
      <c r="J677">
        <f t="shared" si="77"/>
        <v>6</v>
      </c>
      <c r="K677">
        <v>46</v>
      </c>
      <c r="L677">
        <v>16</v>
      </c>
      <c r="M677" s="2">
        <v>2.88</v>
      </c>
      <c r="N677" s="2">
        <v>2.97</v>
      </c>
      <c r="O677">
        <v>0</v>
      </c>
      <c r="P677">
        <v>7</v>
      </c>
      <c r="Q677" t="s">
        <v>568</v>
      </c>
      <c r="R677" t="s">
        <v>260</v>
      </c>
      <c r="S677" t="str">
        <f t="shared" si="75"/>
        <v>PA</v>
      </c>
    </row>
    <row r="678" spans="1:19" x14ac:dyDescent="0.3">
      <c r="A678" t="s">
        <v>12</v>
      </c>
      <c r="B678">
        <v>2016110015</v>
      </c>
      <c r="C678" t="s">
        <v>320</v>
      </c>
      <c r="E678" t="s">
        <v>344</v>
      </c>
      <c r="F678" t="s">
        <v>345</v>
      </c>
      <c r="G678">
        <v>2</v>
      </c>
      <c r="H678" t="s">
        <v>438</v>
      </c>
      <c r="I678" s="4">
        <f t="shared" si="76"/>
        <v>3</v>
      </c>
      <c r="J678">
        <f t="shared" si="77"/>
        <v>6</v>
      </c>
      <c r="K678">
        <v>46</v>
      </c>
      <c r="L678">
        <v>16</v>
      </c>
      <c r="M678" s="2">
        <v>2.88</v>
      </c>
      <c r="N678" s="2">
        <v>2.97</v>
      </c>
      <c r="O678">
        <v>0</v>
      </c>
      <c r="P678">
        <v>7</v>
      </c>
      <c r="Q678" t="s">
        <v>568</v>
      </c>
      <c r="R678" t="s">
        <v>260</v>
      </c>
      <c r="S678" t="str">
        <f t="shared" si="75"/>
        <v>PA</v>
      </c>
    </row>
    <row r="679" spans="1:19" x14ac:dyDescent="0.3">
      <c r="A679" t="s">
        <v>12</v>
      </c>
      <c r="B679">
        <v>2016110015</v>
      </c>
      <c r="C679" t="s">
        <v>320</v>
      </c>
      <c r="E679" t="s">
        <v>142</v>
      </c>
      <c r="F679" t="s">
        <v>143</v>
      </c>
      <c r="G679">
        <v>2</v>
      </c>
      <c r="H679" t="s">
        <v>524</v>
      </c>
      <c r="I679" s="4">
        <f t="shared" si="76"/>
        <v>2</v>
      </c>
      <c r="J679">
        <f t="shared" si="77"/>
        <v>4</v>
      </c>
      <c r="K679">
        <v>58</v>
      </c>
      <c r="L679">
        <v>20</v>
      </c>
      <c r="M679" s="2">
        <v>2.9</v>
      </c>
      <c r="N679" s="2">
        <v>2.97</v>
      </c>
      <c r="O679">
        <v>0</v>
      </c>
      <c r="P679">
        <v>1</v>
      </c>
      <c r="Q679" s="4" t="str">
        <f t="shared" ref="Q679" si="87">IF(P679=1,"2016/2017-Ganjil",IF(P679=2,"2016/2017-Genap",IF(P679=3,"2017/2018-Ganjil",IF(P679=4,"2017/2018-Genap",IF(P679=5,"2018/2019-Ganjil",IF(P679=6,"2018/2019-Genap",IF(P679=7,"2019/2020-Ganjil",IF(P679=8,"2019/2020-Genap",IF(P679=9,"2020/2021-Ganjil",IF(P679=10,"2020/2021-Genap",IF(P679=11,"2021/2022-Ganjil",IF(P679=12,"2021/2022-Genap",IF(P679=13,"2022/2023-Ganjil","2022/2023-Genap")))))))))))))</f>
        <v>2016/2017-Ganjil</v>
      </c>
      <c r="R679" t="s">
        <v>260</v>
      </c>
      <c r="S679" t="str">
        <f t="shared" si="75"/>
        <v>PA</v>
      </c>
    </row>
    <row r="680" spans="1:19" x14ac:dyDescent="0.3">
      <c r="A680" t="s">
        <v>12</v>
      </c>
      <c r="B680">
        <v>2016110015</v>
      </c>
      <c r="C680" t="s">
        <v>320</v>
      </c>
      <c r="E680" t="s">
        <v>14</v>
      </c>
      <c r="F680" t="s">
        <v>15</v>
      </c>
      <c r="G680">
        <v>2</v>
      </c>
      <c r="H680" t="s">
        <v>524</v>
      </c>
      <c r="I680" s="4">
        <f t="shared" si="76"/>
        <v>2</v>
      </c>
      <c r="J680">
        <f t="shared" si="77"/>
        <v>4</v>
      </c>
      <c r="K680">
        <v>12</v>
      </c>
      <c r="L680">
        <v>6</v>
      </c>
      <c r="M680" s="2">
        <v>2</v>
      </c>
      <c r="N680" s="2">
        <v>2.97</v>
      </c>
      <c r="O680">
        <v>0</v>
      </c>
      <c r="P680">
        <v>8</v>
      </c>
      <c r="Q680" t="s">
        <v>569</v>
      </c>
      <c r="R680" t="s">
        <v>596</v>
      </c>
      <c r="S680" t="str">
        <f t="shared" si="75"/>
        <v>PA</v>
      </c>
    </row>
    <row r="681" spans="1:19" x14ac:dyDescent="0.3">
      <c r="A681" t="s">
        <v>12</v>
      </c>
      <c r="B681">
        <v>2016110015</v>
      </c>
      <c r="C681" t="s">
        <v>320</v>
      </c>
      <c r="E681" t="s">
        <v>309</v>
      </c>
      <c r="F681" t="s">
        <v>310</v>
      </c>
      <c r="G681">
        <v>4</v>
      </c>
      <c r="H681" t="s">
        <v>524</v>
      </c>
      <c r="I681" s="4">
        <f t="shared" si="76"/>
        <v>2</v>
      </c>
      <c r="J681">
        <f t="shared" si="77"/>
        <v>8</v>
      </c>
      <c r="K681">
        <v>64</v>
      </c>
      <c r="L681">
        <v>24</v>
      </c>
      <c r="M681" s="2">
        <v>2.67</v>
      </c>
      <c r="N681" s="2">
        <v>2.97</v>
      </c>
      <c r="O681">
        <v>0</v>
      </c>
      <c r="P681">
        <v>4</v>
      </c>
      <c r="Q681" t="s">
        <v>565</v>
      </c>
      <c r="R681" t="s">
        <v>260</v>
      </c>
      <c r="S681" t="str">
        <f t="shared" si="75"/>
        <v>PA</v>
      </c>
    </row>
    <row r="682" spans="1:19" x14ac:dyDescent="0.3">
      <c r="A682" t="s">
        <v>12</v>
      </c>
      <c r="B682">
        <v>2016110015</v>
      </c>
      <c r="C682" t="s">
        <v>320</v>
      </c>
      <c r="E682" t="s">
        <v>309</v>
      </c>
      <c r="F682" t="s">
        <v>310</v>
      </c>
      <c r="G682">
        <v>4</v>
      </c>
      <c r="H682" t="s">
        <v>438</v>
      </c>
      <c r="I682" s="4">
        <f t="shared" si="76"/>
        <v>3</v>
      </c>
      <c r="J682">
        <f t="shared" si="77"/>
        <v>12</v>
      </c>
      <c r="K682">
        <v>24</v>
      </c>
      <c r="L682">
        <v>8</v>
      </c>
      <c r="M682" s="2">
        <v>3</v>
      </c>
      <c r="N682" s="2">
        <v>2.97</v>
      </c>
      <c r="O682">
        <v>1</v>
      </c>
      <c r="P682">
        <v>6</v>
      </c>
      <c r="Q682" t="s">
        <v>572</v>
      </c>
      <c r="R682" t="s">
        <v>260</v>
      </c>
      <c r="S682" t="str">
        <f t="shared" si="75"/>
        <v>PA</v>
      </c>
    </row>
    <row r="683" spans="1:19" x14ac:dyDescent="0.3">
      <c r="A683" t="s">
        <v>12</v>
      </c>
      <c r="B683">
        <v>2016110015</v>
      </c>
      <c r="C683" t="s">
        <v>320</v>
      </c>
      <c r="E683" t="s">
        <v>290</v>
      </c>
      <c r="F683" t="s">
        <v>327</v>
      </c>
      <c r="G683">
        <v>4</v>
      </c>
      <c r="H683" t="s">
        <v>524</v>
      </c>
      <c r="I683" s="4">
        <f t="shared" si="76"/>
        <v>2</v>
      </c>
      <c r="J683">
        <f t="shared" si="77"/>
        <v>8</v>
      </c>
      <c r="K683">
        <v>50</v>
      </c>
      <c r="L683">
        <v>20</v>
      </c>
      <c r="M683" s="2">
        <v>2.5</v>
      </c>
      <c r="N683" s="2">
        <v>2.97</v>
      </c>
      <c r="O683">
        <v>0</v>
      </c>
      <c r="P683">
        <v>2</v>
      </c>
      <c r="Q683" s="4" t="str">
        <f t="shared" ref="Q683" si="88">IF(P683=1,"2016/2017-Ganjil",IF(P683=2,"2016/2017-Genap",IF(P683=3,"2017/2018-Ganjil",IF(P683=4,"2017/2018-Genap",IF(P683=5,"2018/2019-Ganjil",IF(P683=6,"2018/2019-Genap",IF(P683=7,"2019/2020-Ganjil",IF(P683=8,"2019/2020-Genap",IF(P683=9,"2020/2021-Ganjil",IF(P683=10,"2020/2021-Genap",IF(P683=11,"2021/2022-Ganjil",IF(P683=12,"2021/2022-Genap",IF(P683=13,"2022/2023-Ganjil","2022/2023-Genap")))))))))))))</f>
        <v>2016/2017-Genap</v>
      </c>
      <c r="R683" t="s">
        <v>260</v>
      </c>
      <c r="S683" t="str">
        <f t="shared" si="75"/>
        <v>PA</v>
      </c>
    </row>
    <row r="684" spans="1:19" x14ac:dyDescent="0.3">
      <c r="A684" t="s">
        <v>12</v>
      </c>
      <c r="B684">
        <v>2016110015</v>
      </c>
      <c r="C684" t="s">
        <v>320</v>
      </c>
      <c r="E684" t="s">
        <v>122</v>
      </c>
      <c r="F684" t="s">
        <v>123</v>
      </c>
      <c r="G684">
        <v>4</v>
      </c>
      <c r="H684" t="s">
        <v>524</v>
      </c>
      <c r="I684" s="4">
        <f t="shared" si="76"/>
        <v>2</v>
      </c>
      <c r="J684">
        <f t="shared" si="77"/>
        <v>8</v>
      </c>
      <c r="K684">
        <v>58</v>
      </c>
      <c r="L684">
        <v>20</v>
      </c>
      <c r="M684" s="2">
        <v>2.9</v>
      </c>
      <c r="N684" s="2">
        <v>2.97</v>
      </c>
      <c r="O684">
        <v>0</v>
      </c>
      <c r="P684">
        <v>1</v>
      </c>
      <c r="Q684" s="4" t="str">
        <f t="shared" ref="Q684" si="89">IF(P684=1,"2016/2017-Ganjil",IF(P684=2,"2016/2017-Genap",IF(P684=3,"2017/2018-Ganjil",IF(P684=4,"2017/2018-Genap",IF(P684=5,"2018/2019-Ganjil",IF(P684=6,"2018/2019-Genap",IF(P684=7,"2019/2020-Ganjil",IF(P684=8,"2019/2020-Genap",IF(P684=9,"2020/2021-Ganjil",IF(P684=10,"2020/2021-Genap",IF(P684=11,"2021/2022-Ganjil",IF(P684=12,"2021/2022-Genap",IF(P684=13,"2022/2023-Ganjil","2022/2023-Genap")))))))))))))</f>
        <v>2016/2017-Ganjil</v>
      </c>
      <c r="R684" t="s">
        <v>260</v>
      </c>
      <c r="S684" t="str">
        <f t="shared" si="75"/>
        <v>PA</v>
      </c>
    </row>
    <row r="685" spans="1:19" x14ac:dyDescent="0.3">
      <c r="A685" t="s">
        <v>12</v>
      </c>
      <c r="B685">
        <v>2016110015</v>
      </c>
      <c r="C685" t="s">
        <v>320</v>
      </c>
      <c r="E685" t="s">
        <v>357</v>
      </c>
      <c r="F685" t="s">
        <v>358</v>
      </c>
      <c r="G685">
        <v>4</v>
      </c>
      <c r="H685" t="s">
        <v>524</v>
      </c>
      <c r="I685" s="4">
        <f t="shared" si="76"/>
        <v>2</v>
      </c>
      <c r="J685">
        <f t="shared" si="77"/>
        <v>8</v>
      </c>
      <c r="K685">
        <v>62</v>
      </c>
      <c r="L685">
        <v>22</v>
      </c>
      <c r="M685" s="2">
        <v>2.82</v>
      </c>
      <c r="N685" s="2">
        <v>2.97</v>
      </c>
      <c r="O685">
        <v>0</v>
      </c>
      <c r="P685">
        <v>5</v>
      </c>
      <c r="Q685" t="s">
        <v>566</v>
      </c>
      <c r="R685" t="s">
        <v>260</v>
      </c>
      <c r="S685" t="str">
        <f t="shared" si="75"/>
        <v>PA</v>
      </c>
    </row>
    <row r="686" spans="1:19" x14ac:dyDescent="0.3">
      <c r="A686" t="s">
        <v>12</v>
      </c>
      <c r="B686">
        <v>2016110015</v>
      </c>
      <c r="C686" t="s">
        <v>320</v>
      </c>
      <c r="E686" t="s">
        <v>382</v>
      </c>
      <c r="F686" t="s">
        <v>383</v>
      </c>
      <c r="G686">
        <v>4</v>
      </c>
      <c r="H686" t="s">
        <v>524</v>
      </c>
      <c r="I686" s="4">
        <f t="shared" si="76"/>
        <v>2</v>
      </c>
      <c r="J686">
        <f t="shared" si="77"/>
        <v>8</v>
      </c>
      <c r="K686">
        <v>46</v>
      </c>
      <c r="L686">
        <v>16</v>
      </c>
      <c r="M686" s="2">
        <v>2.88</v>
      </c>
      <c r="N686" s="2">
        <v>2.97</v>
      </c>
      <c r="O686">
        <v>0</v>
      </c>
      <c r="P686">
        <v>7</v>
      </c>
      <c r="Q686" t="s">
        <v>568</v>
      </c>
      <c r="R686" t="s">
        <v>260</v>
      </c>
      <c r="S686" t="str">
        <f t="shared" si="75"/>
        <v>PA</v>
      </c>
    </row>
    <row r="687" spans="1:19" x14ac:dyDescent="0.3">
      <c r="A687" t="s">
        <v>12</v>
      </c>
      <c r="B687">
        <v>2016110015</v>
      </c>
      <c r="C687" t="s">
        <v>320</v>
      </c>
      <c r="E687" t="s">
        <v>31</v>
      </c>
      <c r="F687" t="s">
        <v>20</v>
      </c>
      <c r="G687">
        <v>4</v>
      </c>
      <c r="H687" t="s">
        <v>524</v>
      </c>
      <c r="I687" s="4">
        <f t="shared" si="76"/>
        <v>2</v>
      </c>
      <c r="J687">
        <f t="shared" si="77"/>
        <v>8</v>
      </c>
      <c r="K687">
        <v>12</v>
      </c>
      <c r="L687">
        <v>6</v>
      </c>
      <c r="M687" s="2">
        <v>2</v>
      </c>
      <c r="N687" s="2">
        <v>2.97</v>
      </c>
      <c r="O687">
        <v>0</v>
      </c>
      <c r="P687">
        <v>8</v>
      </c>
      <c r="Q687" t="s">
        <v>569</v>
      </c>
      <c r="R687" t="s">
        <v>596</v>
      </c>
      <c r="S687" t="str">
        <f t="shared" si="75"/>
        <v>PA</v>
      </c>
    </row>
    <row r="688" spans="1:19" x14ac:dyDescent="0.3">
      <c r="A688" t="s">
        <v>12</v>
      </c>
      <c r="B688">
        <v>2016110015</v>
      </c>
      <c r="C688" t="s">
        <v>320</v>
      </c>
      <c r="E688" t="s">
        <v>173</v>
      </c>
      <c r="F688" t="s">
        <v>8</v>
      </c>
      <c r="G688">
        <v>2</v>
      </c>
      <c r="H688" t="s">
        <v>524</v>
      </c>
      <c r="I688" s="4">
        <f t="shared" si="76"/>
        <v>2</v>
      </c>
      <c r="J688">
        <f t="shared" si="77"/>
        <v>4</v>
      </c>
      <c r="K688">
        <v>64</v>
      </c>
      <c r="L688">
        <v>18</v>
      </c>
      <c r="M688" s="2">
        <v>3.56</v>
      </c>
      <c r="N688" s="2">
        <v>2.97</v>
      </c>
      <c r="O688">
        <v>0</v>
      </c>
      <c r="P688">
        <v>3</v>
      </c>
      <c r="Q688" s="4" t="str">
        <f t="shared" ref="Q688" si="90">IF(P688=1,"2016/2017-Ganjil",IF(P688=2,"2016/2017-Genap",IF(P688=3,"2017/2018-Ganjil",IF(P688=4,"2017/2018-Genap",IF(P688=5,"2018/2019-Ganjil",IF(P688=6,"2018/2019-Genap",IF(P688=7,"2019/2020-Ganjil",IF(P688=8,"2019/2020-Genap",IF(P688=9,"2020/2021-Ganjil",IF(P688=10,"2020/2021-Genap",IF(P688=11,"2021/2022-Ganjil",IF(P688=12,"2021/2022-Genap",IF(P688=13,"2022/2023-Ganjil","2022/2023-Genap")))))))))))))</f>
        <v>2017/2018-Ganjil</v>
      </c>
      <c r="R688" t="s">
        <v>260</v>
      </c>
      <c r="S688" t="str">
        <f t="shared" si="75"/>
        <v>PA</v>
      </c>
    </row>
    <row r="689" spans="1:19" x14ac:dyDescent="0.3">
      <c r="A689" t="s">
        <v>12</v>
      </c>
      <c r="B689">
        <v>2016110015</v>
      </c>
      <c r="C689" t="s">
        <v>320</v>
      </c>
      <c r="E689" t="s">
        <v>173</v>
      </c>
      <c r="F689" t="s">
        <v>8</v>
      </c>
      <c r="G689">
        <v>2</v>
      </c>
      <c r="H689" t="s">
        <v>260</v>
      </c>
      <c r="I689" s="4">
        <f t="shared" si="76"/>
        <v>4</v>
      </c>
      <c r="J689">
        <f t="shared" si="77"/>
        <v>8</v>
      </c>
      <c r="K689">
        <v>46</v>
      </c>
      <c r="L689">
        <v>16</v>
      </c>
      <c r="M689" s="2">
        <v>2.88</v>
      </c>
      <c r="N689" s="2">
        <v>2.97</v>
      </c>
      <c r="O689">
        <v>1</v>
      </c>
      <c r="P689">
        <v>7</v>
      </c>
      <c r="Q689" t="s">
        <v>568</v>
      </c>
      <c r="R689" t="s">
        <v>260</v>
      </c>
      <c r="S689" t="str">
        <f t="shared" si="75"/>
        <v>PA</v>
      </c>
    </row>
    <row r="690" spans="1:19" x14ac:dyDescent="0.3">
      <c r="A690" t="s">
        <v>12</v>
      </c>
      <c r="B690">
        <v>2016110015</v>
      </c>
      <c r="C690" t="s">
        <v>320</v>
      </c>
      <c r="E690" t="s">
        <v>348</v>
      </c>
      <c r="F690" t="s">
        <v>402</v>
      </c>
      <c r="G690">
        <v>4</v>
      </c>
      <c r="H690" t="s">
        <v>524</v>
      </c>
      <c r="I690" s="4">
        <f t="shared" si="76"/>
        <v>2</v>
      </c>
      <c r="J690">
        <f t="shared" si="77"/>
        <v>8</v>
      </c>
      <c r="K690">
        <v>64</v>
      </c>
      <c r="L690">
        <v>24</v>
      </c>
      <c r="M690" s="2">
        <v>2.67</v>
      </c>
      <c r="N690" s="2">
        <v>2.97</v>
      </c>
      <c r="O690">
        <v>0</v>
      </c>
      <c r="P690">
        <v>4</v>
      </c>
      <c r="Q690" t="s">
        <v>565</v>
      </c>
      <c r="R690" t="s">
        <v>260</v>
      </c>
      <c r="S690" t="str">
        <f t="shared" si="75"/>
        <v>PA</v>
      </c>
    </row>
    <row r="691" spans="1:19" x14ac:dyDescent="0.3">
      <c r="A691" t="s">
        <v>12</v>
      </c>
      <c r="B691">
        <v>2016110015</v>
      </c>
      <c r="C691" t="s">
        <v>320</v>
      </c>
      <c r="E691" t="s">
        <v>432</v>
      </c>
      <c r="F691" t="s">
        <v>433</v>
      </c>
      <c r="G691">
        <v>4</v>
      </c>
      <c r="H691" t="s">
        <v>524</v>
      </c>
      <c r="I691" s="4">
        <f t="shared" si="76"/>
        <v>2</v>
      </c>
      <c r="J691">
        <f t="shared" si="77"/>
        <v>8</v>
      </c>
      <c r="K691">
        <v>64</v>
      </c>
      <c r="L691">
        <v>24</v>
      </c>
      <c r="M691" s="2">
        <v>2.67</v>
      </c>
      <c r="N691" s="2">
        <v>2.97</v>
      </c>
      <c r="O691">
        <v>0</v>
      </c>
      <c r="P691">
        <v>4</v>
      </c>
      <c r="Q691" t="s">
        <v>565</v>
      </c>
      <c r="R691" t="s">
        <v>260</v>
      </c>
      <c r="S691" t="str">
        <f t="shared" si="75"/>
        <v>PA</v>
      </c>
    </row>
    <row r="692" spans="1:19" x14ac:dyDescent="0.3">
      <c r="A692" t="s">
        <v>12</v>
      </c>
      <c r="B692">
        <v>2016110015</v>
      </c>
      <c r="C692" t="s">
        <v>320</v>
      </c>
      <c r="E692" t="s">
        <v>139</v>
      </c>
      <c r="F692" t="s">
        <v>140</v>
      </c>
      <c r="G692">
        <v>2</v>
      </c>
      <c r="H692" t="s">
        <v>524</v>
      </c>
      <c r="I692" s="4">
        <f t="shared" si="76"/>
        <v>2</v>
      </c>
      <c r="J692">
        <f t="shared" si="77"/>
        <v>4</v>
      </c>
      <c r="K692">
        <v>50</v>
      </c>
      <c r="L692">
        <v>20</v>
      </c>
      <c r="M692" s="2">
        <v>2.5</v>
      </c>
      <c r="N692" s="2">
        <v>2.97</v>
      </c>
      <c r="O692">
        <v>0</v>
      </c>
      <c r="P692">
        <v>2</v>
      </c>
      <c r="Q692" s="4" t="str">
        <f t="shared" ref="Q692" si="91">IF(P692=1,"2016/2017-Ganjil",IF(P692=2,"2016/2017-Genap",IF(P692=3,"2017/2018-Ganjil",IF(P692=4,"2017/2018-Genap",IF(P692=5,"2018/2019-Ganjil",IF(P692=6,"2018/2019-Genap",IF(P692=7,"2019/2020-Ganjil",IF(P692=8,"2019/2020-Genap",IF(P692=9,"2020/2021-Ganjil",IF(P692=10,"2020/2021-Genap",IF(P692=11,"2021/2022-Ganjil",IF(P692=12,"2021/2022-Genap",IF(P692=13,"2022/2023-Ganjil","2022/2023-Genap")))))))))))))</f>
        <v>2016/2017-Genap</v>
      </c>
      <c r="R692" t="s">
        <v>260</v>
      </c>
      <c r="S692" t="str">
        <f t="shared" si="75"/>
        <v>PA</v>
      </c>
    </row>
    <row r="693" spans="1:19" x14ac:dyDescent="0.3">
      <c r="A693" t="s">
        <v>12</v>
      </c>
      <c r="B693">
        <v>2016110015</v>
      </c>
      <c r="C693" t="s">
        <v>320</v>
      </c>
      <c r="E693" t="s">
        <v>139</v>
      </c>
      <c r="F693" t="s">
        <v>140</v>
      </c>
      <c r="G693">
        <v>2</v>
      </c>
      <c r="H693" t="s">
        <v>260</v>
      </c>
      <c r="I693" s="4">
        <f t="shared" si="76"/>
        <v>4</v>
      </c>
      <c r="J693">
        <f t="shared" si="77"/>
        <v>8</v>
      </c>
      <c r="K693">
        <v>72</v>
      </c>
      <c r="L693">
        <v>22</v>
      </c>
      <c r="M693" s="2">
        <v>3.27</v>
      </c>
      <c r="N693" s="2">
        <v>2.97</v>
      </c>
      <c r="O693">
        <v>1</v>
      </c>
      <c r="P693">
        <v>6</v>
      </c>
      <c r="Q693" t="s">
        <v>567</v>
      </c>
      <c r="R693" t="s">
        <v>260</v>
      </c>
      <c r="S693" t="str">
        <f t="shared" si="75"/>
        <v>PA</v>
      </c>
    </row>
    <row r="694" spans="1:19" x14ac:dyDescent="0.3">
      <c r="A694" t="s">
        <v>12</v>
      </c>
      <c r="B694">
        <v>2016110015</v>
      </c>
      <c r="C694" t="s">
        <v>320</v>
      </c>
      <c r="E694" t="s">
        <v>100</v>
      </c>
      <c r="F694" t="s">
        <v>101</v>
      </c>
      <c r="G694">
        <v>4</v>
      </c>
      <c r="H694" t="s">
        <v>524</v>
      </c>
      <c r="I694" s="4">
        <f t="shared" si="76"/>
        <v>2</v>
      </c>
      <c r="J694">
        <f t="shared" si="77"/>
        <v>8</v>
      </c>
      <c r="K694">
        <v>50</v>
      </c>
      <c r="L694">
        <v>20</v>
      </c>
      <c r="M694" s="2">
        <v>2.5</v>
      </c>
      <c r="N694" s="2">
        <v>2.97</v>
      </c>
      <c r="O694">
        <v>0</v>
      </c>
      <c r="P694">
        <v>2</v>
      </c>
      <c r="Q694" s="4" t="str">
        <f t="shared" ref="Q694" si="92">IF(P694=1,"2016/2017-Ganjil",IF(P694=2,"2016/2017-Genap",IF(P694=3,"2017/2018-Ganjil",IF(P694=4,"2017/2018-Genap",IF(P694=5,"2018/2019-Ganjil",IF(P694=6,"2018/2019-Genap",IF(P694=7,"2019/2020-Ganjil",IF(P694=8,"2019/2020-Genap",IF(P694=9,"2020/2021-Ganjil",IF(P694=10,"2020/2021-Genap",IF(P694=11,"2021/2022-Ganjil",IF(P694=12,"2021/2022-Genap",IF(P694=13,"2022/2023-Ganjil","2022/2023-Genap")))))))))))))</f>
        <v>2016/2017-Genap</v>
      </c>
      <c r="R694" t="s">
        <v>260</v>
      </c>
      <c r="S694" t="str">
        <f t="shared" si="75"/>
        <v>PA</v>
      </c>
    </row>
    <row r="695" spans="1:19" x14ac:dyDescent="0.3">
      <c r="A695" t="s">
        <v>12</v>
      </c>
      <c r="B695">
        <v>2016110015</v>
      </c>
      <c r="C695" t="s">
        <v>320</v>
      </c>
      <c r="E695" t="s">
        <v>100</v>
      </c>
      <c r="F695" t="s">
        <v>101</v>
      </c>
      <c r="G695">
        <v>4</v>
      </c>
      <c r="H695" t="s">
        <v>438</v>
      </c>
      <c r="I695" s="4">
        <f t="shared" si="76"/>
        <v>3</v>
      </c>
      <c r="J695">
        <f t="shared" si="77"/>
        <v>12</v>
      </c>
      <c r="K695">
        <v>24</v>
      </c>
      <c r="L695">
        <v>8</v>
      </c>
      <c r="M695" s="2">
        <v>3</v>
      </c>
      <c r="N695" s="2">
        <v>2.97</v>
      </c>
      <c r="O695">
        <v>1</v>
      </c>
      <c r="P695">
        <v>6</v>
      </c>
      <c r="Q695" t="s">
        <v>572</v>
      </c>
      <c r="R695" t="s">
        <v>260</v>
      </c>
      <c r="S695" t="str">
        <f t="shared" si="75"/>
        <v>PA</v>
      </c>
    </row>
    <row r="696" spans="1:19" x14ac:dyDescent="0.3">
      <c r="A696" t="s">
        <v>12</v>
      </c>
      <c r="B696">
        <v>2016110015</v>
      </c>
      <c r="C696" t="s">
        <v>320</v>
      </c>
      <c r="E696" t="s">
        <v>264</v>
      </c>
      <c r="F696" t="s">
        <v>265</v>
      </c>
      <c r="G696">
        <v>2</v>
      </c>
      <c r="H696" t="s">
        <v>524</v>
      </c>
      <c r="I696" s="4">
        <f t="shared" si="76"/>
        <v>2</v>
      </c>
      <c r="J696">
        <f t="shared" si="77"/>
        <v>4</v>
      </c>
      <c r="K696">
        <v>62</v>
      </c>
      <c r="L696">
        <v>22</v>
      </c>
      <c r="M696" s="2">
        <v>2.82</v>
      </c>
      <c r="N696" s="2">
        <v>2.97</v>
      </c>
      <c r="O696">
        <v>0</v>
      </c>
      <c r="P696">
        <v>5</v>
      </c>
      <c r="Q696" t="s">
        <v>566</v>
      </c>
      <c r="R696" t="s">
        <v>260</v>
      </c>
      <c r="S696" t="str">
        <f t="shared" si="75"/>
        <v>PA</v>
      </c>
    </row>
    <row r="697" spans="1:19" x14ac:dyDescent="0.3">
      <c r="A697" t="s">
        <v>12</v>
      </c>
      <c r="B697">
        <v>2016110016</v>
      </c>
      <c r="C697" t="s">
        <v>159</v>
      </c>
      <c r="E697" t="s">
        <v>122</v>
      </c>
      <c r="F697" t="s">
        <v>123</v>
      </c>
      <c r="G697">
        <v>4</v>
      </c>
      <c r="J697">
        <v>0</v>
      </c>
      <c r="K697">
        <v>42</v>
      </c>
      <c r="L697">
        <v>16</v>
      </c>
      <c r="M697" s="2">
        <v>2.63</v>
      </c>
      <c r="N697" s="2">
        <v>2.63</v>
      </c>
      <c r="O697">
        <v>0</v>
      </c>
      <c r="P697">
        <v>1</v>
      </c>
      <c r="Q697" t="s">
        <v>558</v>
      </c>
      <c r="R697" t="s">
        <v>535</v>
      </c>
      <c r="S697" t="s">
        <v>595</v>
      </c>
    </row>
    <row r="698" spans="1:19" x14ac:dyDescent="0.3">
      <c r="A698" t="s">
        <v>12</v>
      </c>
      <c r="B698">
        <v>2016110016</v>
      </c>
      <c r="C698" t="s">
        <v>159</v>
      </c>
      <c r="E698" t="s">
        <v>151</v>
      </c>
      <c r="F698" t="s">
        <v>152</v>
      </c>
      <c r="G698">
        <v>2</v>
      </c>
      <c r="H698" t="s">
        <v>260</v>
      </c>
      <c r="I698" s="4">
        <f>IF(H698="A",4,IF(H698="B",3,IF(H698="C",2,IF(H698="D",1,0))))</f>
        <v>4</v>
      </c>
      <c r="J698">
        <f>G698*I698</f>
        <v>8</v>
      </c>
      <c r="K698">
        <v>42</v>
      </c>
      <c r="L698">
        <v>16</v>
      </c>
      <c r="M698" s="2">
        <v>2.63</v>
      </c>
      <c r="N698" s="2">
        <v>2.63</v>
      </c>
      <c r="O698">
        <v>0</v>
      </c>
      <c r="P698">
        <v>1</v>
      </c>
      <c r="Q698" t="s">
        <v>558</v>
      </c>
      <c r="R698" t="s">
        <v>535</v>
      </c>
      <c r="S698" t="str">
        <f t="shared" ref="S698:S704" si="93">IF(OR(H698="A",H698="B",H698="C"),"PA","FA")</f>
        <v>PA</v>
      </c>
    </row>
    <row r="699" spans="1:19" x14ac:dyDescent="0.3">
      <c r="A699" t="s">
        <v>12</v>
      </c>
      <c r="B699">
        <v>2016110016</v>
      </c>
      <c r="C699" t="s">
        <v>159</v>
      </c>
      <c r="E699" t="s">
        <v>142</v>
      </c>
      <c r="F699" t="s">
        <v>143</v>
      </c>
      <c r="G699">
        <v>2</v>
      </c>
      <c r="H699" t="s">
        <v>260</v>
      </c>
      <c r="I699" s="4">
        <f t="shared" ref="I699:I704" si="94">IF(H699="A",4,IF(H699="B",3,IF(H699="C",2,IF(H699="D",1,0))))</f>
        <v>4</v>
      </c>
      <c r="J699">
        <f t="shared" ref="J699:J704" si="95">G699*I699</f>
        <v>8</v>
      </c>
      <c r="K699">
        <v>42</v>
      </c>
      <c r="L699">
        <v>16</v>
      </c>
      <c r="M699" s="2">
        <v>2.63</v>
      </c>
      <c r="N699" s="2">
        <v>2.63</v>
      </c>
      <c r="O699">
        <v>0</v>
      </c>
      <c r="P699">
        <v>1</v>
      </c>
      <c r="Q699" t="s">
        <v>558</v>
      </c>
      <c r="R699" t="s">
        <v>535</v>
      </c>
      <c r="S699" t="str">
        <f t="shared" si="93"/>
        <v>PA</v>
      </c>
    </row>
    <row r="700" spans="1:19" x14ac:dyDescent="0.3">
      <c r="A700" t="s">
        <v>12</v>
      </c>
      <c r="B700">
        <v>2016110016</v>
      </c>
      <c r="C700" t="s">
        <v>159</v>
      </c>
      <c r="E700" t="s">
        <v>90</v>
      </c>
      <c r="F700" t="s">
        <v>91</v>
      </c>
      <c r="G700">
        <v>2</v>
      </c>
      <c r="H700" t="s">
        <v>260</v>
      </c>
      <c r="I700" s="4">
        <f t="shared" si="94"/>
        <v>4</v>
      </c>
      <c r="J700">
        <f t="shared" si="95"/>
        <v>8</v>
      </c>
      <c r="K700">
        <v>42</v>
      </c>
      <c r="L700">
        <v>16</v>
      </c>
      <c r="M700" s="2">
        <v>2.63</v>
      </c>
      <c r="N700" s="2">
        <v>2.63</v>
      </c>
      <c r="O700">
        <v>0</v>
      </c>
      <c r="P700">
        <v>1</v>
      </c>
      <c r="Q700" t="s">
        <v>558</v>
      </c>
      <c r="R700" t="s">
        <v>535</v>
      </c>
      <c r="S700" t="str">
        <f t="shared" si="93"/>
        <v>PA</v>
      </c>
    </row>
    <row r="701" spans="1:19" x14ac:dyDescent="0.3">
      <c r="A701" t="s">
        <v>12</v>
      </c>
      <c r="B701">
        <v>2016110016</v>
      </c>
      <c r="C701" t="s">
        <v>159</v>
      </c>
      <c r="E701" t="s">
        <v>165</v>
      </c>
      <c r="F701" t="s">
        <v>166</v>
      </c>
      <c r="G701">
        <v>2</v>
      </c>
      <c r="H701" t="s">
        <v>438</v>
      </c>
      <c r="I701" s="4">
        <f t="shared" si="94"/>
        <v>3</v>
      </c>
      <c r="J701">
        <f t="shared" si="95"/>
        <v>6</v>
      </c>
      <c r="K701">
        <v>42</v>
      </c>
      <c r="L701">
        <v>16</v>
      </c>
      <c r="M701" s="2">
        <v>2.63</v>
      </c>
      <c r="N701" s="2">
        <v>2.63</v>
      </c>
      <c r="O701">
        <v>0</v>
      </c>
      <c r="P701">
        <v>1</v>
      </c>
      <c r="Q701" t="s">
        <v>558</v>
      </c>
      <c r="R701" t="s">
        <v>535</v>
      </c>
      <c r="S701" t="str">
        <f t="shared" si="93"/>
        <v>PA</v>
      </c>
    </row>
    <row r="702" spans="1:19" x14ac:dyDescent="0.3">
      <c r="A702" t="s">
        <v>12</v>
      </c>
      <c r="B702">
        <v>2016110016</v>
      </c>
      <c r="C702" t="s">
        <v>159</v>
      </c>
      <c r="E702" t="s">
        <v>437</v>
      </c>
      <c r="F702" t="s">
        <v>169</v>
      </c>
      <c r="G702">
        <v>4</v>
      </c>
      <c r="H702" t="s">
        <v>524</v>
      </c>
      <c r="I702" s="4">
        <f t="shared" si="94"/>
        <v>2</v>
      </c>
      <c r="J702">
        <f t="shared" si="95"/>
        <v>8</v>
      </c>
      <c r="K702">
        <v>42</v>
      </c>
      <c r="L702">
        <v>16</v>
      </c>
      <c r="M702" s="2">
        <v>2.63</v>
      </c>
      <c r="N702" s="2">
        <v>2.63</v>
      </c>
      <c r="O702">
        <v>0</v>
      </c>
      <c r="P702">
        <v>1</v>
      </c>
      <c r="Q702" t="s">
        <v>558</v>
      </c>
      <c r="R702" t="s">
        <v>535</v>
      </c>
      <c r="S702" t="str">
        <f t="shared" si="93"/>
        <v>PA</v>
      </c>
    </row>
    <row r="703" spans="1:19" x14ac:dyDescent="0.3">
      <c r="A703" t="s">
        <v>12</v>
      </c>
      <c r="B703">
        <v>2016110016</v>
      </c>
      <c r="C703" t="s">
        <v>159</v>
      </c>
      <c r="E703" t="s">
        <v>131</v>
      </c>
      <c r="F703" t="s">
        <v>132</v>
      </c>
      <c r="G703">
        <v>2</v>
      </c>
      <c r="H703" t="s">
        <v>524</v>
      </c>
      <c r="I703" s="4">
        <f t="shared" si="94"/>
        <v>2</v>
      </c>
      <c r="J703">
        <f t="shared" si="95"/>
        <v>4</v>
      </c>
      <c r="K703">
        <v>42</v>
      </c>
      <c r="L703">
        <v>16</v>
      </c>
      <c r="M703" s="2">
        <v>2.63</v>
      </c>
      <c r="N703" s="2">
        <v>2.63</v>
      </c>
      <c r="O703">
        <v>0</v>
      </c>
      <c r="P703">
        <v>1</v>
      </c>
      <c r="Q703" t="s">
        <v>558</v>
      </c>
      <c r="R703" t="s">
        <v>535</v>
      </c>
      <c r="S703" t="str">
        <f t="shared" si="93"/>
        <v>PA</v>
      </c>
    </row>
    <row r="704" spans="1:19" x14ac:dyDescent="0.3">
      <c r="A704" t="s">
        <v>12</v>
      </c>
      <c r="B704">
        <v>2016110016</v>
      </c>
      <c r="C704" t="s">
        <v>159</v>
      </c>
      <c r="E704" t="s">
        <v>77</v>
      </c>
      <c r="F704" t="s">
        <v>78</v>
      </c>
      <c r="G704">
        <v>2</v>
      </c>
      <c r="H704" t="s">
        <v>539</v>
      </c>
      <c r="I704" s="4">
        <f t="shared" si="94"/>
        <v>0</v>
      </c>
      <c r="J704">
        <f t="shared" si="95"/>
        <v>0</v>
      </c>
      <c r="K704">
        <v>42</v>
      </c>
      <c r="L704">
        <v>16</v>
      </c>
      <c r="M704" s="2">
        <v>2.63</v>
      </c>
      <c r="N704" s="2">
        <v>2.63</v>
      </c>
      <c r="O704">
        <v>0</v>
      </c>
      <c r="P704">
        <v>1</v>
      </c>
      <c r="Q704" t="s">
        <v>558</v>
      </c>
      <c r="R704" t="s">
        <v>535</v>
      </c>
      <c r="S704" t="str">
        <f t="shared" si="93"/>
        <v>FA</v>
      </c>
    </row>
    <row r="705" spans="1:19" x14ac:dyDescent="0.3">
      <c r="A705" t="s">
        <v>12</v>
      </c>
      <c r="B705">
        <v>2016110019</v>
      </c>
      <c r="C705" t="s">
        <v>38</v>
      </c>
      <c r="E705" t="s">
        <v>39</v>
      </c>
      <c r="F705" t="s">
        <v>11</v>
      </c>
      <c r="G705">
        <v>2</v>
      </c>
      <c r="J705">
        <v>0</v>
      </c>
      <c r="K705">
        <v>28</v>
      </c>
      <c r="L705">
        <v>12</v>
      </c>
      <c r="M705" s="2">
        <v>2.33</v>
      </c>
      <c r="N705" s="2">
        <v>2.86</v>
      </c>
      <c r="O705">
        <v>1</v>
      </c>
      <c r="P705">
        <v>8</v>
      </c>
      <c r="Q705" t="s">
        <v>569</v>
      </c>
      <c r="R705" t="s">
        <v>260</v>
      </c>
      <c r="S705" t="s">
        <v>595</v>
      </c>
    </row>
    <row r="706" spans="1:19" x14ac:dyDescent="0.3">
      <c r="A706" t="s">
        <v>12</v>
      </c>
      <c r="B706">
        <v>2016110019</v>
      </c>
      <c r="C706" t="s">
        <v>38</v>
      </c>
      <c r="E706" t="s">
        <v>39</v>
      </c>
      <c r="F706" t="s">
        <v>11</v>
      </c>
      <c r="G706">
        <v>2</v>
      </c>
      <c r="J706">
        <v>0</v>
      </c>
      <c r="K706">
        <v>38</v>
      </c>
      <c r="L706">
        <v>14</v>
      </c>
      <c r="M706" s="2">
        <v>2.71</v>
      </c>
      <c r="N706" s="2">
        <v>2.86</v>
      </c>
      <c r="O706">
        <v>0</v>
      </c>
      <c r="P706">
        <v>7</v>
      </c>
      <c r="Q706" t="s">
        <v>568</v>
      </c>
      <c r="R706" t="s">
        <v>260</v>
      </c>
      <c r="S706" t="s">
        <v>595</v>
      </c>
    </row>
    <row r="707" spans="1:19" x14ac:dyDescent="0.3">
      <c r="A707" t="s">
        <v>12</v>
      </c>
      <c r="B707">
        <v>2016110019</v>
      </c>
      <c r="C707" t="s">
        <v>38</v>
      </c>
      <c r="E707" t="s">
        <v>39</v>
      </c>
      <c r="F707" t="s">
        <v>11</v>
      </c>
      <c r="G707">
        <v>2</v>
      </c>
      <c r="H707" t="s">
        <v>438</v>
      </c>
      <c r="I707" s="4">
        <f>IF(H707="A",4,IF(H707="B",3,IF(H707="C",2,IF(H707="D",1,0))))</f>
        <v>3</v>
      </c>
      <c r="J707">
        <f>G707*I707</f>
        <v>6</v>
      </c>
      <c r="K707">
        <v>34</v>
      </c>
      <c r="L707">
        <v>18</v>
      </c>
      <c r="M707" s="2">
        <v>1.89</v>
      </c>
      <c r="N707" s="2">
        <v>2.86</v>
      </c>
      <c r="O707">
        <v>2</v>
      </c>
      <c r="P707">
        <v>9</v>
      </c>
      <c r="Q707" t="s">
        <v>570</v>
      </c>
      <c r="R707" t="s">
        <v>260</v>
      </c>
      <c r="S707" t="str">
        <f t="shared" ref="S707:S708" si="96">IF(OR(H707="A",H707="B",H707="C"),"PA","FA")</f>
        <v>PA</v>
      </c>
    </row>
    <row r="708" spans="1:19" x14ac:dyDescent="0.3">
      <c r="A708" t="s">
        <v>12</v>
      </c>
      <c r="B708">
        <v>2016110019</v>
      </c>
      <c r="C708" t="s">
        <v>38</v>
      </c>
      <c r="E708" t="s">
        <v>14</v>
      </c>
      <c r="F708" t="s">
        <v>15</v>
      </c>
      <c r="G708">
        <v>2</v>
      </c>
      <c r="H708" t="s">
        <v>438</v>
      </c>
      <c r="I708" s="4">
        <f>IF(H708="A",4,IF(H708="B",3,IF(H708="C",2,IF(H708="D",1,0))))</f>
        <v>3</v>
      </c>
      <c r="J708">
        <v>0</v>
      </c>
      <c r="K708">
        <v>0</v>
      </c>
      <c r="L708">
        <v>0</v>
      </c>
      <c r="M708" t="s">
        <v>574</v>
      </c>
      <c r="N708" s="2">
        <v>2.86</v>
      </c>
      <c r="O708">
        <v>1</v>
      </c>
      <c r="P708">
        <v>11</v>
      </c>
      <c r="Q708" t="s">
        <v>573</v>
      </c>
      <c r="R708" t="s">
        <v>260</v>
      </c>
      <c r="S708" t="str">
        <f t="shared" si="96"/>
        <v>PA</v>
      </c>
    </row>
    <row r="709" spans="1:19" x14ac:dyDescent="0.3">
      <c r="A709" t="s">
        <v>12</v>
      </c>
      <c r="B709">
        <v>2016110019</v>
      </c>
      <c r="C709" t="s">
        <v>38</v>
      </c>
      <c r="E709" t="s">
        <v>14</v>
      </c>
      <c r="F709" t="s">
        <v>15</v>
      </c>
      <c r="G709">
        <v>2</v>
      </c>
      <c r="J709">
        <v>0</v>
      </c>
      <c r="K709">
        <v>0</v>
      </c>
      <c r="L709">
        <v>0</v>
      </c>
      <c r="M709" t="s">
        <v>574</v>
      </c>
      <c r="N709" s="2">
        <v>2.86</v>
      </c>
      <c r="O709">
        <v>0</v>
      </c>
      <c r="P709">
        <v>10</v>
      </c>
      <c r="Q709" t="s">
        <v>560</v>
      </c>
      <c r="R709" t="s">
        <v>260</v>
      </c>
      <c r="S709" t="s">
        <v>595</v>
      </c>
    </row>
    <row r="710" spans="1:19" x14ac:dyDescent="0.3">
      <c r="A710" t="s">
        <v>12</v>
      </c>
      <c r="B710">
        <v>2016110019</v>
      </c>
      <c r="C710" t="s">
        <v>38</v>
      </c>
      <c r="E710" t="s">
        <v>31</v>
      </c>
      <c r="F710" t="s">
        <v>20</v>
      </c>
      <c r="G710">
        <v>4</v>
      </c>
      <c r="H710" t="s">
        <v>438</v>
      </c>
      <c r="I710" s="4">
        <f>IF(H710="A",4,IF(H710="B",3,IF(H710="C",2,IF(H710="D",1,0))))</f>
        <v>3</v>
      </c>
      <c r="J710">
        <f>G710*I710</f>
        <v>12</v>
      </c>
      <c r="K710">
        <v>18</v>
      </c>
      <c r="L710">
        <v>6</v>
      </c>
      <c r="M710" s="2">
        <v>3</v>
      </c>
      <c r="N710" s="2">
        <v>2.86</v>
      </c>
      <c r="O710">
        <v>2</v>
      </c>
      <c r="P710">
        <v>12</v>
      </c>
      <c r="Q710" t="s">
        <v>575</v>
      </c>
      <c r="R710" t="s">
        <v>596</v>
      </c>
      <c r="S710" t="str">
        <f>IF(OR(H710="A",H710="B",H710="C"),"PA","FA")</f>
        <v>PA</v>
      </c>
    </row>
    <row r="711" spans="1:19" x14ac:dyDescent="0.3">
      <c r="A711" t="s">
        <v>12</v>
      </c>
      <c r="B711">
        <v>2016110019</v>
      </c>
      <c r="C711" t="s">
        <v>38</v>
      </c>
      <c r="E711" t="s">
        <v>31</v>
      </c>
      <c r="F711" t="s">
        <v>20</v>
      </c>
      <c r="G711">
        <v>4</v>
      </c>
      <c r="I711" s="4"/>
      <c r="J711">
        <f>G711*I711</f>
        <v>0</v>
      </c>
      <c r="K711">
        <v>0</v>
      </c>
      <c r="L711">
        <v>0</v>
      </c>
      <c r="M711" t="s">
        <v>574</v>
      </c>
      <c r="N711" s="2">
        <v>2.86</v>
      </c>
      <c r="O711">
        <v>0</v>
      </c>
      <c r="P711">
        <v>10</v>
      </c>
      <c r="Q711" t="s">
        <v>560</v>
      </c>
      <c r="R711" t="s">
        <v>260</v>
      </c>
      <c r="S711" t="s">
        <v>595</v>
      </c>
    </row>
    <row r="712" spans="1:19" x14ac:dyDescent="0.3">
      <c r="A712" t="s">
        <v>12</v>
      </c>
      <c r="B712">
        <v>2016110019</v>
      </c>
      <c r="C712" t="s">
        <v>38</v>
      </c>
      <c r="E712" t="s">
        <v>208</v>
      </c>
      <c r="F712" t="s">
        <v>209</v>
      </c>
      <c r="G712">
        <v>2</v>
      </c>
      <c r="J712">
        <v>0</v>
      </c>
      <c r="K712">
        <v>50</v>
      </c>
      <c r="L712">
        <v>20</v>
      </c>
      <c r="M712" s="2">
        <v>2.5</v>
      </c>
      <c r="N712" s="2">
        <v>2.86</v>
      </c>
      <c r="O712">
        <v>0</v>
      </c>
      <c r="P712">
        <v>5</v>
      </c>
      <c r="Q712" t="s">
        <v>566</v>
      </c>
      <c r="R712" t="s">
        <v>260</v>
      </c>
      <c r="S712" t="s">
        <v>595</v>
      </c>
    </row>
    <row r="713" spans="1:19" x14ac:dyDescent="0.3">
      <c r="A713" t="s">
        <v>12</v>
      </c>
      <c r="B713">
        <v>2016110019</v>
      </c>
      <c r="C713" t="s">
        <v>38</v>
      </c>
      <c r="E713" t="s">
        <v>208</v>
      </c>
      <c r="F713" t="s">
        <v>209</v>
      </c>
      <c r="G713">
        <v>2</v>
      </c>
      <c r="H713" t="s">
        <v>438</v>
      </c>
      <c r="I713" s="4">
        <f t="shared" ref="I713" si="97">IF(H713="A",4,IF(H713="B",3,IF(H713="C",2,IF(H713="D",1,0))))</f>
        <v>3</v>
      </c>
      <c r="J713">
        <f t="shared" ref="J713" si="98">G713*I713</f>
        <v>6</v>
      </c>
      <c r="K713">
        <v>38</v>
      </c>
      <c r="L713">
        <v>14</v>
      </c>
      <c r="M713" s="2">
        <v>2.71</v>
      </c>
      <c r="N713" s="2">
        <v>2.86</v>
      </c>
      <c r="O713">
        <v>1</v>
      </c>
      <c r="P713">
        <v>7</v>
      </c>
      <c r="Q713" t="s">
        <v>568</v>
      </c>
      <c r="R713" t="s">
        <v>260</v>
      </c>
      <c r="S713" t="str">
        <f t="shared" ref="S713:S728" si="99">IF(OR(H713="A",H713="B",H713="C"),"PA","FA")</f>
        <v>PA</v>
      </c>
    </row>
    <row r="714" spans="1:19" x14ac:dyDescent="0.3">
      <c r="A714" t="s">
        <v>12</v>
      </c>
      <c r="B714">
        <v>2016110019</v>
      </c>
      <c r="C714" t="s">
        <v>38</v>
      </c>
      <c r="E714" t="s">
        <v>302</v>
      </c>
      <c r="F714" t="s">
        <v>303</v>
      </c>
      <c r="G714">
        <v>2</v>
      </c>
      <c r="H714" t="s">
        <v>260</v>
      </c>
      <c r="I714" s="4">
        <f t="shared" ref="I714:I728" si="100">IF(H714="A",4,IF(H714="B",3,IF(H714="C",2,IF(H714="D",1,0))))</f>
        <v>4</v>
      </c>
      <c r="J714">
        <f t="shared" ref="J714:J728" si="101">G714*I714</f>
        <v>8</v>
      </c>
      <c r="K714">
        <v>52</v>
      </c>
      <c r="L714">
        <v>18</v>
      </c>
      <c r="M714" s="2">
        <v>2.89</v>
      </c>
      <c r="N714" s="2">
        <v>2.86</v>
      </c>
      <c r="O714">
        <v>0</v>
      </c>
      <c r="P714">
        <v>6</v>
      </c>
      <c r="Q714" t="s">
        <v>567</v>
      </c>
      <c r="R714" t="s">
        <v>260</v>
      </c>
      <c r="S714" t="str">
        <f t="shared" si="99"/>
        <v>PA</v>
      </c>
    </row>
    <row r="715" spans="1:19" x14ac:dyDescent="0.3">
      <c r="A715" t="s">
        <v>12</v>
      </c>
      <c r="B715">
        <v>2016110019</v>
      </c>
      <c r="C715" t="s">
        <v>38</v>
      </c>
      <c r="E715" t="s">
        <v>337</v>
      </c>
      <c r="F715" t="s">
        <v>338</v>
      </c>
      <c r="G715">
        <v>2</v>
      </c>
      <c r="H715" t="s">
        <v>260</v>
      </c>
      <c r="I715" s="4">
        <f t="shared" si="100"/>
        <v>4</v>
      </c>
      <c r="J715">
        <f t="shared" si="101"/>
        <v>8</v>
      </c>
      <c r="K715">
        <v>50</v>
      </c>
      <c r="L715">
        <v>20</v>
      </c>
      <c r="M715" s="2">
        <v>2.5</v>
      </c>
      <c r="N715" s="2">
        <v>2.86</v>
      </c>
      <c r="O715">
        <v>0</v>
      </c>
      <c r="P715">
        <v>5</v>
      </c>
      <c r="Q715" t="s">
        <v>566</v>
      </c>
      <c r="R715" t="s">
        <v>260</v>
      </c>
      <c r="S715" t="str">
        <f t="shared" si="99"/>
        <v>PA</v>
      </c>
    </row>
    <row r="716" spans="1:19" x14ac:dyDescent="0.3">
      <c r="A716" t="s">
        <v>12</v>
      </c>
      <c r="B716">
        <v>2016110019</v>
      </c>
      <c r="C716" t="s">
        <v>38</v>
      </c>
      <c r="E716" t="s">
        <v>372</v>
      </c>
      <c r="F716" t="s">
        <v>373</v>
      </c>
      <c r="G716">
        <v>2</v>
      </c>
      <c r="H716" t="s">
        <v>260</v>
      </c>
      <c r="I716" s="4">
        <f t="shared" si="100"/>
        <v>4</v>
      </c>
      <c r="J716">
        <f t="shared" si="101"/>
        <v>8</v>
      </c>
      <c r="K716">
        <v>52</v>
      </c>
      <c r="L716">
        <v>18</v>
      </c>
      <c r="M716" s="2">
        <v>2.89</v>
      </c>
      <c r="N716" s="2">
        <v>2.86</v>
      </c>
      <c r="O716">
        <v>0</v>
      </c>
      <c r="P716">
        <v>6</v>
      </c>
      <c r="Q716" t="s">
        <v>567</v>
      </c>
      <c r="R716" t="s">
        <v>260</v>
      </c>
      <c r="S716" t="str">
        <f t="shared" si="99"/>
        <v>PA</v>
      </c>
    </row>
    <row r="717" spans="1:19" x14ac:dyDescent="0.3">
      <c r="A717" t="s">
        <v>12</v>
      </c>
      <c r="B717">
        <v>2016110019</v>
      </c>
      <c r="C717" t="s">
        <v>38</v>
      </c>
      <c r="E717" t="s">
        <v>77</v>
      </c>
      <c r="F717" t="s">
        <v>78</v>
      </c>
      <c r="G717">
        <v>2</v>
      </c>
      <c r="H717" t="s">
        <v>260</v>
      </c>
      <c r="I717" s="4">
        <f t="shared" si="100"/>
        <v>4</v>
      </c>
      <c r="J717">
        <f t="shared" si="101"/>
        <v>8</v>
      </c>
      <c r="K717">
        <v>50</v>
      </c>
      <c r="L717">
        <v>20</v>
      </c>
      <c r="M717" s="2">
        <v>2.5</v>
      </c>
      <c r="N717" s="2">
        <v>2.86</v>
      </c>
      <c r="O717">
        <v>0</v>
      </c>
      <c r="P717">
        <v>1</v>
      </c>
      <c r="Q717" t="s">
        <v>558</v>
      </c>
      <c r="R717" t="s">
        <v>260</v>
      </c>
      <c r="S717" t="str">
        <f t="shared" si="99"/>
        <v>PA</v>
      </c>
    </row>
    <row r="718" spans="1:19" x14ac:dyDescent="0.3">
      <c r="A718" t="s">
        <v>12</v>
      </c>
      <c r="B718">
        <v>2016110019</v>
      </c>
      <c r="C718" t="s">
        <v>38</v>
      </c>
      <c r="E718" t="s">
        <v>276</v>
      </c>
      <c r="F718" t="s">
        <v>137</v>
      </c>
      <c r="G718">
        <v>4</v>
      </c>
      <c r="H718" t="s">
        <v>438</v>
      </c>
      <c r="I718" s="4">
        <f t="shared" si="100"/>
        <v>3</v>
      </c>
      <c r="J718">
        <f t="shared" si="101"/>
        <v>12</v>
      </c>
      <c r="K718">
        <v>46</v>
      </c>
      <c r="L718">
        <v>18</v>
      </c>
      <c r="M718" s="2">
        <v>2.56</v>
      </c>
      <c r="N718" s="2">
        <v>2.86</v>
      </c>
      <c r="O718">
        <v>0</v>
      </c>
      <c r="P718">
        <v>4</v>
      </c>
      <c r="Q718" t="s">
        <v>565</v>
      </c>
      <c r="R718" t="s">
        <v>260</v>
      </c>
      <c r="S718" t="str">
        <f t="shared" si="99"/>
        <v>PA</v>
      </c>
    </row>
    <row r="719" spans="1:19" x14ac:dyDescent="0.3">
      <c r="A719" t="s">
        <v>12</v>
      </c>
      <c r="B719">
        <v>2016110019</v>
      </c>
      <c r="C719" t="s">
        <v>38</v>
      </c>
      <c r="E719" t="s">
        <v>248</v>
      </c>
      <c r="F719" t="s">
        <v>249</v>
      </c>
      <c r="G719">
        <v>2</v>
      </c>
      <c r="H719" t="s">
        <v>438</v>
      </c>
      <c r="I719" s="4">
        <f t="shared" si="100"/>
        <v>3</v>
      </c>
      <c r="J719">
        <f t="shared" si="101"/>
        <v>6</v>
      </c>
      <c r="K719">
        <v>46</v>
      </c>
      <c r="L719">
        <v>18</v>
      </c>
      <c r="M719" s="2">
        <v>2.56</v>
      </c>
      <c r="N719" s="2">
        <v>2.86</v>
      </c>
      <c r="O719">
        <v>0</v>
      </c>
      <c r="P719">
        <v>4</v>
      </c>
      <c r="Q719" t="s">
        <v>565</v>
      </c>
      <c r="R719" t="s">
        <v>260</v>
      </c>
      <c r="S719" t="str">
        <f t="shared" si="99"/>
        <v>PA</v>
      </c>
    </row>
    <row r="720" spans="1:19" x14ac:dyDescent="0.3">
      <c r="A720" t="s">
        <v>12</v>
      </c>
      <c r="B720">
        <v>2016110019</v>
      </c>
      <c r="C720" t="s">
        <v>38</v>
      </c>
      <c r="E720" t="s">
        <v>97</v>
      </c>
      <c r="F720" t="s">
        <v>98</v>
      </c>
      <c r="G720">
        <v>4</v>
      </c>
      <c r="H720" t="s">
        <v>438</v>
      </c>
      <c r="I720" s="4">
        <f t="shared" si="100"/>
        <v>3</v>
      </c>
      <c r="J720">
        <f t="shared" si="101"/>
        <v>12</v>
      </c>
      <c r="K720">
        <v>46</v>
      </c>
      <c r="L720">
        <v>20</v>
      </c>
      <c r="M720" s="2">
        <v>2.2999999999999998</v>
      </c>
      <c r="N720" s="2">
        <v>2.86</v>
      </c>
      <c r="O720">
        <v>0</v>
      </c>
      <c r="P720">
        <v>2</v>
      </c>
      <c r="Q720" t="s">
        <v>559</v>
      </c>
      <c r="R720" t="s">
        <v>260</v>
      </c>
      <c r="S720" t="str">
        <f t="shared" si="99"/>
        <v>PA</v>
      </c>
    </row>
    <row r="721" spans="1:19" x14ac:dyDescent="0.3">
      <c r="A721" t="s">
        <v>12</v>
      </c>
      <c r="B721">
        <v>2016110019</v>
      </c>
      <c r="C721" t="s">
        <v>38</v>
      </c>
      <c r="E721" t="s">
        <v>432</v>
      </c>
      <c r="F721" t="s">
        <v>433</v>
      </c>
      <c r="G721">
        <v>4</v>
      </c>
      <c r="H721" t="s">
        <v>438</v>
      </c>
      <c r="I721" s="4">
        <f t="shared" si="100"/>
        <v>3</v>
      </c>
      <c r="J721">
        <f t="shared" si="101"/>
        <v>12</v>
      </c>
      <c r="K721">
        <v>46</v>
      </c>
      <c r="L721">
        <v>18</v>
      </c>
      <c r="M721" s="2">
        <v>2.56</v>
      </c>
      <c r="N721" s="2">
        <v>2.86</v>
      </c>
      <c r="O721">
        <v>0</v>
      </c>
      <c r="P721">
        <v>4</v>
      </c>
      <c r="Q721" t="s">
        <v>565</v>
      </c>
      <c r="R721" t="s">
        <v>260</v>
      </c>
      <c r="S721" t="str">
        <f t="shared" si="99"/>
        <v>PA</v>
      </c>
    </row>
    <row r="722" spans="1:19" x14ac:dyDescent="0.3">
      <c r="A722" t="s">
        <v>12</v>
      </c>
      <c r="B722">
        <v>2016110019</v>
      </c>
      <c r="C722" t="s">
        <v>38</v>
      </c>
      <c r="E722" t="s">
        <v>290</v>
      </c>
      <c r="F722" t="s">
        <v>327</v>
      </c>
      <c r="G722">
        <v>4</v>
      </c>
      <c r="H722" t="s">
        <v>438</v>
      </c>
      <c r="I722" s="4">
        <f t="shared" si="100"/>
        <v>3</v>
      </c>
      <c r="J722">
        <f t="shared" si="101"/>
        <v>12</v>
      </c>
      <c r="K722">
        <v>46</v>
      </c>
      <c r="L722">
        <v>20</v>
      </c>
      <c r="M722" s="2">
        <v>2.2999999999999998</v>
      </c>
      <c r="N722" s="2">
        <v>2.86</v>
      </c>
      <c r="O722">
        <v>0</v>
      </c>
      <c r="P722">
        <v>2</v>
      </c>
      <c r="Q722" t="s">
        <v>559</v>
      </c>
      <c r="R722" t="s">
        <v>260</v>
      </c>
      <c r="S722" t="str">
        <f t="shared" si="99"/>
        <v>PA</v>
      </c>
    </row>
    <row r="723" spans="1:19" x14ac:dyDescent="0.3">
      <c r="A723" t="s">
        <v>12</v>
      </c>
      <c r="B723">
        <v>2016110019</v>
      </c>
      <c r="C723" t="s">
        <v>38</v>
      </c>
      <c r="E723" t="s">
        <v>344</v>
      </c>
      <c r="F723" t="s">
        <v>345</v>
      </c>
      <c r="G723">
        <v>2</v>
      </c>
      <c r="H723" t="s">
        <v>438</v>
      </c>
      <c r="I723" s="4">
        <f t="shared" si="100"/>
        <v>3</v>
      </c>
      <c r="J723">
        <f t="shared" si="101"/>
        <v>6</v>
      </c>
      <c r="K723">
        <v>38</v>
      </c>
      <c r="L723">
        <v>14</v>
      </c>
      <c r="M723" s="2">
        <v>2.71</v>
      </c>
      <c r="N723" s="2">
        <v>2.86</v>
      </c>
      <c r="O723">
        <v>0</v>
      </c>
      <c r="P723">
        <v>7</v>
      </c>
      <c r="Q723" t="s">
        <v>568</v>
      </c>
      <c r="R723" t="s">
        <v>260</v>
      </c>
      <c r="S723" t="str">
        <f t="shared" si="99"/>
        <v>PA</v>
      </c>
    </row>
    <row r="724" spans="1:19" x14ac:dyDescent="0.3">
      <c r="A724" t="s">
        <v>12</v>
      </c>
      <c r="B724">
        <v>2016110019</v>
      </c>
      <c r="C724" t="s">
        <v>38</v>
      </c>
      <c r="E724" t="s">
        <v>370</v>
      </c>
      <c r="F724" t="s">
        <v>371</v>
      </c>
      <c r="G724">
        <v>2</v>
      </c>
      <c r="H724" t="s">
        <v>438</v>
      </c>
      <c r="I724" s="4">
        <f t="shared" si="100"/>
        <v>3</v>
      </c>
      <c r="J724">
        <f t="shared" si="101"/>
        <v>6</v>
      </c>
      <c r="K724">
        <v>50</v>
      </c>
      <c r="L724">
        <v>20</v>
      </c>
      <c r="M724" s="2">
        <v>2.5</v>
      </c>
      <c r="N724" s="2">
        <v>2.86</v>
      </c>
      <c r="O724">
        <v>0</v>
      </c>
      <c r="P724">
        <v>5</v>
      </c>
      <c r="Q724" t="s">
        <v>566</v>
      </c>
      <c r="R724" t="s">
        <v>260</v>
      </c>
      <c r="S724" t="str">
        <f t="shared" si="99"/>
        <v>PA</v>
      </c>
    </row>
    <row r="725" spans="1:19" x14ac:dyDescent="0.3">
      <c r="A725" t="s">
        <v>12</v>
      </c>
      <c r="B725">
        <v>2016110019</v>
      </c>
      <c r="C725" t="s">
        <v>38</v>
      </c>
      <c r="E725" t="s">
        <v>205</v>
      </c>
      <c r="F725" t="s">
        <v>116</v>
      </c>
      <c r="G725">
        <v>4</v>
      </c>
      <c r="H725" t="s">
        <v>438</v>
      </c>
      <c r="I725" s="4">
        <f t="shared" si="100"/>
        <v>3</v>
      </c>
      <c r="J725">
        <f t="shared" si="101"/>
        <v>12</v>
      </c>
      <c r="K725">
        <v>44</v>
      </c>
      <c r="L725">
        <v>18</v>
      </c>
      <c r="M725" s="2">
        <v>2.44</v>
      </c>
      <c r="N725" s="2">
        <v>2.86</v>
      </c>
      <c r="O725">
        <v>0</v>
      </c>
      <c r="P725">
        <v>3</v>
      </c>
      <c r="Q725" t="s">
        <v>563</v>
      </c>
      <c r="R725" t="s">
        <v>260</v>
      </c>
      <c r="S725" t="str">
        <f t="shared" si="99"/>
        <v>PA</v>
      </c>
    </row>
    <row r="726" spans="1:19" x14ac:dyDescent="0.3">
      <c r="A726" t="s">
        <v>12</v>
      </c>
      <c r="B726">
        <v>2016110019</v>
      </c>
      <c r="C726" t="s">
        <v>38</v>
      </c>
      <c r="E726" t="s">
        <v>427</v>
      </c>
      <c r="F726" t="s">
        <v>428</v>
      </c>
      <c r="G726">
        <v>2</v>
      </c>
      <c r="H726" t="s">
        <v>438</v>
      </c>
      <c r="I726" s="4">
        <f t="shared" si="100"/>
        <v>3</v>
      </c>
      <c r="J726">
        <f t="shared" si="101"/>
        <v>6</v>
      </c>
      <c r="K726">
        <v>52</v>
      </c>
      <c r="L726">
        <v>18</v>
      </c>
      <c r="M726" s="2">
        <v>2.89</v>
      </c>
      <c r="N726" s="2">
        <v>2.86</v>
      </c>
      <c r="O726">
        <v>0</v>
      </c>
      <c r="P726">
        <v>6</v>
      </c>
      <c r="Q726" t="s">
        <v>567</v>
      </c>
      <c r="R726" t="s">
        <v>260</v>
      </c>
      <c r="S726" t="str">
        <f t="shared" si="99"/>
        <v>PA</v>
      </c>
    </row>
    <row r="727" spans="1:19" x14ac:dyDescent="0.3">
      <c r="A727" t="s">
        <v>12</v>
      </c>
      <c r="B727">
        <v>2016110019</v>
      </c>
      <c r="C727" t="s">
        <v>38</v>
      </c>
      <c r="E727" t="s">
        <v>170</v>
      </c>
      <c r="F727" t="s">
        <v>171</v>
      </c>
      <c r="G727">
        <v>4</v>
      </c>
      <c r="H727" t="s">
        <v>438</v>
      </c>
      <c r="I727" s="4">
        <f t="shared" si="100"/>
        <v>3</v>
      </c>
      <c r="J727">
        <f t="shared" si="101"/>
        <v>12</v>
      </c>
      <c r="K727">
        <v>44</v>
      </c>
      <c r="L727">
        <v>18</v>
      </c>
      <c r="M727" s="2">
        <v>2.44</v>
      </c>
      <c r="N727" s="2">
        <v>2.86</v>
      </c>
      <c r="O727">
        <v>0</v>
      </c>
      <c r="P727">
        <v>3</v>
      </c>
      <c r="Q727" t="s">
        <v>563</v>
      </c>
      <c r="R727" t="s">
        <v>260</v>
      </c>
      <c r="S727" t="str">
        <f t="shared" si="99"/>
        <v>PA</v>
      </c>
    </row>
    <row r="728" spans="1:19" x14ac:dyDescent="0.3">
      <c r="A728" t="s">
        <v>12</v>
      </c>
      <c r="B728">
        <v>2016110019</v>
      </c>
      <c r="C728" t="s">
        <v>38</v>
      </c>
      <c r="E728" t="s">
        <v>165</v>
      </c>
      <c r="F728" t="s">
        <v>166</v>
      </c>
      <c r="G728">
        <v>2</v>
      </c>
      <c r="H728" t="s">
        <v>438</v>
      </c>
      <c r="I728" s="4">
        <f t="shared" si="100"/>
        <v>3</v>
      </c>
      <c r="J728">
        <f t="shared" si="101"/>
        <v>6</v>
      </c>
      <c r="K728">
        <v>50</v>
      </c>
      <c r="L728">
        <v>20</v>
      </c>
      <c r="M728" s="2">
        <v>2.5</v>
      </c>
      <c r="N728" s="2">
        <v>2.86</v>
      </c>
      <c r="O728">
        <v>0</v>
      </c>
      <c r="P728">
        <v>1</v>
      </c>
      <c r="Q728" t="s">
        <v>558</v>
      </c>
      <c r="R728" t="s">
        <v>260</v>
      </c>
      <c r="S728" t="str">
        <f t="shared" si="99"/>
        <v>PA</v>
      </c>
    </row>
    <row r="729" spans="1:19" x14ac:dyDescent="0.3">
      <c r="A729" t="s">
        <v>12</v>
      </c>
      <c r="B729">
        <v>2016110019</v>
      </c>
      <c r="C729" t="s">
        <v>38</v>
      </c>
      <c r="E729" t="s">
        <v>507</v>
      </c>
      <c r="F729" t="s">
        <v>20</v>
      </c>
      <c r="G729">
        <v>4</v>
      </c>
      <c r="J729">
        <v>0</v>
      </c>
      <c r="K729">
        <v>0</v>
      </c>
      <c r="L729">
        <v>0</v>
      </c>
      <c r="M729" t="s">
        <v>574</v>
      </c>
      <c r="N729" s="2">
        <v>2.86</v>
      </c>
      <c r="O729">
        <v>1</v>
      </c>
      <c r="P729">
        <v>11</v>
      </c>
      <c r="Q729" t="s">
        <v>573</v>
      </c>
      <c r="R729" t="s">
        <v>260</v>
      </c>
      <c r="S729" t="s">
        <v>595</v>
      </c>
    </row>
    <row r="730" spans="1:19" x14ac:dyDescent="0.3">
      <c r="A730" t="s">
        <v>12</v>
      </c>
      <c r="B730">
        <v>2016110019</v>
      </c>
      <c r="C730" t="s">
        <v>38</v>
      </c>
      <c r="E730" t="s">
        <v>131</v>
      </c>
      <c r="F730" t="s">
        <v>132</v>
      </c>
      <c r="G730">
        <v>2</v>
      </c>
      <c r="H730" t="s">
        <v>438</v>
      </c>
      <c r="I730" s="4">
        <f t="shared" ref="I730" si="102">IF(H730="A",4,IF(H730="B",3,IF(H730="C",2,IF(H730="D",1,0))))</f>
        <v>3</v>
      </c>
      <c r="J730">
        <f t="shared" ref="J730" si="103">G730*I730</f>
        <v>6</v>
      </c>
      <c r="K730">
        <v>50</v>
      </c>
      <c r="L730">
        <v>20</v>
      </c>
      <c r="M730" s="2">
        <v>2.5</v>
      </c>
      <c r="N730" s="2">
        <v>2.86</v>
      </c>
      <c r="O730">
        <v>0</v>
      </c>
      <c r="P730">
        <v>1</v>
      </c>
      <c r="Q730" t="s">
        <v>558</v>
      </c>
      <c r="R730" t="s">
        <v>260</v>
      </c>
      <c r="S730" t="str">
        <f t="shared" ref="S730:S774" si="104">IF(OR(H730="A",H730="B",H730="C"),"PA","FA")</f>
        <v>PA</v>
      </c>
    </row>
    <row r="731" spans="1:19" x14ac:dyDescent="0.3">
      <c r="A731" t="s">
        <v>12</v>
      </c>
      <c r="B731">
        <v>2016110019</v>
      </c>
      <c r="C731" t="s">
        <v>38</v>
      </c>
      <c r="E731" t="s">
        <v>244</v>
      </c>
      <c r="F731" t="s">
        <v>228</v>
      </c>
      <c r="G731">
        <v>2</v>
      </c>
      <c r="H731" t="s">
        <v>438</v>
      </c>
      <c r="I731" s="4">
        <f t="shared" ref="I731:I774" si="105">IF(H731="A",4,IF(H731="B",3,IF(H731="C",2,IF(H731="D",1,0))))</f>
        <v>3</v>
      </c>
      <c r="J731">
        <f t="shared" ref="J731:J774" si="106">G731*I731</f>
        <v>6</v>
      </c>
      <c r="K731">
        <v>46</v>
      </c>
      <c r="L731">
        <v>18</v>
      </c>
      <c r="M731" s="2">
        <v>2.56</v>
      </c>
      <c r="N731" s="2">
        <v>2.86</v>
      </c>
      <c r="O731">
        <v>0</v>
      </c>
      <c r="P731">
        <v>4</v>
      </c>
      <c r="Q731" t="s">
        <v>565</v>
      </c>
      <c r="R731" t="s">
        <v>260</v>
      </c>
      <c r="S731" t="str">
        <f t="shared" si="104"/>
        <v>PA</v>
      </c>
    </row>
    <row r="732" spans="1:19" x14ac:dyDescent="0.3">
      <c r="A732" t="s">
        <v>12</v>
      </c>
      <c r="B732">
        <v>2016110019</v>
      </c>
      <c r="C732" t="s">
        <v>38</v>
      </c>
      <c r="E732" t="s">
        <v>262</v>
      </c>
      <c r="F732" t="s">
        <v>263</v>
      </c>
      <c r="G732">
        <v>2</v>
      </c>
      <c r="H732" t="s">
        <v>438</v>
      </c>
      <c r="I732" s="4">
        <f t="shared" si="105"/>
        <v>3</v>
      </c>
      <c r="J732">
        <f t="shared" si="106"/>
        <v>6</v>
      </c>
      <c r="K732">
        <v>52</v>
      </c>
      <c r="L732">
        <v>18</v>
      </c>
      <c r="M732" s="2">
        <v>2.89</v>
      </c>
      <c r="N732" s="2">
        <v>2.86</v>
      </c>
      <c r="O732">
        <v>0</v>
      </c>
      <c r="P732">
        <v>6</v>
      </c>
      <c r="Q732" t="s">
        <v>567</v>
      </c>
      <c r="R732" t="s">
        <v>260</v>
      </c>
      <c r="S732" t="str">
        <f t="shared" si="104"/>
        <v>PA</v>
      </c>
    </row>
    <row r="733" spans="1:19" x14ac:dyDescent="0.3">
      <c r="A733" t="s">
        <v>12</v>
      </c>
      <c r="B733">
        <v>2016110019</v>
      </c>
      <c r="C733" t="s">
        <v>38</v>
      </c>
      <c r="E733" t="s">
        <v>374</v>
      </c>
      <c r="F733" t="s">
        <v>375</v>
      </c>
      <c r="G733">
        <v>2</v>
      </c>
      <c r="H733" t="s">
        <v>438</v>
      </c>
      <c r="I733" s="4">
        <f t="shared" si="105"/>
        <v>3</v>
      </c>
      <c r="J733">
        <f t="shared" si="106"/>
        <v>6</v>
      </c>
      <c r="K733">
        <v>46</v>
      </c>
      <c r="L733">
        <v>18</v>
      </c>
      <c r="M733" s="2">
        <v>2.56</v>
      </c>
      <c r="N733" s="2">
        <v>2.86</v>
      </c>
      <c r="O733">
        <v>0</v>
      </c>
      <c r="P733">
        <v>4</v>
      </c>
      <c r="Q733" s="4" t="str">
        <f t="shared" ref="Q733" si="107">IF(P733=1,"2016/2017-Ganjil",IF(P733=2,"2016/2017-Genap",IF(P733=3,"2017/2018-Ganjil",IF(P733=4,"2017/2018-Genap",IF(P733=5,"2018/2019-Ganjil",IF(P733=6,"2018/2019-Genap",IF(P733=7,"2019/2020-Ganjil",IF(P733=8,"2019/2020-Genap",IF(P733=9,"2020/2021-Ganjil",IF(P733=10,"2020/2021-Genap",IF(P733=11,"2021/2022-Ganjil",IF(P733=12,"2021/2022-Genap",IF(P733=13,"2022/2023-Ganjil","2022/2023-Genap")))))))))))))</f>
        <v>2017/2018-Genap</v>
      </c>
      <c r="R733" t="s">
        <v>260</v>
      </c>
      <c r="S733" t="str">
        <f t="shared" si="104"/>
        <v>PA</v>
      </c>
    </row>
    <row r="734" spans="1:19" x14ac:dyDescent="0.3">
      <c r="A734" t="s">
        <v>12</v>
      </c>
      <c r="B734">
        <v>2016110019</v>
      </c>
      <c r="C734" t="s">
        <v>38</v>
      </c>
      <c r="E734" t="s">
        <v>283</v>
      </c>
      <c r="F734" t="s">
        <v>284</v>
      </c>
      <c r="G734">
        <v>2</v>
      </c>
      <c r="H734" t="s">
        <v>438</v>
      </c>
      <c r="I734" s="4">
        <f t="shared" si="105"/>
        <v>3</v>
      </c>
      <c r="J734">
        <f t="shared" si="106"/>
        <v>6</v>
      </c>
      <c r="K734">
        <v>38</v>
      </c>
      <c r="L734">
        <v>14</v>
      </c>
      <c r="M734" s="2">
        <v>2.71</v>
      </c>
      <c r="N734" s="2">
        <v>2.86</v>
      </c>
      <c r="O734">
        <v>0</v>
      </c>
      <c r="P734">
        <v>7</v>
      </c>
      <c r="Q734" t="s">
        <v>568</v>
      </c>
      <c r="R734" t="s">
        <v>260</v>
      </c>
      <c r="S734" t="str">
        <f t="shared" si="104"/>
        <v>PA</v>
      </c>
    </row>
    <row r="735" spans="1:19" x14ac:dyDescent="0.3">
      <c r="A735" t="s">
        <v>12</v>
      </c>
      <c r="B735">
        <v>2016110019</v>
      </c>
      <c r="C735" t="s">
        <v>38</v>
      </c>
      <c r="E735" t="s">
        <v>236</v>
      </c>
      <c r="F735" t="s">
        <v>237</v>
      </c>
      <c r="G735">
        <v>2</v>
      </c>
      <c r="H735" t="s">
        <v>438</v>
      </c>
      <c r="I735" s="4">
        <f t="shared" si="105"/>
        <v>3</v>
      </c>
      <c r="J735">
        <f t="shared" si="106"/>
        <v>6</v>
      </c>
      <c r="K735">
        <v>38</v>
      </c>
      <c r="L735">
        <v>14</v>
      </c>
      <c r="M735" s="2">
        <v>2.71</v>
      </c>
      <c r="N735" s="2">
        <v>2.86</v>
      </c>
      <c r="O735">
        <v>0</v>
      </c>
      <c r="P735">
        <v>7</v>
      </c>
      <c r="Q735" t="s">
        <v>568</v>
      </c>
      <c r="R735" t="s">
        <v>260</v>
      </c>
      <c r="S735" t="str">
        <f t="shared" si="104"/>
        <v>PA</v>
      </c>
    </row>
    <row r="736" spans="1:19" x14ac:dyDescent="0.3">
      <c r="A736" t="s">
        <v>12</v>
      </c>
      <c r="B736">
        <v>2016110019</v>
      </c>
      <c r="C736" t="s">
        <v>38</v>
      </c>
      <c r="E736" t="s">
        <v>279</v>
      </c>
      <c r="F736" t="s">
        <v>280</v>
      </c>
      <c r="G736">
        <v>2</v>
      </c>
      <c r="H736" t="s">
        <v>438</v>
      </c>
      <c r="I736" s="4">
        <f t="shared" si="105"/>
        <v>3</v>
      </c>
      <c r="J736">
        <f t="shared" si="106"/>
        <v>6</v>
      </c>
      <c r="K736">
        <v>46</v>
      </c>
      <c r="L736">
        <v>20</v>
      </c>
      <c r="M736" s="2">
        <v>2.2999999999999998</v>
      </c>
      <c r="N736" s="2">
        <v>2.86</v>
      </c>
      <c r="O736">
        <v>0</v>
      </c>
      <c r="P736">
        <v>2</v>
      </c>
      <c r="Q736" t="s">
        <v>559</v>
      </c>
      <c r="R736" t="s">
        <v>260</v>
      </c>
      <c r="S736" t="str">
        <f t="shared" si="104"/>
        <v>PA</v>
      </c>
    </row>
    <row r="737" spans="1:19" x14ac:dyDescent="0.3">
      <c r="A737" t="s">
        <v>12</v>
      </c>
      <c r="B737">
        <v>2016110019</v>
      </c>
      <c r="C737" t="s">
        <v>38</v>
      </c>
      <c r="E737" t="s">
        <v>330</v>
      </c>
      <c r="F737" t="s">
        <v>108</v>
      </c>
      <c r="G737">
        <v>2</v>
      </c>
      <c r="H737" t="s">
        <v>438</v>
      </c>
      <c r="I737" s="4">
        <f t="shared" si="105"/>
        <v>3</v>
      </c>
      <c r="J737">
        <f t="shared" si="106"/>
        <v>6</v>
      </c>
      <c r="K737">
        <v>38</v>
      </c>
      <c r="L737">
        <v>14</v>
      </c>
      <c r="M737" s="2">
        <v>2.71</v>
      </c>
      <c r="N737" s="2">
        <v>2.86</v>
      </c>
      <c r="O737">
        <v>0</v>
      </c>
      <c r="P737">
        <v>7</v>
      </c>
      <c r="Q737" t="s">
        <v>568</v>
      </c>
      <c r="R737" t="s">
        <v>260</v>
      </c>
      <c r="S737" t="str">
        <f t="shared" si="104"/>
        <v>PA</v>
      </c>
    </row>
    <row r="738" spans="1:19" x14ac:dyDescent="0.3">
      <c r="A738" t="s">
        <v>12</v>
      </c>
      <c r="B738">
        <v>2016110019</v>
      </c>
      <c r="C738" t="s">
        <v>38</v>
      </c>
      <c r="E738" t="s">
        <v>190</v>
      </c>
      <c r="F738" t="s">
        <v>191</v>
      </c>
      <c r="G738">
        <v>4</v>
      </c>
      <c r="H738" t="s">
        <v>438</v>
      </c>
      <c r="I738" s="4">
        <f t="shared" si="105"/>
        <v>3</v>
      </c>
      <c r="J738">
        <f t="shared" si="106"/>
        <v>12</v>
      </c>
      <c r="K738">
        <v>50</v>
      </c>
      <c r="L738">
        <v>20</v>
      </c>
      <c r="M738" s="2">
        <v>2.5</v>
      </c>
      <c r="N738" s="2">
        <v>2.86</v>
      </c>
      <c r="O738">
        <v>0</v>
      </c>
      <c r="P738">
        <v>5</v>
      </c>
      <c r="Q738" t="s">
        <v>566</v>
      </c>
      <c r="R738" t="s">
        <v>260</v>
      </c>
      <c r="S738" t="str">
        <f t="shared" si="104"/>
        <v>PA</v>
      </c>
    </row>
    <row r="739" spans="1:19" x14ac:dyDescent="0.3">
      <c r="A739" t="s">
        <v>12</v>
      </c>
      <c r="B739">
        <v>2016110019</v>
      </c>
      <c r="C739" t="s">
        <v>38</v>
      </c>
      <c r="E739" t="s">
        <v>316</v>
      </c>
      <c r="F739" t="s">
        <v>317</v>
      </c>
      <c r="G739">
        <v>2</v>
      </c>
      <c r="H739" t="s">
        <v>438</v>
      </c>
      <c r="I739" s="4">
        <f t="shared" si="105"/>
        <v>3</v>
      </c>
      <c r="J739">
        <f t="shared" si="106"/>
        <v>6</v>
      </c>
      <c r="K739">
        <v>34</v>
      </c>
      <c r="L739">
        <v>18</v>
      </c>
      <c r="M739" s="2">
        <v>1.89</v>
      </c>
      <c r="N739" s="2">
        <v>2.86</v>
      </c>
      <c r="O739">
        <v>0</v>
      </c>
      <c r="P739">
        <v>9</v>
      </c>
      <c r="Q739" t="s">
        <v>570</v>
      </c>
      <c r="R739" t="s">
        <v>260</v>
      </c>
      <c r="S739" t="str">
        <f t="shared" si="104"/>
        <v>PA</v>
      </c>
    </row>
    <row r="740" spans="1:19" x14ac:dyDescent="0.3">
      <c r="A740" t="s">
        <v>12</v>
      </c>
      <c r="B740">
        <v>2016110019</v>
      </c>
      <c r="C740" t="s">
        <v>38</v>
      </c>
      <c r="E740" t="s">
        <v>151</v>
      </c>
      <c r="F740" t="s">
        <v>152</v>
      </c>
      <c r="G740">
        <v>2</v>
      </c>
      <c r="H740" t="s">
        <v>438</v>
      </c>
      <c r="I740" s="4">
        <f t="shared" si="105"/>
        <v>3</v>
      </c>
      <c r="J740">
        <f t="shared" si="106"/>
        <v>6</v>
      </c>
      <c r="K740">
        <v>50</v>
      </c>
      <c r="L740">
        <v>20</v>
      </c>
      <c r="M740" s="2">
        <v>2.5</v>
      </c>
      <c r="N740" s="2">
        <v>2.86</v>
      </c>
      <c r="O740">
        <v>0</v>
      </c>
      <c r="P740">
        <v>1</v>
      </c>
      <c r="Q740" t="s">
        <v>558</v>
      </c>
      <c r="R740" t="s">
        <v>260</v>
      </c>
      <c r="S740" t="str">
        <f t="shared" si="104"/>
        <v>PA</v>
      </c>
    </row>
    <row r="741" spans="1:19" x14ac:dyDescent="0.3">
      <c r="A741" t="s">
        <v>12</v>
      </c>
      <c r="B741">
        <v>2016110019</v>
      </c>
      <c r="C741" t="s">
        <v>38</v>
      </c>
      <c r="E741" t="s">
        <v>446</v>
      </c>
      <c r="F741" t="s">
        <v>447</v>
      </c>
      <c r="G741">
        <v>2</v>
      </c>
      <c r="H741" t="s">
        <v>438</v>
      </c>
      <c r="I741" s="4">
        <f t="shared" si="105"/>
        <v>3</v>
      </c>
      <c r="J741">
        <f t="shared" si="106"/>
        <v>6</v>
      </c>
      <c r="K741">
        <v>52</v>
      </c>
      <c r="L741">
        <v>18</v>
      </c>
      <c r="M741" s="2">
        <v>2.89</v>
      </c>
      <c r="N741" s="2">
        <v>2.86</v>
      </c>
      <c r="O741">
        <v>0</v>
      </c>
      <c r="P741">
        <v>6</v>
      </c>
      <c r="Q741" t="s">
        <v>567</v>
      </c>
      <c r="R741" t="s">
        <v>260</v>
      </c>
      <c r="S741" t="str">
        <f t="shared" si="104"/>
        <v>PA</v>
      </c>
    </row>
    <row r="742" spans="1:19" x14ac:dyDescent="0.3">
      <c r="A742" t="s">
        <v>12</v>
      </c>
      <c r="B742">
        <v>2016110019</v>
      </c>
      <c r="C742" t="s">
        <v>38</v>
      </c>
      <c r="E742" t="s">
        <v>437</v>
      </c>
      <c r="F742" t="s">
        <v>169</v>
      </c>
      <c r="G742">
        <v>4</v>
      </c>
      <c r="H742" t="s">
        <v>524</v>
      </c>
      <c r="I742" s="4">
        <f t="shared" si="105"/>
        <v>2</v>
      </c>
      <c r="J742">
        <f t="shared" si="106"/>
        <v>8</v>
      </c>
      <c r="K742">
        <v>50</v>
      </c>
      <c r="L742">
        <v>20</v>
      </c>
      <c r="M742" s="2">
        <v>2.5</v>
      </c>
      <c r="N742" s="2">
        <v>2.86</v>
      </c>
      <c r="O742">
        <v>0</v>
      </c>
      <c r="P742">
        <v>1</v>
      </c>
      <c r="Q742" t="s">
        <v>558</v>
      </c>
      <c r="R742" t="s">
        <v>260</v>
      </c>
      <c r="S742" t="str">
        <f t="shared" si="104"/>
        <v>PA</v>
      </c>
    </row>
    <row r="743" spans="1:19" x14ac:dyDescent="0.3">
      <c r="A743" t="s">
        <v>12</v>
      </c>
      <c r="B743">
        <v>2016110019</v>
      </c>
      <c r="C743" t="s">
        <v>38</v>
      </c>
      <c r="E743" t="s">
        <v>437</v>
      </c>
      <c r="F743" t="s">
        <v>169</v>
      </c>
      <c r="G743">
        <v>4</v>
      </c>
      <c r="H743" t="s">
        <v>438</v>
      </c>
      <c r="I743" s="4">
        <f t="shared" si="105"/>
        <v>3</v>
      </c>
      <c r="J743">
        <f t="shared" si="106"/>
        <v>12</v>
      </c>
      <c r="K743">
        <v>34</v>
      </c>
      <c r="L743">
        <v>18</v>
      </c>
      <c r="M743" s="2">
        <v>1.89</v>
      </c>
      <c r="N743" s="2">
        <v>2.86</v>
      </c>
      <c r="O743">
        <v>1</v>
      </c>
      <c r="P743">
        <v>9</v>
      </c>
      <c r="Q743" t="s">
        <v>570</v>
      </c>
      <c r="R743" t="s">
        <v>260</v>
      </c>
      <c r="S743" t="str">
        <f t="shared" si="104"/>
        <v>PA</v>
      </c>
    </row>
    <row r="744" spans="1:19" x14ac:dyDescent="0.3">
      <c r="A744" t="s">
        <v>12</v>
      </c>
      <c r="B744">
        <v>2016110019</v>
      </c>
      <c r="C744" t="s">
        <v>38</v>
      </c>
      <c r="E744" t="s">
        <v>306</v>
      </c>
      <c r="F744" t="s">
        <v>307</v>
      </c>
      <c r="G744">
        <v>2</v>
      </c>
      <c r="H744" t="s">
        <v>524</v>
      </c>
      <c r="I744" s="4">
        <f t="shared" si="105"/>
        <v>2</v>
      </c>
      <c r="J744">
        <f t="shared" si="106"/>
        <v>4</v>
      </c>
      <c r="K744">
        <v>38</v>
      </c>
      <c r="L744">
        <v>14</v>
      </c>
      <c r="M744" s="2">
        <v>2.71</v>
      </c>
      <c r="N744" s="2">
        <v>2.86</v>
      </c>
      <c r="O744">
        <v>0</v>
      </c>
      <c r="P744">
        <v>7</v>
      </c>
      <c r="Q744" t="s">
        <v>568</v>
      </c>
      <c r="R744" t="s">
        <v>260</v>
      </c>
      <c r="S744" t="str">
        <f t="shared" si="104"/>
        <v>PA</v>
      </c>
    </row>
    <row r="745" spans="1:19" x14ac:dyDescent="0.3">
      <c r="A745" t="s">
        <v>12</v>
      </c>
      <c r="B745">
        <v>2016110019</v>
      </c>
      <c r="C745" t="s">
        <v>38</v>
      </c>
      <c r="E745" t="s">
        <v>357</v>
      </c>
      <c r="F745" t="s">
        <v>358</v>
      </c>
      <c r="G745">
        <v>4</v>
      </c>
      <c r="H745" t="s">
        <v>524</v>
      </c>
      <c r="I745" s="4">
        <f t="shared" si="105"/>
        <v>2</v>
      </c>
      <c r="J745">
        <f t="shared" si="106"/>
        <v>8</v>
      </c>
      <c r="K745">
        <v>50</v>
      </c>
      <c r="L745">
        <v>20</v>
      </c>
      <c r="M745" s="2">
        <v>2.5</v>
      </c>
      <c r="N745" s="2">
        <v>2.86</v>
      </c>
      <c r="O745">
        <v>0</v>
      </c>
      <c r="P745">
        <v>5</v>
      </c>
      <c r="Q745" t="s">
        <v>566</v>
      </c>
      <c r="R745" t="s">
        <v>260</v>
      </c>
      <c r="S745" t="str">
        <f t="shared" si="104"/>
        <v>PA</v>
      </c>
    </row>
    <row r="746" spans="1:19" x14ac:dyDescent="0.3">
      <c r="A746" t="s">
        <v>12</v>
      </c>
      <c r="B746">
        <v>2016110019</v>
      </c>
      <c r="C746" t="s">
        <v>38</v>
      </c>
      <c r="E746" t="s">
        <v>264</v>
      </c>
      <c r="F746" t="s">
        <v>265</v>
      </c>
      <c r="G746">
        <v>2</v>
      </c>
      <c r="H746" t="s">
        <v>524</v>
      </c>
      <c r="I746" s="4">
        <f t="shared" si="105"/>
        <v>2</v>
      </c>
      <c r="J746">
        <f t="shared" si="106"/>
        <v>4</v>
      </c>
      <c r="K746">
        <v>38</v>
      </c>
      <c r="L746">
        <v>14</v>
      </c>
      <c r="M746" s="2">
        <v>2.71</v>
      </c>
      <c r="N746" s="2">
        <v>2.86</v>
      </c>
      <c r="O746">
        <v>0</v>
      </c>
      <c r="P746">
        <v>7</v>
      </c>
      <c r="Q746" t="s">
        <v>568</v>
      </c>
      <c r="R746" t="s">
        <v>260</v>
      </c>
      <c r="S746" t="str">
        <f t="shared" si="104"/>
        <v>PA</v>
      </c>
    </row>
    <row r="747" spans="1:19" x14ac:dyDescent="0.3">
      <c r="A747" t="s">
        <v>12</v>
      </c>
      <c r="B747">
        <v>2016110019</v>
      </c>
      <c r="C747" t="s">
        <v>38</v>
      </c>
      <c r="E747" t="s">
        <v>264</v>
      </c>
      <c r="F747" t="s">
        <v>265</v>
      </c>
      <c r="G747">
        <v>2</v>
      </c>
      <c r="H747" t="s">
        <v>535</v>
      </c>
      <c r="I747" s="4">
        <f t="shared" si="105"/>
        <v>1</v>
      </c>
      <c r="J747">
        <f t="shared" si="106"/>
        <v>2</v>
      </c>
      <c r="K747">
        <v>34</v>
      </c>
      <c r="L747">
        <v>18</v>
      </c>
      <c r="M747" s="2">
        <v>1.89</v>
      </c>
      <c r="N747" s="2">
        <v>2.86</v>
      </c>
      <c r="O747">
        <v>1</v>
      </c>
      <c r="P747">
        <v>9</v>
      </c>
      <c r="Q747" t="s">
        <v>570</v>
      </c>
      <c r="R747" t="s">
        <v>260</v>
      </c>
      <c r="S747" t="str">
        <f t="shared" si="104"/>
        <v>FA</v>
      </c>
    </row>
    <row r="748" spans="1:19" x14ac:dyDescent="0.3">
      <c r="A748" t="s">
        <v>12</v>
      </c>
      <c r="B748">
        <v>2016110019</v>
      </c>
      <c r="C748" t="s">
        <v>38</v>
      </c>
      <c r="E748" t="s">
        <v>241</v>
      </c>
      <c r="F748" t="s">
        <v>45</v>
      </c>
      <c r="G748">
        <v>2</v>
      </c>
      <c r="H748" t="s">
        <v>524</v>
      </c>
      <c r="I748" s="4">
        <f t="shared" si="105"/>
        <v>2</v>
      </c>
      <c r="J748">
        <f t="shared" si="106"/>
        <v>4</v>
      </c>
      <c r="K748">
        <v>44</v>
      </c>
      <c r="L748">
        <v>18</v>
      </c>
      <c r="M748" s="2">
        <v>2.44</v>
      </c>
      <c r="N748" s="2">
        <v>2.86</v>
      </c>
      <c r="O748">
        <v>0</v>
      </c>
      <c r="P748">
        <v>3</v>
      </c>
      <c r="Q748" t="s">
        <v>563</v>
      </c>
      <c r="R748" t="s">
        <v>260</v>
      </c>
      <c r="S748" t="str">
        <f t="shared" si="104"/>
        <v>PA</v>
      </c>
    </row>
    <row r="749" spans="1:19" x14ac:dyDescent="0.3">
      <c r="A749" t="s">
        <v>12</v>
      </c>
      <c r="B749">
        <v>2016110019</v>
      </c>
      <c r="C749" t="s">
        <v>38</v>
      </c>
      <c r="E749" t="s">
        <v>257</v>
      </c>
      <c r="F749" t="s">
        <v>258</v>
      </c>
      <c r="G749">
        <v>4</v>
      </c>
      <c r="H749" t="s">
        <v>524</v>
      </c>
      <c r="I749" s="4">
        <f t="shared" si="105"/>
        <v>2</v>
      </c>
      <c r="J749">
        <f t="shared" si="106"/>
        <v>8</v>
      </c>
      <c r="K749">
        <v>44</v>
      </c>
      <c r="L749">
        <v>18</v>
      </c>
      <c r="M749" s="2">
        <v>2.44</v>
      </c>
      <c r="N749" s="2">
        <v>2.86</v>
      </c>
      <c r="O749">
        <v>0</v>
      </c>
      <c r="P749">
        <v>3</v>
      </c>
      <c r="Q749" t="s">
        <v>563</v>
      </c>
      <c r="R749" t="s">
        <v>260</v>
      </c>
      <c r="S749" t="str">
        <f t="shared" si="104"/>
        <v>PA</v>
      </c>
    </row>
    <row r="750" spans="1:19" x14ac:dyDescent="0.3">
      <c r="A750" t="s">
        <v>12</v>
      </c>
      <c r="B750">
        <v>2016110019</v>
      </c>
      <c r="C750" t="s">
        <v>38</v>
      </c>
      <c r="E750" t="s">
        <v>257</v>
      </c>
      <c r="F750" t="s">
        <v>258</v>
      </c>
      <c r="G750">
        <v>4</v>
      </c>
      <c r="H750" t="s">
        <v>524</v>
      </c>
      <c r="I750" s="4">
        <f t="shared" si="105"/>
        <v>2</v>
      </c>
      <c r="J750">
        <f t="shared" si="106"/>
        <v>8</v>
      </c>
      <c r="K750">
        <v>28</v>
      </c>
      <c r="L750">
        <v>12</v>
      </c>
      <c r="M750" s="2">
        <v>2.33</v>
      </c>
      <c r="N750" s="2">
        <v>2.86</v>
      </c>
      <c r="O750">
        <v>1</v>
      </c>
      <c r="P750">
        <v>8</v>
      </c>
      <c r="Q750" t="s">
        <v>569</v>
      </c>
      <c r="R750" t="s">
        <v>260</v>
      </c>
      <c r="S750" t="str">
        <f t="shared" si="104"/>
        <v>PA</v>
      </c>
    </row>
    <row r="751" spans="1:19" x14ac:dyDescent="0.3">
      <c r="A751" t="s">
        <v>12</v>
      </c>
      <c r="B751">
        <v>2016110019</v>
      </c>
      <c r="C751" t="s">
        <v>38</v>
      </c>
      <c r="E751" t="s">
        <v>142</v>
      </c>
      <c r="F751" t="s">
        <v>143</v>
      </c>
      <c r="G751">
        <v>2</v>
      </c>
      <c r="H751" t="s">
        <v>524</v>
      </c>
      <c r="I751" s="4">
        <f t="shared" si="105"/>
        <v>2</v>
      </c>
      <c r="J751">
        <f t="shared" si="106"/>
        <v>4</v>
      </c>
      <c r="K751">
        <v>50</v>
      </c>
      <c r="L751">
        <v>20</v>
      </c>
      <c r="M751" s="2">
        <v>2.5</v>
      </c>
      <c r="N751" s="2">
        <v>2.86</v>
      </c>
      <c r="O751">
        <v>0</v>
      </c>
      <c r="P751">
        <v>1</v>
      </c>
      <c r="Q751" t="s">
        <v>558</v>
      </c>
      <c r="R751" t="s">
        <v>260</v>
      </c>
      <c r="S751" t="str">
        <f t="shared" si="104"/>
        <v>PA</v>
      </c>
    </row>
    <row r="752" spans="1:19" x14ac:dyDescent="0.3">
      <c r="A752" t="s">
        <v>12</v>
      </c>
      <c r="B752">
        <v>2016110019</v>
      </c>
      <c r="C752" t="s">
        <v>38</v>
      </c>
      <c r="E752" t="s">
        <v>297</v>
      </c>
      <c r="F752" t="s">
        <v>342</v>
      </c>
      <c r="G752">
        <v>4</v>
      </c>
      <c r="H752" t="s">
        <v>438</v>
      </c>
      <c r="I752" s="4">
        <f t="shared" si="105"/>
        <v>3</v>
      </c>
      <c r="J752">
        <f t="shared" si="106"/>
        <v>12</v>
      </c>
      <c r="K752">
        <v>28</v>
      </c>
      <c r="L752">
        <v>12</v>
      </c>
      <c r="M752" s="2">
        <v>2.33</v>
      </c>
      <c r="N752" s="2">
        <v>2.86</v>
      </c>
      <c r="O752">
        <v>1</v>
      </c>
      <c r="P752">
        <v>8</v>
      </c>
      <c r="Q752" t="s">
        <v>569</v>
      </c>
      <c r="R752" t="s">
        <v>260</v>
      </c>
      <c r="S752" t="str">
        <f t="shared" si="104"/>
        <v>PA</v>
      </c>
    </row>
    <row r="753" spans="1:19" x14ac:dyDescent="0.3">
      <c r="A753" t="s">
        <v>12</v>
      </c>
      <c r="B753">
        <v>2016110019</v>
      </c>
      <c r="C753" t="s">
        <v>38</v>
      </c>
      <c r="E753" t="s">
        <v>297</v>
      </c>
      <c r="F753" t="s">
        <v>342</v>
      </c>
      <c r="G753">
        <v>4</v>
      </c>
      <c r="H753" t="s">
        <v>524</v>
      </c>
      <c r="I753" s="4">
        <f t="shared" si="105"/>
        <v>2</v>
      </c>
      <c r="J753">
        <f t="shared" si="106"/>
        <v>8</v>
      </c>
      <c r="K753">
        <v>52</v>
      </c>
      <c r="L753">
        <v>18</v>
      </c>
      <c r="M753" s="2">
        <v>2.89</v>
      </c>
      <c r="N753" s="2">
        <v>2.86</v>
      </c>
      <c r="O753">
        <v>0</v>
      </c>
      <c r="P753">
        <v>6</v>
      </c>
      <c r="Q753" t="s">
        <v>567</v>
      </c>
      <c r="R753" t="s">
        <v>260</v>
      </c>
      <c r="S753" t="str">
        <f t="shared" si="104"/>
        <v>PA</v>
      </c>
    </row>
    <row r="754" spans="1:19" x14ac:dyDescent="0.3">
      <c r="A754" t="s">
        <v>12</v>
      </c>
      <c r="B754">
        <v>2016110019</v>
      </c>
      <c r="C754" t="s">
        <v>38</v>
      </c>
      <c r="E754" t="s">
        <v>90</v>
      </c>
      <c r="F754" t="s">
        <v>91</v>
      </c>
      <c r="G754">
        <v>2</v>
      </c>
      <c r="H754" t="s">
        <v>524</v>
      </c>
      <c r="I754" s="4">
        <f t="shared" si="105"/>
        <v>2</v>
      </c>
      <c r="J754">
        <f t="shared" si="106"/>
        <v>4</v>
      </c>
      <c r="K754">
        <v>50</v>
      </c>
      <c r="L754">
        <v>20</v>
      </c>
      <c r="M754" s="2">
        <v>2.5</v>
      </c>
      <c r="N754" s="2">
        <v>2.86</v>
      </c>
      <c r="O754">
        <v>0</v>
      </c>
      <c r="P754">
        <v>1</v>
      </c>
      <c r="Q754" t="s">
        <v>558</v>
      </c>
      <c r="R754" t="s">
        <v>260</v>
      </c>
      <c r="S754" t="str">
        <f t="shared" si="104"/>
        <v>PA</v>
      </c>
    </row>
    <row r="755" spans="1:19" x14ac:dyDescent="0.3">
      <c r="A755" t="s">
        <v>12</v>
      </c>
      <c r="B755">
        <v>2016110019</v>
      </c>
      <c r="C755" t="s">
        <v>38</v>
      </c>
      <c r="E755" t="s">
        <v>139</v>
      </c>
      <c r="F755" t="s">
        <v>140</v>
      </c>
      <c r="G755">
        <v>2</v>
      </c>
      <c r="H755" t="s">
        <v>524</v>
      </c>
      <c r="I755" s="4">
        <f t="shared" si="105"/>
        <v>2</v>
      </c>
      <c r="J755">
        <f t="shared" si="106"/>
        <v>4</v>
      </c>
      <c r="K755">
        <v>46</v>
      </c>
      <c r="L755">
        <v>20</v>
      </c>
      <c r="M755" s="2">
        <v>2.2999999999999998</v>
      </c>
      <c r="N755" s="2">
        <v>2.86</v>
      </c>
      <c r="O755">
        <v>0</v>
      </c>
      <c r="P755">
        <v>2</v>
      </c>
      <c r="Q755" t="s">
        <v>559</v>
      </c>
      <c r="R755" t="s">
        <v>260</v>
      </c>
      <c r="S755" t="str">
        <f t="shared" si="104"/>
        <v>PA</v>
      </c>
    </row>
    <row r="756" spans="1:19" x14ac:dyDescent="0.3">
      <c r="A756" t="s">
        <v>12</v>
      </c>
      <c r="B756">
        <v>2016110019</v>
      </c>
      <c r="C756" t="s">
        <v>38</v>
      </c>
      <c r="E756" t="s">
        <v>139</v>
      </c>
      <c r="F756" t="s">
        <v>140</v>
      </c>
      <c r="G756">
        <v>2</v>
      </c>
      <c r="H756" t="s">
        <v>438</v>
      </c>
      <c r="I756" s="4">
        <f t="shared" si="105"/>
        <v>3</v>
      </c>
      <c r="J756">
        <f t="shared" si="106"/>
        <v>6</v>
      </c>
      <c r="K756">
        <v>52</v>
      </c>
      <c r="L756">
        <v>18</v>
      </c>
      <c r="M756" s="2">
        <v>2.89</v>
      </c>
      <c r="N756" s="2">
        <v>2.86</v>
      </c>
      <c r="O756">
        <v>1</v>
      </c>
      <c r="P756">
        <v>6</v>
      </c>
      <c r="Q756" t="s">
        <v>567</v>
      </c>
      <c r="R756" t="s">
        <v>260</v>
      </c>
      <c r="S756" t="str">
        <f t="shared" si="104"/>
        <v>PA</v>
      </c>
    </row>
    <row r="757" spans="1:19" x14ac:dyDescent="0.3">
      <c r="A757" t="s">
        <v>12</v>
      </c>
      <c r="B757">
        <v>2016110019</v>
      </c>
      <c r="C757" t="s">
        <v>38</v>
      </c>
      <c r="E757" t="s">
        <v>100</v>
      </c>
      <c r="F757" t="s">
        <v>101</v>
      </c>
      <c r="G757">
        <v>4</v>
      </c>
      <c r="H757" t="s">
        <v>524</v>
      </c>
      <c r="I757" s="4">
        <f t="shared" si="105"/>
        <v>2</v>
      </c>
      <c r="J757">
        <f t="shared" si="106"/>
        <v>8</v>
      </c>
      <c r="K757">
        <v>46</v>
      </c>
      <c r="L757">
        <v>20</v>
      </c>
      <c r="M757" s="2">
        <v>2.2999999999999998</v>
      </c>
      <c r="N757" s="2">
        <v>2.86</v>
      </c>
      <c r="O757">
        <v>0</v>
      </c>
      <c r="P757">
        <v>2</v>
      </c>
      <c r="Q757" t="s">
        <v>559</v>
      </c>
      <c r="R757" t="s">
        <v>260</v>
      </c>
      <c r="S757" t="str">
        <f t="shared" si="104"/>
        <v>PA</v>
      </c>
    </row>
    <row r="758" spans="1:19" x14ac:dyDescent="0.3">
      <c r="A758" t="s">
        <v>12</v>
      </c>
      <c r="B758">
        <v>2016110019</v>
      </c>
      <c r="C758" t="s">
        <v>38</v>
      </c>
      <c r="E758" t="s">
        <v>100</v>
      </c>
      <c r="F758" t="s">
        <v>101</v>
      </c>
      <c r="G758">
        <v>4</v>
      </c>
      <c r="H758" t="s">
        <v>438</v>
      </c>
      <c r="I758" s="4">
        <f t="shared" si="105"/>
        <v>3</v>
      </c>
      <c r="J758">
        <f t="shared" si="106"/>
        <v>12</v>
      </c>
      <c r="K758">
        <v>72</v>
      </c>
      <c r="L758">
        <v>24</v>
      </c>
      <c r="M758" s="2">
        <v>3</v>
      </c>
      <c r="N758" s="2">
        <v>2.86</v>
      </c>
      <c r="O758">
        <v>1</v>
      </c>
      <c r="P758">
        <v>10</v>
      </c>
      <c r="Q758" t="s">
        <v>578</v>
      </c>
      <c r="R758" t="s">
        <v>260</v>
      </c>
      <c r="S758" t="str">
        <f t="shared" si="104"/>
        <v>PA</v>
      </c>
    </row>
    <row r="759" spans="1:19" x14ac:dyDescent="0.3">
      <c r="A759" t="s">
        <v>12</v>
      </c>
      <c r="B759">
        <v>2016110019</v>
      </c>
      <c r="C759" t="s">
        <v>38</v>
      </c>
      <c r="E759" t="s">
        <v>211</v>
      </c>
      <c r="F759" t="s">
        <v>186</v>
      </c>
      <c r="G759">
        <v>4</v>
      </c>
      <c r="H759" t="s">
        <v>524</v>
      </c>
      <c r="I759" s="4">
        <f t="shared" si="105"/>
        <v>2</v>
      </c>
      <c r="J759">
        <f t="shared" si="106"/>
        <v>8</v>
      </c>
      <c r="K759">
        <v>50</v>
      </c>
      <c r="L759">
        <v>20</v>
      </c>
      <c r="M759" s="2">
        <v>2.5</v>
      </c>
      <c r="N759" s="2">
        <v>2.86</v>
      </c>
      <c r="O759">
        <v>0</v>
      </c>
      <c r="P759">
        <v>5</v>
      </c>
      <c r="Q759" t="s">
        <v>566</v>
      </c>
      <c r="R759" t="s">
        <v>260</v>
      </c>
      <c r="S759" t="str">
        <f t="shared" si="104"/>
        <v>PA</v>
      </c>
    </row>
    <row r="760" spans="1:19" x14ac:dyDescent="0.3">
      <c r="A760" t="s">
        <v>12</v>
      </c>
      <c r="B760">
        <v>2016110019</v>
      </c>
      <c r="C760" t="s">
        <v>38</v>
      </c>
      <c r="E760" t="s">
        <v>211</v>
      </c>
      <c r="F760" t="s">
        <v>186</v>
      </c>
      <c r="G760">
        <v>4</v>
      </c>
      <c r="H760" t="s">
        <v>539</v>
      </c>
      <c r="I760" s="4">
        <f t="shared" si="105"/>
        <v>0</v>
      </c>
      <c r="J760">
        <f t="shared" si="106"/>
        <v>0</v>
      </c>
      <c r="K760">
        <v>34</v>
      </c>
      <c r="L760">
        <v>18</v>
      </c>
      <c r="M760" s="2">
        <v>1.89</v>
      </c>
      <c r="N760" s="2">
        <v>2.86</v>
      </c>
      <c r="O760">
        <v>1</v>
      </c>
      <c r="P760">
        <v>9</v>
      </c>
      <c r="Q760" t="s">
        <v>570</v>
      </c>
      <c r="R760" t="s">
        <v>260</v>
      </c>
      <c r="S760" t="str">
        <f t="shared" si="104"/>
        <v>FA</v>
      </c>
    </row>
    <row r="761" spans="1:19" x14ac:dyDescent="0.3">
      <c r="A761" t="s">
        <v>12</v>
      </c>
      <c r="B761">
        <v>2016110019</v>
      </c>
      <c r="C761" t="s">
        <v>38</v>
      </c>
      <c r="E761" t="s">
        <v>234</v>
      </c>
      <c r="F761" t="s">
        <v>235</v>
      </c>
      <c r="G761">
        <v>4</v>
      </c>
      <c r="H761" t="s">
        <v>524</v>
      </c>
      <c r="I761" s="4">
        <f t="shared" si="105"/>
        <v>2</v>
      </c>
      <c r="J761">
        <f t="shared" si="106"/>
        <v>8</v>
      </c>
      <c r="K761">
        <v>34</v>
      </c>
      <c r="L761">
        <v>18</v>
      </c>
      <c r="M761" s="2">
        <v>1.89</v>
      </c>
      <c r="N761" s="2">
        <v>2.86</v>
      </c>
      <c r="O761">
        <v>0</v>
      </c>
      <c r="P761">
        <v>9</v>
      </c>
      <c r="Q761" t="s">
        <v>570</v>
      </c>
      <c r="R761" t="s">
        <v>260</v>
      </c>
      <c r="S761" t="str">
        <f t="shared" si="104"/>
        <v>PA</v>
      </c>
    </row>
    <row r="762" spans="1:19" x14ac:dyDescent="0.3">
      <c r="A762" t="s">
        <v>12</v>
      </c>
      <c r="B762">
        <v>2016110019</v>
      </c>
      <c r="C762" t="s">
        <v>38</v>
      </c>
      <c r="E762" t="s">
        <v>234</v>
      </c>
      <c r="F762" t="s">
        <v>235</v>
      </c>
      <c r="G762">
        <v>4</v>
      </c>
      <c r="H762" t="s">
        <v>524</v>
      </c>
      <c r="I762" s="4">
        <f t="shared" si="105"/>
        <v>2</v>
      </c>
      <c r="J762">
        <f t="shared" si="106"/>
        <v>8</v>
      </c>
      <c r="K762">
        <v>72</v>
      </c>
      <c r="L762">
        <v>24</v>
      </c>
      <c r="M762" s="2">
        <v>3</v>
      </c>
      <c r="N762" s="2">
        <v>2.86</v>
      </c>
      <c r="O762">
        <v>1</v>
      </c>
      <c r="P762">
        <v>10</v>
      </c>
      <c r="Q762" t="s">
        <v>578</v>
      </c>
      <c r="R762" t="s">
        <v>260</v>
      </c>
      <c r="S762" t="str">
        <f t="shared" si="104"/>
        <v>PA</v>
      </c>
    </row>
    <row r="763" spans="1:19" x14ac:dyDescent="0.3">
      <c r="A763" t="s">
        <v>12</v>
      </c>
      <c r="B763">
        <v>2016110019</v>
      </c>
      <c r="C763" t="s">
        <v>38</v>
      </c>
      <c r="E763" t="s">
        <v>348</v>
      </c>
      <c r="F763" t="s">
        <v>493</v>
      </c>
      <c r="G763">
        <v>4</v>
      </c>
      <c r="H763" t="s">
        <v>524</v>
      </c>
      <c r="I763" s="4">
        <f t="shared" si="105"/>
        <v>2</v>
      </c>
      <c r="J763">
        <f t="shared" si="106"/>
        <v>8</v>
      </c>
      <c r="K763">
        <v>28</v>
      </c>
      <c r="L763">
        <v>12</v>
      </c>
      <c r="M763" s="2">
        <v>2.33</v>
      </c>
      <c r="N763" s="2">
        <v>2.86</v>
      </c>
      <c r="O763">
        <v>0</v>
      </c>
      <c r="P763">
        <v>8</v>
      </c>
      <c r="Q763" t="s">
        <v>569</v>
      </c>
      <c r="R763" t="s">
        <v>260</v>
      </c>
      <c r="S763" t="str">
        <f t="shared" si="104"/>
        <v>PA</v>
      </c>
    </row>
    <row r="764" spans="1:19" x14ac:dyDescent="0.3">
      <c r="A764" t="s">
        <v>12</v>
      </c>
      <c r="B764">
        <v>2016110019</v>
      </c>
      <c r="C764" t="s">
        <v>38</v>
      </c>
      <c r="E764" t="s">
        <v>122</v>
      </c>
      <c r="F764" t="s">
        <v>123</v>
      </c>
      <c r="G764">
        <v>4</v>
      </c>
      <c r="H764" t="s">
        <v>524</v>
      </c>
      <c r="I764" s="4">
        <f t="shared" si="105"/>
        <v>2</v>
      </c>
      <c r="J764">
        <f t="shared" si="106"/>
        <v>8</v>
      </c>
      <c r="K764">
        <v>50</v>
      </c>
      <c r="L764">
        <v>20</v>
      </c>
      <c r="M764" s="2">
        <v>2.5</v>
      </c>
      <c r="N764" s="2">
        <v>2.86</v>
      </c>
      <c r="O764">
        <v>0</v>
      </c>
      <c r="P764">
        <v>1</v>
      </c>
      <c r="Q764" t="s">
        <v>558</v>
      </c>
      <c r="R764" t="s">
        <v>260</v>
      </c>
      <c r="S764" t="str">
        <f t="shared" si="104"/>
        <v>PA</v>
      </c>
    </row>
    <row r="765" spans="1:19" x14ac:dyDescent="0.3">
      <c r="A765" t="s">
        <v>12</v>
      </c>
      <c r="B765">
        <v>2016110019</v>
      </c>
      <c r="C765" t="s">
        <v>38</v>
      </c>
      <c r="E765" t="s">
        <v>122</v>
      </c>
      <c r="F765" t="s">
        <v>123</v>
      </c>
      <c r="G765">
        <v>4</v>
      </c>
      <c r="H765" t="s">
        <v>260</v>
      </c>
      <c r="I765" s="4">
        <f t="shared" si="105"/>
        <v>4</v>
      </c>
      <c r="J765">
        <f t="shared" si="106"/>
        <v>16</v>
      </c>
      <c r="K765">
        <v>72</v>
      </c>
      <c r="L765">
        <v>24</v>
      </c>
      <c r="M765" s="2">
        <v>3</v>
      </c>
      <c r="N765" s="2">
        <v>2.86</v>
      </c>
      <c r="O765">
        <v>1</v>
      </c>
      <c r="P765">
        <v>10</v>
      </c>
      <c r="Q765" t="s">
        <v>578</v>
      </c>
      <c r="R765" t="s">
        <v>260</v>
      </c>
      <c r="S765" t="str">
        <f t="shared" si="104"/>
        <v>PA</v>
      </c>
    </row>
    <row r="766" spans="1:19" x14ac:dyDescent="0.3">
      <c r="A766" t="s">
        <v>12</v>
      </c>
      <c r="B766">
        <v>2016110019</v>
      </c>
      <c r="C766" t="s">
        <v>38</v>
      </c>
      <c r="E766" t="s">
        <v>382</v>
      </c>
      <c r="F766" t="s">
        <v>383</v>
      </c>
      <c r="G766">
        <v>4</v>
      </c>
      <c r="H766" t="s">
        <v>524</v>
      </c>
      <c r="I766" s="4">
        <f t="shared" si="105"/>
        <v>2</v>
      </c>
      <c r="J766">
        <f t="shared" si="106"/>
        <v>8</v>
      </c>
      <c r="K766">
        <v>50</v>
      </c>
      <c r="L766">
        <v>20</v>
      </c>
      <c r="M766" s="2">
        <v>2.5</v>
      </c>
      <c r="N766" s="2">
        <v>2.86</v>
      </c>
      <c r="O766">
        <v>0</v>
      </c>
      <c r="P766">
        <v>5</v>
      </c>
      <c r="Q766" t="s">
        <v>566</v>
      </c>
      <c r="R766" t="s">
        <v>260</v>
      </c>
      <c r="S766" t="str">
        <f t="shared" si="104"/>
        <v>PA</v>
      </c>
    </row>
    <row r="767" spans="1:19" x14ac:dyDescent="0.3">
      <c r="A767" t="s">
        <v>12</v>
      </c>
      <c r="B767">
        <v>2016110019</v>
      </c>
      <c r="C767" t="s">
        <v>38</v>
      </c>
      <c r="E767" t="s">
        <v>382</v>
      </c>
      <c r="F767" t="s">
        <v>383</v>
      </c>
      <c r="G767">
        <v>4</v>
      </c>
      <c r="H767" t="s">
        <v>438</v>
      </c>
      <c r="I767" s="4">
        <f t="shared" si="105"/>
        <v>3</v>
      </c>
      <c r="J767">
        <f t="shared" si="106"/>
        <v>12</v>
      </c>
      <c r="K767">
        <v>72</v>
      </c>
      <c r="L767">
        <v>24</v>
      </c>
      <c r="M767" s="2">
        <v>3</v>
      </c>
      <c r="N767" s="2">
        <v>2.86</v>
      </c>
      <c r="O767">
        <v>1</v>
      </c>
      <c r="P767">
        <v>10</v>
      </c>
      <c r="Q767" t="s">
        <v>578</v>
      </c>
      <c r="R767" t="s">
        <v>260</v>
      </c>
      <c r="S767" t="str">
        <f t="shared" si="104"/>
        <v>PA</v>
      </c>
    </row>
    <row r="768" spans="1:19" x14ac:dyDescent="0.3">
      <c r="A768" t="s">
        <v>12</v>
      </c>
      <c r="B768">
        <v>2016110019</v>
      </c>
      <c r="C768" t="s">
        <v>38</v>
      </c>
      <c r="E768" t="s">
        <v>173</v>
      </c>
      <c r="F768" t="s">
        <v>8</v>
      </c>
      <c r="G768">
        <v>2</v>
      </c>
      <c r="H768" t="s">
        <v>524</v>
      </c>
      <c r="I768" s="4">
        <f t="shared" si="105"/>
        <v>2</v>
      </c>
      <c r="J768">
        <f t="shared" si="106"/>
        <v>4</v>
      </c>
      <c r="K768">
        <v>44</v>
      </c>
      <c r="L768">
        <v>18</v>
      </c>
      <c r="M768" s="2">
        <v>2.44</v>
      </c>
      <c r="N768" s="2">
        <v>2.86</v>
      </c>
      <c r="O768">
        <v>0</v>
      </c>
      <c r="P768">
        <v>3</v>
      </c>
      <c r="Q768" t="s">
        <v>563</v>
      </c>
      <c r="R768" t="s">
        <v>260</v>
      </c>
      <c r="S768" t="str">
        <f t="shared" si="104"/>
        <v>PA</v>
      </c>
    </row>
    <row r="769" spans="1:19" x14ac:dyDescent="0.3">
      <c r="A769" t="s">
        <v>12</v>
      </c>
      <c r="B769">
        <v>2016110019</v>
      </c>
      <c r="C769" t="s">
        <v>38</v>
      </c>
      <c r="E769" t="s">
        <v>273</v>
      </c>
      <c r="F769" t="s">
        <v>274</v>
      </c>
      <c r="G769">
        <v>2</v>
      </c>
      <c r="H769" t="s">
        <v>524</v>
      </c>
      <c r="I769" s="4">
        <f t="shared" si="105"/>
        <v>2</v>
      </c>
      <c r="J769">
        <f t="shared" si="106"/>
        <v>4</v>
      </c>
      <c r="K769">
        <v>52</v>
      </c>
      <c r="L769">
        <v>18</v>
      </c>
      <c r="M769" s="2">
        <v>2.89</v>
      </c>
      <c r="N769" s="2">
        <v>2.86</v>
      </c>
      <c r="O769">
        <v>0</v>
      </c>
      <c r="P769">
        <v>6</v>
      </c>
      <c r="Q769" t="s">
        <v>567</v>
      </c>
      <c r="R769" t="s">
        <v>260</v>
      </c>
      <c r="S769" t="str">
        <f t="shared" si="104"/>
        <v>PA</v>
      </c>
    </row>
    <row r="770" spans="1:19" x14ac:dyDescent="0.3">
      <c r="A770" t="s">
        <v>12</v>
      </c>
      <c r="B770">
        <v>2016110019</v>
      </c>
      <c r="C770" t="s">
        <v>38</v>
      </c>
      <c r="E770" t="s">
        <v>192</v>
      </c>
      <c r="F770" t="s">
        <v>106</v>
      </c>
      <c r="G770">
        <v>2</v>
      </c>
      <c r="H770" t="s">
        <v>524</v>
      </c>
      <c r="I770" s="4">
        <f t="shared" si="105"/>
        <v>2</v>
      </c>
      <c r="J770">
        <f t="shared" si="106"/>
        <v>4</v>
      </c>
      <c r="K770">
        <v>44</v>
      </c>
      <c r="L770">
        <v>18</v>
      </c>
      <c r="M770" s="2">
        <v>2.44</v>
      </c>
      <c r="N770" s="2">
        <v>2.86</v>
      </c>
      <c r="O770">
        <v>0</v>
      </c>
      <c r="P770">
        <v>3</v>
      </c>
      <c r="Q770" t="s">
        <v>563</v>
      </c>
      <c r="R770" t="s">
        <v>260</v>
      </c>
      <c r="S770" t="str">
        <f t="shared" si="104"/>
        <v>PA</v>
      </c>
    </row>
    <row r="771" spans="1:19" x14ac:dyDescent="0.3">
      <c r="A771" t="s">
        <v>12</v>
      </c>
      <c r="B771">
        <v>2016110019</v>
      </c>
      <c r="C771" t="s">
        <v>38</v>
      </c>
      <c r="E771" t="s">
        <v>103</v>
      </c>
      <c r="F771" t="s">
        <v>104</v>
      </c>
      <c r="G771">
        <v>4</v>
      </c>
      <c r="H771" t="s">
        <v>535</v>
      </c>
      <c r="I771" s="4">
        <f t="shared" si="105"/>
        <v>1</v>
      </c>
      <c r="J771">
        <f t="shared" si="106"/>
        <v>4</v>
      </c>
      <c r="K771">
        <v>46</v>
      </c>
      <c r="L771">
        <v>20</v>
      </c>
      <c r="M771" s="2">
        <v>2.2999999999999998</v>
      </c>
      <c r="N771" s="2">
        <v>2.86</v>
      </c>
      <c r="O771">
        <v>0</v>
      </c>
      <c r="P771">
        <v>2</v>
      </c>
      <c r="Q771" t="s">
        <v>559</v>
      </c>
      <c r="R771" t="s">
        <v>260</v>
      </c>
      <c r="S771" t="str">
        <f t="shared" si="104"/>
        <v>FA</v>
      </c>
    </row>
    <row r="772" spans="1:19" x14ac:dyDescent="0.3">
      <c r="A772" t="s">
        <v>12</v>
      </c>
      <c r="B772">
        <v>2016110019</v>
      </c>
      <c r="C772" t="s">
        <v>38</v>
      </c>
      <c r="E772" t="s">
        <v>103</v>
      </c>
      <c r="F772" t="s">
        <v>104</v>
      </c>
      <c r="G772">
        <v>4</v>
      </c>
      <c r="H772" t="s">
        <v>438</v>
      </c>
      <c r="I772" s="4">
        <f t="shared" si="105"/>
        <v>3</v>
      </c>
      <c r="J772">
        <f t="shared" si="106"/>
        <v>12</v>
      </c>
      <c r="K772">
        <v>72</v>
      </c>
      <c r="L772">
        <v>24</v>
      </c>
      <c r="M772" s="2">
        <v>3</v>
      </c>
      <c r="N772" s="2">
        <v>2.86</v>
      </c>
      <c r="O772">
        <v>1</v>
      </c>
      <c r="P772">
        <v>10</v>
      </c>
      <c r="Q772" t="s">
        <v>578</v>
      </c>
      <c r="R772" t="s">
        <v>260</v>
      </c>
      <c r="S772" t="str">
        <f t="shared" si="104"/>
        <v>PA</v>
      </c>
    </row>
    <row r="773" spans="1:19" x14ac:dyDescent="0.3">
      <c r="A773" t="s">
        <v>12</v>
      </c>
      <c r="B773">
        <v>2016110019</v>
      </c>
      <c r="C773" t="s">
        <v>38</v>
      </c>
      <c r="E773" t="s">
        <v>309</v>
      </c>
      <c r="F773" t="s">
        <v>310</v>
      </c>
      <c r="G773">
        <v>4</v>
      </c>
      <c r="H773" t="s">
        <v>535</v>
      </c>
      <c r="I773" s="4">
        <f t="shared" si="105"/>
        <v>1</v>
      </c>
      <c r="J773">
        <f t="shared" si="106"/>
        <v>4</v>
      </c>
      <c r="K773">
        <v>46</v>
      </c>
      <c r="L773">
        <v>18</v>
      </c>
      <c r="M773" s="2">
        <v>2.56</v>
      </c>
      <c r="N773" s="2">
        <v>2.86</v>
      </c>
      <c r="O773">
        <v>0</v>
      </c>
      <c r="P773">
        <v>4</v>
      </c>
      <c r="Q773" t="s">
        <v>565</v>
      </c>
      <c r="R773" t="s">
        <v>260</v>
      </c>
      <c r="S773" t="str">
        <f t="shared" si="104"/>
        <v>FA</v>
      </c>
    </row>
    <row r="774" spans="1:19" x14ac:dyDescent="0.3">
      <c r="A774" t="s">
        <v>12</v>
      </c>
      <c r="B774">
        <v>2016110019</v>
      </c>
      <c r="C774" t="s">
        <v>38</v>
      </c>
      <c r="E774" t="s">
        <v>309</v>
      </c>
      <c r="F774" t="s">
        <v>310</v>
      </c>
      <c r="G774">
        <v>4</v>
      </c>
      <c r="H774" t="s">
        <v>438</v>
      </c>
      <c r="I774" s="4">
        <f t="shared" si="105"/>
        <v>3</v>
      </c>
      <c r="J774">
        <f t="shared" si="106"/>
        <v>12</v>
      </c>
      <c r="K774">
        <v>72</v>
      </c>
      <c r="L774">
        <v>24</v>
      </c>
      <c r="M774" s="2">
        <v>3</v>
      </c>
      <c r="N774" s="2">
        <v>2.86</v>
      </c>
      <c r="O774">
        <v>1</v>
      </c>
      <c r="P774">
        <v>10</v>
      </c>
      <c r="Q774" t="s">
        <v>578</v>
      </c>
      <c r="R774" t="s">
        <v>260</v>
      </c>
      <c r="S774" t="str">
        <f t="shared" si="104"/>
        <v>PA</v>
      </c>
    </row>
    <row r="775" spans="1:19" x14ac:dyDescent="0.3">
      <c r="A775" t="s">
        <v>12</v>
      </c>
      <c r="B775">
        <v>2016110020</v>
      </c>
      <c r="C775" t="s">
        <v>65</v>
      </c>
      <c r="E775" t="s">
        <v>31</v>
      </c>
      <c r="F775" t="s">
        <v>20</v>
      </c>
      <c r="G775">
        <v>4</v>
      </c>
      <c r="J775">
        <v>0</v>
      </c>
      <c r="K775">
        <v>46</v>
      </c>
      <c r="L775">
        <v>14</v>
      </c>
      <c r="M775" s="2">
        <v>3.29</v>
      </c>
      <c r="N775" s="2">
        <v>2.92</v>
      </c>
      <c r="O775">
        <v>0</v>
      </c>
      <c r="P775">
        <v>7</v>
      </c>
      <c r="Q775" t="s">
        <v>570</v>
      </c>
      <c r="R775" t="s">
        <v>260</v>
      </c>
      <c r="S775" t="s">
        <v>595</v>
      </c>
    </row>
    <row r="776" spans="1:19" x14ac:dyDescent="0.3">
      <c r="A776" t="s">
        <v>12</v>
      </c>
      <c r="B776">
        <v>2016110020</v>
      </c>
      <c r="C776" t="s">
        <v>65</v>
      </c>
      <c r="E776" t="s">
        <v>31</v>
      </c>
      <c r="F776" t="s">
        <v>20</v>
      </c>
      <c r="G776">
        <v>4</v>
      </c>
      <c r="H776" t="s">
        <v>524</v>
      </c>
      <c r="I776" s="4">
        <f t="shared" ref="I776" si="108">IF(H776="A",4,IF(H776="B",3,IF(H776="C",2,IF(H776="D",1,0))))</f>
        <v>2</v>
      </c>
      <c r="J776">
        <f t="shared" ref="J776" si="109">G776*I776</f>
        <v>8</v>
      </c>
      <c r="K776">
        <v>8</v>
      </c>
      <c r="L776">
        <v>4</v>
      </c>
      <c r="M776" s="2">
        <v>2</v>
      </c>
      <c r="N776" s="2">
        <v>2.92</v>
      </c>
      <c r="O776">
        <v>1</v>
      </c>
      <c r="P776">
        <v>8</v>
      </c>
      <c r="Q776" t="s">
        <v>560</v>
      </c>
      <c r="R776" t="s">
        <v>596</v>
      </c>
      <c r="S776" t="str">
        <f t="shared" ref="S776:S839" si="110">IF(OR(H776="A",H776="B",H776="C"),"PA","FA")</f>
        <v>PA</v>
      </c>
    </row>
    <row r="777" spans="1:19" x14ac:dyDescent="0.3">
      <c r="A777" t="s">
        <v>12</v>
      </c>
      <c r="B777">
        <v>2016110020</v>
      </c>
      <c r="C777" t="s">
        <v>65</v>
      </c>
      <c r="E777" t="s">
        <v>77</v>
      </c>
      <c r="F777" t="s">
        <v>78</v>
      </c>
      <c r="G777">
        <v>2</v>
      </c>
      <c r="H777" t="s">
        <v>260</v>
      </c>
      <c r="I777" s="4">
        <f t="shared" ref="I777:I840" si="111">IF(H777="A",4,IF(H777="B",3,IF(H777="C",2,IF(H777="D",1,0))))</f>
        <v>4</v>
      </c>
      <c r="J777">
        <f t="shared" ref="J777:J840" si="112">G777*I777</f>
        <v>8</v>
      </c>
      <c r="K777">
        <v>58</v>
      </c>
      <c r="L777">
        <v>20</v>
      </c>
      <c r="M777" s="2">
        <v>2.9</v>
      </c>
      <c r="N777" s="2">
        <v>2.92</v>
      </c>
      <c r="O777">
        <v>0</v>
      </c>
      <c r="P777">
        <v>1</v>
      </c>
      <c r="Q777" t="s">
        <v>558</v>
      </c>
      <c r="R777" t="s">
        <v>260</v>
      </c>
      <c r="S777" t="str">
        <f t="shared" si="110"/>
        <v>PA</v>
      </c>
    </row>
    <row r="778" spans="1:19" x14ac:dyDescent="0.3">
      <c r="A778" t="s">
        <v>12</v>
      </c>
      <c r="B778">
        <v>2016110020</v>
      </c>
      <c r="C778" t="s">
        <v>65</v>
      </c>
      <c r="E778" t="s">
        <v>276</v>
      </c>
      <c r="F778" t="s">
        <v>137</v>
      </c>
      <c r="G778">
        <v>4</v>
      </c>
      <c r="H778" t="s">
        <v>260</v>
      </c>
      <c r="I778" s="4">
        <f t="shared" si="111"/>
        <v>4</v>
      </c>
      <c r="J778">
        <f t="shared" si="112"/>
        <v>16</v>
      </c>
      <c r="K778">
        <v>50</v>
      </c>
      <c r="L778">
        <v>20</v>
      </c>
      <c r="M778" s="2">
        <v>2.5</v>
      </c>
      <c r="N778" s="2">
        <v>2.92</v>
      </c>
      <c r="O778">
        <v>0</v>
      </c>
      <c r="P778">
        <v>4</v>
      </c>
      <c r="Q778" t="s">
        <v>565</v>
      </c>
      <c r="R778" t="s">
        <v>260</v>
      </c>
      <c r="S778" t="str">
        <f t="shared" si="110"/>
        <v>PA</v>
      </c>
    </row>
    <row r="779" spans="1:19" x14ac:dyDescent="0.3">
      <c r="A779" t="s">
        <v>12</v>
      </c>
      <c r="B779">
        <v>2016110020</v>
      </c>
      <c r="C779" t="s">
        <v>65</v>
      </c>
      <c r="E779" t="s">
        <v>165</v>
      </c>
      <c r="F779" t="s">
        <v>166</v>
      </c>
      <c r="G779">
        <v>2</v>
      </c>
      <c r="H779" t="s">
        <v>260</v>
      </c>
      <c r="I779" s="4">
        <f t="shared" si="111"/>
        <v>4</v>
      </c>
      <c r="J779">
        <f t="shared" si="112"/>
        <v>8</v>
      </c>
      <c r="K779">
        <v>58</v>
      </c>
      <c r="L779">
        <v>20</v>
      </c>
      <c r="M779" s="2">
        <v>2.9</v>
      </c>
      <c r="N779" s="2">
        <v>2.92</v>
      </c>
      <c r="O779">
        <v>0</v>
      </c>
      <c r="P779">
        <v>1</v>
      </c>
      <c r="Q779" t="s">
        <v>558</v>
      </c>
      <c r="R779" t="s">
        <v>260</v>
      </c>
      <c r="S779" t="str">
        <f t="shared" si="110"/>
        <v>PA</v>
      </c>
    </row>
    <row r="780" spans="1:19" x14ac:dyDescent="0.3">
      <c r="A780" t="s">
        <v>12</v>
      </c>
      <c r="B780">
        <v>2016110020</v>
      </c>
      <c r="C780" t="s">
        <v>65</v>
      </c>
      <c r="E780" t="s">
        <v>205</v>
      </c>
      <c r="F780" t="s">
        <v>116</v>
      </c>
      <c r="G780">
        <v>4</v>
      </c>
      <c r="H780" t="s">
        <v>438</v>
      </c>
      <c r="I780" s="4">
        <f t="shared" si="111"/>
        <v>3</v>
      </c>
      <c r="J780">
        <f t="shared" si="112"/>
        <v>12</v>
      </c>
      <c r="K780">
        <v>52</v>
      </c>
      <c r="L780">
        <v>18</v>
      </c>
      <c r="M780">
        <v>2.89</v>
      </c>
      <c r="N780" s="2">
        <v>2.92</v>
      </c>
      <c r="O780">
        <v>0</v>
      </c>
      <c r="P780">
        <v>3</v>
      </c>
      <c r="Q780" t="s">
        <v>563</v>
      </c>
      <c r="R780" t="s">
        <v>260</v>
      </c>
      <c r="S780" t="str">
        <f t="shared" si="110"/>
        <v>PA</v>
      </c>
    </row>
    <row r="781" spans="1:19" x14ac:dyDescent="0.3">
      <c r="A781" t="s">
        <v>12</v>
      </c>
      <c r="B781">
        <v>2016110020</v>
      </c>
      <c r="C781" t="s">
        <v>65</v>
      </c>
      <c r="E781" t="s">
        <v>151</v>
      </c>
      <c r="F781" t="s">
        <v>152</v>
      </c>
      <c r="G781">
        <v>2</v>
      </c>
      <c r="H781" t="s">
        <v>438</v>
      </c>
      <c r="I781" s="4">
        <f t="shared" si="111"/>
        <v>3</v>
      </c>
      <c r="J781">
        <f t="shared" si="112"/>
        <v>6</v>
      </c>
      <c r="K781">
        <v>58</v>
      </c>
      <c r="L781">
        <v>20</v>
      </c>
      <c r="M781" s="2">
        <v>2.9</v>
      </c>
      <c r="N781" s="2">
        <v>2.92</v>
      </c>
      <c r="O781">
        <v>0</v>
      </c>
      <c r="P781">
        <v>1</v>
      </c>
      <c r="Q781" t="s">
        <v>558</v>
      </c>
      <c r="R781" t="s">
        <v>260</v>
      </c>
      <c r="S781" t="str">
        <f t="shared" si="110"/>
        <v>PA</v>
      </c>
    </row>
    <row r="782" spans="1:19" x14ac:dyDescent="0.3">
      <c r="A782" t="s">
        <v>12</v>
      </c>
      <c r="B782">
        <v>2016110020</v>
      </c>
      <c r="C782" t="s">
        <v>65</v>
      </c>
      <c r="E782" t="s">
        <v>302</v>
      </c>
      <c r="F782" t="s">
        <v>303</v>
      </c>
      <c r="G782">
        <v>2</v>
      </c>
      <c r="H782" t="s">
        <v>438</v>
      </c>
      <c r="I782" s="4">
        <f t="shared" si="111"/>
        <v>3</v>
      </c>
      <c r="J782">
        <f t="shared" si="112"/>
        <v>6</v>
      </c>
      <c r="K782">
        <v>52</v>
      </c>
      <c r="L782">
        <v>22</v>
      </c>
      <c r="M782" s="2">
        <v>2.36</v>
      </c>
      <c r="N782" s="2">
        <v>2.92</v>
      </c>
      <c r="O782">
        <v>0</v>
      </c>
      <c r="P782">
        <v>6</v>
      </c>
      <c r="Q782" t="s">
        <v>567</v>
      </c>
      <c r="R782" t="s">
        <v>260</v>
      </c>
      <c r="S782" t="str">
        <f t="shared" si="110"/>
        <v>PA</v>
      </c>
    </row>
    <row r="783" spans="1:19" x14ac:dyDescent="0.3">
      <c r="A783" t="s">
        <v>12</v>
      </c>
      <c r="B783">
        <v>2016110020</v>
      </c>
      <c r="C783" t="s">
        <v>65</v>
      </c>
      <c r="E783" t="s">
        <v>14</v>
      </c>
      <c r="F783" t="s">
        <v>15</v>
      </c>
      <c r="G783">
        <v>2</v>
      </c>
      <c r="H783" t="s">
        <v>438</v>
      </c>
      <c r="I783" s="4">
        <f t="shared" si="111"/>
        <v>3</v>
      </c>
      <c r="J783">
        <f t="shared" si="112"/>
        <v>6</v>
      </c>
      <c r="K783">
        <v>46</v>
      </c>
      <c r="L783">
        <v>14</v>
      </c>
      <c r="M783" s="2">
        <v>3.29</v>
      </c>
      <c r="N783" s="2">
        <v>2.92</v>
      </c>
      <c r="O783">
        <v>0</v>
      </c>
      <c r="P783">
        <v>7</v>
      </c>
      <c r="Q783" t="s">
        <v>570</v>
      </c>
      <c r="R783" t="s">
        <v>260</v>
      </c>
      <c r="S783" t="str">
        <f t="shared" si="110"/>
        <v>PA</v>
      </c>
    </row>
    <row r="784" spans="1:19" x14ac:dyDescent="0.3">
      <c r="A784" t="s">
        <v>12</v>
      </c>
      <c r="B784">
        <v>2016110020</v>
      </c>
      <c r="C784" t="s">
        <v>65</v>
      </c>
      <c r="E784" t="s">
        <v>427</v>
      </c>
      <c r="F784" t="s">
        <v>428</v>
      </c>
      <c r="G784">
        <v>2</v>
      </c>
      <c r="H784" t="s">
        <v>438</v>
      </c>
      <c r="I784" s="4">
        <f t="shared" si="111"/>
        <v>3</v>
      </c>
      <c r="J784">
        <f t="shared" si="112"/>
        <v>6</v>
      </c>
      <c r="K784">
        <v>52</v>
      </c>
      <c r="L784">
        <v>22</v>
      </c>
      <c r="M784" s="2">
        <v>2.36</v>
      </c>
      <c r="N784" s="2">
        <v>2.92</v>
      </c>
      <c r="O784">
        <v>0</v>
      </c>
      <c r="P784">
        <v>6</v>
      </c>
      <c r="Q784" t="s">
        <v>567</v>
      </c>
      <c r="R784" t="s">
        <v>260</v>
      </c>
      <c r="S784" t="str">
        <f t="shared" si="110"/>
        <v>PA</v>
      </c>
    </row>
    <row r="785" spans="1:19" x14ac:dyDescent="0.3">
      <c r="A785" t="s">
        <v>12</v>
      </c>
      <c r="B785">
        <v>2016110020</v>
      </c>
      <c r="C785" t="s">
        <v>65</v>
      </c>
      <c r="E785" t="s">
        <v>437</v>
      </c>
      <c r="F785" t="s">
        <v>169</v>
      </c>
      <c r="G785">
        <v>4</v>
      </c>
      <c r="H785" t="s">
        <v>438</v>
      </c>
      <c r="I785" s="4">
        <f t="shared" si="111"/>
        <v>3</v>
      </c>
      <c r="J785">
        <f t="shared" si="112"/>
        <v>12</v>
      </c>
      <c r="K785">
        <v>58</v>
      </c>
      <c r="L785">
        <v>20</v>
      </c>
      <c r="M785" s="2">
        <v>2.9</v>
      </c>
      <c r="N785" s="2">
        <v>2.92</v>
      </c>
      <c r="O785">
        <v>0</v>
      </c>
      <c r="P785">
        <v>1</v>
      </c>
      <c r="Q785" t="s">
        <v>558</v>
      </c>
      <c r="R785" t="s">
        <v>260</v>
      </c>
      <c r="S785" t="str">
        <f t="shared" si="110"/>
        <v>PA</v>
      </c>
    </row>
    <row r="786" spans="1:19" x14ac:dyDescent="0.3">
      <c r="A786" t="s">
        <v>12</v>
      </c>
      <c r="B786">
        <v>2016110020</v>
      </c>
      <c r="C786" t="s">
        <v>65</v>
      </c>
      <c r="E786" t="s">
        <v>244</v>
      </c>
      <c r="F786" t="s">
        <v>228</v>
      </c>
      <c r="G786">
        <v>2</v>
      </c>
      <c r="H786" t="s">
        <v>438</v>
      </c>
      <c r="I786" s="4">
        <f t="shared" si="111"/>
        <v>3</v>
      </c>
      <c r="J786">
        <f t="shared" si="112"/>
        <v>6</v>
      </c>
      <c r="K786">
        <v>50</v>
      </c>
      <c r="L786">
        <v>20</v>
      </c>
      <c r="M786" s="2">
        <v>2.5</v>
      </c>
      <c r="N786" s="2">
        <v>2.92</v>
      </c>
      <c r="O786">
        <v>0</v>
      </c>
      <c r="P786">
        <v>4</v>
      </c>
      <c r="Q786" t="s">
        <v>565</v>
      </c>
      <c r="R786" t="s">
        <v>260</v>
      </c>
      <c r="S786" t="str">
        <f t="shared" si="110"/>
        <v>PA</v>
      </c>
    </row>
    <row r="787" spans="1:19" x14ac:dyDescent="0.3">
      <c r="A787" t="s">
        <v>12</v>
      </c>
      <c r="B787">
        <v>2016110020</v>
      </c>
      <c r="C787" t="s">
        <v>65</v>
      </c>
      <c r="E787" t="s">
        <v>97</v>
      </c>
      <c r="F787" t="s">
        <v>98</v>
      </c>
      <c r="G787">
        <v>4</v>
      </c>
      <c r="H787" t="s">
        <v>438</v>
      </c>
      <c r="I787" s="4">
        <f t="shared" si="111"/>
        <v>3</v>
      </c>
      <c r="J787">
        <f t="shared" si="112"/>
        <v>12</v>
      </c>
      <c r="K787">
        <v>46</v>
      </c>
      <c r="L787">
        <v>20</v>
      </c>
      <c r="M787" s="2">
        <v>2.2999999999999998</v>
      </c>
      <c r="N787" s="2">
        <v>2.92</v>
      </c>
      <c r="O787">
        <v>0</v>
      </c>
      <c r="P787">
        <v>2</v>
      </c>
      <c r="Q787" t="s">
        <v>559</v>
      </c>
      <c r="R787" t="s">
        <v>260</v>
      </c>
      <c r="S787" t="str">
        <f t="shared" si="110"/>
        <v>PA</v>
      </c>
    </row>
    <row r="788" spans="1:19" x14ac:dyDescent="0.3">
      <c r="A788" t="s">
        <v>12</v>
      </c>
      <c r="B788">
        <v>2016110020</v>
      </c>
      <c r="C788" t="s">
        <v>65</v>
      </c>
      <c r="E788" t="s">
        <v>330</v>
      </c>
      <c r="F788" t="s">
        <v>108</v>
      </c>
      <c r="G788">
        <v>2</v>
      </c>
      <c r="H788" t="s">
        <v>438</v>
      </c>
      <c r="I788" s="4">
        <f t="shared" si="111"/>
        <v>3</v>
      </c>
      <c r="J788">
        <f t="shared" si="112"/>
        <v>6</v>
      </c>
      <c r="K788">
        <v>44</v>
      </c>
      <c r="L788">
        <v>18</v>
      </c>
      <c r="M788" s="2">
        <v>2.44</v>
      </c>
      <c r="N788" s="2">
        <v>2.92</v>
      </c>
      <c r="O788">
        <v>0</v>
      </c>
      <c r="P788">
        <v>5</v>
      </c>
      <c r="Q788" t="s">
        <v>568</v>
      </c>
      <c r="R788" t="s">
        <v>260</v>
      </c>
      <c r="S788" t="str">
        <f t="shared" si="110"/>
        <v>PA</v>
      </c>
    </row>
    <row r="789" spans="1:19" x14ac:dyDescent="0.3">
      <c r="A789" t="s">
        <v>12</v>
      </c>
      <c r="B789">
        <v>2016110020</v>
      </c>
      <c r="C789" t="s">
        <v>65</v>
      </c>
      <c r="E789" t="s">
        <v>290</v>
      </c>
      <c r="F789" t="s">
        <v>327</v>
      </c>
      <c r="G789">
        <v>4</v>
      </c>
      <c r="H789" t="s">
        <v>438</v>
      </c>
      <c r="I789" s="4">
        <f t="shared" si="111"/>
        <v>3</v>
      </c>
      <c r="J789">
        <f t="shared" si="112"/>
        <v>12</v>
      </c>
      <c r="K789">
        <v>46</v>
      </c>
      <c r="L789">
        <v>20</v>
      </c>
      <c r="M789" s="2">
        <v>2.2999999999999998</v>
      </c>
      <c r="N789" s="2">
        <v>2.92</v>
      </c>
      <c r="O789">
        <v>0</v>
      </c>
      <c r="P789">
        <v>2</v>
      </c>
      <c r="Q789" t="s">
        <v>559</v>
      </c>
      <c r="R789" t="s">
        <v>260</v>
      </c>
      <c r="S789" t="str">
        <f t="shared" si="110"/>
        <v>PA</v>
      </c>
    </row>
    <row r="790" spans="1:19" x14ac:dyDescent="0.3">
      <c r="A790" t="s">
        <v>12</v>
      </c>
      <c r="B790">
        <v>2016110020</v>
      </c>
      <c r="C790" t="s">
        <v>65</v>
      </c>
      <c r="E790" t="s">
        <v>283</v>
      </c>
      <c r="F790" t="s">
        <v>284</v>
      </c>
      <c r="G790">
        <v>2</v>
      </c>
      <c r="H790" t="s">
        <v>438</v>
      </c>
      <c r="I790" s="4">
        <f t="shared" si="111"/>
        <v>3</v>
      </c>
      <c r="J790">
        <f t="shared" si="112"/>
        <v>6</v>
      </c>
      <c r="K790">
        <v>44</v>
      </c>
      <c r="L790">
        <v>18</v>
      </c>
      <c r="M790" s="2">
        <v>2.44</v>
      </c>
      <c r="N790" s="2">
        <v>2.92</v>
      </c>
      <c r="O790">
        <v>0</v>
      </c>
      <c r="P790">
        <v>5</v>
      </c>
      <c r="Q790" t="s">
        <v>568</v>
      </c>
      <c r="R790" t="s">
        <v>260</v>
      </c>
      <c r="S790" t="str">
        <f t="shared" si="110"/>
        <v>PA</v>
      </c>
    </row>
    <row r="791" spans="1:19" x14ac:dyDescent="0.3">
      <c r="A791" t="s">
        <v>12</v>
      </c>
      <c r="B791">
        <v>2016110020</v>
      </c>
      <c r="C791" t="s">
        <v>65</v>
      </c>
      <c r="E791" t="s">
        <v>211</v>
      </c>
      <c r="F791" t="s">
        <v>186</v>
      </c>
      <c r="G791">
        <v>4</v>
      </c>
      <c r="H791" t="s">
        <v>438</v>
      </c>
      <c r="I791" s="4">
        <f t="shared" si="111"/>
        <v>3</v>
      </c>
      <c r="J791">
        <f t="shared" si="112"/>
        <v>12</v>
      </c>
      <c r="K791">
        <v>50</v>
      </c>
      <c r="L791">
        <v>18</v>
      </c>
      <c r="M791" s="2">
        <v>2.78</v>
      </c>
      <c r="N791" s="2">
        <v>2.92</v>
      </c>
      <c r="O791">
        <v>0</v>
      </c>
      <c r="P791">
        <v>5</v>
      </c>
      <c r="Q791" t="s">
        <v>566</v>
      </c>
      <c r="R791" t="s">
        <v>260</v>
      </c>
      <c r="S791" t="str">
        <f t="shared" si="110"/>
        <v>PA</v>
      </c>
    </row>
    <row r="792" spans="1:19" x14ac:dyDescent="0.3">
      <c r="A792" t="s">
        <v>12</v>
      </c>
      <c r="B792">
        <v>2016110020</v>
      </c>
      <c r="C792" t="s">
        <v>65</v>
      </c>
      <c r="E792" t="s">
        <v>306</v>
      </c>
      <c r="F792" t="s">
        <v>307</v>
      </c>
      <c r="G792">
        <v>2</v>
      </c>
      <c r="H792" t="s">
        <v>438</v>
      </c>
      <c r="I792" s="4">
        <f t="shared" si="111"/>
        <v>3</v>
      </c>
      <c r="J792">
        <f t="shared" si="112"/>
        <v>6</v>
      </c>
      <c r="K792">
        <v>44</v>
      </c>
      <c r="L792">
        <v>18</v>
      </c>
      <c r="M792" s="2">
        <v>2.44</v>
      </c>
      <c r="N792" s="2">
        <v>2.92</v>
      </c>
      <c r="O792">
        <v>0</v>
      </c>
      <c r="P792">
        <v>5</v>
      </c>
      <c r="Q792" t="s">
        <v>568</v>
      </c>
      <c r="R792" t="s">
        <v>260</v>
      </c>
      <c r="S792" t="str">
        <f t="shared" si="110"/>
        <v>PA</v>
      </c>
    </row>
    <row r="793" spans="1:19" x14ac:dyDescent="0.3">
      <c r="A793" t="s">
        <v>12</v>
      </c>
      <c r="B793">
        <v>2016110020</v>
      </c>
      <c r="C793" t="s">
        <v>65</v>
      </c>
      <c r="E793" t="s">
        <v>370</v>
      </c>
      <c r="F793" t="s">
        <v>371</v>
      </c>
      <c r="G793">
        <v>2</v>
      </c>
      <c r="H793" t="s">
        <v>438</v>
      </c>
      <c r="I793" s="4">
        <f t="shared" si="111"/>
        <v>3</v>
      </c>
      <c r="J793">
        <f t="shared" si="112"/>
        <v>6</v>
      </c>
      <c r="K793">
        <v>50</v>
      </c>
      <c r="L793">
        <v>18</v>
      </c>
      <c r="M793" s="2">
        <v>2.78</v>
      </c>
      <c r="N793" s="2">
        <v>2.92</v>
      </c>
      <c r="O793">
        <v>0</v>
      </c>
      <c r="P793">
        <v>5</v>
      </c>
      <c r="Q793" t="s">
        <v>566</v>
      </c>
      <c r="R793" t="s">
        <v>260</v>
      </c>
      <c r="S793" t="str">
        <f t="shared" si="110"/>
        <v>PA</v>
      </c>
    </row>
    <row r="794" spans="1:19" x14ac:dyDescent="0.3">
      <c r="A794" t="s">
        <v>12</v>
      </c>
      <c r="B794">
        <v>2016110020</v>
      </c>
      <c r="C794" t="s">
        <v>65</v>
      </c>
      <c r="E794" t="s">
        <v>190</v>
      </c>
      <c r="F794" t="s">
        <v>191</v>
      </c>
      <c r="G794">
        <v>4</v>
      </c>
      <c r="H794" t="s">
        <v>438</v>
      </c>
      <c r="I794" s="4">
        <f t="shared" si="111"/>
        <v>3</v>
      </c>
      <c r="J794">
        <f t="shared" si="112"/>
        <v>12</v>
      </c>
      <c r="K794">
        <v>52</v>
      </c>
      <c r="L794">
        <v>18</v>
      </c>
      <c r="M794">
        <v>2.89</v>
      </c>
      <c r="N794" s="2">
        <v>2.92</v>
      </c>
      <c r="O794">
        <v>0</v>
      </c>
      <c r="P794">
        <v>3</v>
      </c>
      <c r="Q794" t="s">
        <v>563</v>
      </c>
      <c r="R794" t="s">
        <v>260</v>
      </c>
      <c r="S794" t="str">
        <f t="shared" si="110"/>
        <v>PA</v>
      </c>
    </row>
    <row r="795" spans="1:19" x14ac:dyDescent="0.3">
      <c r="A795" t="s">
        <v>12</v>
      </c>
      <c r="B795">
        <v>2016110020</v>
      </c>
      <c r="C795" t="s">
        <v>65</v>
      </c>
      <c r="E795" t="s">
        <v>337</v>
      </c>
      <c r="F795" t="s">
        <v>338</v>
      </c>
      <c r="G795">
        <v>2</v>
      </c>
      <c r="H795" t="s">
        <v>438</v>
      </c>
      <c r="I795" s="4">
        <f t="shared" si="111"/>
        <v>3</v>
      </c>
      <c r="J795">
        <f t="shared" si="112"/>
        <v>6</v>
      </c>
      <c r="K795">
        <v>44</v>
      </c>
      <c r="L795">
        <v>18</v>
      </c>
      <c r="M795" s="2">
        <v>2.44</v>
      </c>
      <c r="N795" s="2">
        <v>2.92</v>
      </c>
      <c r="O795">
        <v>0</v>
      </c>
      <c r="P795">
        <v>5</v>
      </c>
      <c r="Q795" t="s">
        <v>568</v>
      </c>
      <c r="R795" t="s">
        <v>260</v>
      </c>
      <c r="S795" t="str">
        <f t="shared" si="110"/>
        <v>PA</v>
      </c>
    </row>
    <row r="796" spans="1:19" x14ac:dyDescent="0.3">
      <c r="A796" t="s">
        <v>12</v>
      </c>
      <c r="B796">
        <v>2016110020</v>
      </c>
      <c r="C796" t="s">
        <v>65</v>
      </c>
      <c r="E796" t="s">
        <v>236</v>
      </c>
      <c r="F796" t="s">
        <v>237</v>
      </c>
      <c r="G796">
        <v>2</v>
      </c>
      <c r="H796" t="s">
        <v>438</v>
      </c>
      <c r="I796" s="4">
        <f t="shared" si="111"/>
        <v>3</v>
      </c>
      <c r="J796">
        <f t="shared" si="112"/>
        <v>6</v>
      </c>
      <c r="K796">
        <v>50</v>
      </c>
      <c r="L796">
        <v>18</v>
      </c>
      <c r="M796" s="2">
        <v>2.78</v>
      </c>
      <c r="N796" s="2">
        <v>2.92</v>
      </c>
      <c r="O796">
        <v>0</v>
      </c>
      <c r="P796">
        <v>5</v>
      </c>
      <c r="Q796" t="s">
        <v>566</v>
      </c>
      <c r="R796" t="s">
        <v>260</v>
      </c>
      <c r="S796" t="str">
        <f t="shared" si="110"/>
        <v>PA</v>
      </c>
    </row>
    <row r="797" spans="1:19" x14ac:dyDescent="0.3">
      <c r="A797" t="s">
        <v>12</v>
      </c>
      <c r="B797">
        <v>2016110020</v>
      </c>
      <c r="C797" t="s">
        <v>65</v>
      </c>
      <c r="E797" t="s">
        <v>234</v>
      </c>
      <c r="F797" t="s">
        <v>235</v>
      </c>
      <c r="G797">
        <v>4</v>
      </c>
      <c r="H797" t="s">
        <v>438</v>
      </c>
      <c r="I797" s="4">
        <f t="shared" si="111"/>
        <v>3</v>
      </c>
      <c r="J797">
        <f t="shared" si="112"/>
        <v>12</v>
      </c>
      <c r="K797">
        <v>52</v>
      </c>
      <c r="L797">
        <v>18</v>
      </c>
      <c r="M797">
        <v>2.89</v>
      </c>
      <c r="N797" s="2">
        <v>2.92</v>
      </c>
      <c r="O797">
        <v>0</v>
      </c>
      <c r="P797">
        <v>3</v>
      </c>
      <c r="Q797" t="s">
        <v>563</v>
      </c>
      <c r="R797" t="s">
        <v>260</v>
      </c>
      <c r="S797" t="str">
        <f t="shared" si="110"/>
        <v>PA</v>
      </c>
    </row>
    <row r="798" spans="1:19" x14ac:dyDescent="0.3">
      <c r="A798" t="s">
        <v>12</v>
      </c>
      <c r="B798">
        <v>2016110020</v>
      </c>
      <c r="C798" t="s">
        <v>65</v>
      </c>
      <c r="E798" t="s">
        <v>142</v>
      </c>
      <c r="F798" t="s">
        <v>143</v>
      </c>
      <c r="G798">
        <v>2</v>
      </c>
      <c r="H798" t="s">
        <v>438</v>
      </c>
      <c r="I798" s="4">
        <f t="shared" si="111"/>
        <v>3</v>
      </c>
      <c r="J798">
        <f t="shared" si="112"/>
        <v>6</v>
      </c>
      <c r="K798">
        <v>58</v>
      </c>
      <c r="L798">
        <v>20</v>
      </c>
      <c r="M798" s="2">
        <v>2.9</v>
      </c>
      <c r="N798" s="2">
        <v>2.92</v>
      </c>
      <c r="O798">
        <v>0</v>
      </c>
      <c r="P798">
        <v>1</v>
      </c>
      <c r="Q798" t="s">
        <v>558</v>
      </c>
      <c r="R798" t="s">
        <v>260</v>
      </c>
      <c r="S798" t="str">
        <f t="shared" si="110"/>
        <v>PA</v>
      </c>
    </row>
    <row r="799" spans="1:19" x14ac:dyDescent="0.3">
      <c r="A799" t="s">
        <v>12</v>
      </c>
      <c r="B799">
        <v>2016110020</v>
      </c>
      <c r="C799" t="s">
        <v>65</v>
      </c>
      <c r="E799" t="s">
        <v>192</v>
      </c>
      <c r="F799" t="s">
        <v>106</v>
      </c>
      <c r="G799">
        <v>2</v>
      </c>
      <c r="H799" t="s">
        <v>438</v>
      </c>
      <c r="I799" s="4">
        <f t="shared" si="111"/>
        <v>3</v>
      </c>
      <c r="J799">
        <f t="shared" si="112"/>
        <v>6</v>
      </c>
      <c r="K799">
        <v>52</v>
      </c>
      <c r="L799">
        <v>18</v>
      </c>
      <c r="M799">
        <v>2.89</v>
      </c>
      <c r="N799" s="2">
        <v>2.92</v>
      </c>
      <c r="O799">
        <v>0</v>
      </c>
      <c r="P799">
        <v>3</v>
      </c>
      <c r="Q799" t="s">
        <v>563</v>
      </c>
      <c r="R799" t="s">
        <v>260</v>
      </c>
      <c r="S799" t="str">
        <f t="shared" si="110"/>
        <v>PA</v>
      </c>
    </row>
    <row r="800" spans="1:19" x14ac:dyDescent="0.3">
      <c r="A800" t="s">
        <v>12</v>
      </c>
      <c r="B800">
        <v>2016110020</v>
      </c>
      <c r="C800" t="s">
        <v>65</v>
      </c>
      <c r="E800" t="s">
        <v>208</v>
      </c>
      <c r="F800" t="s">
        <v>209</v>
      </c>
      <c r="G800">
        <v>2</v>
      </c>
      <c r="H800" t="s">
        <v>438</v>
      </c>
      <c r="I800" s="4">
        <f t="shared" si="111"/>
        <v>3</v>
      </c>
      <c r="J800">
        <f t="shared" si="112"/>
        <v>6</v>
      </c>
      <c r="K800">
        <v>46</v>
      </c>
      <c r="L800">
        <v>14</v>
      </c>
      <c r="M800" s="2">
        <v>3.29</v>
      </c>
      <c r="N800" s="2">
        <v>2.92</v>
      </c>
      <c r="O800">
        <v>0</v>
      </c>
      <c r="P800">
        <v>7</v>
      </c>
      <c r="Q800" t="s">
        <v>570</v>
      </c>
      <c r="R800" t="s">
        <v>260</v>
      </c>
      <c r="S800" t="str">
        <f t="shared" si="110"/>
        <v>PA</v>
      </c>
    </row>
    <row r="801" spans="1:19" x14ac:dyDescent="0.3">
      <c r="A801" t="s">
        <v>12</v>
      </c>
      <c r="B801">
        <v>2016110020</v>
      </c>
      <c r="C801" t="s">
        <v>65</v>
      </c>
      <c r="E801" t="s">
        <v>372</v>
      </c>
      <c r="F801" t="s">
        <v>373</v>
      </c>
      <c r="G801">
        <v>2</v>
      </c>
      <c r="H801" t="s">
        <v>438</v>
      </c>
      <c r="I801" s="4">
        <f t="shared" si="111"/>
        <v>3</v>
      </c>
      <c r="J801">
        <f t="shared" si="112"/>
        <v>6</v>
      </c>
      <c r="K801">
        <v>52</v>
      </c>
      <c r="L801">
        <v>22</v>
      </c>
      <c r="M801" s="2">
        <v>2.36</v>
      </c>
      <c r="N801" s="2">
        <v>2.92</v>
      </c>
      <c r="O801">
        <v>0</v>
      </c>
      <c r="P801">
        <v>6</v>
      </c>
      <c r="Q801" t="s">
        <v>567</v>
      </c>
      <c r="R801" t="s">
        <v>260</v>
      </c>
      <c r="S801" t="str">
        <f t="shared" si="110"/>
        <v>PA</v>
      </c>
    </row>
    <row r="802" spans="1:19" x14ac:dyDescent="0.3">
      <c r="A802" t="s">
        <v>12</v>
      </c>
      <c r="B802">
        <v>2016110020</v>
      </c>
      <c r="C802" t="s">
        <v>65</v>
      </c>
      <c r="E802" t="s">
        <v>131</v>
      </c>
      <c r="F802" t="s">
        <v>132</v>
      </c>
      <c r="G802">
        <v>2</v>
      </c>
      <c r="H802" t="s">
        <v>438</v>
      </c>
      <c r="I802" s="4">
        <f t="shared" si="111"/>
        <v>3</v>
      </c>
      <c r="J802">
        <f t="shared" si="112"/>
        <v>6</v>
      </c>
      <c r="K802">
        <v>58</v>
      </c>
      <c r="L802">
        <v>20</v>
      </c>
      <c r="M802" s="2">
        <v>2.9</v>
      </c>
      <c r="N802" s="2">
        <v>2.92</v>
      </c>
      <c r="O802">
        <v>0</v>
      </c>
      <c r="P802">
        <v>1</v>
      </c>
      <c r="Q802" t="s">
        <v>558</v>
      </c>
      <c r="R802" t="s">
        <v>260</v>
      </c>
      <c r="S802" t="str">
        <f t="shared" si="110"/>
        <v>PA</v>
      </c>
    </row>
    <row r="803" spans="1:19" x14ac:dyDescent="0.3">
      <c r="A803" t="s">
        <v>12</v>
      </c>
      <c r="B803">
        <v>2016110020</v>
      </c>
      <c r="C803" t="s">
        <v>65</v>
      </c>
      <c r="E803" t="s">
        <v>446</v>
      </c>
      <c r="F803" t="s">
        <v>447</v>
      </c>
      <c r="G803">
        <v>2</v>
      </c>
      <c r="H803" t="s">
        <v>438</v>
      </c>
      <c r="I803" s="4">
        <f t="shared" si="111"/>
        <v>3</v>
      </c>
      <c r="J803">
        <f t="shared" si="112"/>
        <v>6</v>
      </c>
      <c r="K803">
        <v>52</v>
      </c>
      <c r="L803">
        <v>22</v>
      </c>
      <c r="M803" s="2">
        <v>2.36</v>
      </c>
      <c r="N803" s="2">
        <v>2.92</v>
      </c>
      <c r="O803">
        <v>0</v>
      </c>
      <c r="P803">
        <v>6</v>
      </c>
      <c r="Q803" t="s">
        <v>567</v>
      </c>
      <c r="R803" t="s">
        <v>260</v>
      </c>
      <c r="S803" t="str">
        <f t="shared" si="110"/>
        <v>PA</v>
      </c>
    </row>
    <row r="804" spans="1:19" x14ac:dyDescent="0.3">
      <c r="A804" t="s">
        <v>12</v>
      </c>
      <c r="B804">
        <v>2016110020</v>
      </c>
      <c r="C804" t="s">
        <v>65</v>
      </c>
      <c r="E804" t="s">
        <v>170</v>
      </c>
      <c r="F804" t="s">
        <v>171</v>
      </c>
      <c r="G804">
        <v>4</v>
      </c>
      <c r="H804" t="s">
        <v>438</v>
      </c>
      <c r="I804" s="4">
        <f t="shared" si="111"/>
        <v>3</v>
      </c>
      <c r="J804">
        <f t="shared" si="112"/>
        <v>12</v>
      </c>
      <c r="K804">
        <v>50</v>
      </c>
      <c r="L804">
        <v>18</v>
      </c>
      <c r="M804" s="2">
        <v>2.78</v>
      </c>
      <c r="N804" s="2">
        <v>2.92</v>
      </c>
      <c r="O804">
        <v>0</v>
      </c>
      <c r="P804">
        <v>5</v>
      </c>
      <c r="Q804" t="s">
        <v>566</v>
      </c>
      <c r="R804" t="s">
        <v>260</v>
      </c>
      <c r="S804" t="str">
        <f t="shared" si="110"/>
        <v>PA</v>
      </c>
    </row>
    <row r="805" spans="1:19" x14ac:dyDescent="0.3">
      <c r="A805" t="s">
        <v>12</v>
      </c>
      <c r="B805">
        <v>2016110020</v>
      </c>
      <c r="C805" t="s">
        <v>65</v>
      </c>
      <c r="E805" t="s">
        <v>316</v>
      </c>
      <c r="F805" t="s">
        <v>317</v>
      </c>
      <c r="G805">
        <v>2</v>
      </c>
      <c r="H805" t="s">
        <v>438</v>
      </c>
      <c r="I805" s="4">
        <f t="shared" si="111"/>
        <v>3</v>
      </c>
      <c r="J805">
        <f t="shared" si="112"/>
        <v>6</v>
      </c>
      <c r="K805">
        <v>44</v>
      </c>
      <c r="L805">
        <v>18</v>
      </c>
      <c r="M805" s="2">
        <v>2.44</v>
      </c>
      <c r="N805" s="2">
        <v>2.92</v>
      </c>
      <c r="O805">
        <v>0</v>
      </c>
      <c r="P805">
        <v>5</v>
      </c>
      <c r="Q805" t="s">
        <v>568</v>
      </c>
      <c r="R805" t="s">
        <v>260</v>
      </c>
      <c r="S805" t="str">
        <f t="shared" si="110"/>
        <v>PA</v>
      </c>
    </row>
    <row r="806" spans="1:19" x14ac:dyDescent="0.3">
      <c r="A806" t="s">
        <v>12</v>
      </c>
      <c r="B806">
        <v>2016110020</v>
      </c>
      <c r="C806" t="s">
        <v>65</v>
      </c>
      <c r="E806" t="s">
        <v>279</v>
      </c>
      <c r="F806" t="s">
        <v>280</v>
      </c>
      <c r="G806">
        <v>2</v>
      </c>
      <c r="H806" t="s">
        <v>438</v>
      </c>
      <c r="I806" s="4">
        <f t="shared" si="111"/>
        <v>3</v>
      </c>
      <c r="J806">
        <f t="shared" si="112"/>
        <v>6</v>
      </c>
      <c r="K806">
        <v>46</v>
      </c>
      <c r="L806">
        <v>20</v>
      </c>
      <c r="M806" s="2">
        <v>2.2999999999999998</v>
      </c>
      <c r="N806" s="2">
        <v>2.92</v>
      </c>
      <c r="O806">
        <v>0</v>
      </c>
      <c r="P806">
        <v>2</v>
      </c>
      <c r="Q806" t="s">
        <v>559</v>
      </c>
      <c r="R806" t="s">
        <v>260</v>
      </c>
      <c r="S806" t="str">
        <f t="shared" si="110"/>
        <v>PA</v>
      </c>
    </row>
    <row r="807" spans="1:19" x14ac:dyDescent="0.3">
      <c r="A807" t="s">
        <v>12</v>
      </c>
      <c r="B807">
        <v>2016110020</v>
      </c>
      <c r="C807" t="s">
        <v>65</v>
      </c>
      <c r="E807" t="s">
        <v>264</v>
      </c>
      <c r="F807" t="s">
        <v>265</v>
      </c>
      <c r="G807">
        <v>2</v>
      </c>
      <c r="H807" t="s">
        <v>438</v>
      </c>
      <c r="I807" s="4">
        <f t="shared" si="111"/>
        <v>3</v>
      </c>
      <c r="J807">
        <f t="shared" si="112"/>
        <v>6</v>
      </c>
      <c r="K807">
        <v>50</v>
      </c>
      <c r="L807">
        <v>18</v>
      </c>
      <c r="M807" s="2">
        <v>2.78</v>
      </c>
      <c r="N807" s="2">
        <v>2.92</v>
      </c>
      <c r="O807">
        <v>0</v>
      </c>
      <c r="P807">
        <v>5</v>
      </c>
      <c r="Q807" t="s">
        <v>566</v>
      </c>
      <c r="R807" t="s">
        <v>260</v>
      </c>
      <c r="S807" t="str">
        <f t="shared" si="110"/>
        <v>PA</v>
      </c>
    </row>
    <row r="808" spans="1:19" x14ac:dyDescent="0.3">
      <c r="A808" t="s">
        <v>12</v>
      </c>
      <c r="B808">
        <v>2016110020</v>
      </c>
      <c r="C808" t="s">
        <v>65</v>
      </c>
      <c r="E808" t="s">
        <v>241</v>
      </c>
      <c r="F808" t="s">
        <v>45</v>
      </c>
      <c r="G808">
        <v>2</v>
      </c>
      <c r="H808" t="s">
        <v>438</v>
      </c>
      <c r="I808" s="4">
        <f t="shared" si="111"/>
        <v>3</v>
      </c>
      <c r="J808">
        <f t="shared" si="112"/>
        <v>6</v>
      </c>
      <c r="K808">
        <v>52</v>
      </c>
      <c r="L808">
        <v>18</v>
      </c>
      <c r="M808">
        <v>2.89</v>
      </c>
      <c r="N808" s="2">
        <v>2.92</v>
      </c>
      <c r="O808">
        <v>0</v>
      </c>
      <c r="P808">
        <v>3</v>
      </c>
      <c r="Q808" t="s">
        <v>563</v>
      </c>
      <c r="R808" t="s">
        <v>260</v>
      </c>
      <c r="S808" t="str">
        <f t="shared" si="110"/>
        <v>PA</v>
      </c>
    </row>
    <row r="809" spans="1:19" x14ac:dyDescent="0.3">
      <c r="A809" t="s">
        <v>12</v>
      </c>
      <c r="B809">
        <v>2016110020</v>
      </c>
      <c r="C809" t="s">
        <v>65</v>
      </c>
      <c r="E809" t="s">
        <v>39</v>
      </c>
      <c r="F809" t="s">
        <v>11</v>
      </c>
      <c r="G809">
        <v>2</v>
      </c>
      <c r="H809" t="s">
        <v>438</v>
      </c>
      <c r="I809" s="4">
        <f t="shared" si="111"/>
        <v>3</v>
      </c>
      <c r="J809">
        <f t="shared" si="112"/>
        <v>6</v>
      </c>
      <c r="K809">
        <v>44</v>
      </c>
      <c r="L809">
        <v>18</v>
      </c>
      <c r="M809" s="2">
        <v>2.44</v>
      </c>
      <c r="N809" s="2">
        <v>2.92</v>
      </c>
      <c r="O809">
        <v>0</v>
      </c>
      <c r="P809">
        <v>5</v>
      </c>
      <c r="Q809" t="s">
        <v>568</v>
      </c>
      <c r="R809" t="s">
        <v>260</v>
      </c>
      <c r="S809" t="str">
        <f t="shared" si="110"/>
        <v>PA</v>
      </c>
    </row>
    <row r="810" spans="1:19" x14ac:dyDescent="0.3">
      <c r="A810" t="s">
        <v>12</v>
      </c>
      <c r="B810">
        <v>2016110020</v>
      </c>
      <c r="C810" t="s">
        <v>65</v>
      </c>
      <c r="E810" t="s">
        <v>122</v>
      </c>
      <c r="F810" t="s">
        <v>123</v>
      </c>
      <c r="G810">
        <v>4</v>
      </c>
      <c r="H810" t="s">
        <v>524</v>
      </c>
      <c r="I810" s="4">
        <f t="shared" si="111"/>
        <v>2</v>
      </c>
      <c r="J810">
        <f t="shared" si="112"/>
        <v>8</v>
      </c>
      <c r="K810">
        <v>58</v>
      </c>
      <c r="L810">
        <v>20</v>
      </c>
      <c r="M810" s="2">
        <v>2.9</v>
      </c>
      <c r="N810" s="2">
        <v>2.92</v>
      </c>
      <c r="O810">
        <v>0</v>
      </c>
      <c r="P810">
        <v>1</v>
      </c>
      <c r="Q810" t="s">
        <v>558</v>
      </c>
      <c r="R810" t="s">
        <v>260</v>
      </c>
      <c r="S810" t="str">
        <f t="shared" si="110"/>
        <v>PA</v>
      </c>
    </row>
    <row r="811" spans="1:19" x14ac:dyDescent="0.3">
      <c r="A811" t="s">
        <v>12</v>
      </c>
      <c r="B811">
        <v>2016110020</v>
      </c>
      <c r="C811" t="s">
        <v>65</v>
      </c>
      <c r="E811" t="s">
        <v>122</v>
      </c>
      <c r="F811" t="s">
        <v>123</v>
      </c>
      <c r="G811">
        <v>4</v>
      </c>
      <c r="H811" t="s">
        <v>438</v>
      </c>
      <c r="I811" s="4">
        <f t="shared" si="111"/>
        <v>3</v>
      </c>
      <c r="J811">
        <f t="shared" si="112"/>
        <v>12</v>
      </c>
      <c r="K811">
        <v>70</v>
      </c>
      <c r="L811">
        <v>24</v>
      </c>
      <c r="M811" s="2">
        <v>2.92</v>
      </c>
      <c r="N811" s="2">
        <v>2.92</v>
      </c>
      <c r="O811">
        <v>1</v>
      </c>
      <c r="P811">
        <v>6</v>
      </c>
      <c r="Q811" t="s">
        <v>571</v>
      </c>
      <c r="R811" t="s">
        <v>260</v>
      </c>
      <c r="S811" t="str">
        <f t="shared" si="110"/>
        <v>PA</v>
      </c>
    </row>
    <row r="812" spans="1:19" x14ac:dyDescent="0.3">
      <c r="A812" t="s">
        <v>12</v>
      </c>
      <c r="B812">
        <v>2016110020</v>
      </c>
      <c r="C812" t="s">
        <v>65</v>
      </c>
      <c r="E812" t="s">
        <v>309</v>
      </c>
      <c r="F812" t="s">
        <v>310</v>
      </c>
      <c r="G812">
        <v>4</v>
      </c>
      <c r="H812" t="s">
        <v>524</v>
      </c>
      <c r="I812" s="4">
        <f t="shared" si="111"/>
        <v>2</v>
      </c>
      <c r="J812">
        <f t="shared" si="112"/>
        <v>8</v>
      </c>
      <c r="K812">
        <v>52</v>
      </c>
      <c r="L812">
        <v>22</v>
      </c>
      <c r="M812" s="2">
        <v>2.36</v>
      </c>
      <c r="N812" s="2">
        <v>2.92</v>
      </c>
      <c r="O812">
        <v>0</v>
      </c>
      <c r="P812">
        <v>6</v>
      </c>
      <c r="Q812" t="s">
        <v>567</v>
      </c>
      <c r="R812" t="s">
        <v>260</v>
      </c>
      <c r="S812" t="str">
        <f t="shared" si="110"/>
        <v>PA</v>
      </c>
    </row>
    <row r="813" spans="1:19" x14ac:dyDescent="0.3">
      <c r="A813" t="s">
        <v>12</v>
      </c>
      <c r="B813">
        <v>2016110020</v>
      </c>
      <c r="C813" t="s">
        <v>65</v>
      </c>
      <c r="E813" t="s">
        <v>309</v>
      </c>
      <c r="F813" t="s">
        <v>310</v>
      </c>
      <c r="G813">
        <v>4</v>
      </c>
      <c r="H813" t="s">
        <v>524</v>
      </c>
      <c r="I813" s="4">
        <f t="shared" si="111"/>
        <v>2</v>
      </c>
      <c r="J813">
        <f t="shared" si="112"/>
        <v>8</v>
      </c>
      <c r="K813">
        <v>40</v>
      </c>
      <c r="L813">
        <v>18</v>
      </c>
      <c r="M813" s="2">
        <v>2.2200000000000002</v>
      </c>
      <c r="N813" s="2">
        <v>2.92</v>
      </c>
      <c r="O813">
        <v>1</v>
      </c>
      <c r="P813">
        <v>8</v>
      </c>
      <c r="Q813" t="s">
        <v>569</v>
      </c>
      <c r="R813" t="s">
        <v>596</v>
      </c>
      <c r="S813" t="str">
        <f t="shared" si="110"/>
        <v>PA</v>
      </c>
    </row>
    <row r="814" spans="1:19" x14ac:dyDescent="0.3">
      <c r="A814" t="s">
        <v>12</v>
      </c>
      <c r="B814">
        <v>2016110020</v>
      </c>
      <c r="C814" t="s">
        <v>65</v>
      </c>
      <c r="E814" t="s">
        <v>173</v>
      </c>
      <c r="F814" t="s">
        <v>8</v>
      </c>
      <c r="G814">
        <v>2</v>
      </c>
      <c r="H814" t="s">
        <v>524</v>
      </c>
      <c r="I814" s="4">
        <f t="shared" si="111"/>
        <v>2</v>
      </c>
      <c r="J814">
        <f t="shared" si="112"/>
        <v>4</v>
      </c>
      <c r="K814">
        <v>52</v>
      </c>
      <c r="L814">
        <v>18</v>
      </c>
      <c r="M814">
        <v>2.89</v>
      </c>
      <c r="N814" s="2">
        <v>2.92</v>
      </c>
      <c r="O814">
        <v>0</v>
      </c>
      <c r="P814">
        <v>3</v>
      </c>
      <c r="Q814" t="s">
        <v>563</v>
      </c>
      <c r="R814" t="s">
        <v>260</v>
      </c>
      <c r="S814" t="str">
        <f t="shared" si="110"/>
        <v>PA</v>
      </c>
    </row>
    <row r="815" spans="1:19" x14ac:dyDescent="0.3">
      <c r="A815" t="s">
        <v>12</v>
      </c>
      <c r="B815">
        <v>2016110020</v>
      </c>
      <c r="C815" t="s">
        <v>65</v>
      </c>
      <c r="E815" t="s">
        <v>173</v>
      </c>
      <c r="F815" t="s">
        <v>8</v>
      </c>
      <c r="G815">
        <v>2</v>
      </c>
      <c r="H815" t="s">
        <v>260</v>
      </c>
      <c r="I815" s="4">
        <f t="shared" si="111"/>
        <v>4</v>
      </c>
      <c r="J815">
        <f t="shared" si="112"/>
        <v>8</v>
      </c>
      <c r="K815">
        <v>46</v>
      </c>
      <c r="L815">
        <v>14</v>
      </c>
      <c r="M815" s="2">
        <v>3.29</v>
      </c>
      <c r="N815" s="2">
        <v>2.92</v>
      </c>
      <c r="O815">
        <v>1</v>
      </c>
      <c r="P815">
        <v>7</v>
      </c>
      <c r="Q815" t="s">
        <v>570</v>
      </c>
      <c r="R815" t="s">
        <v>260</v>
      </c>
      <c r="S815" t="str">
        <f t="shared" si="110"/>
        <v>PA</v>
      </c>
    </row>
    <row r="816" spans="1:19" x14ac:dyDescent="0.3">
      <c r="A816" t="s">
        <v>12</v>
      </c>
      <c r="B816">
        <v>2016110020</v>
      </c>
      <c r="C816" t="s">
        <v>65</v>
      </c>
      <c r="E816" t="s">
        <v>374</v>
      </c>
      <c r="F816" t="s">
        <v>375</v>
      </c>
      <c r="G816">
        <v>2</v>
      </c>
      <c r="H816" t="s">
        <v>524</v>
      </c>
      <c r="I816" s="4">
        <f t="shared" si="111"/>
        <v>2</v>
      </c>
      <c r="J816">
        <f t="shared" si="112"/>
        <v>4</v>
      </c>
      <c r="K816">
        <v>50</v>
      </c>
      <c r="L816">
        <v>20</v>
      </c>
      <c r="M816" s="2">
        <v>2.5</v>
      </c>
      <c r="N816" s="2">
        <v>2.92</v>
      </c>
      <c r="O816">
        <v>0</v>
      </c>
      <c r="P816">
        <v>4</v>
      </c>
      <c r="Q816" t="s">
        <v>565</v>
      </c>
      <c r="R816" t="s">
        <v>260</v>
      </c>
      <c r="S816" t="str">
        <f t="shared" si="110"/>
        <v>PA</v>
      </c>
    </row>
    <row r="817" spans="1:19" x14ac:dyDescent="0.3">
      <c r="A817" t="s">
        <v>12</v>
      </c>
      <c r="B817">
        <v>2016110020</v>
      </c>
      <c r="C817" t="s">
        <v>65</v>
      </c>
      <c r="E817" t="s">
        <v>374</v>
      </c>
      <c r="F817" t="s">
        <v>375</v>
      </c>
      <c r="G817">
        <v>2</v>
      </c>
      <c r="H817" t="s">
        <v>438</v>
      </c>
      <c r="I817" s="4">
        <f t="shared" si="111"/>
        <v>3</v>
      </c>
      <c r="J817">
        <f t="shared" si="112"/>
        <v>6</v>
      </c>
      <c r="K817">
        <v>40</v>
      </c>
      <c r="L817">
        <v>18</v>
      </c>
      <c r="M817" s="2">
        <v>2.2200000000000002</v>
      </c>
      <c r="N817" s="2">
        <v>2.92</v>
      </c>
      <c r="O817">
        <v>1</v>
      </c>
      <c r="P817">
        <v>8</v>
      </c>
      <c r="Q817" t="s">
        <v>569</v>
      </c>
      <c r="R817" t="s">
        <v>596</v>
      </c>
      <c r="S817" t="str">
        <f t="shared" si="110"/>
        <v>PA</v>
      </c>
    </row>
    <row r="818" spans="1:19" x14ac:dyDescent="0.3">
      <c r="A818" t="s">
        <v>12</v>
      </c>
      <c r="B818">
        <v>2016110020</v>
      </c>
      <c r="C818" t="s">
        <v>65</v>
      </c>
      <c r="E818" t="s">
        <v>257</v>
      </c>
      <c r="F818" t="s">
        <v>258</v>
      </c>
      <c r="G818">
        <v>4</v>
      </c>
      <c r="H818" t="s">
        <v>524</v>
      </c>
      <c r="I818" s="4">
        <f t="shared" si="111"/>
        <v>2</v>
      </c>
      <c r="J818">
        <f t="shared" si="112"/>
        <v>8</v>
      </c>
      <c r="K818">
        <v>52</v>
      </c>
      <c r="L818">
        <v>22</v>
      </c>
      <c r="M818" s="2">
        <v>2.36</v>
      </c>
      <c r="N818" s="2">
        <v>2.92</v>
      </c>
      <c r="O818">
        <v>0</v>
      </c>
      <c r="P818">
        <v>6</v>
      </c>
      <c r="Q818" t="s">
        <v>567</v>
      </c>
      <c r="R818" t="s">
        <v>260</v>
      </c>
      <c r="S818" t="str">
        <f t="shared" si="110"/>
        <v>PA</v>
      </c>
    </row>
    <row r="819" spans="1:19" x14ac:dyDescent="0.3">
      <c r="A819" t="s">
        <v>12</v>
      </c>
      <c r="B819">
        <v>2016110020</v>
      </c>
      <c r="C819" t="s">
        <v>65</v>
      </c>
      <c r="E819" t="s">
        <v>103</v>
      </c>
      <c r="F819" t="s">
        <v>104</v>
      </c>
      <c r="G819">
        <v>4</v>
      </c>
      <c r="H819" t="s">
        <v>524</v>
      </c>
      <c r="I819" s="4">
        <f t="shared" si="111"/>
        <v>2</v>
      </c>
      <c r="J819">
        <f t="shared" si="112"/>
        <v>8</v>
      </c>
      <c r="K819">
        <v>46</v>
      </c>
      <c r="L819">
        <v>20</v>
      </c>
      <c r="M819" s="2">
        <v>2.2999999999999998</v>
      </c>
      <c r="N819" s="2">
        <v>2.92</v>
      </c>
      <c r="O819">
        <v>0</v>
      </c>
      <c r="P819">
        <v>2</v>
      </c>
      <c r="Q819" t="s">
        <v>559</v>
      </c>
      <c r="R819" t="s">
        <v>260</v>
      </c>
      <c r="S819" t="str">
        <f t="shared" si="110"/>
        <v>PA</v>
      </c>
    </row>
    <row r="820" spans="1:19" x14ac:dyDescent="0.3">
      <c r="A820" t="s">
        <v>12</v>
      </c>
      <c r="B820">
        <v>2016110020</v>
      </c>
      <c r="C820" t="s">
        <v>65</v>
      </c>
      <c r="E820" t="s">
        <v>103</v>
      </c>
      <c r="F820" t="s">
        <v>104</v>
      </c>
      <c r="G820">
        <v>4</v>
      </c>
      <c r="H820" t="s">
        <v>438</v>
      </c>
      <c r="I820" s="4">
        <f t="shared" si="111"/>
        <v>3</v>
      </c>
      <c r="J820">
        <f t="shared" si="112"/>
        <v>12</v>
      </c>
      <c r="K820">
        <v>70</v>
      </c>
      <c r="L820">
        <v>24</v>
      </c>
      <c r="M820" s="2">
        <v>2.92</v>
      </c>
      <c r="N820" s="2">
        <v>2.92</v>
      </c>
      <c r="O820">
        <v>1</v>
      </c>
      <c r="P820">
        <v>6</v>
      </c>
      <c r="Q820" t="s">
        <v>571</v>
      </c>
      <c r="R820" t="s">
        <v>260</v>
      </c>
      <c r="S820" t="str">
        <f t="shared" si="110"/>
        <v>PA</v>
      </c>
    </row>
    <row r="821" spans="1:19" x14ac:dyDescent="0.3">
      <c r="A821" t="s">
        <v>12</v>
      </c>
      <c r="B821">
        <v>2016110020</v>
      </c>
      <c r="C821" t="s">
        <v>65</v>
      </c>
      <c r="E821" t="s">
        <v>262</v>
      </c>
      <c r="F821" t="s">
        <v>263</v>
      </c>
      <c r="G821">
        <v>2</v>
      </c>
      <c r="H821" t="s">
        <v>524</v>
      </c>
      <c r="I821" s="4">
        <f t="shared" si="111"/>
        <v>2</v>
      </c>
      <c r="J821">
        <f t="shared" si="112"/>
        <v>4</v>
      </c>
      <c r="K821">
        <v>40</v>
      </c>
      <c r="L821">
        <v>18</v>
      </c>
      <c r="M821" s="2">
        <v>2.2200000000000002</v>
      </c>
      <c r="N821" s="2">
        <v>2.92</v>
      </c>
      <c r="O821">
        <v>0</v>
      </c>
      <c r="P821">
        <v>8</v>
      </c>
      <c r="Q821" t="s">
        <v>569</v>
      </c>
      <c r="R821" t="s">
        <v>596</v>
      </c>
      <c r="S821" t="str">
        <f t="shared" si="110"/>
        <v>PA</v>
      </c>
    </row>
    <row r="822" spans="1:19" x14ac:dyDescent="0.3">
      <c r="A822" t="s">
        <v>12</v>
      </c>
      <c r="B822">
        <v>2016110020</v>
      </c>
      <c r="C822" t="s">
        <v>65</v>
      </c>
      <c r="E822" t="s">
        <v>262</v>
      </c>
      <c r="F822" t="s">
        <v>263</v>
      </c>
      <c r="G822">
        <v>2</v>
      </c>
      <c r="H822" t="s">
        <v>260</v>
      </c>
      <c r="I822" s="4">
        <f t="shared" si="111"/>
        <v>4</v>
      </c>
      <c r="J822">
        <f t="shared" si="112"/>
        <v>8</v>
      </c>
      <c r="K822">
        <v>70</v>
      </c>
      <c r="L822">
        <v>24</v>
      </c>
      <c r="M822" s="2">
        <v>2.92</v>
      </c>
      <c r="N822" s="2">
        <v>2.92</v>
      </c>
      <c r="O822">
        <v>1</v>
      </c>
      <c r="P822">
        <v>6</v>
      </c>
      <c r="Q822" t="s">
        <v>571</v>
      </c>
      <c r="R822" t="s">
        <v>260</v>
      </c>
      <c r="S822" t="str">
        <f t="shared" si="110"/>
        <v>PA</v>
      </c>
    </row>
    <row r="823" spans="1:19" x14ac:dyDescent="0.3">
      <c r="A823" t="s">
        <v>12</v>
      </c>
      <c r="B823">
        <v>2016110020</v>
      </c>
      <c r="C823" t="s">
        <v>65</v>
      </c>
      <c r="E823" t="s">
        <v>273</v>
      </c>
      <c r="F823" t="s">
        <v>274</v>
      </c>
      <c r="G823">
        <v>2</v>
      </c>
      <c r="H823" t="s">
        <v>524</v>
      </c>
      <c r="I823" s="4">
        <f t="shared" si="111"/>
        <v>2</v>
      </c>
      <c r="J823">
        <f t="shared" si="112"/>
        <v>4</v>
      </c>
      <c r="K823">
        <v>52</v>
      </c>
      <c r="L823">
        <v>22</v>
      </c>
      <c r="M823" s="2">
        <v>2.36</v>
      </c>
      <c r="N823" s="2">
        <v>2.92</v>
      </c>
      <c r="O823">
        <v>0</v>
      </c>
      <c r="P823">
        <v>6</v>
      </c>
      <c r="Q823" t="s">
        <v>567</v>
      </c>
      <c r="R823" t="s">
        <v>260</v>
      </c>
      <c r="S823" t="str">
        <f t="shared" si="110"/>
        <v>PA</v>
      </c>
    </row>
    <row r="824" spans="1:19" x14ac:dyDescent="0.3">
      <c r="A824" t="s">
        <v>12</v>
      </c>
      <c r="B824">
        <v>2016110020</v>
      </c>
      <c r="C824" t="s">
        <v>65</v>
      </c>
      <c r="E824" t="s">
        <v>348</v>
      </c>
      <c r="F824" t="s">
        <v>402</v>
      </c>
      <c r="G824">
        <v>4</v>
      </c>
      <c r="H824" t="s">
        <v>524</v>
      </c>
      <c r="I824" s="4">
        <f t="shared" si="111"/>
        <v>2</v>
      </c>
      <c r="J824">
        <f t="shared" si="112"/>
        <v>8</v>
      </c>
      <c r="K824">
        <v>50</v>
      </c>
      <c r="L824">
        <v>20</v>
      </c>
      <c r="M824" s="2">
        <v>2.5</v>
      </c>
      <c r="N824" s="2">
        <v>2.92</v>
      </c>
      <c r="O824">
        <v>0</v>
      </c>
      <c r="P824">
        <v>4</v>
      </c>
      <c r="Q824" t="s">
        <v>565</v>
      </c>
      <c r="R824" t="s">
        <v>260</v>
      </c>
      <c r="S824" t="str">
        <f t="shared" si="110"/>
        <v>PA</v>
      </c>
    </row>
    <row r="825" spans="1:19" x14ac:dyDescent="0.3">
      <c r="A825" t="s">
        <v>12</v>
      </c>
      <c r="B825">
        <v>2016110020</v>
      </c>
      <c r="C825" t="s">
        <v>65</v>
      </c>
      <c r="E825" t="s">
        <v>348</v>
      </c>
      <c r="F825" t="s">
        <v>402</v>
      </c>
      <c r="G825">
        <v>4</v>
      </c>
      <c r="H825" t="s">
        <v>438</v>
      </c>
      <c r="I825" s="4">
        <f t="shared" si="111"/>
        <v>3</v>
      </c>
      <c r="J825">
        <f t="shared" si="112"/>
        <v>12</v>
      </c>
      <c r="K825">
        <v>70</v>
      </c>
      <c r="L825">
        <v>24</v>
      </c>
      <c r="M825" s="2">
        <v>2.92</v>
      </c>
      <c r="N825" s="2">
        <v>2.92</v>
      </c>
      <c r="O825">
        <v>1</v>
      </c>
      <c r="P825">
        <v>6</v>
      </c>
      <c r="Q825" t="s">
        <v>571</v>
      </c>
      <c r="R825" t="s">
        <v>260</v>
      </c>
      <c r="S825" t="str">
        <f t="shared" si="110"/>
        <v>PA</v>
      </c>
    </row>
    <row r="826" spans="1:19" x14ac:dyDescent="0.3">
      <c r="A826" t="s">
        <v>12</v>
      </c>
      <c r="B826">
        <v>2016110020</v>
      </c>
      <c r="C826" t="s">
        <v>65</v>
      </c>
      <c r="E826" t="s">
        <v>432</v>
      </c>
      <c r="F826" t="s">
        <v>433</v>
      </c>
      <c r="G826">
        <v>4</v>
      </c>
      <c r="H826" t="s">
        <v>524</v>
      </c>
      <c r="I826" s="4">
        <f t="shared" si="111"/>
        <v>2</v>
      </c>
      <c r="J826">
        <f t="shared" si="112"/>
        <v>8</v>
      </c>
      <c r="K826">
        <v>50</v>
      </c>
      <c r="L826">
        <v>20</v>
      </c>
      <c r="M826" s="2">
        <v>2.5</v>
      </c>
      <c r="N826" s="2">
        <v>2.92</v>
      </c>
      <c r="O826">
        <v>0</v>
      </c>
      <c r="P826">
        <v>4</v>
      </c>
      <c r="Q826" t="s">
        <v>565</v>
      </c>
      <c r="R826" t="s">
        <v>260</v>
      </c>
      <c r="S826" t="str">
        <f t="shared" si="110"/>
        <v>PA</v>
      </c>
    </row>
    <row r="827" spans="1:19" x14ac:dyDescent="0.3">
      <c r="A827" t="s">
        <v>12</v>
      </c>
      <c r="B827">
        <v>2016110020</v>
      </c>
      <c r="C827" t="s">
        <v>65</v>
      </c>
      <c r="E827" t="s">
        <v>432</v>
      </c>
      <c r="F827" t="s">
        <v>433</v>
      </c>
      <c r="G827">
        <v>4</v>
      </c>
      <c r="H827" t="s">
        <v>524</v>
      </c>
      <c r="I827" s="4">
        <f t="shared" si="111"/>
        <v>2</v>
      </c>
      <c r="J827">
        <f t="shared" si="112"/>
        <v>8</v>
      </c>
      <c r="K827">
        <v>40</v>
      </c>
      <c r="L827">
        <v>18</v>
      </c>
      <c r="M827" s="2">
        <v>2.2200000000000002</v>
      </c>
      <c r="N827" s="2">
        <v>2.92</v>
      </c>
      <c r="O827">
        <v>1</v>
      </c>
      <c r="P827">
        <v>8</v>
      </c>
      <c r="Q827" t="s">
        <v>569</v>
      </c>
      <c r="R827" t="s">
        <v>596</v>
      </c>
      <c r="S827" t="str">
        <f t="shared" si="110"/>
        <v>PA</v>
      </c>
    </row>
    <row r="828" spans="1:19" x14ac:dyDescent="0.3">
      <c r="A828" t="s">
        <v>12</v>
      </c>
      <c r="B828">
        <v>2016110020</v>
      </c>
      <c r="C828" t="s">
        <v>65</v>
      </c>
      <c r="E828" t="s">
        <v>90</v>
      </c>
      <c r="F828" t="s">
        <v>91</v>
      </c>
      <c r="G828">
        <v>2</v>
      </c>
      <c r="H828" t="s">
        <v>524</v>
      </c>
      <c r="I828" s="4">
        <f t="shared" si="111"/>
        <v>2</v>
      </c>
      <c r="J828">
        <f t="shared" si="112"/>
        <v>4</v>
      </c>
      <c r="K828">
        <v>58</v>
      </c>
      <c r="L828">
        <v>20</v>
      </c>
      <c r="M828" s="2">
        <v>2.9</v>
      </c>
      <c r="N828" s="2">
        <v>2.92</v>
      </c>
      <c r="O828">
        <v>0</v>
      </c>
      <c r="P828">
        <v>1</v>
      </c>
      <c r="Q828" t="s">
        <v>558</v>
      </c>
      <c r="R828" t="s">
        <v>260</v>
      </c>
      <c r="S828" t="str">
        <f t="shared" si="110"/>
        <v>PA</v>
      </c>
    </row>
    <row r="829" spans="1:19" x14ac:dyDescent="0.3">
      <c r="A829" t="s">
        <v>12</v>
      </c>
      <c r="B829">
        <v>2016110020</v>
      </c>
      <c r="C829" t="s">
        <v>65</v>
      </c>
      <c r="E829" t="s">
        <v>90</v>
      </c>
      <c r="F829" t="s">
        <v>91</v>
      </c>
      <c r="G829">
        <v>2</v>
      </c>
      <c r="H829" t="s">
        <v>260</v>
      </c>
      <c r="I829" s="4">
        <f t="shared" si="111"/>
        <v>4</v>
      </c>
      <c r="J829">
        <f t="shared" si="112"/>
        <v>8</v>
      </c>
      <c r="K829">
        <v>46</v>
      </c>
      <c r="L829">
        <v>14</v>
      </c>
      <c r="M829" s="2">
        <v>3.29</v>
      </c>
      <c r="N829" s="2">
        <v>2.92</v>
      </c>
      <c r="O829">
        <v>1</v>
      </c>
      <c r="P829">
        <v>7</v>
      </c>
      <c r="Q829" t="s">
        <v>570</v>
      </c>
      <c r="R829" t="s">
        <v>260</v>
      </c>
      <c r="S829" t="str">
        <f t="shared" si="110"/>
        <v>PA</v>
      </c>
    </row>
    <row r="830" spans="1:19" x14ac:dyDescent="0.3">
      <c r="A830" t="s">
        <v>12</v>
      </c>
      <c r="B830">
        <v>2016110020</v>
      </c>
      <c r="C830" t="s">
        <v>65</v>
      </c>
      <c r="E830" t="s">
        <v>297</v>
      </c>
      <c r="F830" t="s">
        <v>342</v>
      </c>
      <c r="G830">
        <v>4</v>
      </c>
      <c r="H830" t="s">
        <v>524</v>
      </c>
      <c r="I830" s="4">
        <f t="shared" si="111"/>
        <v>2</v>
      </c>
      <c r="J830">
        <f t="shared" si="112"/>
        <v>8</v>
      </c>
      <c r="K830">
        <v>52</v>
      </c>
      <c r="L830">
        <v>22</v>
      </c>
      <c r="M830" s="2">
        <v>2.36</v>
      </c>
      <c r="N830" s="2">
        <v>2.92</v>
      </c>
      <c r="O830">
        <v>0</v>
      </c>
      <c r="P830">
        <v>6</v>
      </c>
      <c r="Q830" t="s">
        <v>567</v>
      </c>
      <c r="R830" t="s">
        <v>260</v>
      </c>
      <c r="S830" t="str">
        <f t="shared" si="110"/>
        <v>PA</v>
      </c>
    </row>
    <row r="831" spans="1:19" x14ac:dyDescent="0.3">
      <c r="A831" t="s">
        <v>12</v>
      </c>
      <c r="B831">
        <v>2016110020</v>
      </c>
      <c r="C831" t="s">
        <v>65</v>
      </c>
      <c r="E831" t="s">
        <v>248</v>
      </c>
      <c r="F831" t="s">
        <v>249</v>
      </c>
      <c r="G831">
        <v>2</v>
      </c>
      <c r="H831" t="s">
        <v>524</v>
      </c>
      <c r="I831" s="4">
        <f t="shared" si="111"/>
        <v>2</v>
      </c>
      <c r="J831">
        <f t="shared" si="112"/>
        <v>4</v>
      </c>
      <c r="K831">
        <v>50</v>
      </c>
      <c r="L831">
        <v>20</v>
      </c>
      <c r="M831" s="2">
        <v>2.5</v>
      </c>
      <c r="N831" s="2">
        <v>2.92</v>
      </c>
      <c r="O831">
        <v>0</v>
      </c>
      <c r="P831">
        <v>4</v>
      </c>
      <c r="Q831" t="s">
        <v>565</v>
      </c>
      <c r="R831" t="s">
        <v>260</v>
      </c>
      <c r="S831" t="str">
        <f t="shared" si="110"/>
        <v>PA</v>
      </c>
    </row>
    <row r="832" spans="1:19" x14ac:dyDescent="0.3">
      <c r="A832" t="s">
        <v>12</v>
      </c>
      <c r="B832">
        <v>2016110020</v>
      </c>
      <c r="C832" t="s">
        <v>65</v>
      </c>
      <c r="E832" t="s">
        <v>248</v>
      </c>
      <c r="F832" t="s">
        <v>249</v>
      </c>
      <c r="G832">
        <v>2</v>
      </c>
      <c r="H832" t="s">
        <v>438</v>
      </c>
      <c r="I832" s="4">
        <f t="shared" si="111"/>
        <v>3</v>
      </c>
      <c r="J832">
        <f t="shared" si="112"/>
        <v>6</v>
      </c>
      <c r="K832">
        <v>40</v>
      </c>
      <c r="L832">
        <v>18</v>
      </c>
      <c r="M832" s="2">
        <v>2.2200000000000002</v>
      </c>
      <c r="N832" s="2">
        <v>2.92</v>
      </c>
      <c r="O832">
        <v>1</v>
      </c>
      <c r="P832">
        <v>8</v>
      </c>
      <c r="Q832" t="s">
        <v>569</v>
      </c>
      <c r="R832" t="s">
        <v>596</v>
      </c>
      <c r="S832" t="str">
        <f t="shared" si="110"/>
        <v>PA</v>
      </c>
    </row>
    <row r="833" spans="1:19" x14ac:dyDescent="0.3">
      <c r="A833" t="s">
        <v>12</v>
      </c>
      <c r="B833">
        <v>2016110020</v>
      </c>
      <c r="C833" t="s">
        <v>65</v>
      </c>
      <c r="E833" t="s">
        <v>139</v>
      </c>
      <c r="F833" t="s">
        <v>140</v>
      </c>
      <c r="G833">
        <v>2</v>
      </c>
      <c r="H833" t="s">
        <v>524</v>
      </c>
      <c r="I833" s="4">
        <f t="shared" si="111"/>
        <v>2</v>
      </c>
      <c r="J833">
        <f t="shared" si="112"/>
        <v>4</v>
      </c>
      <c r="K833">
        <v>46</v>
      </c>
      <c r="L833">
        <v>20</v>
      </c>
      <c r="M833" s="2">
        <v>2.2999999999999998</v>
      </c>
      <c r="N833" s="2">
        <v>2.92</v>
      </c>
      <c r="O833">
        <v>0</v>
      </c>
      <c r="P833">
        <v>2</v>
      </c>
      <c r="Q833" t="s">
        <v>559</v>
      </c>
      <c r="R833" t="s">
        <v>260</v>
      </c>
      <c r="S833" t="str">
        <f t="shared" si="110"/>
        <v>PA</v>
      </c>
    </row>
    <row r="834" spans="1:19" x14ac:dyDescent="0.3">
      <c r="A834" t="s">
        <v>12</v>
      </c>
      <c r="B834">
        <v>2016110020</v>
      </c>
      <c r="C834" t="s">
        <v>65</v>
      </c>
      <c r="E834" t="s">
        <v>139</v>
      </c>
      <c r="F834" t="s">
        <v>140</v>
      </c>
      <c r="G834">
        <v>2</v>
      </c>
      <c r="H834" t="s">
        <v>524</v>
      </c>
      <c r="I834" s="4">
        <f t="shared" si="111"/>
        <v>2</v>
      </c>
      <c r="J834">
        <f t="shared" si="112"/>
        <v>4</v>
      </c>
      <c r="K834">
        <v>50</v>
      </c>
      <c r="L834">
        <v>20</v>
      </c>
      <c r="M834" s="2">
        <v>2.5</v>
      </c>
      <c r="N834" s="2">
        <v>2.92</v>
      </c>
      <c r="O834">
        <v>1</v>
      </c>
      <c r="P834">
        <v>4</v>
      </c>
      <c r="Q834" t="s">
        <v>565</v>
      </c>
      <c r="R834" t="s">
        <v>260</v>
      </c>
      <c r="S834" t="str">
        <f t="shared" si="110"/>
        <v>PA</v>
      </c>
    </row>
    <row r="835" spans="1:19" x14ac:dyDescent="0.3">
      <c r="A835" t="s">
        <v>12</v>
      </c>
      <c r="B835">
        <v>2016110020</v>
      </c>
      <c r="C835" t="s">
        <v>65</v>
      </c>
      <c r="E835" t="s">
        <v>139</v>
      </c>
      <c r="F835" t="s">
        <v>140</v>
      </c>
      <c r="G835">
        <v>2</v>
      </c>
      <c r="H835" t="s">
        <v>438</v>
      </c>
      <c r="I835" s="4">
        <f t="shared" si="111"/>
        <v>3</v>
      </c>
      <c r="J835">
        <f t="shared" si="112"/>
        <v>6</v>
      </c>
      <c r="K835">
        <v>40</v>
      </c>
      <c r="L835">
        <v>18</v>
      </c>
      <c r="M835" s="2">
        <v>2.2200000000000002</v>
      </c>
      <c r="N835" s="2">
        <v>2.92</v>
      </c>
      <c r="O835">
        <v>2</v>
      </c>
      <c r="P835">
        <v>8</v>
      </c>
      <c r="Q835" t="s">
        <v>569</v>
      </c>
      <c r="R835" t="s">
        <v>596</v>
      </c>
      <c r="S835" t="str">
        <f t="shared" si="110"/>
        <v>PA</v>
      </c>
    </row>
    <row r="836" spans="1:19" x14ac:dyDescent="0.3">
      <c r="A836" t="s">
        <v>12</v>
      </c>
      <c r="B836">
        <v>2016110020</v>
      </c>
      <c r="C836" t="s">
        <v>65</v>
      </c>
      <c r="E836" t="s">
        <v>344</v>
      </c>
      <c r="F836" t="s">
        <v>345</v>
      </c>
      <c r="G836">
        <v>2</v>
      </c>
      <c r="H836" t="s">
        <v>524</v>
      </c>
      <c r="I836" s="4">
        <f t="shared" si="111"/>
        <v>2</v>
      </c>
      <c r="J836">
        <f t="shared" si="112"/>
        <v>4</v>
      </c>
      <c r="K836">
        <v>44</v>
      </c>
      <c r="L836">
        <v>18</v>
      </c>
      <c r="M836" s="2">
        <v>2.44</v>
      </c>
      <c r="N836" s="2">
        <v>2.92</v>
      </c>
      <c r="O836">
        <v>0</v>
      </c>
      <c r="P836">
        <v>5</v>
      </c>
      <c r="Q836" t="s">
        <v>568</v>
      </c>
      <c r="R836" t="s">
        <v>260</v>
      </c>
      <c r="S836" t="str">
        <f t="shared" si="110"/>
        <v>PA</v>
      </c>
    </row>
    <row r="837" spans="1:19" x14ac:dyDescent="0.3">
      <c r="A837" t="s">
        <v>12</v>
      </c>
      <c r="B837">
        <v>2016110020</v>
      </c>
      <c r="C837" t="s">
        <v>65</v>
      </c>
      <c r="E837" t="s">
        <v>344</v>
      </c>
      <c r="F837" t="s">
        <v>345</v>
      </c>
      <c r="G837">
        <v>2</v>
      </c>
      <c r="H837" t="s">
        <v>438</v>
      </c>
      <c r="I837" s="4">
        <f t="shared" si="111"/>
        <v>3</v>
      </c>
      <c r="J837">
        <f t="shared" si="112"/>
        <v>6</v>
      </c>
      <c r="K837">
        <v>46</v>
      </c>
      <c r="L837">
        <v>14</v>
      </c>
      <c r="M837" s="2">
        <v>3.29</v>
      </c>
      <c r="N837" s="2">
        <v>2.92</v>
      </c>
      <c r="O837">
        <v>1</v>
      </c>
      <c r="P837">
        <v>7</v>
      </c>
      <c r="Q837" t="s">
        <v>570</v>
      </c>
      <c r="R837" t="s">
        <v>260</v>
      </c>
      <c r="S837" t="str">
        <f t="shared" si="110"/>
        <v>PA</v>
      </c>
    </row>
    <row r="838" spans="1:19" x14ac:dyDescent="0.3">
      <c r="A838" t="s">
        <v>12</v>
      </c>
      <c r="B838">
        <v>2016110020</v>
      </c>
      <c r="C838" t="s">
        <v>65</v>
      </c>
      <c r="E838" t="s">
        <v>357</v>
      </c>
      <c r="F838" t="s">
        <v>358</v>
      </c>
      <c r="G838">
        <v>4</v>
      </c>
      <c r="H838" t="s">
        <v>524</v>
      </c>
      <c r="I838" s="4">
        <f t="shared" si="111"/>
        <v>2</v>
      </c>
      <c r="J838">
        <f t="shared" si="112"/>
        <v>8</v>
      </c>
      <c r="K838">
        <v>50</v>
      </c>
      <c r="L838">
        <v>18</v>
      </c>
      <c r="M838" s="2">
        <v>2.78</v>
      </c>
      <c r="N838" s="2">
        <v>2.92</v>
      </c>
      <c r="O838">
        <v>0</v>
      </c>
      <c r="P838">
        <v>5</v>
      </c>
      <c r="Q838" t="s">
        <v>566</v>
      </c>
      <c r="R838" t="s">
        <v>260</v>
      </c>
      <c r="S838" t="str">
        <f t="shared" si="110"/>
        <v>PA</v>
      </c>
    </row>
    <row r="839" spans="1:19" x14ac:dyDescent="0.3">
      <c r="A839" t="s">
        <v>12</v>
      </c>
      <c r="B839">
        <v>2016110020</v>
      </c>
      <c r="C839" t="s">
        <v>65</v>
      </c>
      <c r="E839" t="s">
        <v>357</v>
      </c>
      <c r="F839" t="s">
        <v>358</v>
      </c>
      <c r="G839">
        <v>4</v>
      </c>
      <c r="H839" t="s">
        <v>438</v>
      </c>
      <c r="I839" s="4">
        <f t="shared" si="111"/>
        <v>3</v>
      </c>
      <c r="J839">
        <f t="shared" si="112"/>
        <v>12</v>
      </c>
      <c r="K839">
        <v>46</v>
      </c>
      <c r="L839">
        <v>14</v>
      </c>
      <c r="M839" s="2">
        <v>3.29</v>
      </c>
      <c r="N839" s="2">
        <v>2.92</v>
      </c>
      <c r="O839">
        <v>1</v>
      </c>
      <c r="P839">
        <v>7</v>
      </c>
      <c r="Q839" t="s">
        <v>570</v>
      </c>
      <c r="R839" t="s">
        <v>260</v>
      </c>
      <c r="S839" t="str">
        <f t="shared" si="110"/>
        <v>PA</v>
      </c>
    </row>
    <row r="840" spans="1:19" x14ac:dyDescent="0.3">
      <c r="A840" t="s">
        <v>12</v>
      </c>
      <c r="B840">
        <v>2016110020</v>
      </c>
      <c r="C840" t="s">
        <v>65</v>
      </c>
      <c r="E840" t="s">
        <v>387</v>
      </c>
      <c r="F840" t="s">
        <v>388</v>
      </c>
      <c r="G840">
        <v>2</v>
      </c>
      <c r="H840" t="s">
        <v>535</v>
      </c>
      <c r="I840" s="4">
        <f t="shared" si="111"/>
        <v>1</v>
      </c>
      <c r="J840">
        <f t="shared" si="112"/>
        <v>2</v>
      </c>
      <c r="K840">
        <v>40</v>
      </c>
      <c r="L840">
        <v>18</v>
      </c>
      <c r="M840" s="2">
        <v>2.2200000000000002</v>
      </c>
      <c r="N840" s="2">
        <v>2.92</v>
      </c>
      <c r="O840">
        <v>0</v>
      </c>
      <c r="P840">
        <v>8</v>
      </c>
      <c r="Q840" t="s">
        <v>569</v>
      </c>
      <c r="R840" t="s">
        <v>596</v>
      </c>
      <c r="S840" t="str">
        <f t="shared" ref="S840:S845" si="113">IF(OR(H840="A",H840="B",H840="C"),"PA","FA")</f>
        <v>FA</v>
      </c>
    </row>
    <row r="841" spans="1:19" x14ac:dyDescent="0.3">
      <c r="A841" t="s">
        <v>12</v>
      </c>
      <c r="B841">
        <v>2016110020</v>
      </c>
      <c r="C841" t="s">
        <v>65</v>
      </c>
      <c r="E841" t="s">
        <v>387</v>
      </c>
      <c r="F841" t="s">
        <v>388</v>
      </c>
      <c r="G841">
        <v>2</v>
      </c>
      <c r="H841" t="s">
        <v>438</v>
      </c>
      <c r="I841" s="4">
        <f t="shared" ref="I841:I845" si="114">IF(H841="A",4,IF(H841="B",3,IF(H841="C",2,IF(H841="D",1,0))))</f>
        <v>3</v>
      </c>
      <c r="J841">
        <f t="shared" ref="J841:J845" si="115">G841*I841</f>
        <v>6</v>
      </c>
      <c r="K841">
        <v>70</v>
      </c>
      <c r="L841">
        <v>24</v>
      </c>
      <c r="M841" s="2">
        <v>2.92</v>
      </c>
      <c r="N841" s="2">
        <v>2.92</v>
      </c>
      <c r="O841">
        <v>1</v>
      </c>
      <c r="P841">
        <v>6</v>
      </c>
      <c r="Q841" t="s">
        <v>571</v>
      </c>
      <c r="R841" t="s">
        <v>260</v>
      </c>
      <c r="S841" t="str">
        <f t="shared" si="113"/>
        <v>PA</v>
      </c>
    </row>
    <row r="842" spans="1:19" x14ac:dyDescent="0.3">
      <c r="A842" t="s">
        <v>12</v>
      </c>
      <c r="B842">
        <v>2016110020</v>
      </c>
      <c r="C842" t="s">
        <v>65</v>
      </c>
      <c r="E842" t="s">
        <v>100</v>
      </c>
      <c r="F842" t="s">
        <v>101</v>
      </c>
      <c r="G842">
        <v>4</v>
      </c>
      <c r="H842" t="s">
        <v>535</v>
      </c>
      <c r="I842" s="4">
        <f t="shared" si="114"/>
        <v>1</v>
      </c>
      <c r="J842">
        <f t="shared" si="115"/>
        <v>4</v>
      </c>
      <c r="K842">
        <v>46</v>
      </c>
      <c r="L842">
        <v>20</v>
      </c>
      <c r="M842" s="2">
        <v>2.2999999999999998</v>
      </c>
      <c r="N842" s="2">
        <v>2.92</v>
      </c>
      <c r="O842">
        <v>0</v>
      </c>
      <c r="P842">
        <v>2</v>
      </c>
      <c r="Q842" t="s">
        <v>559</v>
      </c>
      <c r="R842" t="s">
        <v>260</v>
      </c>
      <c r="S842" t="str">
        <f t="shared" si="113"/>
        <v>FA</v>
      </c>
    </row>
    <row r="843" spans="1:19" x14ac:dyDescent="0.3">
      <c r="A843" t="s">
        <v>12</v>
      </c>
      <c r="B843">
        <v>2016110020</v>
      </c>
      <c r="C843" t="s">
        <v>65</v>
      </c>
      <c r="E843" t="s">
        <v>100</v>
      </c>
      <c r="F843" t="s">
        <v>101</v>
      </c>
      <c r="G843">
        <v>4</v>
      </c>
      <c r="H843" t="s">
        <v>438</v>
      </c>
      <c r="I843" s="4">
        <f t="shared" si="114"/>
        <v>3</v>
      </c>
      <c r="J843">
        <f t="shared" si="115"/>
        <v>12</v>
      </c>
      <c r="K843">
        <v>70</v>
      </c>
      <c r="L843">
        <v>24</v>
      </c>
      <c r="M843" s="2">
        <v>2.92</v>
      </c>
      <c r="N843" s="2">
        <v>2.92</v>
      </c>
      <c r="O843">
        <v>1</v>
      </c>
      <c r="P843">
        <v>6</v>
      </c>
      <c r="Q843" t="s">
        <v>571</v>
      </c>
      <c r="R843" t="s">
        <v>260</v>
      </c>
      <c r="S843" t="str">
        <f t="shared" si="113"/>
        <v>PA</v>
      </c>
    </row>
    <row r="844" spans="1:19" x14ac:dyDescent="0.3">
      <c r="A844" t="s">
        <v>12</v>
      </c>
      <c r="B844">
        <v>2016110020</v>
      </c>
      <c r="C844" t="s">
        <v>65</v>
      </c>
      <c r="E844" t="s">
        <v>382</v>
      </c>
      <c r="F844" t="s">
        <v>383</v>
      </c>
      <c r="G844">
        <v>4</v>
      </c>
      <c r="H844" t="s">
        <v>535</v>
      </c>
      <c r="I844" s="4">
        <f t="shared" si="114"/>
        <v>1</v>
      </c>
      <c r="J844">
        <f t="shared" si="115"/>
        <v>4</v>
      </c>
      <c r="K844">
        <v>44</v>
      </c>
      <c r="L844">
        <v>18</v>
      </c>
      <c r="M844" s="2">
        <v>2.44</v>
      </c>
      <c r="N844" s="2">
        <v>2.92</v>
      </c>
      <c r="O844">
        <v>0</v>
      </c>
      <c r="P844">
        <v>5</v>
      </c>
      <c r="Q844" t="s">
        <v>568</v>
      </c>
      <c r="R844" t="s">
        <v>260</v>
      </c>
      <c r="S844" t="str">
        <f t="shared" si="113"/>
        <v>FA</v>
      </c>
    </row>
    <row r="845" spans="1:19" x14ac:dyDescent="0.3">
      <c r="A845" t="s">
        <v>12</v>
      </c>
      <c r="B845">
        <v>2016110020</v>
      </c>
      <c r="C845" t="s">
        <v>65</v>
      </c>
      <c r="E845" t="s">
        <v>382</v>
      </c>
      <c r="F845" t="s">
        <v>383</v>
      </c>
      <c r="G845">
        <v>4</v>
      </c>
      <c r="H845" t="s">
        <v>524</v>
      </c>
      <c r="I845" s="4">
        <f t="shared" si="114"/>
        <v>2</v>
      </c>
      <c r="J845">
        <f t="shared" si="115"/>
        <v>8</v>
      </c>
      <c r="K845">
        <v>70</v>
      </c>
      <c r="L845">
        <v>24</v>
      </c>
      <c r="M845" s="2">
        <v>2.92</v>
      </c>
      <c r="N845" s="2">
        <v>2.92</v>
      </c>
      <c r="O845">
        <v>1</v>
      </c>
      <c r="P845">
        <v>6</v>
      </c>
      <c r="Q845" t="s">
        <v>571</v>
      </c>
      <c r="R845" t="s">
        <v>260</v>
      </c>
      <c r="S845" t="str">
        <f t="shared" si="113"/>
        <v>PA</v>
      </c>
    </row>
    <row r="846" spans="1:19" x14ac:dyDescent="0.3">
      <c r="A846" t="s">
        <v>12</v>
      </c>
      <c r="B846">
        <v>2016110022</v>
      </c>
      <c r="C846" t="s">
        <v>162</v>
      </c>
      <c r="E846" t="s">
        <v>100</v>
      </c>
      <c r="F846" t="s">
        <v>101</v>
      </c>
      <c r="G846">
        <v>4</v>
      </c>
      <c r="J846">
        <v>0</v>
      </c>
      <c r="K846">
        <v>0</v>
      </c>
      <c r="L846">
        <v>6</v>
      </c>
      <c r="M846" s="2">
        <v>0</v>
      </c>
      <c r="N846" s="2">
        <v>1.1100000000000001</v>
      </c>
      <c r="O846">
        <v>0</v>
      </c>
      <c r="P846">
        <v>2</v>
      </c>
      <c r="Q846" t="s">
        <v>559</v>
      </c>
      <c r="R846" t="s">
        <v>260</v>
      </c>
      <c r="S846" t="s">
        <v>595</v>
      </c>
    </row>
    <row r="847" spans="1:19" x14ac:dyDescent="0.3">
      <c r="A847" t="s">
        <v>12</v>
      </c>
      <c r="B847">
        <v>2016110022</v>
      </c>
      <c r="C847" t="s">
        <v>162</v>
      </c>
      <c r="E847" t="s">
        <v>100</v>
      </c>
      <c r="F847" t="s">
        <v>101</v>
      </c>
      <c r="G847">
        <v>4</v>
      </c>
      <c r="J847">
        <v>0</v>
      </c>
      <c r="K847">
        <v>0</v>
      </c>
      <c r="L847">
        <v>6</v>
      </c>
      <c r="M847" s="2">
        <v>0</v>
      </c>
      <c r="N847" s="2">
        <v>1.1100000000000001</v>
      </c>
      <c r="O847">
        <v>1</v>
      </c>
      <c r="P847">
        <v>4</v>
      </c>
      <c r="Q847" t="s">
        <v>565</v>
      </c>
      <c r="R847" t="s">
        <v>260</v>
      </c>
      <c r="S847" t="s">
        <v>595</v>
      </c>
    </row>
    <row r="848" spans="1:19" x14ac:dyDescent="0.3">
      <c r="A848" t="s">
        <v>12</v>
      </c>
      <c r="B848">
        <v>2016110022</v>
      </c>
      <c r="C848" t="s">
        <v>162</v>
      </c>
      <c r="E848" t="s">
        <v>100</v>
      </c>
      <c r="F848" t="s">
        <v>101</v>
      </c>
      <c r="G848">
        <v>4</v>
      </c>
      <c r="H848" t="s">
        <v>539</v>
      </c>
      <c r="I848" s="4">
        <f>IF(H848="A",4,IF(H848="B",3,IF(H848="C",2,IF(H848="D",1,0))))</f>
        <v>0</v>
      </c>
      <c r="J848">
        <f>G848*I848</f>
        <v>0</v>
      </c>
      <c r="K848">
        <v>2</v>
      </c>
      <c r="L848">
        <v>10</v>
      </c>
      <c r="M848" s="2">
        <v>0.2</v>
      </c>
      <c r="N848" s="2">
        <v>1.1100000000000001</v>
      </c>
      <c r="O848">
        <v>2</v>
      </c>
      <c r="P848">
        <v>6</v>
      </c>
      <c r="Q848" t="s">
        <v>567</v>
      </c>
      <c r="R848" t="s">
        <v>260</v>
      </c>
      <c r="S848" t="str">
        <f>IF(OR(H848="A",H848="B",H848="C"),"PA","FA")</f>
        <v>FA</v>
      </c>
    </row>
    <row r="849" spans="1:19" x14ac:dyDescent="0.3">
      <c r="A849" t="s">
        <v>12</v>
      </c>
      <c r="B849">
        <v>2016110022</v>
      </c>
      <c r="C849" t="s">
        <v>162</v>
      </c>
      <c r="E849" t="s">
        <v>100</v>
      </c>
      <c r="F849" t="s">
        <v>101</v>
      </c>
      <c r="G849">
        <v>4</v>
      </c>
      <c r="I849" s="4"/>
      <c r="J849">
        <f>G849*I849</f>
        <v>0</v>
      </c>
      <c r="K849">
        <v>0</v>
      </c>
      <c r="L849">
        <v>8</v>
      </c>
      <c r="M849" s="2">
        <v>0</v>
      </c>
      <c r="N849" s="2">
        <v>1.1100000000000001</v>
      </c>
      <c r="O849">
        <v>3</v>
      </c>
      <c r="P849">
        <v>8</v>
      </c>
      <c r="Q849" t="s">
        <v>569</v>
      </c>
      <c r="R849" t="s">
        <v>535</v>
      </c>
      <c r="S849" t="s">
        <v>595</v>
      </c>
    </row>
    <row r="850" spans="1:19" x14ac:dyDescent="0.3">
      <c r="A850" t="s">
        <v>12</v>
      </c>
      <c r="B850">
        <v>2016110022</v>
      </c>
      <c r="C850" t="s">
        <v>162</v>
      </c>
      <c r="E850" t="s">
        <v>173</v>
      </c>
      <c r="F850" t="s">
        <v>8</v>
      </c>
      <c r="G850">
        <v>2</v>
      </c>
      <c r="J850">
        <v>0</v>
      </c>
      <c r="K850">
        <v>0</v>
      </c>
      <c r="L850">
        <v>0</v>
      </c>
      <c r="M850" t="s">
        <v>574</v>
      </c>
      <c r="N850" s="2">
        <v>1.1100000000000001</v>
      </c>
      <c r="O850">
        <v>0</v>
      </c>
      <c r="P850">
        <v>3</v>
      </c>
      <c r="Q850" t="s">
        <v>563</v>
      </c>
      <c r="R850" t="s">
        <v>260</v>
      </c>
      <c r="S850" t="s">
        <v>595</v>
      </c>
    </row>
    <row r="851" spans="1:19" x14ac:dyDescent="0.3">
      <c r="A851" t="s">
        <v>12</v>
      </c>
      <c r="B851">
        <v>2016110022</v>
      </c>
      <c r="C851" t="s">
        <v>162</v>
      </c>
      <c r="E851" t="s">
        <v>173</v>
      </c>
      <c r="F851" t="s">
        <v>8</v>
      </c>
      <c r="G851">
        <v>2</v>
      </c>
      <c r="H851" t="s">
        <v>535</v>
      </c>
      <c r="I851" s="4">
        <f>IF(H851="A",4,IF(H851="B",3,IF(H851="C",2,IF(H851="D",1,0))))</f>
        <v>1</v>
      </c>
      <c r="J851">
        <f>G851*I851</f>
        <v>2</v>
      </c>
      <c r="K851">
        <v>2</v>
      </c>
      <c r="L851">
        <v>2</v>
      </c>
      <c r="M851" s="2">
        <v>1</v>
      </c>
      <c r="N851" s="2">
        <v>1.1100000000000001</v>
      </c>
      <c r="O851">
        <v>1</v>
      </c>
      <c r="P851">
        <v>5</v>
      </c>
      <c r="Q851" t="s">
        <v>566</v>
      </c>
      <c r="R851" t="s">
        <v>260</v>
      </c>
      <c r="S851" t="str">
        <f>IF(OR(H851="A",H851="B",H851="C"),"PA","FA")</f>
        <v>FA</v>
      </c>
    </row>
    <row r="852" spans="1:19" x14ac:dyDescent="0.3">
      <c r="A852" t="s">
        <v>12</v>
      </c>
      <c r="B852">
        <v>2016110022</v>
      </c>
      <c r="C852" t="s">
        <v>162</v>
      </c>
      <c r="E852" t="s">
        <v>173</v>
      </c>
      <c r="F852" t="s">
        <v>8</v>
      </c>
      <c r="G852">
        <v>2</v>
      </c>
      <c r="I852" s="4"/>
      <c r="J852">
        <f>G852*I852</f>
        <v>0</v>
      </c>
      <c r="K852">
        <v>12</v>
      </c>
      <c r="L852">
        <v>4</v>
      </c>
      <c r="M852" s="2">
        <v>3</v>
      </c>
      <c r="N852" s="2">
        <v>1.1100000000000001</v>
      </c>
      <c r="O852">
        <v>2</v>
      </c>
      <c r="P852">
        <v>7</v>
      </c>
      <c r="Q852" t="s">
        <v>568</v>
      </c>
      <c r="R852" t="s">
        <v>260</v>
      </c>
      <c r="S852" t="s">
        <v>595</v>
      </c>
    </row>
    <row r="853" spans="1:19" x14ac:dyDescent="0.3">
      <c r="A853" t="s">
        <v>12</v>
      </c>
      <c r="B853">
        <v>2016110022</v>
      </c>
      <c r="C853" t="s">
        <v>162</v>
      </c>
      <c r="E853" t="s">
        <v>190</v>
      </c>
      <c r="F853" t="s">
        <v>191</v>
      </c>
      <c r="G853">
        <v>4</v>
      </c>
      <c r="I853" s="4"/>
      <c r="J853">
        <f>G853*I853</f>
        <v>0</v>
      </c>
      <c r="K853">
        <v>0</v>
      </c>
      <c r="L853">
        <v>0</v>
      </c>
      <c r="M853" t="s">
        <v>574</v>
      </c>
      <c r="N853" s="2">
        <v>1.1100000000000001</v>
      </c>
      <c r="O853">
        <v>0</v>
      </c>
      <c r="P853">
        <v>3</v>
      </c>
      <c r="Q853" t="s">
        <v>563</v>
      </c>
      <c r="R853" t="s">
        <v>260</v>
      </c>
      <c r="S853" t="s">
        <v>595</v>
      </c>
    </row>
    <row r="854" spans="1:19" x14ac:dyDescent="0.3">
      <c r="A854" t="s">
        <v>12</v>
      </c>
      <c r="B854">
        <v>2016110022</v>
      </c>
      <c r="C854" t="s">
        <v>162</v>
      </c>
      <c r="E854" t="s">
        <v>170</v>
      </c>
      <c r="F854" t="s">
        <v>171</v>
      </c>
      <c r="G854">
        <v>4</v>
      </c>
      <c r="I854" s="4"/>
      <c r="J854">
        <f>G854*I854</f>
        <v>0</v>
      </c>
      <c r="K854">
        <v>2</v>
      </c>
      <c r="L854">
        <v>2</v>
      </c>
      <c r="M854" s="2">
        <v>1</v>
      </c>
      <c r="N854" s="2">
        <v>1.1100000000000001</v>
      </c>
      <c r="O854">
        <v>0</v>
      </c>
      <c r="P854">
        <v>5</v>
      </c>
      <c r="Q854" t="s">
        <v>566</v>
      </c>
      <c r="R854" t="s">
        <v>260</v>
      </c>
      <c r="S854" t="s">
        <v>595</v>
      </c>
    </row>
    <row r="855" spans="1:19" x14ac:dyDescent="0.3">
      <c r="A855" t="s">
        <v>12</v>
      </c>
      <c r="B855">
        <v>2016110022</v>
      </c>
      <c r="C855" t="s">
        <v>162</v>
      </c>
      <c r="E855" t="s">
        <v>170</v>
      </c>
      <c r="F855" t="s">
        <v>171</v>
      </c>
      <c r="G855">
        <v>4</v>
      </c>
      <c r="H855" t="s">
        <v>438</v>
      </c>
      <c r="I855" s="4">
        <f>IF(H855="A",4,IF(H855="B",3,IF(H855="C",2,IF(H855="D",1,0))))</f>
        <v>3</v>
      </c>
      <c r="J855">
        <f>G855*I855</f>
        <v>12</v>
      </c>
      <c r="K855">
        <v>12</v>
      </c>
      <c r="L855">
        <v>4</v>
      </c>
      <c r="M855" s="2">
        <v>3</v>
      </c>
      <c r="N855" s="2">
        <v>1.1100000000000001</v>
      </c>
      <c r="O855">
        <v>1</v>
      </c>
      <c r="P855">
        <v>7</v>
      </c>
      <c r="Q855" t="s">
        <v>568</v>
      </c>
      <c r="R855" t="s">
        <v>260</v>
      </c>
      <c r="S855" t="str">
        <f>IF(OR(H855="A",H855="B",H855="C"),"PA","FA")</f>
        <v>PA</v>
      </c>
    </row>
    <row r="856" spans="1:19" x14ac:dyDescent="0.3">
      <c r="A856" t="s">
        <v>12</v>
      </c>
      <c r="B856">
        <v>2016110022</v>
      </c>
      <c r="C856" t="s">
        <v>162</v>
      </c>
      <c r="E856" t="s">
        <v>97</v>
      </c>
      <c r="F856" t="s">
        <v>98</v>
      </c>
      <c r="G856">
        <v>4</v>
      </c>
      <c r="J856">
        <v>0</v>
      </c>
      <c r="K856">
        <v>0</v>
      </c>
      <c r="L856">
        <v>6</v>
      </c>
      <c r="M856" s="2">
        <v>0</v>
      </c>
      <c r="N856" s="2">
        <v>1.1100000000000001</v>
      </c>
      <c r="O856">
        <v>0</v>
      </c>
      <c r="P856">
        <v>2</v>
      </c>
      <c r="Q856" t="s">
        <v>559</v>
      </c>
      <c r="R856" t="s">
        <v>260</v>
      </c>
      <c r="S856" t="s">
        <v>595</v>
      </c>
    </row>
    <row r="857" spans="1:19" x14ac:dyDescent="0.3">
      <c r="A857" t="s">
        <v>12</v>
      </c>
      <c r="B857">
        <v>2016110022</v>
      </c>
      <c r="C857" t="s">
        <v>162</v>
      </c>
      <c r="E857" t="s">
        <v>97</v>
      </c>
      <c r="F857" t="s">
        <v>98</v>
      </c>
      <c r="G857">
        <v>4</v>
      </c>
      <c r="H857" t="s">
        <v>539</v>
      </c>
      <c r="I857" s="4">
        <f>IF(H857="A",4,IF(H857="B",3,IF(H857="C",2,IF(H857="D",1,0))))</f>
        <v>0</v>
      </c>
      <c r="J857">
        <f>G857*I857</f>
        <v>0</v>
      </c>
      <c r="K857">
        <v>0</v>
      </c>
      <c r="L857">
        <v>8</v>
      </c>
      <c r="M857" s="2">
        <v>0</v>
      </c>
      <c r="N857" s="2">
        <v>1.1100000000000001</v>
      </c>
      <c r="O857">
        <v>1</v>
      </c>
      <c r="P857">
        <v>8</v>
      </c>
      <c r="Q857" t="s">
        <v>569</v>
      </c>
      <c r="R857" t="s">
        <v>535</v>
      </c>
      <c r="S857" t="str">
        <f>IF(OR(H857="A",H857="B",H857="C"),"PA","FA")</f>
        <v>FA</v>
      </c>
    </row>
    <row r="858" spans="1:19" x14ac:dyDescent="0.3">
      <c r="A858" t="s">
        <v>12</v>
      </c>
      <c r="B858">
        <v>2016110022</v>
      </c>
      <c r="C858" t="s">
        <v>162</v>
      </c>
      <c r="E858" t="s">
        <v>103</v>
      </c>
      <c r="F858" t="s">
        <v>104</v>
      </c>
      <c r="G858">
        <v>4</v>
      </c>
      <c r="J858">
        <v>0</v>
      </c>
      <c r="K858">
        <v>0</v>
      </c>
      <c r="L858">
        <v>6</v>
      </c>
      <c r="M858" s="2">
        <v>0</v>
      </c>
      <c r="N858" s="2">
        <v>1.1100000000000001</v>
      </c>
      <c r="O858">
        <v>0</v>
      </c>
      <c r="P858">
        <v>2</v>
      </c>
      <c r="Q858" t="s">
        <v>559</v>
      </c>
      <c r="R858" t="s">
        <v>260</v>
      </c>
      <c r="S858" t="s">
        <v>595</v>
      </c>
    </row>
    <row r="859" spans="1:19" x14ac:dyDescent="0.3">
      <c r="A859" t="s">
        <v>12</v>
      </c>
      <c r="B859">
        <v>2016110022</v>
      </c>
      <c r="C859" t="s">
        <v>162</v>
      </c>
      <c r="E859" t="s">
        <v>139</v>
      </c>
      <c r="F859" t="s">
        <v>140</v>
      </c>
      <c r="G859">
        <v>2</v>
      </c>
      <c r="J859">
        <v>0</v>
      </c>
      <c r="K859">
        <v>0</v>
      </c>
      <c r="L859">
        <v>6</v>
      </c>
      <c r="M859" s="2">
        <v>0</v>
      </c>
      <c r="N859" s="2">
        <v>1.1100000000000001</v>
      </c>
      <c r="O859">
        <v>0</v>
      </c>
      <c r="P859">
        <v>2</v>
      </c>
      <c r="Q859" t="s">
        <v>559</v>
      </c>
      <c r="R859" t="s">
        <v>260</v>
      </c>
      <c r="S859" t="s">
        <v>595</v>
      </c>
    </row>
    <row r="860" spans="1:19" x14ac:dyDescent="0.3">
      <c r="A860" t="s">
        <v>12</v>
      </c>
      <c r="B860">
        <v>2016110022</v>
      </c>
      <c r="C860" t="s">
        <v>162</v>
      </c>
      <c r="E860" t="s">
        <v>139</v>
      </c>
      <c r="F860" t="s">
        <v>140</v>
      </c>
      <c r="G860">
        <v>2</v>
      </c>
      <c r="I860" s="4"/>
      <c r="J860">
        <f>G860*I860</f>
        <v>0</v>
      </c>
      <c r="K860">
        <v>2</v>
      </c>
      <c r="L860">
        <v>10</v>
      </c>
      <c r="M860" s="2">
        <v>0.2</v>
      </c>
      <c r="N860" s="2">
        <v>1.1100000000000001</v>
      </c>
      <c r="O860">
        <v>1</v>
      </c>
      <c r="P860">
        <v>6</v>
      </c>
      <c r="Q860" t="s">
        <v>567</v>
      </c>
      <c r="R860" t="s">
        <v>260</v>
      </c>
      <c r="S860" t="s">
        <v>595</v>
      </c>
    </row>
    <row r="861" spans="1:19" x14ac:dyDescent="0.3">
      <c r="A861" t="s">
        <v>12</v>
      </c>
      <c r="B861">
        <v>2016110022</v>
      </c>
      <c r="C861" t="s">
        <v>162</v>
      </c>
      <c r="E861" t="s">
        <v>234</v>
      </c>
      <c r="F861" t="s">
        <v>235</v>
      </c>
      <c r="G861">
        <v>4</v>
      </c>
      <c r="J861">
        <v>0</v>
      </c>
      <c r="K861">
        <v>0</v>
      </c>
      <c r="L861">
        <v>0</v>
      </c>
      <c r="M861" t="s">
        <v>574</v>
      </c>
      <c r="N861" s="2">
        <v>1.1100000000000001</v>
      </c>
      <c r="O861">
        <v>0</v>
      </c>
      <c r="P861">
        <v>3</v>
      </c>
      <c r="Q861" t="s">
        <v>563</v>
      </c>
      <c r="R861" t="s">
        <v>260</v>
      </c>
      <c r="S861" t="s">
        <v>595</v>
      </c>
    </row>
    <row r="862" spans="1:19" x14ac:dyDescent="0.3">
      <c r="A862" t="s">
        <v>12</v>
      </c>
      <c r="B862">
        <v>2016110022</v>
      </c>
      <c r="C862" t="s">
        <v>162</v>
      </c>
      <c r="E862" t="s">
        <v>234</v>
      </c>
      <c r="F862" t="s">
        <v>235</v>
      </c>
      <c r="G862">
        <v>4</v>
      </c>
      <c r="I862" s="4"/>
      <c r="J862">
        <f>G862*I862</f>
        <v>0</v>
      </c>
      <c r="K862">
        <v>12</v>
      </c>
      <c r="L862">
        <v>4</v>
      </c>
      <c r="M862" s="2">
        <v>3</v>
      </c>
      <c r="N862" s="2">
        <v>1.1100000000000001</v>
      </c>
      <c r="O862">
        <v>1</v>
      </c>
      <c r="P862">
        <v>7</v>
      </c>
      <c r="Q862" t="s">
        <v>568</v>
      </c>
      <c r="R862" t="s">
        <v>260</v>
      </c>
      <c r="S862" t="s">
        <v>595</v>
      </c>
    </row>
    <row r="863" spans="1:19" x14ac:dyDescent="0.3">
      <c r="A863" t="s">
        <v>12</v>
      </c>
      <c r="B863">
        <v>2016110022</v>
      </c>
      <c r="C863" t="s">
        <v>162</v>
      </c>
      <c r="E863" t="s">
        <v>244</v>
      </c>
      <c r="F863" t="s">
        <v>228</v>
      </c>
      <c r="G863">
        <v>2</v>
      </c>
      <c r="J863">
        <v>0</v>
      </c>
      <c r="K863">
        <v>0</v>
      </c>
      <c r="L863">
        <v>6</v>
      </c>
      <c r="M863" s="2">
        <v>0</v>
      </c>
      <c r="N863" s="2">
        <v>1.1100000000000001</v>
      </c>
      <c r="O863">
        <v>0</v>
      </c>
      <c r="P863">
        <v>4</v>
      </c>
      <c r="Q863" t="s">
        <v>565</v>
      </c>
      <c r="R863" t="s">
        <v>260</v>
      </c>
      <c r="S863" t="s">
        <v>595</v>
      </c>
    </row>
    <row r="864" spans="1:19" x14ac:dyDescent="0.3">
      <c r="A864" t="s">
        <v>12</v>
      </c>
      <c r="B864">
        <v>2016110022</v>
      </c>
      <c r="C864" t="s">
        <v>162</v>
      </c>
      <c r="E864" t="s">
        <v>244</v>
      </c>
      <c r="F864" t="s">
        <v>228</v>
      </c>
      <c r="G864">
        <v>2</v>
      </c>
      <c r="H864" t="s">
        <v>535</v>
      </c>
      <c r="I864" s="4">
        <f>IF(H864="A",4,IF(H864="B",3,IF(H864="C",2,IF(H864="D",1,0))))</f>
        <v>1</v>
      </c>
      <c r="J864">
        <f>G864*I864</f>
        <v>2</v>
      </c>
      <c r="K864">
        <v>2</v>
      </c>
      <c r="L864">
        <v>10</v>
      </c>
      <c r="M864" s="2">
        <v>0.2</v>
      </c>
      <c r="N864" s="2">
        <v>1.1100000000000001</v>
      </c>
      <c r="O864">
        <v>1</v>
      </c>
      <c r="P864">
        <v>6</v>
      </c>
      <c r="Q864" t="s">
        <v>567</v>
      </c>
      <c r="R864" t="s">
        <v>260</v>
      </c>
      <c r="S864" t="str">
        <f>IF(OR(H864="A",H864="B",H864="C"),"PA","FA")</f>
        <v>FA</v>
      </c>
    </row>
    <row r="865" spans="1:19" x14ac:dyDescent="0.3">
      <c r="A865" t="s">
        <v>12</v>
      </c>
      <c r="B865">
        <v>2016110022</v>
      </c>
      <c r="C865" t="s">
        <v>162</v>
      </c>
      <c r="E865" t="s">
        <v>205</v>
      </c>
      <c r="F865" t="s">
        <v>116</v>
      </c>
      <c r="G865">
        <v>4</v>
      </c>
      <c r="J865">
        <v>0</v>
      </c>
      <c r="K865">
        <v>0</v>
      </c>
      <c r="L865">
        <v>0</v>
      </c>
      <c r="M865" t="s">
        <v>574</v>
      </c>
      <c r="N865" s="2">
        <v>1.1100000000000001</v>
      </c>
      <c r="O865">
        <v>0</v>
      </c>
      <c r="P865">
        <v>3</v>
      </c>
      <c r="Q865" t="s">
        <v>563</v>
      </c>
      <c r="R865" t="s">
        <v>260</v>
      </c>
      <c r="S865" t="s">
        <v>595</v>
      </c>
    </row>
    <row r="866" spans="1:19" x14ac:dyDescent="0.3">
      <c r="A866" t="s">
        <v>12</v>
      </c>
      <c r="B866">
        <v>2016110022</v>
      </c>
      <c r="C866" t="s">
        <v>162</v>
      </c>
      <c r="E866" t="s">
        <v>205</v>
      </c>
      <c r="F866" t="s">
        <v>116</v>
      </c>
      <c r="G866">
        <v>4</v>
      </c>
      <c r="I866" s="4"/>
      <c r="J866">
        <f t="shared" ref="J866:J867" si="116">G866*I866</f>
        <v>0</v>
      </c>
      <c r="K866">
        <v>2</v>
      </c>
      <c r="L866">
        <v>2</v>
      </c>
      <c r="M866" s="2">
        <v>1</v>
      </c>
      <c r="N866" s="2">
        <v>1.1100000000000001</v>
      </c>
      <c r="O866">
        <v>1</v>
      </c>
      <c r="P866">
        <v>5</v>
      </c>
      <c r="Q866" t="s">
        <v>566</v>
      </c>
      <c r="R866" t="s">
        <v>260</v>
      </c>
      <c r="S866" t="s">
        <v>595</v>
      </c>
    </row>
    <row r="867" spans="1:19" x14ac:dyDescent="0.3">
      <c r="A867" t="s">
        <v>12</v>
      </c>
      <c r="B867">
        <v>2016110022</v>
      </c>
      <c r="C867" t="s">
        <v>162</v>
      </c>
      <c r="E867" t="s">
        <v>90</v>
      </c>
      <c r="F867" t="s">
        <v>91</v>
      </c>
      <c r="G867">
        <v>2</v>
      </c>
      <c r="H867" t="s">
        <v>260</v>
      </c>
      <c r="I867" s="4">
        <f t="shared" ref="I867" si="117">IF(H867="A",4,IF(H867="B",3,IF(H867="C",2,IF(H867="D",1,0))))</f>
        <v>4</v>
      </c>
      <c r="J867">
        <f t="shared" si="116"/>
        <v>8</v>
      </c>
      <c r="K867">
        <v>46</v>
      </c>
      <c r="L867">
        <v>20</v>
      </c>
      <c r="M867" s="2">
        <v>2.2999999999999998</v>
      </c>
      <c r="N867" s="2">
        <v>1.1100000000000001</v>
      </c>
      <c r="O867">
        <v>0</v>
      </c>
      <c r="P867">
        <v>1</v>
      </c>
      <c r="Q867" t="s">
        <v>558</v>
      </c>
      <c r="R867" t="s">
        <v>260</v>
      </c>
      <c r="S867" t="str">
        <f t="shared" ref="S867:S880" si="118">IF(OR(H867="A",H867="B",H867="C"),"PA","FA")</f>
        <v>PA</v>
      </c>
    </row>
    <row r="868" spans="1:19" x14ac:dyDescent="0.3">
      <c r="A868" t="s">
        <v>12</v>
      </c>
      <c r="B868">
        <v>2016110022</v>
      </c>
      <c r="C868" t="s">
        <v>162</v>
      </c>
      <c r="E868" t="s">
        <v>131</v>
      </c>
      <c r="F868" t="s">
        <v>132</v>
      </c>
      <c r="G868">
        <v>2</v>
      </c>
      <c r="H868" t="s">
        <v>260</v>
      </c>
      <c r="I868" s="4">
        <f t="shared" ref="I868:I880" si="119">IF(H868="A",4,IF(H868="B",3,IF(H868="C",2,IF(H868="D",1,0))))</f>
        <v>4</v>
      </c>
      <c r="J868">
        <f t="shared" ref="J868:J880" si="120">G868*I868</f>
        <v>8</v>
      </c>
      <c r="K868">
        <v>46</v>
      </c>
      <c r="L868">
        <v>20</v>
      </c>
      <c r="M868" s="2">
        <v>2.2999999999999998</v>
      </c>
      <c r="N868" s="2">
        <v>1.1100000000000001</v>
      </c>
      <c r="O868">
        <v>0</v>
      </c>
      <c r="P868">
        <v>1</v>
      </c>
      <c r="Q868" t="s">
        <v>558</v>
      </c>
      <c r="R868" t="s">
        <v>260</v>
      </c>
      <c r="S868" t="str">
        <f t="shared" si="118"/>
        <v>PA</v>
      </c>
    </row>
    <row r="869" spans="1:19" x14ac:dyDescent="0.3">
      <c r="A869" t="s">
        <v>12</v>
      </c>
      <c r="B869">
        <v>2016110022</v>
      </c>
      <c r="C869" t="s">
        <v>162</v>
      </c>
      <c r="E869" t="s">
        <v>165</v>
      </c>
      <c r="F869" t="s">
        <v>166</v>
      </c>
      <c r="G869">
        <v>2</v>
      </c>
      <c r="H869" t="s">
        <v>438</v>
      </c>
      <c r="I869" s="4">
        <f t="shared" si="119"/>
        <v>3</v>
      </c>
      <c r="J869">
        <f t="shared" si="120"/>
        <v>6</v>
      </c>
      <c r="K869">
        <v>46</v>
      </c>
      <c r="L869">
        <v>20</v>
      </c>
      <c r="M869" s="2">
        <v>2.2999999999999998</v>
      </c>
      <c r="N869" s="2">
        <v>1.1100000000000001</v>
      </c>
      <c r="O869">
        <v>0</v>
      </c>
      <c r="P869">
        <v>1</v>
      </c>
      <c r="Q869" t="s">
        <v>558</v>
      </c>
      <c r="R869" t="s">
        <v>260</v>
      </c>
      <c r="S869" t="str">
        <f t="shared" si="118"/>
        <v>PA</v>
      </c>
    </row>
    <row r="870" spans="1:19" x14ac:dyDescent="0.3">
      <c r="A870" t="s">
        <v>12</v>
      </c>
      <c r="B870">
        <v>2016110022</v>
      </c>
      <c r="C870" t="s">
        <v>162</v>
      </c>
      <c r="E870" t="s">
        <v>437</v>
      </c>
      <c r="F870" t="s">
        <v>169</v>
      </c>
      <c r="G870">
        <v>4</v>
      </c>
      <c r="H870" t="s">
        <v>524</v>
      </c>
      <c r="I870" s="4">
        <f t="shared" si="119"/>
        <v>2</v>
      </c>
      <c r="J870">
        <f t="shared" si="120"/>
        <v>8</v>
      </c>
      <c r="K870">
        <v>46</v>
      </c>
      <c r="L870">
        <v>20</v>
      </c>
      <c r="M870" s="2">
        <v>2.2999999999999998</v>
      </c>
      <c r="N870" s="2">
        <v>1.1100000000000001</v>
      </c>
      <c r="O870">
        <v>0</v>
      </c>
      <c r="P870">
        <v>1</v>
      </c>
      <c r="Q870" t="s">
        <v>558</v>
      </c>
      <c r="R870" t="s">
        <v>260</v>
      </c>
      <c r="S870" t="str">
        <f t="shared" si="118"/>
        <v>PA</v>
      </c>
    </row>
    <row r="871" spans="1:19" x14ac:dyDescent="0.3">
      <c r="A871" t="s">
        <v>12</v>
      </c>
      <c r="B871">
        <v>2016110022</v>
      </c>
      <c r="C871" t="s">
        <v>162</v>
      </c>
      <c r="E871" t="s">
        <v>151</v>
      </c>
      <c r="F871" t="s">
        <v>152</v>
      </c>
      <c r="G871">
        <v>2</v>
      </c>
      <c r="H871" t="s">
        <v>524</v>
      </c>
      <c r="I871" s="4">
        <f t="shared" si="119"/>
        <v>2</v>
      </c>
      <c r="J871">
        <f t="shared" si="120"/>
        <v>4</v>
      </c>
      <c r="K871">
        <v>46</v>
      </c>
      <c r="L871">
        <v>20</v>
      </c>
      <c r="M871" s="2">
        <v>2.2999999999999998</v>
      </c>
      <c r="N871" s="2">
        <v>1.1100000000000001</v>
      </c>
      <c r="O871">
        <v>0</v>
      </c>
      <c r="P871">
        <v>1</v>
      </c>
      <c r="Q871" t="s">
        <v>558</v>
      </c>
      <c r="R871" t="s">
        <v>260</v>
      </c>
      <c r="S871" t="str">
        <f t="shared" si="118"/>
        <v>PA</v>
      </c>
    </row>
    <row r="872" spans="1:19" x14ac:dyDescent="0.3">
      <c r="A872" t="s">
        <v>12</v>
      </c>
      <c r="B872">
        <v>2016110022</v>
      </c>
      <c r="C872" t="s">
        <v>162</v>
      </c>
      <c r="E872" t="s">
        <v>122</v>
      </c>
      <c r="F872" t="s">
        <v>123</v>
      </c>
      <c r="G872">
        <v>4</v>
      </c>
      <c r="H872" t="s">
        <v>524</v>
      </c>
      <c r="I872" s="4">
        <f t="shared" si="119"/>
        <v>2</v>
      </c>
      <c r="J872">
        <f t="shared" si="120"/>
        <v>8</v>
      </c>
      <c r="K872">
        <v>46</v>
      </c>
      <c r="L872">
        <v>20</v>
      </c>
      <c r="M872" s="2">
        <v>2.2999999999999998</v>
      </c>
      <c r="N872" s="2">
        <v>1.1100000000000001</v>
      </c>
      <c r="O872">
        <v>0</v>
      </c>
      <c r="P872">
        <v>1</v>
      </c>
      <c r="Q872" t="s">
        <v>558</v>
      </c>
      <c r="R872" t="s">
        <v>260</v>
      </c>
      <c r="S872" t="str">
        <f t="shared" si="118"/>
        <v>PA</v>
      </c>
    </row>
    <row r="873" spans="1:19" x14ac:dyDescent="0.3">
      <c r="A873" t="s">
        <v>12</v>
      </c>
      <c r="B873">
        <v>2016110022</v>
      </c>
      <c r="C873" t="s">
        <v>162</v>
      </c>
      <c r="E873" t="s">
        <v>142</v>
      </c>
      <c r="F873" t="s">
        <v>143</v>
      </c>
      <c r="G873">
        <v>2</v>
      </c>
      <c r="H873" t="s">
        <v>524</v>
      </c>
      <c r="I873" s="4">
        <f t="shared" si="119"/>
        <v>2</v>
      </c>
      <c r="J873">
        <f t="shared" si="120"/>
        <v>4</v>
      </c>
      <c r="K873">
        <v>46</v>
      </c>
      <c r="L873">
        <v>20</v>
      </c>
      <c r="M873" s="2">
        <v>2.2999999999999998</v>
      </c>
      <c r="N873" s="2">
        <v>1.1100000000000001</v>
      </c>
      <c r="O873">
        <v>0</v>
      </c>
      <c r="P873">
        <v>1</v>
      </c>
      <c r="Q873" t="s">
        <v>558</v>
      </c>
      <c r="R873" t="s">
        <v>260</v>
      </c>
      <c r="S873" t="str">
        <f t="shared" si="118"/>
        <v>PA</v>
      </c>
    </row>
    <row r="874" spans="1:19" x14ac:dyDescent="0.3">
      <c r="A874" t="s">
        <v>12</v>
      </c>
      <c r="B874">
        <v>2016110022</v>
      </c>
      <c r="C874" t="s">
        <v>162</v>
      </c>
      <c r="E874" t="s">
        <v>279</v>
      </c>
      <c r="F874" t="s">
        <v>280</v>
      </c>
      <c r="G874">
        <v>2</v>
      </c>
      <c r="H874" t="s">
        <v>539</v>
      </c>
      <c r="I874" s="4">
        <f t="shared" si="119"/>
        <v>0</v>
      </c>
      <c r="J874">
        <f t="shared" si="120"/>
        <v>0</v>
      </c>
      <c r="K874">
        <v>0</v>
      </c>
      <c r="L874">
        <v>6</v>
      </c>
      <c r="M874" s="2">
        <v>0</v>
      </c>
      <c r="N874" s="2">
        <v>1.1100000000000001</v>
      </c>
      <c r="O874">
        <v>0</v>
      </c>
      <c r="P874">
        <v>2</v>
      </c>
      <c r="Q874" t="s">
        <v>559</v>
      </c>
      <c r="R874" t="s">
        <v>260</v>
      </c>
      <c r="S874" t="str">
        <f t="shared" si="118"/>
        <v>FA</v>
      </c>
    </row>
    <row r="875" spans="1:19" x14ac:dyDescent="0.3">
      <c r="A875" t="s">
        <v>12</v>
      </c>
      <c r="B875">
        <v>2016110022</v>
      </c>
      <c r="C875" t="s">
        <v>162</v>
      </c>
      <c r="E875" t="s">
        <v>290</v>
      </c>
      <c r="F875" t="s">
        <v>327</v>
      </c>
      <c r="G875">
        <v>4</v>
      </c>
      <c r="H875" t="s">
        <v>539</v>
      </c>
      <c r="I875" s="4">
        <f t="shared" si="119"/>
        <v>0</v>
      </c>
      <c r="J875">
        <f t="shared" si="120"/>
        <v>0</v>
      </c>
      <c r="K875">
        <v>0</v>
      </c>
      <c r="L875">
        <v>6</v>
      </c>
      <c r="M875" s="2">
        <v>0</v>
      </c>
      <c r="N875" s="2">
        <v>1.1100000000000001</v>
      </c>
      <c r="O875">
        <v>0</v>
      </c>
      <c r="P875">
        <v>2</v>
      </c>
      <c r="Q875" t="s">
        <v>559</v>
      </c>
      <c r="R875" t="s">
        <v>260</v>
      </c>
      <c r="S875" t="str">
        <f t="shared" si="118"/>
        <v>FA</v>
      </c>
    </row>
    <row r="876" spans="1:19" x14ac:dyDescent="0.3">
      <c r="A876" t="s">
        <v>12</v>
      </c>
      <c r="B876">
        <v>2016110022</v>
      </c>
      <c r="C876" t="s">
        <v>162</v>
      </c>
      <c r="E876" t="s">
        <v>290</v>
      </c>
      <c r="F876" t="s">
        <v>327</v>
      </c>
      <c r="G876">
        <v>4</v>
      </c>
      <c r="H876" t="s">
        <v>539</v>
      </c>
      <c r="I876" s="4">
        <f t="shared" si="119"/>
        <v>0</v>
      </c>
      <c r="J876">
        <f t="shared" si="120"/>
        <v>0</v>
      </c>
      <c r="K876">
        <v>0</v>
      </c>
      <c r="L876">
        <v>6</v>
      </c>
      <c r="M876" s="2">
        <v>0</v>
      </c>
      <c r="N876" s="2">
        <v>1.1100000000000001</v>
      </c>
      <c r="O876">
        <v>1</v>
      </c>
      <c r="P876">
        <v>4</v>
      </c>
      <c r="Q876" t="s">
        <v>565</v>
      </c>
      <c r="R876" t="s">
        <v>260</v>
      </c>
      <c r="S876" t="str">
        <f t="shared" si="118"/>
        <v>FA</v>
      </c>
    </row>
    <row r="877" spans="1:19" x14ac:dyDescent="0.3">
      <c r="A877" t="s">
        <v>12</v>
      </c>
      <c r="B877">
        <v>2016110022</v>
      </c>
      <c r="C877" t="s">
        <v>162</v>
      </c>
      <c r="E877" t="s">
        <v>290</v>
      </c>
      <c r="F877" t="s">
        <v>327</v>
      </c>
      <c r="G877">
        <v>4</v>
      </c>
      <c r="H877" t="s">
        <v>539</v>
      </c>
      <c r="I877" s="4">
        <f t="shared" si="119"/>
        <v>0</v>
      </c>
      <c r="J877">
        <f t="shared" si="120"/>
        <v>0</v>
      </c>
      <c r="K877">
        <v>0</v>
      </c>
      <c r="L877">
        <v>8</v>
      </c>
      <c r="M877" s="2">
        <v>0</v>
      </c>
      <c r="N877" s="2">
        <v>1.1100000000000001</v>
      </c>
      <c r="O877">
        <v>2</v>
      </c>
      <c r="P877">
        <v>8</v>
      </c>
      <c r="Q877" t="s">
        <v>569</v>
      </c>
      <c r="R877" t="s">
        <v>535</v>
      </c>
      <c r="S877" t="str">
        <f t="shared" si="118"/>
        <v>FA</v>
      </c>
    </row>
    <row r="878" spans="1:19" x14ac:dyDescent="0.3">
      <c r="A878" t="s">
        <v>12</v>
      </c>
      <c r="B878">
        <v>2016110022</v>
      </c>
      <c r="C878" t="s">
        <v>162</v>
      </c>
      <c r="E878" t="s">
        <v>374</v>
      </c>
      <c r="F878" t="s">
        <v>375</v>
      </c>
      <c r="G878">
        <v>2</v>
      </c>
      <c r="H878" t="s">
        <v>539</v>
      </c>
      <c r="I878" s="4">
        <f t="shared" si="119"/>
        <v>0</v>
      </c>
      <c r="J878">
        <f t="shared" si="120"/>
        <v>0</v>
      </c>
      <c r="K878">
        <v>0</v>
      </c>
      <c r="L878">
        <v>6</v>
      </c>
      <c r="M878" s="2">
        <v>0</v>
      </c>
      <c r="N878" s="2">
        <v>1.1100000000000001</v>
      </c>
      <c r="O878">
        <v>0</v>
      </c>
      <c r="P878">
        <v>4</v>
      </c>
      <c r="Q878" t="s">
        <v>565</v>
      </c>
      <c r="R878" t="s">
        <v>260</v>
      </c>
      <c r="S878" t="str">
        <f t="shared" si="118"/>
        <v>FA</v>
      </c>
    </row>
    <row r="879" spans="1:19" x14ac:dyDescent="0.3">
      <c r="A879" t="s">
        <v>12</v>
      </c>
      <c r="B879">
        <v>2016110022</v>
      </c>
      <c r="C879" t="s">
        <v>162</v>
      </c>
      <c r="E879" t="s">
        <v>348</v>
      </c>
      <c r="F879" t="s">
        <v>493</v>
      </c>
      <c r="G879">
        <v>4</v>
      </c>
      <c r="H879" t="s">
        <v>535</v>
      </c>
      <c r="I879" s="4">
        <f t="shared" si="119"/>
        <v>1</v>
      </c>
      <c r="J879">
        <f t="shared" si="120"/>
        <v>4</v>
      </c>
      <c r="K879">
        <v>2</v>
      </c>
      <c r="L879">
        <v>10</v>
      </c>
      <c r="M879" s="2">
        <v>0.2</v>
      </c>
      <c r="N879" s="2">
        <v>1.1100000000000001</v>
      </c>
      <c r="O879">
        <v>0</v>
      </c>
      <c r="P879">
        <v>6</v>
      </c>
      <c r="Q879" t="s">
        <v>567</v>
      </c>
      <c r="R879" t="s">
        <v>260</v>
      </c>
      <c r="S879" t="str">
        <f t="shared" si="118"/>
        <v>FA</v>
      </c>
    </row>
    <row r="880" spans="1:19" x14ac:dyDescent="0.3">
      <c r="A880" t="s">
        <v>12</v>
      </c>
      <c r="B880">
        <v>2016110022</v>
      </c>
      <c r="C880" t="s">
        <v>162</v>
      </c>
      <c r="E880" t="s">
        <v>77</v>
      </c>
      <c r="F880" t="s">
        <v>78</v>
      </c>
      <c r="G880">
        <v>2</v>
      </c>
      <c r="H880" t="s">
        <v>539</v>
      </c>
      <c r="I880" s="4">
        <f t="shared" si="119"/>
        <v>0</v>
      </c>
      <c r="J880">
        <f t="shared" si="120"/>
        <v>0</v>
      </c>
      <c r="K880">
        <v>46</v>
      </c>
      <c r="L880">
        <v>20</v>
      </c>
      <c r="M880" s="2">
        <v>2.2999999999999998</v>
      </c>
      <c r="N880" s="2">
        <v>1.1100000000000001</v>
      </c>
      <c r="O880">
        <v>0</v>
      </c>
      <c r="P880">
        <v>1</v>
      </c>
      <c r="Q880" t="s">
        <v>558</v>
      </c>
      <c r="R880" t="s">
        <v>260</v>
      </c>
      <c r="S880" t="str">
        <f t="shared" si="118"/>
        <v>FA</v>
      </c>
    </row>
    <row r="881" spans="1:19" x14ac:dyDescent="0.3">
      <c r="A881" t="s">
        <v>12</v>
      </c>
      <c r="B881">
        <v>2016110023</v>
      </c>
      <c r="C881" t="s">
        <v>75</v>
      </c>
      <c r="E881" t="s">
        <v>39</v>
      </c>
      <c r="F881" t="s">
        <v>11</v>
      </c>
      <c r="G881">
        <v>2</v>
      </c>
      <c r="I881" s="4"/>
      <c r="J881">
        <f t="shared" ref="J881:J884" si="121">G881*I881</f>
        <v>0</v>
      </c>
      <c r="K881">
        <v>10</v>
      </c>
      <c r="L881">
        <v>10</v>
      </c>
      <c r="M881" s="2">
        <v>1</v>
      </c>
      <c r="N881" s="2">
        <v>2.4700000000000002</v>
      </c>
      <c r="O881">
        <v>0</v>
      </c>
      <c r="P881">
        <v>8</v>
      </c>
      <c r="Q881" t="s">
        <v>569</v>
      </c>
      <c r="R881" t="s">
        <v>260</v>
      </c>
      <c r="S881" t="s">
        <v>595</v>
      </c>
    </row>
    <row r="882" spans="1:19" x14ac:dyDescent="0.3">
      <c r="A882" t="s">
        <v>12</v>
      </c>
      <c r="B882">
        <v>2016110023</v>
      </c>
      <c r="C882" t="s">
        <v>75</v>
      </c>
      <c r="E882" t="s">
        <v>39</v>
      </c>
      <c r="F882" t="s">
        <v>11</v>
      </c>
      <c r="G882">
        <v>2</v>
      </c>
      <c r="I882" s="4"/>
      <c r="J882">
        <f t="shared" si="121"/>
        <v>0</v>
      </c>
      <c r="K882">
        <v>22</v>
      </c>
      <c r="L882">
        <v>14</v>
      </c>
      <c r="M882" s="2">
        <v>1.57</v>
      </c>
      <c r="N882" s="2">
        <v>2.4700000000000002</v>
      </c>
      <c r="O882">
        <v>1</v>
      </c>
      <c r="P882">
        <v>10</v>
      </c>
      <c r="Q882" t="s">
        <v>560</v>
      </c>
      <c r="R882" t="s">
        <v>535</v>
      </c>
      <c r="S882" t="s">
        <v>595</v>
      </c>
    </row>
    <row r="883" spans="1:19" x14ac:dyDescent="0.3">
      <c r="A883" t="s">
        <v>12</v>
      </c>
      <c r="B883">
        <v>2016110023</v>
      </c>
      <c r="C883" t="s">
        <v>75</v>
      </c>
      <c r="E883" t="s">
        <v>205</v>
      </c>
      <c r="F883" t="s">
        <v>116</v>
      </c>
      <c r="G883">
        <v>4</v>
      </c>
      <c r="I883" s="4"/>
      <c r="J883">
        <f t="shared" si="121"/>
        <v>0</v>
      </c>
      <c r="K883">
        <v>32</v>
      </c>
      <c r="L883">
        <v>14</v>
      </c>
      <c r="M883" s="2">
        <v>2.29</v>
      </c>
      <c r="N883" s="2">
        <v>2.4700000000000002</v>
      </c>
      <c r="O883">
        <v>0</v>
      </c>
      <c r="P883">
        <v>5</v>
      </c>
      <c r="Q883" t="s">
        <v>568</v>
      </c>
      <c r="R883" t="s">
        <v>260</v>
      </c>
      <c r="S883" t="s">
        <v>595</v>
      </c>
    </row>
    <row r="884" spans="1:19" x14ac:dyDescent="0.3">
      <c r="A884" t="s">
        <v>12</v>
      </c>
      <c r="B884">
        <v>2016110023</v>
      </c>
      <c r="C884" t="s">
        <v>75</v>
      </c>
      <c r="E884" t="s">
        <v>205</v>
      </c>
      <c r="F884" t="s">
        <v>116</v>
      </c>
      <c r="G884">
        <v>4</v>
      </c>
      <c r="H884" t="s">
        <v>539</v>
      </c>
      <c r="I884" s="4">
        <f t="shared" ref="I884" si="122">IF(H884="A",4,IF(H884="B",3,IF(H884="C",2,IF(H884="D",1,0))))</f>
        <v>0</v>
      </c>
      <c r="J884">
        <f t="shared" si="121"/>
        <v>0</v>
      </c>
      <c r="K884">
        <v>10</v>
      </c>
      <c r="L884">
        <v>10</v>
      </c>
      <c r="M884" s="2">
        <v>1</v>
      </c>
      <c r="N884" s="2">
        <v>2.4700000000000002</v>
      </c>
      <c r="O884">
        <v>1</v>
      </c>
      <c r="P884">
        <v>9</v>
      </c>
      <c r="Q884" t="s">
        <v>573</v>
      </c>
      <c r="R884" t="s">
        <v>260</v>
      </c>
      <c r="S884" t="str">
        <f t="shared" ref="S884:S913" si="123">IF(OR(H884="A",H884="B",H884="C"),"PA","FA")</f>
        <v>FA</v>
      </c>
    </row>
    <row r="885" spans="1:19" x14ac:dyDescent="0.3">
      <c r="A885" t="s">
        <v>12</v>
      </c>
      <c r="B885">
        <v>2016110023</v>
      </c>
      <c r="C885" t="s">
        <v>75</v>
      </c>
      <c r="E885" t="s">
        <v>337</v>
      </c>
      <c r="F885" t="s">
        <v>338</v>
      </c>
      <c r="G885">
        <v>2</v>
      </c>
      <c r="H885" t="s">
        <v>260</v>
      </c>
      <c r="I885" s="4">
        <f t="shared" ref="I885:I913" si="124">IF(H885="A",4,IF(H885="B",3,IF(H885="C",2,IF(H885="D",1,0))))</f>
        <v>4</v>
      </c>
      <c r="J885">
        <f t="shared" ref="J885:J913" si="125">G885*I885</f>
        <v>8</v>
      </c>
      <c r="K885">
        <v>36</v>
      </c>
      <c r="L885">
        <v>14</v>
      </c>
      <c r="M885" s="2">
        <v>2.57</v>
      </c>
      <c r="N885" s="2">
        <v>2.4700000000000002</v>
      </c>
      <c r="O885">
        <v>0</v>
      </c>
      <c r="P885">
        <v>3</v>
      </c>
      <c r="Q885" t="s">
        <v>566</v>
      </c>
      <c r="R885" t="s">
        <v>260</v>
      </c>
      <c r="S885" t="str">
        <f t="shared" si="123"/>
        <v>PA</v>
      </c>
    </row>
    <row r="886" spans="1:19" x14ac:dyDescent="0.3">
      <c r="A886" t="s">
        <v>12</v>
      </c>
      <c r="B886">
        <v>2016110023</v>
      </c>
      <c r="C886" t="s">
        <v>75</v>
      </c>
      <c r="E886" t="s">
        <v>77</v>
      </c>
      <c r="F886" t="s">
        <v>78</v>
      </c>
      <c r="G886">
        <v>2</v>
      </c>
      <c r="H886" t="s">
        <v>260</v>
      </c>
      <c r="I886" s="4">
        <f t="shared" si="124"/>
        <v>4</v>
      </c>
      <c r="J886">
        <f t="shared" si="125"/>
        <v>8</v>
      </c>
      <c r="K886">
        <v>46</v>
      </c>
      <c r="L886">
        <v>20</v>
      </c>
      <c r="M886" s="2">
        <v>2.2999999999999998</v>
      </c>
      <c r="N886" s="2">
        <v>2.4700000000000002</v>
      </c>
      <c r="O886">
        <v>0</v>
      </c>
      <c r="P886">
        <v>1</v>
      </c>
      <c r="Q886" t="s">
        <v>558</v>
      </c>
      <c r="R886" t="s">
        <v>260</v>
      </c>
      <c r="S886" t="str">
        <f t="shared" si="123"/>
        <v>PA</v>
      </c>
    </row>
    <row r="887" spans="1:19" x14ac:dyDescent="0.3">
      <c r="A887" t="s">
        <v>12</v>
      </c>
      <c r="B887">
        <v>2016110023</v>
      </c>
      <c r="C887" t="s">
        <v>75</v>
      </c>
      <c r="E887" t="s">
        <v>446</v>
      </c>
      <c r="F887" t="s">
        <v>447</v>
      </c>
      <c r="G887">
        <v>2</v>
      </c>
      <c r="H887" t="s">
        <v>438</v>
      </c>
      <c r="I887" s="4">
        <f t="shared" si="124"/>
        <v>3</v>
      </c>
      <c r="J887">
        <f t="shared" si="125"/>
        <v>6</v>
      </c>
      <c r="K887">
        <v>42</v>
      </c>
      <c r="L887">
        <v>20</v>
      </c>
      <c r="M887" s="2">
        <v>2.1</v>
      </c>
      <c r="N887" s="2">
        <v>2.4700000000000002</v>
      </c>
      <c r="O887">
        <v>0</v>
      </c>
      <c r="P887">
        <v>6</v>
      </c>
      <c r="Q887" t="s">
        <v>567</v>
      </c>
      <c r="R887" t="s">
        <v>260</v>
      </c>
      <c r="S887" t="str">
        <f t="shared" si="123"/>
        <v>PA</v>
      </c>
    </row>
    <row r="888" spans="1:19" x14ac:dyDescent="0.3">
      <c r="A888" t="s">
        <v>12</v>
      </c>
      <c r="B888">
        <v>2016110023</v>
      </c>
      <c r="C888" t="s">
        <v>75</v>
      </c>
      <c r="E888" t="s">
        <v>165</v>
      </c>
      <c r="F888" t="s">
        <v>166</v>
      </c>
      <c r="G888">
        <v>2</v>
      </c>
      <c r="H888" t="s">
        <v>438</v>
      </c>
      <c r="I888" s="4">
        <f t="shared" si="124"/>
        <v>3</v>
      </c>
      <c r="J888">
        <f t="shared" si="125"/>
        <v>6</v>
      </c>
      <c r="K888">
        <v>46</v>
      </c>
      <c r="L888">
        <v>20</v>
      </c>
      <c r="M888" s="2">
        <v>2.2999999999999998</v>
      </c>
      <c r="N888" s="2">
        <v>2.4700000000000002</v>
      </c>
      <c r="O888">
        <v>0</v>
      </c>
      <c r="P888">
        <v>1</v>
      </c>
      <c r="Q888" t="s">
        <v>558</v>
      </c>
      <c r="R888" t="s">
        <v>260</v>
      </c>
      <c r="S888" t="str">
        <f t="shared" si="123"/>
        <v>PA</v>
      </c>
    </row>
    <row r="889" spans="1:19" x14ac:dyDescent="0.3">
      <c r="A889" t="s">
        <v>12</v>
      </c>
      <c r="B889">
        <v>2016110023</v>
      </c>
      <c r="C889" t="s">
        <v>75</v>
      </c>
      <c r="E889" t="s">
        <v>306</v>
      </c>
      <c r="F889" t="s">
        <v>307</v>
      </c>
      <c r="G889">
        <v>2</v>
      </c>
      <c r="H889" t="s">
        <v>438</v>
      </c>
      <c r="I889" s="4">
        <f t="shared" si="124"/>
        <v>3</v>
      </c>
      <c r="J889">
        <f t="shared" si="125"/>
        <v>6</v>
      </c>
      <c r="K889">
        <v>32</v>
      </c>
      <c r="L889">
        <v>14</v>
      </c>
      <c r="M889" s="2">
        <v>2.29</v>
      </c>
      <c r="N889" s="2">
        <v>2.4700000000000002</v>
      </c>
      <c r="O889">
        <v>0</v>
      </c>
      <c r="P889">
        <v>5</v>
      </c>
      <c r="Q889" t="s">
        <v>568</v>
      </c>
      <c r="R889" t="s">
        <v>260</v>
      </c>
      <c r="S889" t="str">
        <f t="shared" si="123"/>
        <v>PA</v>
      </c>
    </row>
    <row r="890" spans="1:19" x14ac:dyDescent="0.3">
      <c r="A890" t="s">
        <v>12</v>
      </c>
      <c r="B890">
        <v>2016110023</v>
      </c>
      <c r="C890" t="s">
        <v>75</v>
      </c>
      <c r="E890" t="s">
        <v>131</v>
      </c>
      <c r="F890" t="s">
        <v>132</v>
      </c>
      <c r="G890">
        <v>2</v>
      </c>
      <c r="H890" t="s">
        <v>438</v>
      </c>
      <c r="I890" s="4">
        <f t="shared" si="124"/>
        <v>3</v>
      </c>
      <c r="J890">
        <f t="shared" si="125"/>
        <v>6</v>
      </c>
      <c r="K890">
        <v>46</v>
      </c>
      <c r="L890">
        <v>20</v>
      </c>
      <c r="M890" s="2">
        <v>2.2999999999999998</v>
      </c>
      <c r="N890" s="2">
        <v>2.4700000000000002</v>
      </c>
      <c r="O890">
        <v>0</v>
      </c>
      <c r="P890">
        <v>1</v>
      </c>
      <c r="Q890" t="s">
        <v>558</v>
      </c>
      <c r="R890" t="s">
        <v>260</v>
      </c>
      <c r="S890" t="str">
        <f t="shared" si="123"/>
        <v>PA</v>
      </c>
    </row>
    <row r="891" spans="1:19" x14ac:dyDescent="0.3">
      <c r="A891" t="s">
        <v>12</v>
      </c>
      <c r="B891">
        <v>2016110023</v>
      </c>
      <c r="C891" t="s">
        <v>75</v>
      </c>
      <c r="E891" t="s">
        <v>276</v>
      </c>
      <c r="F891" t="s">
        <v>137</v>
      </c>
      <c r="G891">
        <v>4</v>
      </c>
      <c r="H891" t="s">
        <v>438</v>
      </c>
      <c r="I891" s="4">
        <f t="shared" si="124"/>
        <v>3</v>
      </c>
      <c r="J891">
        <f t="shared" si="125"/>
        <v>12</v>
      </c>
      <c r="K891">
        <v>32</v>
      </c>
      <c r="L891">
        <v>20</v>
      </c>
      <c r="M891" s="2">
        <v>1.6</v>
      </c>
      <c r="N891" s="2">
        <v>2.4700000000000002</v>
      </c>
      <c r="O891">
        <v>0</v>
      </c>
      <c r="P891">
        <v>4</v>
      </c>
      <c r="Q891" t="s">
        <v>565</v>
      </c>
      <c r="R891" t="s">
        <v>260</v>
      </c>
      <c r="S891" t="str">
        <f t="shared" si="123"/>
        <v>PA</v>
      </c>
    </row>
    <row r="892" spans="1:19" x14ac:dyDescent="0.3">
      <c r="A892" t="s">
        <v>12</v>
      </c>
      <c r="B892">
        <v>2016110023</v>
      </c>
      <c r="C892" t="s">
        <v>75</v>
      </c>
      <c r="E892" t="s">
        <v>90</v>
      </c>
      <c r="F892" t="s">
        <v>91</v>
      </c>
      <c r="G892">
        <v>2</v>
      </c>
      <c r="H892" t="s">
        <v>438</v>
      </c>
      <c r="I892" s="4">
        <f t="shared" si="124"/>
        <v>3</v>
      </c>
      <c r="J892">
        <f t="shared" si="125"/>
        <v>6</v>
      </c>
      <c r="K892">
        <v>46</v>
      </c>
      <c r="L892">
        <v>20</v>
      </c>
      <c r="M892" s="2">
        <v>2.2999999999999998</v>
      </c>
      <c r="N892" s="2">
        <v>2.4700000000000002</v>
      </c>
      <c r="O892">
        <v>0</v>
      </c>
      <c r="P892">
        <v>1</v>
      </c>
      <c r="Q892" t="s">
        <v>558</v>
      </c>
      <c r="R892" t="s">
        <v>260</v>
      </c>
      <c r="S892" t="str">
        <f t="shared" si="123"/>
        <v>PA</v>
      </c>
    </row>
    <row r="893" spans="1:19" x14ac:dyDescent="0.3">
      <c r="A893" t="s">
        <v>12</v>
      </c>
      <c r="B893">
        <v>2016110023</v>
      </c>
      <c r="C893" t="s">
        <v>75</v>
      </c>
      <c r="E893" t="s">
        <v>370</v>
      </c>
      <c r="F893" t="s">
        <v>371</v>
      </c>
      <c r="G893">
        <v>2</v>
      </c>
      <c r="H893" t="s">
        <v>438</v>
      </c>
      <c r="I893" s="4">
        <f t="shared" si="124"/>
        <v>3</v>
      </c>
      <c r="J893">
        <f t="shared" si="125"/>
        <v>6</v>
      </c>
      <c r="K893">
        <v>36</v>
      </c>
      <c r="L893">
        <v>14</v>
      </c>
      <c r="M893" s="2">
        <v>2.57</v>
      </c>
      <c r="N893" s="2">
        <v>2.4700000000000002</v>
      </c>
      <c r="O893">
        <v>0</v>
      </c>
      <c r="P893">
        <v>3</v>
      </c>
      <c r="Q893" t="s">
        <v>566</v>
      </c>
      <c r="R893" t="s">
        <v>260</v>
      </c>
      <c r="S893" t="str">
        <f t="shared" si="123"/>
        <v>PA</v>
      </c>
    </row>
    <row r="894" spans="1:19" x14ac:dyDescent="0.3">
      <c r="A894" t="s">
        <v>12</v>
      </c>
      <c r="B894">
        <v>2016110023</v>
      </c>
      <c r="C894" t="s">
        <v>75</v>
      </c>
      <c r="E894" t="s">
        <v>283</v>
      </c>
      <c r="F894" t="s">
        <v>284</v>
      </c>
      <c r="G894">
        <v>2</v>
      </c>
      <c r="H894" t="s">
        <v>438</v>
      </c>
      <c r="I894" s="4">
        <f t="shared" si="124"/>
        <v>3</v>
      </c>
      <c r="J894">
        <f t="shared" si="125"/>
        <v>6</v>
      </c>
      <c r="K894">
        <v>32</v>
      </c>
      <c r="L894">
        <v>14</v>
      </c>
      <c r="M894" s="2">
        <v>2.29</v>
      </c>
      <c r="N894" s="2">
        <v>2.4700000000000002</v>
      </c>
      <c r="O894">
        <v>0</v>
      </c>
      <c r="P894">
        <v>5</v>
      </c>
      <c r="Q894" t="s">
        <v>568</v>
      </c>
      <c r="R894" t="s">
        <v>260</v>
      </c>
      <c r="S894" t="str">
        <f t="shared" si="123"/>
        <v>PA</v>
      </c>
    </row>
    <row r="895" spans="1:19" x14ac:dyDescent="0.3">
      <c r="A895" t="s">
        <v>12</v>
      </c>
      <c r="B895">
        <v>2016110023</v>
      </c>
      <c r="C895" t="s">
        <v>75</v>
      </c>
      <c r="E895" t="s">
        <v>279</v>
      </c>
      <c r="F895" t="s">
        <v>280</v>
      </c>
      <c r="G895">
        <v>2</v>
      </c>
      <c r="H895" t="s">
        <v>438</v>
      </c>
      <c r="I895" s="4">
        <f t="shared" si="124"/>
        <v>3</v>
      </c>
      <c r="J895">
        <f t="shared" si="125"/>
        <v>6</v>
      </c>
      <c r="K895">
        <v>30</v>
      </c>
      <c r="L895">
        <v>16</v>
      </c>
      <c r="M895" s="2">
        <v>1.88</v>
      </c>
      <c r="N895" s="2">
        <v>2.4700000000000002</v>
      </c>
      <c r="O895">
        <v>0</v>
      </c>
      <c r="P895">
        <v>2</v>
      </c>
      <c r="Q895" t="s">
        <v>559</v>
      </c>
      <c r="R895" t="s">
        <v>260</v>
      </c>
      <c r="S895" t="str">
        <f t="shared" si="123"/>
        <v>PA</v>
      </c>
    </row>
    <row r="896" spans="1:19" x14ac:dyDescent="0.3">
      <c r="A896" t="s">
        <v>12</v>
      </c>
      <c r="B896">
        <v>2016110023</v>
      </c>
      <c r="C896" t="s">
        <v>75</v>
      </c>
      <c r="E896" t="s">
        <v>302</v>
      </c>
      <c r="F896" t="s">
        <v>303</v>
      </c>
      <c r="G896">
        <v>2</v>
      </c>
      <c r="H896" t="s">
        <v>438</v>
      </c>
      <c r="I896" s="4">
        <f t="shared" si="124"/>
        <v>3</v>
      </c>
      <c r="J896">
        <f t="shared" si="125"/>
        <v>6</v>
      </c>
      <c r="K896">
        <v>42</v>
      </c>
      <c r="L896">
        <v>20</v>
      </c>
      <c r="M896" s="2">
        <v>2.1</v>
      </c>
      <c r="N896" s="2">
        <v>2.4700000000000002</v>
      </c>
      <c r="O896">
        <v>0</v>
      </c>
      <c r="P896">
        <v>6</v>
      </c>
      <c r="Q896" t="s">
        <v>567</v>
      </c>
      <c r="R896" t="s">
        <v>260</v>
      </c>
      <c r="S896" t="str">
        <f t="shared" si="123"/>
        <v>PA</v>
      </c>
    </row>
    <row r="897" spans="1:19" x14ac:dyDescent="0.3">
      <c r="A897" t="s">
        <v>12</v>
      </c>
      <c r="B897">
        <v>2016110023</v>
      </c>
      <c r="C897" t="s">
        <v>75</v>
      </c>
      <c r="E897" t="s">
        <v>190</v>
      </c>
      <c r="F897" t="s">
        <v>191</v>
      </c>
      <c r="G897">
        <v>4</v>
      </c>
      <c r="H897" t="s">
        <v>438</v>
      </c>
      <c r="I897" s="4">
        <f t="shared" si="124"/>
        <v>3</v>
      </c>
      <c r="J897">
        <f t="shared" si="125"/>
        <v>12</v>
      </c>
      <c r="K897">
        <v>40</v>
      </c>
      <c r="L897">
        <v>14</v>
      </c>
      <c r="M897" s="2">
        <v>2.86</v>
      </c>
      <c r="N897" s="2">
        <v>2.4700000000000002</v>
      </c>
      <c r="O897">
        <v>0</v>
      </c>
      <c r="P897">
        <v>3</v>
      </c>
      <c r="Q897" t="s">
        <v>563</v>
      </c>
      <c r="R897" t="s">
        <v>260</v>
      </c>
      <c r="S897" t="str">
        <f t="shared" si="123"/>
        <v>PA</v>
      </c>
    </row>
    <row r="898" spans="1:19" x14ac:dyDescent="0.3">
      <c r="A898" t="s">
        <v>12</v>
      </c>
      <c r="B898">
        <v>2016110023</v>
      </c>
      <c r="C898" t="s">
        <v>75</v>
      </c>
      <c r="E898" t="s">
        <v>427</v>
      </c>
      <c r="F898" t="s">
        <v>428</v>
      </c>
      <c r="G898">
        <v>2</v>
      </c>
      <c r="H898" t="s">
        <v>438</v>
      </c>
      <c r="I898" s="4">
        <f t="shared" si="124"/>
        <v>3</v>
      </c>
      <c r="J898">
        <f t="shared" si="125"/>
        <v>6</v>
      </c>
      <c r="K898">
        <v>42</v>
      </c>
      <c r="L898">
        <v>20</v>
      </c>
      <c r="M898" s="2">
        <v>2.1</v>
      </c>
      <c r="N898" s="2">
        <v>2.4700000000000002</v>
      </c>
      <c r="O898">
        <v>0</v>
      </c>
      <c r="P898">
        <v>6</v>
      </c>
      <c r="Q898" t="s">
        <v>567</v>
      </c>
      <c r="R898" t="s">
        <v>260</v>
      </c>
      <c r="S898" t="str">
        <f t="shared" si="123"/>
        <v>PA</v>
      </c>
    </row>
    <row r="899" spans="1:19" x14ac:dyDescent="0.3">
      <c r="A899" t="s">
        <v>12</v>
      </c>
      <c r="B899">
        <v>2016110023</v>
      </c>
      <c r="C899" t="s">
        <v>75</v>
      </c>
      <c r="E899" t="s">
        <v>357</v>
      </c>
      <c r="F899" t="s">
        <v>358</v>
      </c>
      <c r="G899">
        <v>4</v>
      </c>
      <c r="H899" t="s">
        <v>438</v>
      </c>
      <c r="I899" s="4">
        <f t="shared" si="124"/>
        <v>3</v>
      </c>
      <c r="J899">
        <f t="shared" si="125"/>
        <v>12</v>
      </c>
      <c r="K899">
        <v>22</v>
      </c>
      <c r="L899">
        <v>10</v>
      </c>
      <c r="M899" s="2">
        <v>2.2000000000000002</v>
      </c>
      <c r="N899" s="2">
        <v>2.4700000000000002</v>
      </c>
      <c r="O899">
        <v>0</v>
      </c>
      <c r="P899">
        <v>7</v>
      </c>
      <c r="Q899" t="s">
        <v>570</v>
      </c>
      <c r="R899" t="s">
        <v>260</v>
      </c>
      <c r="S899" t="str">
        <f t="shared" si="123"/>
        <v>PA</v>
      </c>
    </row>
    <row r="900" spans="1:19" x14ac:dyDescent="0.3">
      <c r="A900" t="s">
        <v>12</v>
      </c>
      <c r="B900">
        <v>2016110023</v>
      </c>
      <c r="C900" t="s">
        <v>75</v>
      </c>
      <c r="E900" t="s">
        <v>344</v>
      </c>
      <c r="F900" t="s">
        <v>345</v>
      </c>
      <c r="G900">
        <v>2</v>
      </c>
      <c r="H900" t="s">
        <v>438</v>
      </c>
      <c r="I900" s="4">
        <f t="shared" si="124"/>
        <v>3</v>
      </c>
      <c r="J900">
        <f t="shared" si="125"/>
        <v>6</v>
      </c>
      <c r="K900">
        <v>32</v>
      </c>
      <c r="L900">
        <v>14</v>
      </c>
      <c r="M900" s="2">
        <v>2.29</v>
      </c>
      <c r="N900" s="2">
        <v>2.4700000000000002</v>
      </c>
      <c r="O900">
        <v>0</v>
      </c>
      <c r="P900">
        <v>5</v>
      </c>
      <c r="Q900" t="s">
        <v>568</v>
      </c>
      <c r="R900" t="s">
        <v>260</v>
      </c>
      <c r="S900" t="str">
        <f t="shared" si="123"/>
        <v>PA</v>
      </c>
    </row>
    <row r="901" spans="1:19" x14ac:dyDescent="0.3">
      <c r="A901" t="s">
        <v>12</v>
      </c>
      <c r="B901">
        <v>2016110023</v>
      </c>
      <c r="C901" t="s">
        <v>75</v>
      </c>
      <c r="E901" t="s">
        <v>208</v>
      </c>
      <c r="F901" t="s">
        <v>209</v>
      </c>
      <c r="G901">
        <v>2</v>
      </c>
      <c r="H901" t="s">
        <v>438</v>
      </c>
      <c r="I901" s="4">
        <f t="shared" si="124"/>
        <v>3</v>
      </c>
      <c r="J901">
        <f t="shared" si="125"/>
        <v>6</v>
      </c>
      <c r="K901">
        <v>36</v>
      </c>
      <c r="L901">
        <v>14</v>
      </c>
      <c r="M901" s="2">
        <v>2.57</v>
      </c>
      <c r="N901" s="2">
        <v>2.4700000000000002</v>
      </c>
      <c r="O901">
        <v>0</v>
      </c>
      <c r="P901">
        <v>3</v>
      </c>
      <c r="Q901" t="s">
        <v>566</v>
      </c>
      <c r="R901" t="s">
        <v>260</v>
      </c>
      <c r="S901" t="str">
        <f t="shared" si="123"/>
        <v>PA</v>
      </c>
    </row>
    <row r="902" spans="1:19" x14ac:dyDescent="0.3">
      <c r="A902" t="s">
        <v>12</v>
      </c>
      <c r="B902">
        <v>2016110023</v>
      </c>
      <c r="C902" t="s">
        <v>75</v>
      </c>
      <c r="E902" t="s">
        <v>330</v>
      </c>
      <c r="F902" t="s">
        <v>108</v>
      </c>
      <c r="G902">
        <v>2</v>
      </c>
      <c r="H902" t="s">
        <v>438</v>
      </c>
      <c r="I902" s="4">
        <f t="shared" si="124"/>
        <v>3</v>
      </c>
      <c r="J902">
        <f t="shared" si="125"/>
        <v>6</v>
      </c>
      <c r="K902">
        <v>32</v>
      </c>
      <c r="L902">
        <v>14</v>
      </c>
      <c r="M902" s="2">
        <v>2.29</v>
      </c>
      <c r="N902" s="2">
        <v>2.4700000000000002</v>
      </c>
      <c r="O902">
        <v>0</v>
      </c>
      <c r="P902">
        <v>5</v>
      </c>
      <c r="Q902" t="s">
        <v>568</v>
      </c>
      <c r="R902" t="s">
        <v>260</v>
      </c>
      <c r="S902" t="str">
        <f t="shared" si="123"/>
        <v>PA</v>
      </c>
    </row>
    <row r="903" spans="1:19" x14ac:dyDescent="0.3">
      <c r="A903" t="s">
        <v>12</v>
      </c>
      <c r="B903">
        <v>2016110023</v>
      </c>
      <c r="C903" t="s">
        <v>75</v>
      </c>
      <c r="E903" t="s">
        <v>372</v>
      </c>
      <c r="F903" t="s">
        <v>373</v>
      </c>
      <c r="G903">
        <v>2</v>
      </c>
      <c r="H903" t="s">
        <v>438</v>
      </c>
      <c r="I903" s="4">
        <f t="shared" si="124"/>
        <v>3</v>
      </c>
      <c r="J903">
        <f t="shared" si="125"/>
        <v>6</v>
      </c>
      <c r="K903">
        <v>42</v>
      </c>
      <c r="L903">
        <v>20</v>
      </c>
      <c r="M903" s="2">
        <v>2.1</v>
      </c>
      <c r="N903" s="2">
        <v>2.4700000000000002</v>
      </c>
      <c r="O903">
        <v>0</v>
      </c>
      <c r="P903">
        <v>6</v>
      </c>
      <c r="Q903" t="s">
        <v>567</v>
      </c>
      <c r="R903" t="s">
        <v>260</v>
      </c>
      <c r="S903" t="str">
        <f t="shared" si="123"/>
        <v>PA</v>
      </c>
    </row>
    <row r="904" spans="1:19" x14ac:dyDescent="0.3">
      <c r="A904" t="s">
        <v>12</v>
      </c>
      <c r="B904">
        <v>2016110023</v>
      </c>
      <c r="C904" t="s">
        <v>75</v>
      </c>
      <c r="E904" t="s">
        <v>170</v>
      </c>
      <c r="F904" t="s">
        <v>171</v>
      </c>
      <c r="G904">
        <v>4</v>
      </c>
      <c r="H904" t="s">
        <v>438</v>
      </c>
      <c r="I904" s="4">
        <f t="shared" si="124"/>
        <v>3</v>
      </c>
      <c r="J904">
        <f t="shared" si="125"/>
        <v>12</v>
      </c>
      <c r="K904">
        <v>40</v>
      </c>
      <c r="L904">
        <v>14</v>
      </c>
      <c r="M904" s="2">
        <v>2.86</v>
      </c>
      <c r="N904" s="2">
        <v>2.4700000000000002</v>
      </c>
      <c r="O904">
        <v>0</v>
      </c>
      <c r="P904">
        <v>3</v>
      </c>
      <c r="Q904" t="s">
        <v>563</v>
      </c>
      <c r="R904" t="s">
        <v>260</v>
      </c>
      <c r="S904" t="str">
        <f t="shared" si="123"/>
        <v>PA</v>
      </c>
    </row>
    <row r="905" spans="1:19" x14ac:dyDescent="0.3">
      <c r="A905" t="s">
        <v>12</v>
      </c>
      <c r="B905">
        <v>2016110023</v>
      </c>
      <c r="C905" t="s">
        <v>75</v>
      </c>
      <c r="E905" t="s">
        <v>262</v>
      </c>
      <c r="F905" t="s">
        <v>263</v>
      </c>
      <c r="G905">
        <v>2</v>
      </c>
      <c r="H905" t="s">
        <v>438</v>
      </c>
      <c r="I905" s="4">
        <f t="shared" si="124"/>
        <v>3</v>
      </c>
      <c r="J905">
        <f t="shared" si="125"/>
        <v>6</v>
      </c>
      <c r="K905">
        <v>42</v>
      </c>
      <c r="L905">
        <v>20</v>
      </c>
      <c r="M905" s="2">
        <v>2.1</v>
      </c>
      <c r="N905" s="2">
        <v>2.4700000000000002</v>
      </c>
      <c r="O905">
        <v>0</v>
      </c>
      <c r="P905">
        <v>6</v>
      </c>
      <c r="Q905" t="s">
        <v>567</v>
      </c>
      <c r="R905" t="s">
        <v>260</v>
      </c>
      <c r="S905" t="str">
        <f t="shared" si="123"/>
        <v>PA</v>
      </c>
    </row>
    <row r="906" spans="1:19" x14ac:dyDescent="0.3">
      <c r="A906" t="s">
        <v>12</v>
      </c>
      <c r="B906">
        <v>2016110023</v>
      </c>
      <c r="C906" t="s">
        <v>75</v>
      </c>
      <c r="E906" t="s">
        <v>234</v>
      </c>
      <c r="F906" t="s">
        <v>235</v>
      </c>
      <c r="G906">
        <v>4</v>
      </c>
      <c r="H906" t="s">
        <v>438</v>
      </c>
      <c r="I906" s="4">
        <f t="shared" si="124"/>
        <v>3</v>
      </c>
      <c r="J906">
        <f t="shared" si="125"/>
        <v>12</v>
      </c>
      <c r="K906">
        <v>40</v>
      </c>
      <c r="L906">
        <v>14</v>
      </c>
      <c r="M906" s="2">
        <v>2.86</v>
      </c>
      <c r="N906" s="2">
        <v>2.4700000000000002</v>
      </c>
      <c r="O906">
        <v>0</v>
      </c>
      <c r="P906">
        <v>3</v>
      </c>
      <c r="Q906" t="s">
        <v>563</v>
      </c>
      <c r="R906" t="s">
        <v>260</v>
      </c>
      <c r="S906" t="str">
        <f t="shared" si="123"/>
        <v>PA</v>
      </c>
    </row>
    <row r="907" spans="1:19" x14ac:dyDescent="0.3">
      <c r="A907" t="s">
        <v>12</v>
      </c>
      <c r="B907">
        <v>2016110023</v>
      </c>
      <c r="C907" t="s">
        <v>75</v>
      </c>
      <c r="E907" t="s">
        <v>142</v>
      </c>
      <c r="F907" t="s">
        <v>143</v>
      </c>
      <c r="G907">
        <v>2</v>
      </c>
      <c r="H907" t="s">
        <v>524</v>
      </c>
      <c r="I907" s="4">
        <f t="shared" si="124"/>
        <v>2</v>
      </c>
      <c r="J907">
        <f t="shared" si="125"/>
        <v>4</v>
      </c>
      <c r="K907">
        <v>46</v>
      </c>
      <c r="L907">
        <v>20</v>
      </c>
      <c r="M907" s="2">
        <v>2.2999999999999998</v>
      </c>
      <c r="N907" s="2">
        <v>2.4700000000000002</v>
      </c>
      <c r="O907">
        <v>0</v>
      </c>
      <c r="P907">
        <v>1</v>
      </c>
      <c r="Q907" t="s">
        <v>558</v>
      </c>
      <c r="R907" t="s">
        <v>260</v>
      </c>
      <c r="S907" t="str">
        <f t="shared" si="123"/>
        <v>PA</v>
      </c>
    </row>
    <row r="908" spans="1:19" x14ac:dyDescent="0.3">
      <c r="A908" t="s">
        <v>12</v>
      </c>
      <c r="B908">
        <v>2016110023</v>
      </c>
      <c r="C908" t="s">
        <v>75</v>
      </c>
      <c r="E908" t="s">
        <v>142</v>
      </c>
      <c r="F908" t="s">
        <v>143</v>
      </c>
      <c r="G908">
        <v>2</v>
      </c>
      <c r="H908" t="s">
        <v>524</v>
      </c>
      <c r="I908" s="4">
        <f t="shared" si="124"/>
        <v>2</v>
      </c>
      <c r="J908">
        <f t="shared" si="125"/>
        <v>4</v>
      </c>
      <c r="K908">
        <v>10</v>
      </c>
      <c r="L908">
        <v>10</v>
      </c>
      <c r="M908" s="2">
        <v>1</v>
      </c>
      <c r="N908" s="2">
        <v>2.4700000000000002</v>
      </c>
      <c r="O908">
        <v>1</v>
      </c>
      <c r="P908">
        <v>9</v>
      </c>
      <c r="Q908" t="s">
        <v>573</v>
      </c>
      <c r="R908" t="s">
        <v>260</v>
      </c>
      <c r="S908" t="str">
        <f t="shared" si="123"/>
        <v>PA</v>
      </c>
    </row>
    <row r="909" spans="1:19" x14ac:dyDescent="0.3">
      <c r="A909" t="s">
        <v>12</v>
      </c>
      <c r="B909">
        <v>2016110023</v>
      </c>
      <c r="C909" t="s">
        <v>75</v>
      </c>
      <c r="E909" t="s">
        <v>244</v>
      </c>
      <c r="F909" t="s">
        <v>228</v>
      </c>
      <c r="G909">
        <v>2</v>
      </c>
      <c r="H909" t="s">
        <v>524</v>
      </c>
      <c r="I909" s="4">
        <f t="shared" si="124"/>
        <v>2</v>
      </c>
      <c r="J909">
        <f t="shared" si="125"/>
        <v>4</v>
      </c>
      <c r="K909">
        <v>32</v>
      </c>
      <c r="L909">
        <v>20</v>
      </c>
      <c r="M909" s="2">
        <v>1.6</v>
      </c>
      <c r="N909" s="2">
        <v>2.4700000000000002</v>
      </c>
      <c r="O909">
        <v>0</v>
      </c>
      <c r="P909">
        <v>4</v>
      </c>
      <c r="Q909" t="s">
        <v>565</v>
      </c>
      <c r="R909" t="s">
        <v>260</v>
      </c>
      <c r="S909" t="str">
        <f t="shared" si="123"/>
        <v>PA</v>
      </c>
    </row>
    <row r="910" spans="1:19" x14ac:dyDescent="0.3">
      <c r="A910" t="s">
        <v>12</v>
      </c>
      <c r="B910">
        <v>2016110023</v>
      </c>
      <c r="C910" t="s">
        <v>75</v>
      </c>
      <c r="E910" t="s">
        <v>244</v>
      </c>
      <c r="F910" t="s">
        <v>228</v>
      </c>
      <c r="G910">
        <v>2</v>
      </c>
      <c r="H910" t="s">
        <v>539</v>
      </c>
      <c r="I910" s="4">
        <f t="shared" si="124"/>
        <v>0</v>
      </c>
      <c r="J910">
        <f t="shared" si="125"/>
        <v>0</v>
      </c>
      <c r="K910">
        <v>22</v>
      </c>
      <c r="L910">
        <v>14</v>
      </c>
      <c r="M910" s="2">
        <v>1.57</v>
      </c>
      <c r="N910" s="2">
        <v>2.4700000000000002</v>
      </c>
      <c r="O910">
        <v>1</v>
      </c>
      <c r="P910">
        <v>10</v>
      </c>
      <c r="Q910" t="s">
        <v>560</v>
      </c>
      <c r="R910" t="s">
        <v>535</v>
      </c>
      <c r="S910" t="str">
        <f t="shared" si="123"/>
        <v>FA</v>
      </c>
    </row>
    <row r="911" spans="1:19" x14ac:dyDescent="0.3">
      <c r="A911" t="s">
        <v>12</v>
      </c>
      <c r="B911">
        <v>2016110023</v>
      </c>
      <c r="C911" t="s">
        <v>75</v>
      </c>
      <c r="E911" t="s">
        <v>382</v>
      </c>
      <c r="F911" t="s">
        <v>383</v>
      </c>
      <c r="G911">
        <v>4</v>
      </c>
      <c r="H911" t="s">
        <v>524</v>
      </c>
      <c r="I911" s="4">
        <f t="shared" si="124"/>
        <v>2</v>
      </c>
      <c r="J911">
        <f t="shared" si="125"/>
        <v>8</v>
      </c>
      <c r="K911">
        <v>32</v>
      </c>
      <c r="L911">
        <v>14</v>
      </c>
      <c r="M911" s="2">
        <v>2.29</v>
      </c>
      <c r="N911" s="2">
        <v>2.4700000000000002</v>
      </c>
      <c r="O911">
        <v>0</v>
      </c>
      <c r="P911">
        <v>5</v>
      </c>
      <c r="Q911" t="s">
        <v>568</v>
      </c>
      <c r="R911" t="s">
        <v>260</v>
      </c>
      <c r="S911" t="str">
        <f t="shared" si="123"/>
        <v>PA</v>
      </c>
    </row>
    <row r="912" spans="1:19" x14ac:dyDescent="0.3">
      <c r="A912" t="s">
        <v>12</v>
      </c>
      <c r="B912">
        <v>2016110023</v>
      </c>
      <c r="C912" t="s">
        <v>75</v>
      </c>
      <c r="E912" t="s">
        <v>139</v>
      </c>
      <c r="F912" t="s">
        <v>140</v>
      </c>
      <c r="G912">
        <v>2</v>
      </c>
      <c r="H912" t="s">
        <v>524</v>
      </c>
      <c r="I912" s="4">
        <f t="shared" si="124"/>
        <v>2</v>
      </c>
      <c r="J912">
        <f t="shared" si="125"/>
        <v>4</v>
      </c>
      <c r="K912">
        <v>30</v>
      </c>
      <c r="L912">
        <v>16</v>
      </c>
      <c r="M912" s="2">
        <v>1.88</v>
      </c>
      <c r="N912" s="2">
        <v>2.4700000000000002</v>
      </c>
      <c r="O912">
        <v>0</v>
      </c>
      <c r="P912">
        <v>2</v>
      </c>
      <c r="Q912" t="s">
        <v>559</v>
      </c>
      <c r="R912" t="s">
        <v>260</v>
      </c>
      <c r="S912" t="str">
        <f t="shared" si="123"/>
        <v>PA</v>
      </c>
    </row>
    <row r="913" spans="1:19" x14ac:dyDescent="0.3">
      <c r="A913" t="s">
        <v>12</v>
      </c>
      <c r="B913">
        <v>2016110023</v>
      </c>
      <c r="C913" t="s">
        <v>75</v>
      </c>
      <c r="E913" t="s">
        <v>139</v>
      </c>
      <c r="F913" t="s">
        <v>140</v>
      </c>
      <c r="G913">
        <v>2</v>
      </c>
      <c r="H913" t="s">
        <v>539</v>
      </c>
      <c r="I913" s="4">
        <f t="shared" si="124"/>
        <v>0</v>
      </c>
      <c r="J913">
        <f t="shared" si="125"/>
        <v>0</v>
      </c>
      <c r="K913">
        <v>32</v>
      </c>
      <c r="L913">
        <v>20</v>
      </c>
      <c r="M913" s="2">
        <v>1.6</v>
      </c>
      <c r="N913" s="2">
        <v>2.4700000000000002</v>
      </c>
      <c r="O913">
        <v>1</v>
      </c>
      <c r="P913">
        <v>4</v>
      </c>
      <c r="Q913" t="s">
        <v>565</v>
      </c>
      <c r="R913" t="s">
        <v>260</v>
      </c>
      <c r="S913" t="str">
        <f t="shared" si="123"/>
        <v>FA</v>
      </c>
    </row>
    <row r="914" spans="1:19" x14ac:dyDescent="0.3">
      <c r="A914" t="s">
        <v>12</v>
      </c>
      <c r="B914">
        <v>2016110023</v>
      </c>
      <c r="C914" t="s">
        <v>75</v>
      </c>
      <c r="E914" t="s">
        <v>139</v>
      </c>
      <c r="F914" t="s">
        <v>140</v>
      </c>
      <c r="G914">
        <v>2</v>
      </c>
      <c r="I914" s="4"/>
      <c r="J914">
        <f t="shared" ref="J914:J920" si="126">G914*I914</f>
        <v>0</v>
      </c>
      <c r="K914">
        <v>22</v>
      </c>
      <c r="L914">
        <v>14</v>
      </c>
      <c r="M914" s="2">
        <v>1.57</v>
      </c>
      <c r="N914" s="2">
        <v>2.4700000000000002</v>
      </c>
      <c r="O914">
        <v>2</v>
      </c>
      <c r="P914">
        <v>10</v>
      </c>
      <c r="Q914" t="s">
        <v>560</v>
      </c>
      <c r="R914" t="s">
        <v>535</v>
      </c>
      <c r="S914" t="s">
        <v>595</v>
      </c>
    </row>
    <row r="915" spans="1:19" x14ac:dyDescent="0.3">
      <c r="A915" t="s">
        <v>12</v>
      </c>
      <c r="B915">
        <v>2016110023</v>
      </c>
      <c r="C915" t="s">
        <v>75</v>
      </c>
      <c r="E915" t="s">
        <v>100</v>
      </c>
      <c r="F915" t="s">
        <v>101</v>
      </c>
      <c r="G915">
        <v>4</v>
      </c>
      <c r="H915" t="s">
        <v>524</v>
      </c>
      <c r="I915" s="4">
        <f t="shared" ref="I915:I920" si="127">IF(H915="A",4,IF(H915="B",3,IF(H915="C",2,IF(H915="D",1,0))))</f>
        <v>2</v>
      </c>
      <c r="J915">
        <f t="shared" si="126"/>
        <v>8</v>
      </c>
      <c r="K915">
        <v>30</v>
      </c>
      <c r="L915">
        <v>16</v>
      </c>
      <c r="M915" s="2">
        <v>1.88</v>
      </c>
      <c r="N915" s="2">
        <v>2.4700000000000002</v>
      </c>
      <c r="O915">
        <v>0</v>
      </c>
      <c r="P915">
        <v>2</v>
      </c>
      <c r="Q915" t="s">
        <v>559</v>
      </c>
      <c r="R915" t="s">
        <v>260</v>
      </c>
      <c r="S915" t="str">
        <f t="shared" ref="S915:S918" si="128">IF(OR(H915="A",H915="B",H915="C"),"PA","FA")</f>
        <v>PA</v>
      </c>
    </row>
    <row r="916" spans="1:19" x14ac:dyDescent="0.3">
      <c r="A916" t="s">
        <v>12</v>
      </c>
      <c r="B916">
        <v>2016110023</v>
      </c>
      <c r="C916" t="s">
        <v>75</v>
      </c>
      <c r="E916" t="s">
        <v>100</v>
      </c>
      <c r="F916" t="s">
        <v>101</v>
      </c>
      <c r="G916">
        <v>4</v>
      </c>
      <c r="H916" t="s">
        <v>260</v>
      </c>
      <c r="I916" s="4">
        <f t="shared" ref="I916:I918" si="129">IF(H916="A",4,IF(H916="B",3,IF(H916="C",2,IF(H916="D",1,0))))</f>
        <v>4</v>
      </c>
      <c r="J916">
        <f t="shared" ref="J916:J918" si="130">G916*I916</f>
        <v>16</v>
      </c>
      <c r="K916">
        <v>76</v>
      </c>
      <c r="L916">
        <v>28</v>
      </c>
      <c r="M916" s="2">
        <f>K916/L916</f>
        <v>2.7142857142857144</v>
      </c>
      <c r="N916" s="2">
        <v>2.4700000000000002</v>
      </c>
      <c r="O916">
        <v>1</v>
      </c>
      <c r="P916">
        <v>8</v>
      </c>
      <c r="Q916" t="s">
        <v>571</v>
      </c>
      <c r="R916" t="s">
        <v>260</v>
      </c>
      <c r="S916" t="str">
        <f t="shared" si="128"/>
        <v>PA</v>
      </c>
    </row>
    <row r="917" spans="1:19" x14ac:dyDescent="0.3">
      <c r="A917" t="s">
        <v>12</v>
      </c>
      <c r="B917">
        <v>2016110023</v>
      </c>
      <c r="C917" t="s">
        <v>75</v>
      </c>
      <c r="E917" t="s">
        <v>264</v>
      </c>
      <c r="F917" t="s">
        <v>265</v>
      </c>
      <c r="G917">
        <v>2</v>
      </c>
      <c r="H917" t="s">
        <v>524</v>
      </c>
      <c r="I917" s="4">
        <f t="shared" si="129"/>
        <v>2</v>
      </c>
      <c r="J917">
        <f t="shared" si="130"/>
        <v>4</v>
      </c>
      <c r="K917">
        <v>36</v>
      </c>
      <c r="L917">
        <v>14</v>
      </c>
      <c r="M917" s="2">
        <v>2.57</v>
      </c>
      <c r="N917" s="2">
        <v>2.4700000000000002</v>
      </c>
      <c r="O917">
        <v>0</v>
      </c>
      <c r="P917">
        <v>3</v>
      </c>
      <c r="Q917" t="s">
        <v>566</v>
      </c>
      <c r="R917" t="s">
        <v>260</v>
      </c>
      <c r="S917" t="str">
        <f t="shared" si="128"/>
        <v>PA</v>
      </c>
    </row>
    <row r="918" spans="1:19" x14ac:dyDescent="0.3">
      <c r="A918" t="s">
        <v>12</v>
      </c>
      <c r="B918">
        <v>2016110023</v>
      </c>
      <c r="C918" t="s">
        <v>75</v>
      </c>
      <c r="E918" t="s">
        <v>316</v>
      </c>
      <c r="F918" t="s">
        <v>317</v>
      </c>
      <c r="G918">
        <v>2</v>
      </c>
      <c r="H918" t="s">
        <v>524</v>
      </c>
      <c r="I918" s="4">
        <f t="shared" si="129"/>
        <v>2</v>
      </c>
      <c r="J918">
        <f t="shared" si="130"/>
        <v>4</v>
      </c>
      <c r="K918">
        <v>22</v>
      </c>
      <c r="L918">
        <v>10</v>
      </c>
      <c r="M918" s="2">
        <v>2.2000000000000002</v>
      </c>
      <c r="N918" s="2">
        <v>2.4700000000000002</v>
      </c>
      <c r="O918">
        <v>0</v>
      </c>
      <c r="P918">
        <v>7</v>
      </c>
      <c r="Q918" t="s">
        <v>570</v>
      </c>
      <c r="R918" t="s">
        <v>260</v>
      </c>
      <c r="S918" t="str">
        <f t="shared" si="128"/>
        <v>PA</v>
      </c>
    </row>
    <row r="919" spans="1:19" x14ac:dyDescent="0.3">
      <c r="A919" t="s">
        <v>12</v>
      </c>
      <c r="B919">
        <v>2016110023</v>
      </c>
      <c r="C919" t="s">
        <v>75</v>
      </c>
      <c r="E919" t="s">
        <v>316</v>
      </c>
      <c r="F919" t="s">
        <v>317</v>
      </c>
      <c r="G919">
        <v>2</v>
      </c>
      <c r="I919" s="4"/>
      <c r="J919">
        <f t="shared" si="126"/>
        <v>0</v>
      </c>
      <c r="K919">
        <v>10</v>
      </c>
      <c r="L919">
        <v>10</v>
      </c>
      <c r="M919" s="2">
        <v>1</v>
      </c>
      <c r="N919" s="2">
        <v>2.4700000000000002</v>
      </c>
      <c r="O919">
        <v>1</v>
      </c>
      <c r="P919">
        <v>9</v>
      </c>
      <c r="Q919" t="s">
        <v>573</v>
      </c>
      <c r="R919" t="s">
        <v>260</v>
      </c>
      <c r="S919" t="s">
        <v>595</v>
      </c>
    </row>
    <row r="920" spans="1:19" x14ac:dyDescent="0.3">
      <c r="A920" t="s">
        <v>12</v>
      </c>
      <c r="B920">
        <v>2016110023</v>
      </c>
      <c r="C920" t="s">
        <v>75</v>
      </c>
      <c r="E920" t="s">
        <v>173</v>
      </c>
      <c r="F920" t="s">
        <v>8</v>
      </c>
      <c r="G920">
        <v>2</v>
      </c>
      <c r="H920" t="s">
        <v>524</v>
      </c>
      <c r="I920" s="4">
        <f t="shared" si="127"/>
        <v>2</v>
      </c>
      <c r="J920">
        <f t="shared" si="126"/>
        <v>4</v>
      </c>
      <c r="K920">
        <v>40</v>
      </c>
      <c r="L920">
        <v>14</v>
      </c>
      <c r="M920" s="2">
        <v>2.86</v>
      </c>
      <c r="N920" s="2">
        <v>2.4700000000000002</v>
      </c>
      <c r="O920">
        <v>0</v>
      </c>
      <c r="P920">
        <v>3</v>
      </c>
      <c r="Q920" t="s">
        <v>563</v>
      </c>
      <c r="R920" t="s">
        <v>260</v>
      </c>
      <c r="S920" t="str">
        <f t="shared" ref="S920:S952" si="131">IF(OR(H920="A",H920="B",H920="C"),"PA","FA")</f>
        <v>PA</v>
      </c>
    </row>
    <row r="921" spans="1:19" x14ac:dyDescent="0.3">
      <c r="A921" t="s">
        <v>12</v>
      </c>
      <c r="B921">
        <v>2016110023</v>
      </c>
      <c r="C921" t="s">
        <v>75</v>
      </c>
      <c r="E921" t="s">
        <v>151</v>
      </c>
      <c r="F921" t="s">
        <v>152</v>
      </c>
      <c r="G921">
        <v>2</v>
      </c>
      <c r="H921" t="s">
        <v>524</v>
      </c>
      <c r="I921" s="4">
        <f t="shared" ref="I921:I952" si="132">IF(H921="A",4,IF(H921="B",3,IF(H921="C",2,IF(H921="D",1,0))))</f>
        <v>2</v>
      </c>
      <c r="J921">
        <f t="shared" ref="J921:J952" si="133">G921*I921</f>
        <v>4</v>
      </c>
      <c r="K921">
        <v>46</v>
      </c>
      <c r="L921">
        <v>20</v>
      </c>
      <c r="M921" s="2">
        <v>2.2999999999999998</v>
      </c>
      <c r="N921" s="2">
        <v>2.4700000000000002</v>
      </c>
      <c r="O921">
        <v>0</v>
      </c>
      <c r="P921">
        <v>1</v>
      </c>
      <c r="Q921" t="s">
        <v>558</v>
      </c>
      <c r="R921" t="s">
        <v>260</v>
      </c>
      <c r="S921" t="str">
        <f t="shared" si="131"/>
        <v>PA</v>
      </c>
    </row>
    <row r="922" spans="1:19" x14ac:dyDescent="0.3">
      <c r="A922" t="s">
        <v>12</v>
      </c>
      <c r="B922">
        <v>2016110023</v>
      </c>
      <c r="C922" t="s">
        <v>75</v>
      </c>
      <c r="E922" t="s">
        <v>151</v>
      </c>
      <c r="F922" t="s">
        <v>152</v>
      </c>
      <c r="G922">
        <v>2</v>
      </c>
      <c r="H922" t="s">
        <v>438</v>
      </c>
      <c r="I922" s="4">
        <f t="shared" si="132"/>
        <v>3</v>
      </c>
      <c r="J922">
        <f t="shared" si="133"/>
        <v>6</v>
      </c>
      <c r="K922">
        <v>10</v>
      </c>
      <c r="L922">
        <v>10</v>
      </c>
      <c r="M922" s="2">
        <v>1</v>
      </c>
      <c r="N922" s="2">
        <v>2.4700000000000002</v>
      </c>
      <c r="O922">
        <v>1</v>
      </c>
      <c r="P922">
        <v>9</v>
      </c>
      <c r="Q922" t="s">
        <v>573</v>
      </c>
      <c r="R922" t="s">
        <v>260</v>
      </c>
      <c r="S922" t="str">
        <f t="shared" si="131"/>
        <v>PA</v>
      </c>
    </row>
    <row r="923" spans="1:19" x14ac:dyDescent="0.3">
      <c r="A923" t="s">
        <v>12</v>
      </c>
      <c r="B923">
        <v>2016110023</v>
      </c>
      <c r="C923" t="s">
        <v>75</v>
      </c>
      <c r="E923" t="s">
        <v>374</v>
      </c>
      <c r="F923" t="s">
        <v>375</v>
      </c>
      <c r="G923">
        <v>2</v>
      </c>
      <c r="H923" t="s">
        <v>524</v>
      </c>
      <c r="I923" s="4">
        <f t="shared" si="132"/>
        <v>2</v>
      </c>
      <c r="J923">
        <f t="shared" si="133"/>
        <v>4</v>
      </c>
      <c r="K923">
        <v>32</v>
      </c>
      <c r="L923">
        <v>20</v>
      </c>
      <c r="M923" s="2">
        <v>1.6</v>
      </c>
      <c r="N923" s="2">
        <v>2.4700000000000002</v>
      </c>
      <c r="O923">
        <v>0</v>
      </c>
      <c r="P923">
        <v>4</v>
      </c>
      <c r="Q923" t="s">
        <v>565</v>
      </c>
      <c r="R923" t="s">
        <v>260</v>
      </c>
      <c r="S923" t="str">
        <f t="shared" si="131"/>
        <v>PA</v>
      </c>
    </row>
    <row r="924" spans="1:19" x14ac:dyDescent="0.3">
      <c r="A924" t="s">
        <v>12</v>
      </c>
      <c r="B924">
        <v>2016110023</v>
      </c>
      <c r="C924" t="s">
        <v>75</v>
      </c>
      <c r="E924" t="s">
        <v>374</v>
      </c>
      <c r="F924" t="s">
        <v>375</v>
      </c>
      <c r="G924">
        <v>2</v>
      </c>
      <c r="H924" t="s">
        <v>438</v>
      </c>
      <c r="I924" s="4">
        <f t="shared" si="132"/>
        <v>3</v>
      </c>
      <c r="J924">
        <f t="shared" si="133"/>
        <v>6</v>
      </c>
      <c r="K924">
        <v>22</v>
      </c>
      <c r="L924">
        <v>14</v>
      </c>
      <c r="M924" s="2">
        <v>1.57</v>
      </c>
      <c r="N924" s="2">
        <v>2.4700000000000002</v>
      </c>
      <c r="O924">
        <v>1</v>
      </c>
      <c r="P924">
        <v>10</v>
      </c>
      <c r="Q924" t="s">
        <v>560</v>
      </c>
      <c r="R924" t="s">
        <v>535</v>
      </c>
      <c r="S924" t="str">
        <f t="shared" si="131"/>
        <v>PA</v>
      </c>
    </row>
    <row r="925" spans="1:19" x14ac:dyDescent="0.3">
      <c r="A925" t="s">
        <v>12</v>
      </c>
      <c r="B925">
        <v>2016110023</v>
      </c>
      <c r="C925" t="s">
        <v>75</v>
      </c>
      <c r="E925" t="s">
        <v>273</v>
      </c>
      <c r="F925" t="s">
        <v>274</v>
      </c>
      <c r="G925">
        <v>2</v>
      </c>
      <c r="H925" t="s">
        <v>524</v>
      </c>
      <c r="I925" s="4">
        <f t="shared" si="132"/>
        <v>2</v>
      </c>
      <c r="J925">
        <f t="shared" si="133"/>
        <v>4</v>
      </c>
      <c r="K925">
        <v>42</v>
      </c>
      <c r="L925">
        <v>20</v>
      </c>
      <c r="M925" s="2">
        <v>2.1</v>
      </c>
      <c r="N925" s="2">
        <v>2.4700000000000002</v>
      </c>
      <c r="O925">
        <v>0</v>
      </c>
      <c r="P925">
        <v>6</v>
      </c>
      <c r="Q925" t="s">
        <v>567</v>
      </c>
      <c r="R925" t="s">
        <v>260</v>
      </c>
      <c r="S925" t="str">
        <f t="shared" si="131"/>
        <v>PA</v>
      </c>
    </row>
    <row r="926" spans="1:19" x14ac:dyDescent="0.3">
      <c r="A926" t="s">
        <v>12</v>
      </c>
      <c r="B926">
        <v>2016110023</v>
      </c>
      <c r="C926" t="s">
        <v>75</v>
      </c>
      <c r="E926" t="s">
        <v>273</v>
      </c>
      <c r="F926" t="s">
        <v>274</v>
      </c>
      <c r="G926">
        <v>2</v>
      </c>
      <c r="H926" t="s">
        <v>524</v>
      </c>
      <c r="I926" s="4">
        <f t="shared" si="132"/>
        <v>2</v>
      </c>
      <c r="J926">
        <f t="shared" si="133"/>
        <v>4</v>
      </c>
      <c r="K926">
        <v>22</v>
      </c>
      <c r="L926">
        <v>14</v>
      </c>
      <c r="M926" s="2">
        <v>1.57</v>
      </c>
      <c r="N926" s="2">
        <v>2.4700000000000002</v>
      </c>
      <c r="O926">
        <v>1</v>
      </c>
      <c r="P926">
        <v>10</v>
      </c>
      <c r="Q926" t="s">
        <v>560</v>
      </c>
      <c r="R926" t="s">
        <v>535</v>
      </c>
      <c r="S926" t="str">
        <f t="shared" si="131"/>
        <v>PA</v>
      </c>
    </row>
    <row r="927" spans="1:19" x14ac:dyDescent="0.3">
      <c r="A927" t="s">
        <v>12</v>
      </c>
      <c r="B927">
        <v>2016110023</v>
      </c>
      <c r="C927" t="s">
        <v>75</v>
      </c>
      <c r="E927" t="s">
        <v>248</v>
      </c>
      <c r="F927" t="s">
        <v>249</v>
      </c>
      <c r="G927">
        <v>2</v>
      </c>
      <c r="H927" t="s">
        <v>524</v>
      </c>
      <c r="I927" s="4">
        <f t="shared" si="132"/>
        <v>2</v>
      </c>
      <c r="J927">
        <f t="shared" si="133"/>
        <v>4</v>
      </c>
      <c r="K927">
        <v>32</v>
      </c>
      <c r="L927">
        <v>20</v>
      </c>
      <c r="M927" s="2">
        <v>1.6</v>
      </c>
      <c r="N927" s="2">
        <v>2.4700000000000002</v>
      </c>
      <c r="O927">
        <v>0</v>
      </c>
      <c r="P927">
        <v>4</v>
      </c>
      <c r="Q927" t="s">
        <v>565</v>
      </c>
      <c r="R927" t="s">
        <v>260</v>
      </c>
      <c r="S927" t="str">
        <f t="shared" si="131"/>
        <v>PA</v>
      </c>
    </row>
    <row r="928" spans="1:19" x14ac:dyDescent="0.3">
      <c r="A928" t="s">
        <v>12</v>
      </c>
      <c r="B928">
        <v>2016110023</v>
      </c>
      <c r="C928" t="s">
        <v>75</v>
      </c>
      <c r="E928" t="s">
        <v>248</v>
      </c>
      <c r="F928" t="s">
        <v>249</v>
      </c>
      <c r="G928">
        <v>2</v>
      </c>
      <c r="H928" t="s">
        <v>438</v>
      </c>
      <c r="I928" s="4">
        <f t="shared" si="132"/>
        <v>3</v>
      </c>
      <c r="J928">
        <f t="shared" si="133"/>
        <v>6</v>
      </c>
      <c r="K928">
        <v>10</v>
      </c>
      <c r="L928">
        <v>10</v>
      </c>
      <c r="M928" s="2">
        <v>1</v>
      </c>
      <c r="N928" s="2">
        <v>2.4700000000000002</v>
      </c>
      <c r="O928">
        <v>1</v>
      </c>
      <c r="P928">
        <v>8</v>
      </c>
      <c r="Q928" t="s">
        <v>569</v>
      </c>
      <c r="R928" t="s">
        <v>260</v>
      </c>
      <c r="S928" t="str">
        <f t="shared" si="131"/>
        <v>PA</v>
      </c>
    </row>
    <row r="929" spans="1:19" x14ac:dyDescent="0.3">
      <c r="A929" t="s">
        <v>12</v>
      </c>
      <c r="B929">
        <v>2016110023</v>
      </c>
      <c r="C929" t="s">
        <v>75</v>
      </c>
      <c r="E929" t="s">
        <v>437</v>
      </c>
      <c r="F929" t="s">
        <v>169</v>
      </c>
      <c r="G929">
        <v>4</v>
      </c>
      <c r="H929" t="s">
        <v>524</v>
      </c>
      <c r="I929" s="4">
        <f t="shared" si="132"/>
        <v>2</v>
      </c>
      <c r="J929">
        <f t="shared" si="133"/>
        <v>8</v>
      </c>
      <c r="K929">
        <v>46</v>
      </c>
      <c r="L929">
        <v>20</v>
      </c>
      <c r="M929" s="2">
        <v>2.2999999999999998</v>
      </c>
      <c r="N929" s="2">
        <v>2.4700000000000002</v>
      </c>
      <c r="O929">
        <v>0</v>
      </c>
      <c r="P929">
        <v>1</v>
      </c>
      <c r="Q929" t="s">
        <v>558</v>
      </c>
      <c r="R929" t="s">
        <v>260</v>
      </c>
      <c r="S929" t="str">
        <f t="shared" si="131"/>
        <v>PA</v>
      </c>
    </row>
    <row r="930" spans="1:19" x14ac:dyDescent="0.3">
      <c r="A930" t="s">
        <v>12</v>
      </c>
      <c r="B930">
        <v>2016110023</v>
      </c>
      <c r="C930" t="s">
        <v>75</v>
      </c>
      <c r="E930" t="s">
        <v>211</v>
      </c>
      <c r="F930" t="s">
        <v>186</v>
      </c>
      <c r="G930">
        <v>4</v>
      </c>
      <c r="H930" t="s">
        <v>524</v>
      </c>
      <c r="I930" s="4">
        <f t="shared" si="132"/>
        <v>2</v>
      </c>
      <c r="J930">
        <f t="shared" si="133"/>
        <v>8</v>
      </c>
      <c r="K930">
        <v>36</v>
      </c>
      <c r="L930">
        <v>14</v>
      </c>
      <c r="M930" s="2">
        <v>2.57</v>
      </c>
      <c r="N930" s="2">
        <v>2.4700000000000002</v>
      </c>
      <c r="O930">
        <v>0</v>
      </c>
      <c r="P930">
        <v>3</v>
      </c>
      <c r="Q930" t="s">
        <v>566</v>
      </c>
      <c r="R930" t="s">
        <v>260</v>
      </c>
      <c r="S930" t="str">
        <f t="shared" si="131"/>
        <v>PA</v>
      </c>
    </row>
    <row r="931" spans="1:19" x14ac:dyDescent="0.3">
      <c r="A931" t="s">
        <v>12</v>
      </c>
      <c r="B931">
        <v>2016110023</v>
      </c>
      <c r="C931" t="s">
        <v>75</v>
      </c>
      <c r="E931" t="s">
        <v>290</v>
      </c>
      <c r="F931" t="s">
        <v>327</v>
      </c>
      <c r="G931">
        <v>4</v>
      </c>
      <c r="H931" t="s">
        <v>524</v>
      </c>
      <c r="I931" s="4">
        <f t="shared" si="132"/>
        <v>2</v>
      </c>
      <c r="J931">
        <f t="shared" si="133"/>
        <v>8</v>
      </c>
      <c r="K931">
        <v>30</v>
      </c>
      <c r="L931">
        <v>16</v>
      </c>
      <c r="M931" s="2">
        <v>1.88</v>
      </c>
      <c r="N931" s="2">
        <v>2.4700000000000002</v>
      </c>
      <c r="O931">
        <v>0</v>
      </c>
      <c r="P931">
        <v>2</v>
      </c>
      <c r="Q931" t="s">
        <v>559</v>
      </c>
      <c r="R931" t="s">
        <v>260</v>
      </c>
      <c r="S931" t="str">
        <f t="shared" si="131"/>
        <v>PA</v>
      </c>
    </row>
    <row r="932" spans="1:19" x14ac:dyDescent="0.3">
      <c r="A932" t="s">
        <v>12</v>
      </c>
      <c r="B932">
        <v>2016110023</v>
      </c>
      <c r="C932" t="s">
        <v>75</v>
      </c>
      <c r="E932" t="s">
        <v>290</v>
      </c>
      <c r="F932" t="s">
        <v>327</v>
      </c>
      <c r="G932">
        <v>4</v>
      </c>
      <c r="H932" t="s">
        <v>524</v>
      </c>
      <c r="I932" s="4">
        <f t="shared" si="132"/>
        <v>2</v>
      </c>
      <c r="J932">
        <f t="shared" si="133"/>
        <v>8</v>
      </c>
      <c r="K932">
        <v>22</v>
      </c>
      <c r="L932">
        <v>14</v>
      </c>
      <c r="M932" s="2">
        <v>1.57</v>
      </c>
      <c r="N932" s="2">
        <v>2.4700000000000002</v>
      </c>
      <c r="O932">
        <v>1</v>
      </c>
      <c r="P932">
        <v>10</v>
      </c>
      <c r="Q932" t="s">
        <v>560</v>
      </c>
      <c r="R932" t="s">
        <v>535</v>
      </c>
      <c r="S932" t="str">
        <f t="shared" si="131"/>
        <v>PA</v>
      </c>
    </row>
    <row r="933" spans="1:19" x14ac:dyDescent="0.3">
      <c r="A933" t="s">
        <v>12</v>
      </c>
      <c r="B933">
        <v>2016110023</v>
      </c>
      <c r="C933" t="s">
        <v>75</v>
      </c>
      <c r="E933" t="s">
        <v>236</v>
      </c>
      <c r="F933" t="s">
        <v>237</v>
      </c>
      <c r="G933">
        <v>2</v>
      </c>
      <c r="H933" t="s">
        <v>524</v>
      </c>
      <c r="I933" s="4">
        <f t="shared" si="132"/>
        <v>2</v>
      </c>
      <c r="J933">
        <f t="shared" si="133"/>
        <v>4</v>
      </c>
      <c r="K933">
        <v>36</v>
      </c>
      <c r="L933">
        <v>14</v>
      </c>
      <c r="M933" s="2">
        <v>2.57</v>
      </c>
      <c r="N933" s="2">
        <v>2.4700000000000002</v>
      </c>
      <c r="O933">
        <v>0</v>
      </c>
      <c r="P933">
        <v>3</v>
      </c>
      <c r="Q933" t="s">
        <v>566</v>
      </c>
      <c r="R933" t="s">
        <v>260</v>
      </c>
      <c r="S933" t="str">
        <f t="shared" si="131"/>
        <v>PA</v>
      </c>
    </row>
    <row r="934" spans="1:19" x14ac:dyDescent="0.3">
      <c r="A934" t="s">
        <v>12</v>
      </c>
      <c r="B934">
        <v>2016110023</v>
      </c>
      <c r="C934" t="s">
        <v>75</v>
      </c>
      <c r="E934" t="s">
        <v>297</v>
      </c>
      <c r="F934" t="s">
        <v>342</v>
      </c>
      <c r="G934">
        <v>4</v>
      </c>
      <c r="H934" t="s">
        <v>535</v>
      </c>
      <c r="I934" s="4">
        <f t="shared" si="132"/>
        <v>1</v>
      </c>
      <c r="J934">
        <f t="shared" si="133"/>
        <v>4</v>
      </c>
      <c r="K934">
        <v>42</v>
      </c>
      <c r="L934">
        <v>20</v>
      </c>
      <c r="M934" s="2">
        <v>2.1</v>
      </c>
      <c r="N934" s="2">
        <v>2.4700000000000002</v>
      </c>
      <c r="O934">
        <v>0</v>
      </c>
      <c r="P934">
        <v>6</v>
      </c>
      <c r="Q934" t="s">
        <v>567</v>
      </c>
      <c r="R934" t="s">
        <v>260</v>
      </c>
      <c r="S934" t="str">
        <f t="shared" si="131"/>
        <v>FA</v>
      </c>
    </row>
    <row r="935" spans="1:19" x14ac:dyDescent="0.3">
      <c r="A935" t="s">
        <v>12</v>
      </c>
      <c r="B935">
        <v>2016110023</v>
      </c>
      <c r="C935" t="s">
        <v>75</v>
      </c>
      <c r="E935" t="s">
        <v>297</v>
      </c>
      <c r="F935" t="s">
        <v>342</v>
      </c>
      <c r="G935">
        <v>4</v>
      </c>
      <c r="H935" t="s">
        <v>535</v>
      </c>
      <c r="I935" s="4">
        <f t="shared" si="132"/>
        <v>1</v>
      </c>
      <c r="J935">
        <f t="shared" si="133"/>
        <v>4</v>
      </c>
      <c r="K935">
        <v>22</v>
      </c>
      <c r="L935">
        <v>14</v>
      </c>
      <c r="M935" s="2">
        <v>1.57</v>
      </c>
      <c r="N935" s="2">
        <v>2.4700000000000002</v>
      </c>
      <c r="O935">
        <v>1</v>
      </c>
      <c r="P935">
        <v>10</v>
      </c>
      <c r="Q935" t="s">
        <v>560</v>
      </c>
      <c r="R935" t="s">
        <v>535</v>
      </c>
      <c r="S935" t="str">
        <f t="shared" si="131"/>
        <v>FA</v>
      </c>
    </row>
    <row r="936" spans="1:19" x14ac:dyDescent="0.3">
      <c r="A936" t="s">
        <v>12</v>
      </c>
      <c r="B936">
        <v>2016110023</v>
      </c>
      <c r="C936" t="s">
        <v>75</v>
      </c>
      <c r="E936" t="s">
        <v>122</v>
      </c>
      <c r="F936" t="s">
        <v>123</v>
      </c>
      <c r="G936">
        <v>4</v>
      </c>
      <c r="H936" t="s">
        <v>535</v>
      </c>
      <c r="I936" s="4">
        <f t="shared" si="132"/>
        <v>1</v>
      </c>
      <c r="J936">
        <f t="shared" si="133"/>
        <v>4</v>
      </c>
      <c r="K936">
        <v>46</v>
      </c>
      <c r="L936">
        <v>20</v>
      </c>
      <c r="M936" s="2">
        <v>2.2999999999999998</v>
      </c>
      <c r="N936" s="2">
        <v>2.4700000000000002</v>
      </c>
      <c r="O936">
        <v>0</v>
      </c>
      <c r="P936">
        <v>1</v>
      </c>
      <c r="Q936" t="s">
        <v>558</v>
      </c>
      <c r="R936" t="s">
        <v>260</v>
      </c>
      <c r="S936" t="str">
        <f t="shared" si="131"/>
        <v>FA</v>
      </c>
    </row>
    <row r="937" spans="1:19" x14ac:dyDescent="0.3">
      <c r="A937" t="s">
        <v>12</v>
      </c>
      <c r="B937">
        <v>2016110023</v>
      </c>
      <c r="C937" t="s">
        <v>75</v>
      </c>
      <c r="E937" t="s">
        <v>122</v>
      </c>
      <c r="F937" t="s">
        <v>123</v>
      </c>
      <c r="G937">
        <v>4</v>
      </c>
      <c r="H937" t="s">
        <v>438</v>
      </c>
      <c r="I937" s="4">
        <f t="shared" si="132"/>
        <v>3</v>
      </c>
      <c r="J937">
        <f t="shared" si="133"/>
        <v>12</v>
      </c>
      <c r="K937">
        <v>76</v>
      </c>
      <c r="L937">
        <v>28</v>
      </c>
      <c r="M937" s="2">
        <f>K937/L937</f>
        <v>2.7142857142857144</v>
      </c>
      <c r="N937" s="2">
        <v>2.4700000000000002</v>
      </c>
      <c r="O937">
        <v>1</v>
      </c>
      <c r="P937">
        <v>8</v>
      </c>
      <c r="Q937" t="s">
        <v>571</v>
      </c>
      <c r="R937" t="s">
        <v>260</v>
      </c>
      <c r="S937" t="str">
        <f t="shared" si="131"/>
        <v>PA</v>
      </c>
    </row>
    <row r="938" spans="1:19" x14ac:dyDescent="0.3">
      <c r="A938" t="s">
        <v>12</v>
      </c>
      <c r="B938">
        <v>2016110023</v>
      </c>
      <c r="C938" t="s">
        <v>75</v>
      </c>
      <c r="E938" t="s">
        <v>257</v>
      </c>
      <c r="F938" t="s">
        <v>258</v>
      </c>
      <c r="G938">
        <v>4</v>
      </c>
      <c r="H938" t="s">
        <v>535</v>
      </c>
      <c r="I938" s="4">
        <f t="shared" si="132"/>
        <v>1</v>
      </c>
      <c r="J938">
        <f t="shared" si="133"/>
        <v>4</v>
      </c>
      <c r="K938">
        <v>42</v>
      </c>
      <c r="L938">
        <v>20</v>
      </c>
      <c r="M938" s="2">
        <v>2.1</v>
      </c>
      <c r="N938" s="2">
        <v>2.4700000000000002</v>
      </c>
      <c r="O938">
        <v>0</v>
      </c>
      <c r="P938">
        <v>6</v>
      </c>
      <c r="Q938" t="s">
        <v>567</v>
      </c>
      <c r="R938" t="s">
        <v>260</v>
      </c>
      <c r="S938" t="str">
        <f t="shared" si="131"/>
        <v>FA</v>
      </c>
    </row>
    <row r="939" spans="1:19" x14ac:dyDescent="0.3">
      <c r="A939" t="s">
        <v>12</v>
      </c>
      <c r="B939">
        <v>2016110023</v>
      </c>
      <c r="C939" t="s">
        <v>75</v>
      </c>
      <c r="E939" t="s">
        <v>97</v>
      </c>
      <c r="F939" t="s">
        <v>98</v>
      </c>
      <c r="G939">
        <v>4</v>
      </c>
      <c r="H939" t="s">
        <v>524</v>
      </c>
      <c r="I939" s="4">
        <f t="shared" si="132"/>
        <v>2</v>
      </c>
      <c r="J939">
        <f t="shared" si="133"/>
        <v>8</v>
      </c>
      <c r="K939">
        <v>32</v>
      </c>
      <c r="L939">
        <v>20</v>
      </c>
      <c r="M939" s="2">
        <v>1.6</v>
      </c>
      <c r="N939" s="2">
        <v>2.4700000000000002</v>
      </c>
      <c r="O939">
        <v>0</v>
      </c>
      <c r="P939">
        <v>4</v>
      </c>
      <c r="Q939" t="s">
        <v>565</v>
      </c>
      <c r="R939" t="s">
        <v>260</v>
      </c>
      <c r="S939" t="str">
        <f t="shared" si="131"/>
        <v>PA</v>
      </c>
    </row>
    <row r="940" spans="1:19" x14ac:dyDescent="0.3">
      <c r="A940" t="s">
        <v>12</v>
      </c>
      <c r="B940">
        <v>2016110023</v>
      </c>
      <c r="C940" t="s">
        <v>75</v>
      </c>
      <c r="E940" t="s">
        <v>257</v>
      </c>
      <c r="F940" t="s">
        <v>258</v>
      </c>
      <c r="G940">
        <v>4</v>
      </c>
      <c r="H940" t="s">
        <v>524</v>
      </c>
      <c r="I940" s="4">
        <f t="shared" si="132"/>
        <v>2</v>
      </c>
      <c r="J940">
        <f t="shared" si="133"/>
        <v>8</v>
      </c>
      <c r="K940">
        <v>76</v>
      </c>
      <c r="L940">
        <v>28</v>
      </c>
      <c r="M940" s="2">
        <f t="shared" ref="M940:M941" si="134">K940/L940</f>
        <v>2.7142857142857144</v>
      </c>
      <c r="N940" s="2">
        <v>2.4700000000000002</v>
      </c>
      <c r="O940">
        <v>1</v>
      </c>
      <c r="P940">
        <v>8</v>
      </c>
      <c r="Q940" t="s">
        <v>571</v>
      </c>
      <c r="R940" t="s">
        <v>260</v>
      </c>
      <c r="S940" t="str">
        <f t="shared" si="131"/>
        <v>PA</v>
      </c>
    </row>
    <row r="941" spans="1:19" x14ac:dyDescent="0.3">
      <c r="A941" t="s">
        <v>12</v>
      </c>
      <c r="B941">
        <v>2016110023</v>
      </c>
      <c r="C941" t="s">
        <v>75</v>
      </c>
      <c r="E941" t="s">
        <v>97</v>
      </c>
      <c r="F941" t="s">
        <v>98</v>
      </c>
      <c r="G941">
        <v>4</v>
      </c>
      <c r="H941" t="s">
        <v>524</v>
      </c>
      <c r="I941" s="4">
        <f t="shared" si="132"/>
        <v>2</v>
      </c>
      <c r="J941">
        <f t="shared" si="133"/>
        <v>8</v>
      </c>
      <c r="K941">
        <v>76</v>
      </c>
      <c r="L941">
        <v>28</v>
      </c>
      <c r="M941" s="2">
        <f t="shared" si="134"/>
        <v>2.7142857142857144</v>
      </c>
      <c r="N941" s="2">
        <v>2.4700000000000002</v>
      </c>
      <c r="O941">
        <v>1</v>
      </c>
      <c r="P941">
        <v>8</v>
      </c>
      <c r="Q941" t="s">
        <v>571</v>
      </c>
      <c r="R941" t="s">
        <v>260</v>
      </c>
      <c r="S941" t="str">
        <f t="shared" si="131"/>
        <v>PA</v>
      </c>
    </row>
    <row r="942" spans="1:19" x14ac:dyDescent="0.3">
      <c r="A942" t="s">
        <v>12</v>
      </c>
      <c r="B942">
        <v>2016110023</v>
      </c>
      <c r="C942" t="s">
        <v>75</v>
      </c>
      <c r="E942" t="s">
        <v>432</v>
      </c>
      <c r="F942" t="s">
        <v>433</v>
      </c>
      <c r="G942">
        <v>4</v>
      </c>
      <c r="H942" t="s">
        <v>535</v>
      </c>
      <c r="I942" s="4">
        <f t="shared" si="132"/>
        <v>1</v>
      </c>
      <c r="J942">
        <f t="shared" si="133"/>
        <v>4</v>
      </c>
      <c r="K942">
        <v>10</v>
      </c>
      <c r="L942">
        <v>10</v>
      </c>
      <c r="M942" s="2">
        <v>1</v>
      </c>
      <c r="N942" s="2">
        <v>2.4700000000000002</v>
      </c>
      <c r="O942">
        <v>0</v>
      </c>
      <c r="P942">
        <v>8</v>
      </c>
      <c r="Q942" t="s">
        <v>569</v>
      </c>
      <c r="R942" t="s">
        <v>260</v>
      </c>
      <c r="S942" t="str">
        <f t="shared" si="131"/>
        <v>FA</v>
      </c>
    </row>
    <row r="943" spans="1:19" x14ac:dyDescent="0.3">
      <c r="A943" t="s">
        <v>12</v>
      </c>
      <c r="B943">
        <v>2016110023</v>
      </c>
      <c r="C943" t="s">
        <v>75</v>
      </c>
      <c r="E943" t="s">
        <v>103</v>
      </c>
      <c r="F943" t="s">
        <v>104</v>
      </c>
      <c r="G943">
        <v>4</v>
      </c>
      <c r="H943" t="s">
        <v>535</v>
      </c>
      <c r="I943" s="4">
        <f t="shared" si="132"/>
        <v>1</v>
      </c>
      <c r="J943">
        <f t="shared" si="133"/>
        <v>4</v>
      </c>
      <c r="K943">
        <v>30</v>
      </c>
      <c r="L943">
        <v>16</v>
      </c>
      <c r="M943" s="2">
        <v>1.88</v>
      </c>
      <c r="N943" s="2">
        <v>2.4700000000000002</v>
      </c>
      <c r="O943">
        <v>0</v>
      </c>
      <c r="P943">
        <v>2</v>
      </c>
      <c r="Q943" t="s">
        <v>559</v>
      </c>
      <c r="R943" t="s">
        <v>260</v>
      </c>
      <c r="S943" t="str">
        <f t="shared" si="131"/>
        <v>FA</v>
      </c>
    </row>
    <row r="944" spans="1:19" x14ac:dyDescent="0.3">
      <c r="A944" t="s">
        <v>12</v>
      </c>
      <c r="B944">
        <v>2016110023</v>
      </c>
      <c r="C944" t="s">
        <v>75</v>
      </c>
      <c r="E944" t="s">
        <v>309</v>
      </c>
      <c r="F944" t="s">
        <v>310</v>
      </c>
      <c r="G944">
        <v>4</v>
      </c>
      <c r="H944" t="s">
        <v>539</v>
      </c>
      <c r="I944" s="4">
        <f t="shared" si="132"/>
        <v>0</v>
      </c>
      <c r="J944">
        <f t="shared" si="133"/>
        <v>0</v>
      </c>
      <c r="K944">
        <v>32</v>
      </c>
      <c r="L944">
        <v>20</v>
      </c>
      <c r="M944" s="2">
        <v>1.6</v>
      </c>
      <c r="N944" s="2">
        <v>2.4700000000000002</v>
      </c>
      <c r="O944">
        <v>0</v>
      </c>
      <c r="P944">
        <v>4</v>
      </c>
      <c r="Q944" t="s">
        <v>565</v>
      </c>
      <c r="R944" t="s">
        <v>260</v>
      </c>
      <c r="S944" t="str">
        <f t="shared" si="131"/>
        <v>FA</v>
      </c>
    </row>
    <row r="945" spans="1:19" x14ac:dyDescent="0.3">
      <c r="A945" t="s">
        <v>12</v>
      </c>
      <c r="B945">
        <v>2016110023</v>
      </c>
      <c r="C945" t="s">
        <v>75</v>
      </c>
      <c r="E945" t="s">
        <v>103</v>
      </c>
      <c r="F945" t="s">
        <v>104</v>
      </c>
      <c r="G945">
        <v>4</v>
      </c>
      <c r="H945" t="s">
        <v>438</v>
      </c>
      <c r="I945" s="4">
        <f t="shared" si="132"/>
        <v>3</v>
      </c>
      <c r="J945">
        <f t="shared" si="133"/>
        <v>12</v>
      </c>
      <c r="K945">
        <v>76</v>
      </c>
      <c r="L945">
        <v>28</v>
      </c>
      <c r="M945" s="2">
        <f t="shared" ref="M945:M946" si="135">K945/L945</f>
        <v>2.7142857142857144</v>
      </c>
      <c r="N945" s="2">
        <v>2.4700000000000002</v>
      </c>
      <c r="O945">
        <v>1</v>
      </c>
      <c r="P945">
        <v>8</v>
      </c>
      <c r="Q945" t="s">
        <v>571</v>
      </c>
      <c r="R945" t="s">
        <v>260</v>
      </c>
      <c r="S945" t="str">
        <f t="shared" si="131"/>
        <v>PA</v>
      </c>
    </row>
    <row r="946" spans="1:19" x14ac:dyDescent="0.3">
      <c r="A946" t="s">
        <v>12</v>
      </c>
      <c r="B946">
        <v>2016110023</v>
      </c>
      <c r="C946" t="s">
        <v>75</v>
      </c>
      <c r="E946" t="s">
        <v>309</v>
      </c>
      <c r="F946" t="s">
        <v>310</v>
      </c>
      <c r="G946">
        <v>4</v>
      </c>
      <c r="H946" t="s">
        <v>438</v>
      </c>
      <c r="I946" s="4">
        <f t="shared" si="132"/>
        <v>3</v>
      </c>
      <c r="J946">
        <f t="shared" si="133"/>
        <v>12</v>
      </c>
      <c r="K946">
        <v>76</v>
      </c>
      <c r="L946">
        <v>28</v>
      </c>
      <c r="M946" s="2">
        <f t="shared" si="135"/>
        <v>2.7142857142857144</v>
      </c>
      <c r="N946" s="2">
        <v>2.4700000000000002</v>
      </c>
      <c r="O946">
        <v>1</v>
      </c>
      <c r="P946">
        <v>8</v>
      </c>
      <c r="Q946" t="s">
        <v>571</v>
      </c>
      <c r="R946" t="s">
        <v>260</v>
      </c>
      <c r="S946" t="str">
        <f t="shared" si="131"/>
        <v>PA</v>
      </c>
    </row>
    <row r="947" spans="1:19" x14ac:dyDescent="0.3">
      <c r="A947" t="s">
        <v>12</v>
      </c>
      <c r="B947">
        <v>2016110023</v>
      </c>
      <c r="C947" t="s">
        <v>75</v>
      </c>
      <c r="E947" t="s">
        <v>192</v>
      </c>
      <c r="F947" t="s">
        <v>106</v>
      </c>
      <c r="G947">
        <v>2</v>
      </c>
      <c r="H947" t="s">
        <v>539</v>
      </c>
      <c r="I947" s="4">
        <f t="shared" si="132"/>
        <v>0</v>
      </c>
      <c r="J947">
        <f t="shared" si="133"/>
        <v>0</v>
      </c>
      <c r="K947">
        <v>32</v>
      </c>
      <c r="L947">
        <v>14</v>
      </c>
      <c r="M947" s="2">
        <v>2.29</v>
      </c>
      <c r="N947" s="2">
        <v>2.4700000000000002</v>
      </c>
      <c r="O947">
        <v>0</v>
      </c>
      <c r="P947">
        <v>5</v>
      </c>
      <c r="Q947" t="s">
        <v>568</v>
      </c>
      <c r="R947" t="s">
        <v>260</v>
      </c>
      <c r="S947" t="str">
        <f t="shared" si="131"/>
        <v>FA</v>
      </c>
    </row>
    <row r="948" spans="1:19" x14ac:dyDescent="0.3">
      <c r="A948" t="s">
        <v>12</v>
      </c>
      <c r="B948">
        <v>2016110023</v>
      </c>
      <c r="C948" t="s">
        <v>75</v>
      </c>
      <c r="E948" t="s">
        <v>192</v>
      </c>
      <c r="F948" t="s">
        <v>106</v>
      </c>
      <c r="G948">
        <v>2</v>
      </c>
      <c r="H948" t="s">
        <v>438</v>
      </c>
      <c r="I948" s="4">
        <f t="shared" si="132"/>
        <v>3</v>
      </c>
      <c r="J948">
        <f t="shared" si="133"/>
        <v>6</v>
      </c>
      <c r="K948">
        <v>22</v>
      </c>
      <c r="L948">
        <v>10</v>
      </c>
      <c r="M948" s="2">
        <v>2.2000000000000002</v>
      </c>
      <c r="N948" s="2">
        <v>2.4700000000000002</v>
      </c>
      <c r="O948">
        <v>1</v>
      </c>
      <c r="P948">
        <v>7</v>
      </c>
      <c r="Q948" t="s">
        <v>570</v>
      </c>
      <c r="R948" t="s">
        <v>260</v>
      </c>
      <c r="S948" t="str">
        <f t="shared" si="131"/>
        <v>PA</v>
      </c>
    </row>
    <row r="949" spans="1:19" x14ac:dyDescent="0.3">
      <c r="A949" t="s">
        <v>12</v>
      </c>
      <c r="B949">
        <v>2016110023</v>
      </c>
      <c r="C949" t="s">
        <v>75</v>
      </c>
      <c r="E949" t="s">
        <v>348</v>
      </c>
      <c r="F949" t="s">
        <v>493</v>
      </c>
      <c r="G949">
        <v>4</v>
      </c>
      <c r="H949" t="s">
        <v>539</v>
      </c>
      <c r="I949" s="4">
        <f t="shared" si="132"/>
        <v>0</v>
      </c>
      <c r="J949">
        <f t="shared" si="133"/>
        <v>0</v>
      </c>
      <c r="K949">
        <v>10</v>
      </c>
      <c r="L949">
        <v>10</v>
      </c>
      <c r="M949" s="2">
        <v>1</v>
      </c>
      <c r="N949" s="2">
        <v>2.4700000000000002</v>
      </c>
      <c r="O949">
        <v>0</v>
      </c>
      <c r="P949">
        <v>8</v>
      </c>
      <c r="Q949" t="s">
        <v>569</v>
      </c>
      <c r="R949" t="s">
        <v>260</v>
      </c>
      <c r="S949" t="str">
        <f t="shared" si="131"/>
        <v>FA</v>
      </c>
    </row>
    <row r="950" spans="1:19" x14ac:dyDescent="0.3">
      <c r="A950" t="s">
        <v>12</v>
      </c>
      <c r="B950">
        <v>2016110023</v>
      </c>
      <c r="C950" t="s">
        <v>75</v>
      </c>
      <c r="E950" t="s">
        <v>348</v>
      </c>
      <c r="F950" t="s">
        <v>493</v>
      </c>
      <c r="G950">
        <v>4</v>
      </c>
      <c r="H950" t="s">
        <v>524</v>
      </c>
      <c r="I950" s="4">
        <f t="shared" si="132"/>
        <v>2</v>
      </c>
      <c r="J950">
        <f t="shared" si="133"/>
        <v>8</v>
      </c>
      <c r="K950">
        <v>76</v>
      </c>
      <c r="L950">
        <v>28</v>
      </c>
      <c r="M950" s="2">
        <f>K950/L950</f>
        <v>2.7142857142857144</v>
      </c>
      <c r="N950" s="2">
        <v>2.4700000000000002</v>
      </c>
      <c r="O950">
        <v>1</v>
      </c>
      <c r="P950">
        <v>8</v>
      </c>
      <c r="Q950" t="s">
        <v>571</v>
      </c>
      <c r="R950" t="s">
        <v>260</v>
      </c>
      <c r="S950" t="str">
        <f t="shared" si="131"/>
        <v>PA</v>
      </c>
    </row>
    <row r="951" spans="1:19" x14ac:dyDescent="0.3">
      <c r="A951" t="s">
        <v>12</v>
      </c>
      <c r="B951">
        <v>2016110023</v>
      </c>
      <c r="C951" t="s">
        <v>75</v>
      </c>
      <c r="E951" t="s">
        <v>241</v>
      </c>
      <c r="F951" t="s">
        <v>45</v>
      </c>
      <c r="G951">
        <v>2</v>
      </c>
      <c r="H951" t="s">
        <v>539</v>
      </c>
      <c r="I951" s="4">
        <f t="shared" si="132"/>
        <v>0</v>
      </c>
      <c r="J951">
        <f t="shared" si="133"/>
        <v>0</v>
      </c>
      <c r="K951">
        <v>22</v>
      </c>
      <c r="L951">
        <v>10</v>
      </c>
      <c r="M951" s="2">
        <v>2.2000000000000002</v>
      </c>
      <c r="N951" s="2">
        <v>2.4700000000000002</v>
      </c>
      <c r="O951">
        <v>0</v>
      </c>
      <c r="P951">
        <v>7</v>
      </c>
      <c r="Q951" t="s">
        <v>570</v>
      </c>
      <c r="R951" t="s">
        <v>260</v>
      </c>
      <c r="S951" t="str">
        <f t="shared" si="131"/>
        <v>FA</v>
      </c>
    </row>
    <row r="952" spans="1:19" x14ac:dyDescent="0.3">
      <c r="A952" t="s">
        <v>12</v>
      </c>
      <c r="B952">
        <v>2016110023</v>
      </c>
      <c r="C952" t="s">
        <v>75</v>
      </c>
      <c r="E952" t="s">
        <v>241</v>
      </c>
      <c r="F952" t="s">
        <v>45</v>
      </c>
      <c r="G952">
        <v>2</v>
      </c>
      <c r="H952" t="s">
        <v>539</v>
      </c>
      <c r="I952" s="4">
        <f t="shared" si="132"/>
        <v>0</v>
      </c>
      <c r="J952">
        <f t="shared" si="133"/>
        <v>0</v>
      </c>
      <c r="K952">
        <v>10</v>
      </c>
      <c r="L952">
        <v>10</v>
      </c>
      <c r="M952" s="2">
        <v>1</v>
      </c>
      <c r="N952" s="2">
        <v>2.4700000000000002</v>
      </c>
      <c r="O952">
        <v>1</v>
      </c>
      <c r="P952">
        <v>9</v>
      </c>
      <c r="Q952" t="s">
        <v>573</v>
      </c>
      <c r="R952" t="s">
        <v>260</v>
      </c>
      <c r="S952" t="str">
        <f t="shared" si="131"/>
        <v>FA</v>
      </c>
    </row>
    <row r="953" spans="1:19" x14ac:dyDescent="0.3">
      <c r="A953" t="s">
        <v>12</v>
      </c>
      <c r="B953">
        <v>2016110024</v>
      </c>
      <c r="C953" t="s">
        <v>36</v>
      </c>
      <c r="E953" t="s">
        <v>14</v>
      </c>
      <c r="F953" t="s">
        <v>15</v>
      </c>
      <c r="G953">
        <v>2</v>
      </c>
      <c r="I953" s="4"/>
      <c r="J953">
        <f t="shared" ref="J953:J954" si="136">G953*I953</f>
        <v>0</v>
      </c>
      <c r="K953">
        <v>36</v>
      </c>
      <c r="L953">
        <v>10</v>
      </c>
      <c r="M953" s="2">
        <v>3.6</v>
      </c>
      <c r="N953" s="2">
        <v>3.18</v>
      </c>
      <c r="O953">
        <v>0</v>
      </c>
      <c r="P953">
        <v>7</v>
      </c>
      <c r="Q953" t="s">
        <v>568</v>
      </c>
      <c r="R953" t="s">
        <v>260</v>
      </c>
      <c r="S953" t="s">
        <v>595</v>
      </c>
    </row>
    <row r="954" spans="1:19" x14ac:dyDescent="0.3">
      <c r="A954" t="s">
        <v>12</v>
      </c>
      <c r="B954">
        <v>2016110024</v>
      </c>
      <c r="C954" t="s">
        <v>36</v>
      </c>
      <c r="E954" t="s">
        <v>31</v>
      </c>
      <c r="F954" t="s">
        <v>20</v>
      </c>
      <c r="G954">
        <v>4</v>
      </c>
      <c r="I954" s="4"/>
      <c r="J954">
        <f t="shared" si="136"/>
        <v>0</v>
      </c>
      <c r="K954">
        <v>36</v>
      </c>
      <c r="L954">
        <v>10</v>
      </c>
      <c r="M954" s="2">
        <v>3.6</v>
      </c>
      <c r="N954" s="2">
        <v>3.18</v>
      </c>
      <c r="O954">
        <v>0</v>
      </c>
      <c r="P954">
        <v>7</v>
      </c>
      <c r="Q954" t="s">
        <v>568</v>
      </c>
      <c r="R954" t="s">
        <v>260</v>
      </c>
      <c r="S954" t="s">
        <v>595</v>
      </c>
    </row>
    <row r="955" spans="1:19" x14ac:dyDescent="0.3">
      <c r="A955" t="s">
        <v>12</v>
      </c>
      <c r="B955">
        <v>2016110024</v>
      </c>
      <c r="C955" t="s">
        <v>36</v>
      </c>
      <c r="E955" t="s">
        <v>14</v>
      </c>
      <c r="F955" t="s">
        <v>15</v>
      </c>
      <c r="G955">
        <v>2</v>
      </c>
      <c r="H955" t="s">
        <v>438</v>
      </c>
      <c r="I955" s="4">
        <f t="shared" ref="I955" si="137">IF(H955="A",4,IF(H955="B",3,IF(H955="C",2,IF(H955="D",1,0))))</f>
        <v>3</v>
      </c>
      <c r="J955">
        <f t="shared" ref="J955" si="138">G955*I955</f>
        <v>6</v>
      </c>
      <c r="K955">
        <v>18</v>
      </c>
      <c r="L955">
        <v>6</v>
      </c>
      <c r="M955" s="2">
        <v>3</v>
      </c>
      <c r="N955" s="2">
        <v>3.18</v>
      </c>
      <c r="O955">
        <v>1</v>
      </c>
      <c r="P955">
        <v>8</v>
      </c>
      <c r="Q955" t="s">
        <v>569</v>
      </c>
      <c r="R955" t="s">
        <v>596</v>
      </c>
      <c r="S955" t="str">
        <f t="shared" ref="S955:S1007" si="139">IF(OR(H955="A",H955="B",H955="C"),"PA","FA")</f>
        <v>PA</v>
      </c>
    </row>
    <row r="956" spans="1:19" x14ac:dyDescent="0.3">
      <c r="A956" t="s">
        <v>12</v>
      </c>
      <c r="B956">
        <v>2016110024</v>
      </c>
      <c r="C956" t="s">
        <v>36</v>
      </c>
      <c r="E956" t="s">
        <v>31</v>
      </c>
      <c r="F956" t="s">
        <v>20</v>
      </c>
      <c r="G956">
        <v>4</v>
      </c>
      <c r="H956" t="s">
        <v>438</v>
      </c>
      <c r="I956" s="4">
        <f t="shared" ref="I956:I1007" si="140">IF(H956="A",4,IF(H956="B",3,IF(H956="C",2,IF(H956="D",1,0))))</f>
        <v>3</v>
      </c>
      <c r="J956">
        <f t="shared" ref="J956:J1007" si="141">G956*I956</f>
        <v>12</v>
      </c>
      <c r="K956">
        <v>18</v>
      </c>
      <c r="L956">
        <v>6</v>
      </c>
      <c r="M956" s="2">
        <v>3</v>
      </c>
      <c r="N956" s="2">
        <v>3.18</v>
      </c>
      <c r="O956">
        <v>1</v>
      </c>
      <c r="P956">
        <v>8</v>
      </c>
      <c r="Q956" t="s">
        <v>569</v>
      </c>
      <c r="R956" t="s">
        <v>596</v>
      </c>
      <c r="S956" t="str">
        <f t="shared" si="139"/>
        <v>PA</v>
      </c>
    </row>
    <row r="957" spans="1:19" x14ac:dyDescent="0.3">
      <c r="A957" t="s">
        <v>12</v>
      </c>
      <c r="B957">
        <v>2016110024</v>
      </c>
      <c r="C957" t="s">
        <v>36</v>
      </c>
      <c r="E957" t="s">
        <v>170</v>
      </c>
      <c r="F957" t="s">
        <v>171</v>
      </c>
      <c r="G957">
        <v>4</v>
      </c>
      <c r="H957" t="s">
        <v>260</v>
      </c>
      <c r="I957" s="4">
        <f t="shared" si="140"/>
        <v>4</v>
      </c>
      <c r="J957">
        <f t="shared" si="141"/>
        <v>16</v>
      </c>
      <c r="K957">
        <v>64</v>
      </c>
      <c r="L957">
        <v>22</v>
      </c>
      <c r="M957" s="2">
        <v>2.91</v>
      </c>
      <c r="N957" s="2">
        <v>3.18</v>
      </c>
      <c r="O957">
        <v>0</v>
      </c>
      <c r="P957">
        <v>3</v>
      </c>
      <c r="Q957" t="s">
        <v>563</v>
      </c>
      <c r="R957" t="s">
        <v>260</v>
      </c>
      <c r="S957" t="str">
        <f t="shared" si="139"/>
        <v>PA</v>
      </c>
    </row>
    <row r="958" spans="1:19" x14ac:dyDescent="0.3">
      <c r="A958" t="s">
        <v>12</v>
      </c>
      <c r="B958">
        <v>2016110024</v>
      </c>
      <c r="C958" t="s">
        <v>36</v>
      </c>
      <c r="E958" t="s">
        <v>39</v>
      </c>
      <c r="F958" t="s">
        <v>11</v>
      </c>
      <c r="G958">
        <v>2</v>
      </c>
      <c r="H958" t="s">
        <v>260</v>
      </c>
      <c r="I958" s="4">
        <f t="shared" si="140"/>
        <v>4</v>
      </c>
      <c r="J958">
        <f t="shared" si="141"/>
        <v>8</v>
      </c>
      <c r="K958">
        <v>68</v>
      </c>
      <c r="L958">
        <v>24</v>
      </c>
      <c r="M958" s="2">
        <v>2.83</v>
      </c>
      <c r="N958" s="2">
        <v>3.18</v>
      </c>
      <c r="O958">
        <v>0</v>
      </c>
      <c r="P958">
        <v>6</v>
      </c>
      <c r="Q958" t="s">
        <v>567</v>
      </c>
      <c r="R958" t="s">
        <v>260</v>
      </c>
      <c r="S958" t="str">
        <f t="shared" si="139"/>
        <v>PA</v>
      </c>
    </row>
    <row r="959" spans="1:19" x14ac:dyDescent="0.3">
      <c r="A959" t="s">
        <v>12</v>
      </c>
      <c r="B959">
        <v>2016110024</v>
      </c>
      <c r="C959" t="s">
        <v>36</v>
      </c>
      <c r="E959" t="s">
        <v>234</v>
      </c>
      <c r="F959" t="s">
        <v>235</v>
      </c>
      <c r="G959">
        <v>4</v>
      </c>
      <c r="H959" t="s">
        <v>260</v>
      </c>
      <c r="I959" s="4">
        <f t="shared" si="140"/>
        <v>4</v>
      </c>
      <c r="J959">
        <f t="shared" si="141"/>
        <v>16</v>
      </c>
      <c r="K959">
        <v>64</v>
      </c>
      <c r="L959">
        <v>22</v>
      </c>
      <c r="M959" s="2">
        <v>2.91</v>
      </c>
      <c r="N959" s="2">
        <v>3.18</v>
      </c>
      <c r="O959">
        <v>0</v>
      </c>
      <c r="P959">
        <v>3</v>
      </c>
      <c r="Q959" t="s">
        <v>563</v>
      </c>
      <c r="R959" t="s">
        <v>260</v>
      </c>
      <c r="S959" t="str">
        <f t="shared" si="139"/>
        <v>PA</v>
      </c>
    </row>
    <row r="960" spans="1:19" x14ac:dyDescent="0.3">
      <c r="A960" t="s">
        <v>12</v>
      </c>
      <c r="B960">
        <v>2016110024</v>
      </c>
      <c r="C960" t="s">
        <v>36</v>
      </c>
      <c r="E960" t="s">
        <v>151</v>
      </c>
      <c r="F960" t="s">
        <v>152</v>
      </c>
      <c r="G960">
        <v>2</v>
      </c>
      <c r="H960" t="s">
        <v>260</v>
      </c>
      <c r="I960" s="4">
        <f t="shared" si="140"/>
        <v>4</v>
      </c>
      <c r="J960">
        <f t="shared" si="141"/>
        <v>8</v>
      </c>
      <c r="K960">
        <v>74</v>
      </c>
      <c r="L960">
        <v>20</v>
      </c>
      <c r="M960" s="2">
        <v>3.7</v>
      </c>
      <c r="N960" s="2">
        <v>3.18</v>
      </c>
      <c r="O960">
        <v>0</v>
      </c>
      <c r="P960">
        <v>1</v>
      </c>
      <c r="Q960" t="s">
        <v>558</v>
      </c>
      <c r="R960" t="s">
        <v>260</v>
      </c>
      <c r="S960" t="str">
        <f t="shared" si="139"/>
        <v>PA</v>
      </c>
    </row>
    <row r="961" spans="1:19" x14ac:dyDescent="0.3">
      <c r="A961" t="s">
        <v>12</v>
      </c>
      <c r="B961">
        <v>2016110024</v>
      </c>
      <c r="C961" t="s">
        <v>36</v>
      </c>
      <c r="E961" t="s">
        <v>131</v>
      </c>
      <c r="F961" t="s">
        <v>132</v>
      </c>
      <c r="G961">
        <v>2</v>
      </c>
      <c r="H961" t="s">
        <v>260</v>
      </c>
      <c r="I961" s="4">
        <f t="shared" si="140"/>
        <v>4</v>
      </c>
      <c r="J961">
        <f t="shared" si="141"/>
        <v>8</v>
      </c>
      <c r="K961">
        <v>74</v>
      </c>
      <c r="L961">
        <v>20</v>
      </c>
      <c r="M961" s="2">
        <v>3.7</v>
      </c>
      <c r="N961" s="2">
        <v>3.18</v>
      </c>
      <c r="O961">
        <v>0</v>
      </c>
      <c r="P961">
        <v>1</v>
      </c>
      <c r="Q961" t="s">
        <v>558</v>
      </c>
      <c r="R961" t="s">
        <v>260</v>
      </c>
      <c r="S961" t="str">
        <f t="shared" si="139"/>
        <v>PA</v>
      </c>
    </row>
    <row r="962" spans="1:19" x14ac:dyDescent="0.3">
      <c r="A962" t="s">
        <v>12</v>
      </c>
      <c r="B962">
        <v>2016110024</v>
      </c>
      <c r="C962" t="s">
        <v>36</v>
      </c>
      <c r="E962" t="s">
        <v>344</v>
      </c>
      <c r="F962" t="s">
        <v>345</v>
      </c>
      <c r="G962">
        <v>2</v>
      </c>
      <c r="H962" t="s">
        <v>260</v>
      </c>
      <c r="I962" s="4">
        <f t="shared" si="140"/>
        <v>4</v>
      </c>
      <c r="J962">
        <f t="shared" si="141"/>
        <v>8</v>
      </c>
      <c r="K962">
        <v>36</v>
      </c>
      <c r="L962">
        <v>10</v>
      </c>
      <c r="M962" s="2">
        <v>3.6</v>
      </c>
      <c r="N962" s="2">
        <v>3.18</v>
      </c>
      <c r="O962">
        <v>0</v>
      </c>
      <c r="P962">
        <v>7</v>
      </c>
      <c r="Q962" t="s">
        <v>568</v>
      </c>
      <c r="R962" t="s">
        <v>260</v>
      </c>
      <c r="S962" t="str">
        <f t="shared" si="139"/>
        <v>PA</v>
      </c>
    </row>
    <row r="963" spans="1:19" x14ac:dyDescent="0.3">
      <c r="A963" t="s">
        <v>12</v>
      </c>
      <c r="B963">
        <v>2016110024</v>
      </c>
      <c r="C963" t="s">
        <v>36</v>
      </c>
      <c r="E963" t="s">
        <v>244</v>
      </c>
      <c r="F963" t="s">
        <v>228</v>
      </c>
      <c r="G963">
        <v>2</v>
      </c>
      <c r="H963" t="s">
        <v>260</v>
      </c>
      <c r="I963" s="4">
        <f t="shared" si="140"/>
        <v>4</v>
      </c>
      <c r="J963">
        <f t="shared" si="141"/>
        <v>8</v>
      </c>
      <c r="K963">
        <v>58</v>
      </c>
      <c r="L963">
        <v>20</v>
      </c>
      <c r="M963" s="2">
        <v>2.9</v>
      </c>
      <c r="N963" s="2">
        <v>3.18</v>
      </c>
      <c r="O963">
        <v>0</v>
      </c>
      <c r="P963">
        <v>4</v>
      </c>
      <c r="Q963" t="s">
        <v>565</v>
      </c>
      <c r="R963" t="s">
        <v>260</v>
      </c>
      <c r="S963" t="str">
        <f t="shared" si="139"/>
        <v>PA</v>
      </c>
    </row>
    <row r="964" spans="1:19" x14ac:dyDescent="0.3">
      <c r="A964" t="s">
        <v>12</v>
      </c>
      <c r="B964">
        <v>2016110024</v>
      </c>
      <c r="C964" t="s">
        <v>36</v>
      </c>
      <c r="E964" t="s">
        <v>279</v>
      </c>
      <c r="F964" t="s">
        <v>280</v>
      </c>
      <c r="G964">
        <v>2</v>
      </c>
      <c r="H964" t="s">
        <v>260</v>
      </c>
      <c r="I964" s="4">
        <f t="shared" si="140"/>
        <v>4</v>
      </c>
      <c r="J964">
        <f t="shared" si="141"/>
        <v>8</v>
      </c>
      <c r="K964">
        <v>60</v>
      </c>
      <c r="L964">
        <v>20</v>
      </c>
      <c r="M964" s="2">
        <v>3</v>
      </c>
      <c r="N964" s="2">
        <v>3.18</v>
      </c>
      <c r="O964">
        <v>0</v>
      </c>
      <c r="P964">
        <v>2</v>
      </c>
      <c r="Q964" t="s">
        <v>559</v>
      </c>
      <c r="R964" t="s">
        <v>260</v>
      </c>
      <c r="S964" t="str">
        <f t="shared" si="139"/>
        <v>PA</v>
      </c>
    </row>
    <row r="965" spans="1:19" x14ac:dyDescent="0.3">
      <c r="A965" t="s">
        <v>12</v>
      </c>
      <c r="B965">
        <v>2016110024</v>
      </c>
      <c r="C965" t="s">
        <v>36</v>
      </c>
      <c r="E965" t="s">
        <v>276</v>
      </c>
      <c r="F965" t="s">
        <v>137</v>
      </c>
      <c r="G965">
        <v>4</v>
      </c>
      <c r="H965" t="s">
        <v>260</v>
      </c>
      <c r="I965" s="4">
        <f t="shared" si="140"/>
        <v>4</v>
      </c>
      <c r="J965">
        <f t="shared" si="141"/>
        <v>16</v>
      </c>
      <c r="K965">
        <v>58</v>
      </c>
      <c r="L965">
        <v>20</v>
      </c>
      <c r="M965" s="2">
        <v>2.9</v>
      </c>
      <c r="N965" s="2">
        <v>3.18</v>
      </c>
      <c r="O965">
        <v>0</v>
      </c>
      <c r="P965">
        <v>4</v>
      </c>
      <c r="Q965" t="s">
        <v>565</v>
      </c>
      <c r="R965" t="s">
        <v>260</v>
      </c>
      <c r="S965" t="str">
        <f t="shared" si="139"/>
        <v>PA</v>
      </c>
    </row>
    <row r="966" spans="1:19" x14ac:dyDescent="0.3">
      <c r="A966" t="s">
        <v>12</v>
      </c>
      <c r="B966">
        <v>2016110024</v>
      </c>
      <c r="C966" t="s">
        <v>36</v>
      </c>
      <c r="E966" t="s">
        <v>290</v>
      </c>
      <c r="F966" t="s">
        <v>327</v>
      </c>
      <c r="G966">
        <v>4</v>
      </c>
      <c r="H966" t="s">
        <v>260</v>
      </c>
      <c r="I966" s="4">
        <f t="shared" si="140"/>
        <v>4</v>
      </c>
      <c r="J966">
        <f t="shared" si="141"/>
        <v>16</v>
      </c>
      <c r="K966">
        <v>60</v>
      </c>
      <c r="L966">
        <v>20</v>
      </c>
      <c r="M966" s="2">
        <v>3</v>
      </c>
      <c r="N966" s="2">
        <v>3.18</v>
      </c>
      <c r="O966">
        <v>0</v>
      </c>
      <c r="P966">
        <v>2</v>
      </c>
      <c r="Q966" t="s">
        <v>559</v>
      </c>
      <c r="R966" t="s">
        <v>260</v>
      </c>
      <c r="S966" t="str">
        <f t="shared" si="139"/>
        <v>PA</v>
      </c>
    </row>
    <row r="967" spans="1:19" x14ac:dyDescent="0.3">
      <c r="A967" t="s">
        <v>12</v>
      </c>
      <c r="B967">
        <v>2016110024</v>
      </c>
      <c r="C967" t="s">
        <v>36</v>
      </c>
      <c r="E967" t="s">
        <v>283</v>
      </c>
      <c r="F967" t="s">
        <v>284</v>
      </c>
      <c r="G967">
        <v>2</v>
      </c>
      <c r="H967" t="s">
        <v>260</v>
      </c>
      <c r="I967" s="4">
        <f t="shared" si="140"/>
        <v>4</v>
      </c>
      <c r="J967">
        <f t="shared" si="141"/>
        <v>8</v>
      </c>
      <c r="K967">
        <v>36</v>
      </c>
      <c r="L967">
        <v>10</v>
      </c>
      <c r="M967" s="2">
        <v>3.6</v>
      </c>
      <c r="N967" s="2">
        <v>3.18</v>
      </c>
      <c r="O967">
        <v>0</v>
      </c>
      <c r="P967">
        <v>7</v>
      </c>
      <c r="Q967" t="s">
        <v>568</v>
      </c>
      <c r="R967" t="s">
        <v>260</v>
      </c>
      <c r="S967" t="str">
        <f t="shared" si="139"/>
        <v>PA</v>
      </c>
    </row>
    <row r="968" spans="1:19" x14ac:dyDescent="0.3">
      <c r="A968" t="s">
        <v>12</v>
      </c>
      <c r="B968">
        <v>2016110024</v>
      </c>
      <c r="C968" t="s">
        <v>36</v>
      </c>
      <c r="E968" t="s">
        <v>293</v>
      </c>
      <c r="F968" t="s">
        <v>294</v>
      </c>
      <c r="G968">
        <v>2</v>
      </c>
      <c r="H968" t="s">
        <v>260</v>
      </c>
      <c r="I968" s="4">
        <f t="shared" si="140"/>
        <v>4</v>
      </c>
      <c r="J968">
        <f t="shared" si="141"/>
        <v>8</v>
      </c>
      <c r="K968">
        <v>74</v>
      </c>
      <c r="L968">
        <v>22</v>
      </c>
      <c r="M968" s="2">
        <v>3.36</v>
      </c>
      <c r="N968" s="2">
        <v>3.18</v>
      </c>
      <c r="O968">
        <v>0</v>
      </c>
      <c r="P968">
        <v>5</v>
      </c>
      <c r="Q968" t="s">
        <v>566</v>
      </c>
      <c r="R968" t="s">
        <v>260</v>
      </c>
      <c r="S968" t="str">
        <f t="shared" si="139"/>
        <v>PA</v>
      </c>
    </row>
    <row r="969" spans="1:19" x14ac:dyDescent="0.3">
      <c r="A969" t="s">
        <v>12</v>
      </c>
      <c r="B969">
        <v>2016110024</v>
      </c>
      <c r="C969" t="s">
        <v>36</v>
      </c>
      <c r="E969" t="s">
        <v>382</v>
      </c>
      <c r="F969" t="s">
        <v>383</v>
      </c>
      <c r="G969">
        <v>4</v>
      </c>
      <c r="H969" t="s">
        <v>260</v>
      </c>
      <c r="I969" s="4">
        <f t="shared" si="140"/>
        <v>4</v>
      </c>
      <c r="J969">
        <f t="shared" si="141"/>
        <v>16</v>
      </c>
      <c r="K969">
        <v>74</v>
      </c>
      <c r="L969">
        <v>22</v>
      </c>
      <c r="M969" s="2">
        <v>3.36</v>
      </c>
      <c r="N969" s="2">
        <v>3.18</v>
      </c>
      <c r="O969">
        <v>0</v>
      </c>
      <c r="P969">
        <v>5</v>
      </c>
      <c r="Q969" t="s">
        <v>566</v>
      </c>
      <c r="R969" t="s">
        <v>260</v>
      </c>
      <c r="S969" t="str">
        <f t="shared" si="139"/>
        <v>PA</v>
      </c>
    </row>
    <row r="970" spans="1:19" x14ac:dyDescent="0.3">
      <c r="A970" t="s">
        <v>12</v>
      </c>
      <c r="B970">
        <v>2016110024</v>
      </c>
      <c r="C970" t="s">
        <v>36</v>
      </c>
      <c r="E970" t="s">
        <v>142</v>
      </c>
      <c r="F970" t="s">
        <v>143</v>
      </c>
      <c r="G970">
        <v>2</v>
      </c>
      <c r="H970" t="s">
        <v>260</v>
      </c>
      <c r="I970" s="4">
        <f t="shared" si="140"/>
        <v>4</v>
      </c>
      <c r="J970">
        <f t="shared" si="141"/>
        <v>8</v>
      </c>
      <c r="K970">
        <v>74</v>
      </c>
      <c r="L970">
        <v>20</v>
      </c>
      <c r="M970" s="2">
        <v>3.7</v>
      </c>
      <c r="N970" s="2">
        <v>3.18</v>
      </c>
      <c r="O970">
        <v>0</v>
      </c>
      <c r="P970">
        <v>1</v>
      </c>
      <c r="Q970" t="s">
        <v>558</v>
      </c>
      <c r="R970" t="s">
        <v>260</v>
      </c>
      <c r="S970" t="str">
        <f t="shared" si="139"/>
        <v>PA</v>
      </c>
    </row>
    <row r="971" spans="1:19" x14ac:dyDescent="0.3">
      <c r="A971" t="s">
        <v>12</v>
      </c>
      <c r="B971">
        <v>2016110024</v>
      </c>
      <c r="C971" t="s">
        <v>36</v>
      </c>
      <c r="E971" t="s">
        <v>165</v>
      </c>
      <c r="F971" t="s">
        <v>166</v>
      </c>
      <c r="G971">
        <v>2</v>
      </c>
      <c r="H971" t="s">
        <v>260</v>
      </c>
      <c r="I971" s="4">
        <f t="shared" si="140"/>
        <v>4</v>
      </c>
      <c r="J971">
        <f t="shared" si="141"/>
        <v>8</v>
      </c>
      <c r="K971">
        <v>74</v>
      </c>
      <c r="L971">
        <v>20</v>
      </c>
      <c r="M971" s="2">
        <v>3.7</v>
      </c>
      <c r="N971" s="2">
        <v>3.18</v>
      </c>
      <c r="O971">
        <v>0</v>
      </c>
      <c r="P971">
        <v>1</v>
      </c>
      <c r="Q971" t="s">
        <v>558</v>
      </c>
      <c r="R971" t="s">
        <v>260</v>
      </c>
      <c r="S971" t="str">
        <f t="shared" si="139"/>
        <v>PA</v>
      </c>
    </row>
    <row r="972" spans="1:19" x14ac:dyDescent="0.3">
      <c r="A972" t="s">
        <v>12</v>
      </c>
      <c r="B972">
        <v>2016110024</v>
      </c>
      <c r="C972" t="s">
        <v>36</v>
      </c>
      <c r="E972" t="s">
        <v>77</v>
      </c>
      <c r="F972" t="s">
        <v>78</v>
      </c>
      <c r="G972">
        <v>2</v>
      </c>
      <c r="H972" t="s">
        <v>260</v>
      </c>
      <c r="I972" s="4">
        <f t="shared" si="140"/>
        <v>4</v>
      </c>
      <c r="J972">
        <f t="shared" si="141"/>
        <v>8</v>
      </c>
      <c r="K972">
        <v>74</v>
      </c>
      <c r="L972">
        <v>20</v>
      </c>
      <c r="M972" s="2">
        <v>3.7</v>
      </c>
      <c r="N972" s="2">
        <v>3.18</v>
      </c>
      <c r="O972">
        <v>0</v>
      </c>
      <c r="P972">
        <v>1</v>
      </c>
      <c r="Q972" t="s">
        <v>558</v>
      </c>
      <c r="R972" t="s">
        <v>260</v>
      </c>
      <c r="S972" t="str">
        <f t="shared" si="139"/>
        <v>PA</v>
      </c>
    </row>
    <row r="973" spans="1:19" x14ac:dyDescent="0.3">
      <c r="A973" t="s">
        <v>12</v>
      </c>
      <c r="B973">
        <v>2016110024</v>
      </c>
      <c r="C973" t="s">
        <v>36</v>
      </c>
      <c r="E973" t="s">
        <v>316</v>
      </c>
      <c r="F973" t="s">
        <v>317</v>
      </c>
      <c r="G973">
        <v>2</v>
      </c>
      <c r="H973" t="s">
        <v>260</v>
      </c>
      <c r="I973" s="4">
        <f t="shared" si="140"/>
        <v>4</v>
      </c>
      <c r="J973">
        <f t="shared" si="141"/>
        <v>8</v>
      </c>
      <c r="K973">
        <v>36</v>
      </c>
      <c r="L973">
        <v>10</v>
      </c>
      <c r="M973" s="2">
        <v>3.6</v>
      </c>
      <c r="N973" s="2">
        <v>3.18</v>
      </c>
      <c r="O973">
        <v>0</v>
      </c>
      <c r="P973">
        <v>7</v>
      </c>
      <c r="Q973" t="s">
        <v>568</v>
      </c>
      <c r="R973" t="s">
        <v>260</v>
      </c>
      <c r="S973" t="str">
        <f t="shared" si="139"/>
        <v>PA</v>
      </c>
    </row>
    <row r="974" spans="1:19" x14ac:dyDescent="0.3">
      <c r="A974" t="s">
        <v>12</v>
      </c>
      <c r="B974">
        <v>2016110024</v>
      </c>
      <c r="C974" t="s">
        <v>36</v>
      </c>
      <c r="E974" t="s">
        <v>122</v>
      </c>
      <c r="F974" t="s">
        <v>123</v>
      </c>
      <c r="G974">
        <v>4</v>
      </c>
      <c r="H974" t="s">
        <v>260</v>
      </c>
      <c r="I974" s="4">
        <f t="shared" si="140"/>
        <v>4</v>
      </c>
      <c r="J974">
        <f t="shared" si="141"/>
        <v>16</v>
      </c>
      <c r="K974">
        <v>74</v>
      </c>
      <c r="L974">
        <v>20</v>
      </c>
      <c r="M974" s="2">
        <v>3.7</v>
      </c>
      <c r="N974" s="2">
        <v>3.18</v>
      </c>
      <c r="O974">
        <v>0</v>
      </c>
      <c r="P974">
        <v>1</v>
      </c>
      <c r="Q974" t="s">
        <v>558</v>
      </c>
      <c r="R974" t="s">
        <v>260</v>
      </c>
      <c r="S974" t="str">
        <f t="shared" si="139"/>
        <v>PA</v>
      </c>
    </row>
    <row r="975" spans="1:19" x14ac:dyDescent="0.3">
      <c r="A975" t="s">
        <v>12</v>
      </c>
      <c r="B975">
        <v>2016110024</v>
      </c>
      <c r="C975" t="s">
        <v>36</v>
      </c>
      <c r="E975" t="s">
        <v>248</v>
      </c>
      <c r="F975" t="s">
        <v>249</v>
      </c>
      <c r="G975">
        <v>2</v>
      </c>
      <c r="H975" t="s">
        <v>260</v>
      </c>
      <c r="I975" s="4">
        <f t="shared" si="140"/>
        <v>4</v>
      </c>
      <c r="J975">
        <f t="shared" si="141"/>
        <v>8</v>
      </c>
      <c r="K975">
        <v>58</v>
      </c>
      <c r="L975">
        <v>20</v>
      </c>
      <c r="M975" s="2">
        <v>2.9</v>
      </c>
      <c r="N975" s="2">
        <v>3.18</v>
      </c>
      <c r="O975">
        <v>0</v>
      </c>
      <c r="P975">
        <v>4</v>
      </c>
      <c r="Q975" t="s">
        <v>565</v>
      </c>
      <c r="R975" t="s">
        <v>260</v>
      </c>
      <c r="S975" t="str">
        <f t="shared" si="139"/>
        <v>PA</v>
      </c>
    </row>
    <row r="976" spans="1:19" x14ac:dyDescent="0.3">
      <c r="A976" t="s">
        <v>12</v>
      </c>
      <c r="B976">
        <v>2016110024</v>
      </c>
      <c r="C976" t="s">
        <v>36</v>
      </c>
      <c r="E976" t="s">
        <v>306</v>
      </c>
      <c r="F976" t="s">
        <v>307</v>
      </c>
      <c r="G976">
        <v>2</v>
      </c>
      <c r="H976" t="s">
        <v>260</v>
      </c>
      <c r="I976" s="4">
        <f t="shared" si="140"/>
        <v>4</v>
      </c>
      <c r="J976">
        <f t="shared" si="141"/>
        <v>8</v>
      </c>
      <c r="K976">
        <v>74</v>
      </c>
      <c r="L976">
        <v>22</v>
      </c>
      <c r="M976" s="2">
        <v>3.36</v>
      </c>
      <c r="N976" s="2">
        <v>3.18</v>
      </c>
      <c r="O976">
        <v>0</v>
      </c>
      <c r="P976">
        <v>5</v>
      </c>
      <c r="Q976" t="s">
        <v>566</v>
      </c>
      <c r="R976" t="s">
        <v>260</v>
      </c>
      <c r="S976" t="str">
        <f t="shared" si="139"/>
        <v>PA</v>
      </c>
    </row>
    <row r="977" spans="1:19" x14ac:dyDescent="0.3">
      <c r="A977" t="s">
        <v>12</v>
      </c>
      <c r="B977">
        <v>2016110024</v>
      </c>
      <c r="C977" t="s">
        <v>36</v>
      </c>
      <c r="E977" t="s">
        <v>139</v>
      </c>
      <c r="F977" t="s">
        <v>140</v>
      </c>
      <c r="G977">
        <v>2</v>
      </c>
      <c r="H977" t="s">
        <v>260</v>
      </c>
      <c r="I977" s="4">
        <f t="shared" si="140"/>
        <v>4</v>
      </c>
      <c r="J977">
        <f t="shared" si="141"/>
        <v>8</v>
      </c>
      <c r="K977">
        <v>60</v>
      </c>
      <c r="L977">
        <v>20</v>
      </c>
      <c r="M977" s="2">
        <v>3</v>
      </c>
      <c r="N977" s="2">
        <v>3.18</v>
      </c>
      <c r="O977">
        <v>0</v>
      </c>
      <c r="P977">
        <v>2</v>
      </c>
      <c r="Q977" t="s">
        <v>559</v>
      </c>
      <c r="R977" t="s">
        <v>260</v>
      </c>
      <c r="S977" t="str">
        <f t="shared" si="139"/>
        <v>PA</v>
      </c>
    </row>
    <row r="978" spans="1:19" x14ac:dyDescent="0.3">
      <c r="A978" t="s">
        <v>12</v>
      </c>
      <c r="B978">
        <v>2016110024</v>
      </c>
      <c r="C978" t="s">
        <v>36</v>
      </c>
      <c r="E978" t="s">
        <v>334</v>
      </c>
      <c r="F978" t="s">
        <v>335</v>
      </c>
      <c r="G978">
        <v>2</v>
      </c>
      <c r="H978" t="s">
        <v>260</v>
      </c>
      <c r="I978" s="4">
        <f t="shared" si="140"/>
        <v>4</v>
      </c>
      <c r="J978">
        <f t="shared" si="141"/>
        <v>8</v>
      </c>
      <c r="K978">
        <v>74</v>
      </c>
      <c r="L978">
        <v>22</v>
      </c>
      <c r="M978" s="2">
        <v>3.36</v>
      </c>
      <c r="N978" s="2">
        <v>3.18</v>
      </c>
      <c r="O978">
        <v>0</v>
      </c>
      <c r="P978">
        <v>5</v>
      </c>
      <c r="Q978" t="s">
        <v>566</v>
      </c>
      <c r="R978" t="s">
        <v>260</v>
      </c>
      <c r="S978" t="str">
        <f t="shared" si="139"/>
        <v>PA</v>
      </c>
    </row>
    <row r="979" spans="1:19" x14ac:dyDescent="0.3">
      <c r="A979" t="s">
        <v>12</v>
      </c>
      <c r="B979">
        <v>2016110024</v>
      </c>
      <c r="C979" t="s">
        <v>36</v>
      </c>
      <c r="E979" t="s">
        <v>437</v>
      </c>
      <c r="F979" t="s">
        <v>169</v>
      </c>
      <c r="G979">
        <v>4</v>
      </c>
      <c r="H979" t="s">
        <v>438</v>
      </c>
      <c r="I979" s="4">
        <f t="shared" si="140"/>
        <v>3</v>
      </c>
      <c r="J979">
        <f t="shared" si="141"/>
        <v>12</v>
      </c>
      <c r="K979">
        <v>74</v>
      </c>
      <c r="L979">
        <v>20</v>
      </c>
      <c r="M979" s="2">
        <v>3.7</v>
      </c>
      <c r="N979" s="2">
        <v>3.18</v>
      </c>
      <c r="O979">
        <v>0</v>
      </c>
      <c r="P979">
        <v>1</v>
      </c>
      <c r="Q979" t="s">
        <v>558</v>
      </c>
      <c r="R979" t="s">
        <v>260</v>
      </c>
      <c r="S979" t="str">
        <f t="shared" si="139"/>
        <v>PA</v>
      </c>
    </row>
    <row r="980" spans="1:19" x14ac:dyDescent="0.3">
      <c r="A980" t="s">
        <v>12</v>
      </c>
      <c r="B980">
        <v>2016110024</v>
      </c>
      <c r="C980" t="s">
        <v>36</v>
      </c>
      <c r="E980" t="s">
        <v>370</v>
      </c>
      <c r="F980" t="s">
        <v>371</v>
      </c>
      <c r="G980">
        <v>2</v>
      </c>
      <c r="H980" t="s">
        <v>438</v>
      </c>
      <c r="I980" s="4">
        <f t="shared" si="140"/>
        <v>3</v>
      </c>
      <c r="J980">
        <f t="shared" si="141"/>
        <v>6</v>
      </c>
      <c r="K980">
        <v>74</v>
      </c>
      <c r="L980">
        <v>22</v>
      </c>
      <c r="M980" s="2">
        <v>3.36</v>
      </c>
      <c r="N980" s="2">
        <v>3.18</v>
      </c>
      <c r="O980">
        <v>0</v>
      </c>
      <c r="P980">
        <v>5</v>
      </c>
      <c r="Q980" t="s">
        <v>566</v>
      </c>
      <c r="R980" t="s">
        <v>260</v>
      </c>
      <c r="S980" t="str">
        <f t="shared" si="139"/>
        <v>PA</v>
      </c>
    </row>
    <row r="981" spans="1:19" x14ac:dyDescent="0.3">
      <c r="A981" t="s">
        <v>12</v>
      </c>
      <c r="B981">
        <v>2016110024</v>
      </c>
      <c r="C981" t="s">
        <v>36</v>
      </c>
      <c r="E981" t="s">
        <v>432</v>
      </c>
      <c r="F981" t="s">
        <v>433</v>
      </c>
      <c r="G981">
        <v>4</v>
      </c>
      <c r="H981" t="s">
        <v>438</v>
      </c>
      <c r="I981" s="4">
        <f t="shared" si="140"/>
        <v>3</v>
      </c>
      <c r="J981">
        <f t="shared" si="141"/>
        <v>12</v>
      </c>
      <c r="K981">
        <v>68</v>
      </c>
      <c r="L981">
        <v>24</v>
      </c>
      <c r="M981" s="2">
        <v>2.83</v>
      </c>
      <c r="N981" s="2">
        <v>3.18</v>
      </c>
      <c r="O981">
        <v>0</v>
      </c>
      <c r="P981">
        <v>6</v>
      </c>
      <c r="Q981" t="s">
        <v>567</v>
      </c>
      <c r="R981" t="s">
        <v>260</v>
      </c>
      <c r="S981" t="str">
        <f t="shared" si="139"/>
        <v>PA</v>
      </c>
    </row>
    <row r="982" spans="1:19" x14ac:dyDescent="0.3">
      <c r="A982" t="s">
        <v>12</v>
      </c>
      <c r="B982">
        <v>2016110024</v>
      </c>
      <c r="C982" t="s">
        <v>36</v>
      </c>
      <c r="E982" t="s">
        <v>90</v>
      </c>
      <c r="F982" t="s">
        <v>91</v>
      </c>
      <c r="G982">
        <v>2</v>
      </c>
      <c r="H982" t="s">
        <v>438</v>
      </c>
      <c r="I982" s="4">
        <f t="shared" si="140"/>
        <v>3</v>
      </c>
      <c r="J982">
        <f t="shared" si="141"/>
        <v>6</v>
      </c>
      <c r="K982">
        <v>74</v>
      </c>
      <c r="L982">
        <v>20</v>
      </c>
      <c r="M982" s="2">
        <v>3.7</v>
      </c>
      <c r="N982" s="2">
        <v>3.18</v>
      </c>
      <c r="O982">
        <v>0</v>
      </c>
      <c r="P982">
        <v>1</v>
      </c>
      <c r="Q982" t="s">
        <v>558</v>
      </c>
      <c r="R982" t="s">
        <v>260</v>
      </c>
      <c r="S982" t="str">
        <f t="shared" si="139"/>
        <v>PA</v>
      </c>
    </row>
    <row r="983" spans="1:19" x14ac:dyDescent="0.3">
      <c r="A983" t="s">
        <v>12</v>
      </c>
      <c r="B983">
        <v>2016110024</v>
      </c>
      <c r="C983" t="s">
        <v>36</v>
      </c>
      <c r="E983" t="s">
        <v>357</v>
      </c>
      <c r="F983" t="s">
        <v>358</v>
      </c>
      <c r="G983">
        <v>4</v>
      </c>
      <c r="H983" t="s">
        <v>438</v>
      </c>
      <c r="I983" s="4">
        <f t="shared" si="140"/>
        <v>3</v>
      </c>
      <c r="J983">
        <f t="shared" si="141"/>
        <v>12</v>
      </c>
      <c r="K983">
        <v>74</v>
      </c>
      <c r="L983">
        <v>22</v>
      </c>
      <c r="M983" s="2">
        <v>3.36</v>
      </c>
      <c r="N983" s="2">
        <v>3.18</v>
      </c>
      <c r="O983">
        <v>0</v>
      </c>
      <c r="P983">
        <v>5</v>
      </c>
      <c r="Q983" t="s">
        <v>566</v>
      </c>
      <c r="R983" t="s">
        <v>260</v>
      </c>
      <c r="S983" t="str">
        <f t="shared" si="139"/>
        <v>PA</v>
      </c>
    </row>
    <row r="984" spans="1:19" x14ac:dyDescent="0.3">
      <c r="A984" t="s">
        <v>12</v>
      </c>
      <c r="B984">
        <v>2016110024</v>
      </c>
      <c r="C984" t="s">
        <v>36</v>
      </c>
      <c r="E984" t="s">
        <v>446</v>
      </c>
      <c r="F984" t="s">
        <v>447</v>
      </c>
      <c r="G984">
        <v>2</v>
      </c>
      <c r="H984" t="s">
        <v>438</v>
      </c>
      <c r="I984" s="4">
        <f t="shared" si="140"/>
        <v>3</v>
      </c>
      <c r="J984">
        <f t="shared" si="141"/>
        <v>6</v>
      </c>
      <c r="K984">
        <v>68</v>
      </c>
      <c r="L984">
        <v>24</v>
      </c>
      <c r="M984" s="2">
        <v>2.83</v>
      </c>
      <c r="N984" s="2">
        <v>3.18</v>
      </c>
      <c r="O984">
        <v>0</v>
      </c>
      <c r="P984">
        <v>6</v>
      </c>
      <c r="Q984" t="s">
        <v>567</v>
      </c>
      <c r="R984" t="s">
        <v>260</v>
      </c>
      <c r="S984" t="str">
        <f t="shared" si="139"/>
        <v>PA</v>
      </c>
    </row>
    <row r="985" spans="1:19" x14ac:dyDescent="0.3">
      <c r="A985" t="s">
        <v>12</v>
      </c>
      <c r="B985">
        <v>2016110024</v>
      </c>
      <c r="C985" t="s">
        <v>36</v>
      </c>
      <c r="E985" t="s">
        <v>297</v>
      </c>
      <c r="F985" t="s">
        <v>342</v>
      </c>
      <c r="G985">
        <v>4</v>
      </c>
      <c r="H985" t="s">
        <v>438</v>
      </c>
      <c r="I985" s="4">
        <f t="shared" si="140"/>
        <v>3</v>
      </c>
      <c r="J985">
        <f t="shared" si="141"/>
        <v>12</v>
      </c>
      <c r="K985">
        <v>68</v>
      </c>
      <c r="L985">
        <v>24</v>
      </c>
      <c r="M985" s="2">
        <v>2.83</v>
      </c>
      <c r="N985" s="2">
        <v>3.18</v>
      </c>
      <c r="O985">
        <v>0</v>
      </c>
      <c r="P985">
        <v>6</v>
      </c>
      <c r="Q985" t="s">
        <v>567</v>
      </c>
      <c r="R985" t="s">
        <v>260</v>
      </c>
      <c r="S985" t="str">
        <f t="shared" si="139"/>
        <v>PA</v>
      </c>
    </row>
    <row r="986" spans="1:19" x14ac:dyDescent="0.3">
      <c r="A986" t="s">
        <v>12</v>
      </c>
      <c r="B986">
        <v>2016110024</v>
      </c>
      <c r="C986" t="s">
        <v>36</v>
      </c>
      <c r="E986" t="s">
        <v>192</v>
      </c>
      <c r="F986" t="s">
        <v>106</v>
      </c>
      <c r="G986">
        <v>2</v>
      </c>
      <c r="H986" t="s">
        <v>438</v>
      </c>
      <c r="I986" s="4">
        <f t="shared" si="140"/>
        <v>3</v>
      </c>
      <c r="J986">
        <f t="shared" si="141"/>
        <v>6</v>
      </c>
      <c r="K986">
        <v>64</v>
      </c>
      <c r="L986">
        <v>22</v>
      </c>
      <c r="M986" s="2">
        <v>2.91</v>
      </c>
      <c r="N986" s="2">
        <v>3.18</v>
      </c>
      <c r="O986">
        <v>0</v>
      </c>
      <c r="P986">
        <v>3</v>
      </c>
      <c r="Q986" t="s">
        <v>563</v>
      </c>
      <c r="R986" t="s">
        <v>260</v>
      </c>
      <c r="S986" t="str">
        <f t="shared" si="139"/>
        <v>PA</v>
      </c>
    </row>
    <row r="987" spans="1:19" x14ac:dyDescent="0.3">
      <c r="A987" t="s">
        <v>12</v>
      </c>
      <c r="B987">
        <v>2016110024</v>
      </c>
      <c r="C987" t="s">
        <v>36</v>
      </c>
      <c r="E987" t="s">
        <v>262</v>
      </c>
      <c r="F987" t="s">
        <v>263</v>
      </c>
      <c r="G987">
        <v>2</v>
      </c>
      <c r="H987" t="s">
        <v>438</v>
      </c>
      <c r="I987" s="4">
        <f t="shared" si="140"/>
        <v>3</v>
      </c>
      <c r="J987">
        <f t="shared" si="141"/>
        <v>6</v>
      </c>
      <c r="K987">
        <v>68</v>
      </c>
      <c r="L987">
        <v>24</v>
      </c>
      <c r="M987" s="2">
        <v>2.83</v>
      </c>
      <c r="N987" s="2">
        <v>3.18</v>
      </c>
      <c r="O987">
        <v>0</v>
      </c>
      <c r="P987">
        <v>6</v>
      </c>
      <c r="Q987" t="s">
        <v>567</v>
      </c>
      <c r="R987" t="s">
        <v>260</v>
      </c>
      <c r="S987" t="str">
        <f t="shared" si="139"/>
        <v>PA</v>
      </c>
    </row>
    <row r="988" spans="1:19" x14ac:dyDescent="0.3">
      <c r="A988" t="s">
        <v>12</v>
      </c>
      <c r="B988">
        <v>2016110024</v>
      </c>
      <c r="C988" t="s">
        <v>36</v>
      </c>
      <c r="E988" t="s">
        <v>173</v>
      </c>
      <c r="F988" t="s">
        <v>8</v>
      </c>
      <c r="G988">
        <v>2</v>
      </c>
      <c r="H988" t="s">
        <v>438</v>
      </c>
      <c r="I988" s="4">
        <f t="shared" si="140"/>
        <v>3</v>
      </c>
      <c r="J988">
        <f t="shared" si="141"/>
        <v>6</v>
      </c>
      <c r="K988">
        <v>64</v>
      </c>
      <c r="L988">
        <v>22</v>
      </c>
      <c r="M988" s="2">
        <v>2.91</v>
      </c>
      <c r="N988" s="2">
        <v>3.18</v>
      </c>
      <c r="O988">
        <v>0</v>
      </c>
      <c r="P988">
        <v>3</v>
      </c>
      <c r="Q988" t="s">
        <v>563</v>
      </c>
      <c r="R988" t="s">
        <v>260</v>
      </c>
      <c r="S988" t="str">
        <f t="shared" si="139"/>
        <v>PA</v>
      </c>
    </row>
    <row r="989" spans="1:19" x14ac:dyDescent="0.3">
      <c r="A989" t="s">
        <v>12</v>
      </c>
      <c r="B989">
        <v>2016110024</v>
      </c>
      <c r="C989" t="s">
        <v>36</v>
      </c>
      <c r="E989" t="s">
        <v>360</v>
      </c>
      <c r="F989" t="s">
        <v>361</v>
      </c>
      <c r="G989">
        <v>2</v>
      </c>
      <c r="H989" t="s">
        <v>438</v>
      </c>
      <c r="I989" s="4">
        <f t="shared" si="140"/>
        <v>3</v>
      </c>
      <c r="J989">
        <f t="shared" si="141"/>
        <v>6</v>
      </c>
      <c r="K989">
        <v>68</v>
      </c>
      <c r="L989">
        <v>24</v>
      </c>
      <c r="M989" s="2">
        <v>2.83</v>
      </c>
      <c r="N989" s="2">
        <v>3.18</v>
      </c>
      <c r="O989">
        <v>0</v>
      </c>
      <c r="P989">
        <v>6</v>
      </c>
      <c r="Q989" t="s">
        <v>567</v>
      </c>
      <c r="R989" t="s">
        <v>260</v>
      </c>
      <c r="S989" t="str">
        <f t="shared" si="139"/>
        <v>PA</v>
      </c>
    </row>
    <row r="990" spans="1:19" x14ac:dyDescent="0.3">
      <c r="A990" t="s">
        <v>12</v>
      </c>
      <c r="B990">
        <v>2016110024</v>
      </c>
      <c r="C990" t="s">
        <v>36</v>
      </c>
      <c r="E990" t="s">
        <v>190</v>
      </c>
      <c r="F990" t="s">
        <v>191</v>
      </c>
      <c r="G990">
        <v>4</v>
      </c>
      <c r="H990" t="s">
        <v>438</v>
      </c>
      <c r="I990" s="4">
        <f t="shared" si="140"/>
        <v>3</v>
      </c>
      <c r="J990">
        <f t="shared" si="141"/>
        <v>12</v>
      </c>
      <c r="K990">
        <v>64</v>
      </c>
      <c r="L990">
        <v>22</v>
      </c>
      <c r="M990" s="2">
        <v>2.91</v>
      </c>
      <c r="N990" s="2">
        <v>3.18</v>
      </c>
      <c r="O990">
        <v>0</v>
      </c>
      <c r="P990">
        <v>3</v>
      </c>
      <c r="Q990" t="s">
        <v>563</v>
      </c>
      <c r="R990" t="s">
        <v>260</v>
      </c>
      <c r="S990" t="str">
        <f t="shared" si="139"/>
        <v>PA</v>
      </c>
    </row>
    <row r="991" spans="1:19" x14ac:dyDescent="0.3">
      <c r="A991" t="s">
        <v>12</v>
      </c>
      <c r="B991">
        <v>2016110024</v>
      </c>
      <c r="C991" t="s">
        <v>36</v>
      </c>
      <c r="E991" t="s">
        <v>264</v>
      </c>
      <c r="F991" t="s">
        <v>265</v>
      </c>
      <c r="G991">
        <v>2</v>
      </c>
      <c r="H991" t="s">
        <v>438</v>
      </c>
      <c r="I991" s="4">
        <f t="shared" si="140"/>
        <v>3</v>
      </c>
      <c r="J991">
        <f t="shared" si="141"/>
        <v>6</v>
      </c>
      <c r="K991">
        <v>36</v>
      </c>
      <c r="L991">
        <v>10</v>
      </c>
      <c r="M991" s="2">
        <v>3.6</v>
      </c>
      <c r="N991" s="2">
        <v>3.18</v>
      </c>
      <c r="O991">
        <v>0</v>
      </c>
      <c r="P991">
        <v>7</v>
      </c>
      <c r="Q991" t="s">
        <v>568</v>
      </c>
      <c r="R991" t="s">
        <v>260</v>
      </c>
      <c r="S991" t="str">
        <f t="shared" si="139"/>
        <v>PA</v>
      </c>
    </row>
    <row r="992" spans="1:19" x14ac:dyDescent="0.3">
      <c r="A992" t="s">
        <v>12</v>
      </c>
      <c r="B992">
        <v>2016110024</v>
      </c>
      <c r="C992" t="s">
        <v>36</v>
      </c>
      <c r="E992" t="s">
        <v>374</v>
      </c>
      <c r="F992" t="s">
        <v>375</v>
      </c>
      <c r="G992">
        <v>2</v>
      </c>
      <c r="H992" t="s">
        <v>438</v>
      </c>
      <c r="I992" s="4">
        <f t="shared" si="140"/>
        <v>3</v>
      </c>
      <c r="J992">
        <f t="shared" si="141"/>
        <v>6</v>
      </c>
      <c r="K992">
        <v>58</v>
      </c>
      <c r="L992">
        <v>20</v>
      </c>
      <c r="M992" s="2">
        <v>2.9</v>
      </c>
      <c r="N992" s="2">
        <v>3.18</v>
      </c>
      <c r="O992">
        <v>0</v>
      </c>
      <c r="P992">
        <v>4</v>
      </c>
      <c r="Q992" t="s">
        <v>565</v>
      </c>
      <c r="R992" t="s">
        <v>260</v>
      </c>
      <c r="S992" t="str">
        <f t="shared" si="139"/>
        <v>PA</v>
      </c>
    </row>
    <row r="993" spans="1:19" x14ac:dyDescent="0.3">
      <c r="A993" t="s">
        <v>12</v>
      </c>
      <c r="B993">
        <v>2016110024</v>
      </c>
      <c r="C993" t="s">
        <v>36</v>
      </c>
      <c r="E993" t="s">
        <v>330</v>
      </c>
      <c r="F993" t="s">
        <v>108</v>
      </c>
      <c r="G993">
        <v>2</v>
      </c>
      <c r="H993" t="s">
        <v>438</v>
      </c>
      <c r="I993" s="4">
        <f t="shared" si="140"/>
        <v>3</v>
      </c>
      <c r="J993">
        <f t="shared" si="141"/>
        <v>6</v>
      </c>
      <c r="K993">
        <v>36</v>
      </c>
      <c r="L993">
        <v>10</v>
      </c>
      <c r="M993" s="2">
        <v>3.6</v>
      </c>
      <c r="N993" s="2">
        <v>3.18</v>
      </c>
      <c r="O993">
        <v>0</v>
      </c>
      <c r="P993">
        <v>7</v>
      </c>
      <c r="Q993" t="s">
        <v>568</v>
      </c>
      <c r="R993" t="s">
        <v>260</v>
      </c>
      <c r="S993" t="str">
        <f t="shared" si="139"/>
        <v>PA</v>
      </c>
    </row>
    <row r="994" spans="1:19" x14ac:dyDescent="0.3">
      <c r="A994" t="s">
        <v>12</v>
      </c>
      <c r="B994">
        <v>2016110024</v>
      </c>
      <c r="C994" t="s">
        <v>36</v>
      </c>
      <c r="E994" t="s">
        <v>427</v>
      </c>
      <c r="F994" t="s">
        <v>428</v>
      </c>
      <c r="G994">
        <v>2</v>
      </c>
      <c r="H994" t="s">
        <v>438</v>
      </c>
      <c r="I994" s="4">
        <f t="shared" si="140"/>
        <v>3</v>
      </c>
      <c r="J994">
        <f t="shared" si="141"/>
        <v>6</v>
      </c>
      <c r="K994">
        <v>68</v>
      </c>
      <c r="L994">
        <v>24</v>
      </c>
      <c r="M994" s="2">
        <v>2.83</v>
      </c>
      <c r="N994" s="2">
        <v>3.18</v>
      </c>
      <c r="O994">
        <v>0</v>
      </c>
      <c r="P994">
        <v>6</v>
      </c>
      <c r="Q994" t="s">
        <v>567</v>
      </c>
      <c r="R994" t="s">
        <v>260</v>
      </c>
      <c r="S994" t="str">
        <f t="shared" si="139"/>
        <v>PA</v>
      </c>
    </row>
    <row r="995" spans="1:19" x14ac:dyDescent="0.3">
      <c r="A995" t="s">
        <v>12</v>
      </c>
      <c r="B995">
        <v>2016110024</v>
      </c>
      <c r="C995" t="s">
        <v>36</v>
      </c>
      <c r="E995" t="s">
        <v>103</v>
      </c>
      <c r="F995" t="s">
        <v>104</v>
      </c>
      <c r="G995">
        <v>4</v>
      </c>
      <c r="H995" t="s">
        <v>438</v>
      </c>
      <c r="I995" s="4">
        <f t="shared" si="140"/>
        <v>3</v>
      </c>
      <c r="J995">
        <f t="shared" si="141"/>
        <v>12</v>
      </c>
      <c r="K995">
        <v>60</v>
      </c>
      <c r="L995">
        <v>20</v>
      </c>
      <c r="M995" s="2">
        <v>3</v>
      </c>
      <c r="N995" s="2">
        <v>3.18</v>
      </c>
      <c r="O995">
        <v>0</v>
      </c>
      <c r="P995">
        <v>2</v>
      </c>
      <c r="Q995" t="s">
        <v>559</v>
      </c>
      <c r="R995" t="s">
        <v>260</v>
      </c>
      <c r="S995" t="str">
        <f t="shared" si="139"/>
        <v>PA</v>
      </c>
    </row>
    <row r="996" spans="1:19" x14ac:dyDescent="0.3">
      <c r="A996" t="s">
        <v>12</v>
      </c>
      <c r="B996">
        <v>2016110024</v>
      </c>
      <c r="C996" t="s">
        <v>36</v>
      </c>
      <c r="E996" t="s">
        <v>211</v>
      </c>
      <c r="F996" t="s">
        <v>186</v>
      </c>
      <c r="G996">
        <v>4</v>
      </c>
      <c r="H996" t="s">
        <v>438</v>
      </c>
      <c r="I996" s="4">
        <f t="shared" si="140"/>
        <v>3</v>
      </c>
      <c r="J996">
        <f t="shared" si="141"/>
        <v>12</v>
      </c>
      <c r="K996">
        <v>74</v>
      </c>
      <c r="L996">
        <v>22</v>
      </c>
      <c r="M996" s="2">
        <v>3.36</v>
      </c>
      <c r="N996" s="2">
        <v>3.18</v>
      </c>
      <c r="O996">
        <v>0</v>
      </c>
      <c r="P996">
        <v>5</v>
      </c>
      <c r="Q996" t="s">
        <v>566</v>
      </c>
      <c r="R996" t="s">
        <v>260</v>
      </c>
      <c r="S996" t="str">
        <f t="shared" si="139"/>
        <v>PA</v>
      </c>
    </row>
    <row r="997" spans="1:19" x14ac:dyDescent="0.3">
      <c r="A997" t="s">
        <v>12</v>
      </c>
      <c r="B997">
        <v>2016110024</v>
      </c>
      <c r="C997" t="s">
        <v>36</v>
      </c>
      <c r="E997" t="s">
        <v>273</v>
      </c>
      <c r="F997" t="s">
        <v>274</v>
      </c>
      <c r="G997">
        <v>2</v>
      </c>
      <c r="H997" t="s">
        <v>524</v>
      </c>
      <c r="I997" s="4">
        <f t="shared" si="140"/>
        <v>2</v>
      </c>
      <c r="J997">
        <f t="shared" si="141"/>
        <v>4</v>
      </c>
      <c r="K997">
        <v>68</v>
      </c>
      <c r="L997">
        <v>24</v>
      </c>
      <c r="M997" s="2">
        <v>2.83</v>
      </c>
      <c r="N997" s="2">
        <v>3.18</v>
      </c>
      <c r="O997">
        <v>0</v>
      </c>
      <c r="P997">
        <v>6</v>
      </c>
      <c r="Q997" t="s">
        <v>567</v>
      </c>
      <c r="R997" t="s">
        <v>260</v>
      </c>
      <c r="S997" t="str">
        <f t="shared" si="139"/>
        <v>PA</v>
      </c>
    </row>
    <row r="998" spans="1:19" x14ac:dyDescent="0.3">
      <c r="A998" t="s">
        <v>12</v>
      </c>
      <c r="B998">
        <v>2016110024</v>
      </c>
      <c r="C998" t="s">
        <v>36</v>
      </c>
      <c r="E998" t="s">
        <v>348</v>
      </c>
      <c r="F998" t="s">
        <v>402</v>
      </c>
      <c r="G998">
        <v>4</v>
      </c>
      <c r="H998" t="s">
        <v>524</v>
      </c>
      <c r="I998" s="4">
        <f t="shared" si="140"/>
        <v>2</v>
      </c>
      <c r="J998">
        <f t="shared" si="141"/>
        <v>8</v>
      </c>
      <c r="K998">
        <v>58</v>
      </c>
      <c r="L998">
        <v>20</v>
      </c>
      <c r="M998" s="2">
        <v>2.9</v>
      </c>
      <c r="N998" s="2">
        <v>3.18</v>
      </c>
      <c r="O998">
        <v>0</v>
      </c>
      <c r="P998">
        <v>4</v>
      </c>
      <c r="Q998" t="s">
        <v>565</v>
      </c>
      <c r="R998" t="s">
        <v>260</v>
      </c>
      <c r="S998" t="str">
        <f t="shared" si="139"/>
        <v>PA</v>
      </c>
    </row>
    <row r="999" spans="1:19" x14ac:dyDescent="0.3">
      <c r="A999" t="s">
        <v>12</v>
      </c>
      <c r="B999">
        <v>2016110024</v>
      </c>
      <c r="C999" t="s">
        <v>36</v>
      </c>
      <c r="E999" t="s">
        <v>236</v>
      </c>
      <c r="F999" t="s">
        <v>237</v>
      </c>
      <c r="G999">
        <v>2</v>
      </c>
      <c r="H999" t="s">
        <v>524</v>
      </c>
      <c r="I999" s="4">
        <f t="shared" si="140"/>
        <v>2</v>
      </c>
      <c r="J999">
        <f t="shared" si="141"/>
        <v>4</v>
      </c>
      <c r="K999">
        <v>74</v>
      </c>
      <c r="L999">
        <v>22</v>
      </c>
      <c r="M999" s="2">
        <v>3.36</v>
      </c>
      <c r="N999" s="2">
        <v>3.18</v>
      </c>
      <c r="O999">
        <v>0</v>
      </c>
      <c r="P999">
        <v>5</v>
      </c>
      <c r="Q999" t="s">
        <v>566</v>
      </c>
      <c r="R999" t="s">
        <v>260</v>
      </c>
      <c r="S999" t="str">
        <f t="shared" si="139"/>
        <v>PA</v>
      </c>
    </row>
    <row r="1000" spans="1:19" x14ac:dyDescent="0.3">
      <c r="A1000" t="s">
        <v>12</v>
      </c>
      <c r="B1000">
        <v>2016110024</v>
      </c>
      <c r="C1000" t="s">
        <v>36</v>
      </c>
      <c r="E1000" t="s">
        <v>387</v>
      </c>
      <c r="F1000" t="s">
        <v>388</v>
      </c>
      <c r="G1000">
        <v>2</v>
      </c>
      <c r="H1000" t="s">
        <v>524</v>
      </c>
      <c r="I1000" s="4">
        <f t="shared" si="140"/>
        <v>2</v>
      </c>
      <c r="J1000">
        <f t="shared" si="141"/>
        <v>4</v>
      </c>
      <c r="K1000">
        <v>58</v>
      </c>
      <c r="L1000">
        <v>20</v>
      </c>
      <c r="M1000" s="2">
        <v>2.9</v>
      </c>
      <c r="N1000" s="2">
        <v>3.18</v>
      </c>
      <c r="O1000">
        <v>0</v>
      </c>
      <c r="P1000">
        <v>4</v>
      </c>
      <c r="Q1000" t="s">
        <v>565</v>
      </c>
      <c r="R1000" t="s">
        <v>260</v>
      </c>
      <c r="S1000" t="str">
        <f t="shared" si="139"/>
        <v>PA</v>
      </c>
    </row>
    <row r="1001" spans="1:19" x14ac:dyDescent="0.3">
      <c r="A1001" t="s">
        <v>12</v>
      </c>
      <c r="B1001">
        <v>2016110024</v>
      </c>
      <c r="C1001" t="s">
        <v>36</v>
      </c>
      <c r="E1001" t="s">
        <v>100</v>
      </c>
      <c r="F1001" t="s">
        <v>101</v>
      </c>
      <c r="G1001">
        <v>4</v>
      </c>
      <c r="H1001" t="s">
        <v>524</v>
      </c>
      <c r="I1001" s="4">
        <f t="shared" si="140"/>
        <v>2</v>
      </c>
      <c r="J1001">
        <f t="shared" si="141"/>
        <v>8</v>
      </c>
      <c r="K1001">
        <v>60</v>
      </c>
      <c r="L1001">
        <v>20</v>
      </c>
      <c r="M1001" s="2">
        <v>3</v>
      </c>
      <c r="N1001" s="2">
        <v>3.18</v>
      </c>
      <c r="O1001">
        <v>0</v>
      </c>
      <c r="P1001">
        <v>2</v>
      </c>
      <c r="Q1001" t="s">
        <v>559</v>
      </c>
      <c r="R1001" t="s">
        <v>260</v>
      </c>
      <c r="S1001" t="str">
        <f t="shared" si="139"/>
        <v>PA</v>
      </c>
    </row>
    <row r="1002" spans="1:19" x14ac:dyDescent="0.3">
      <c r="A1002" t="s">
        <v>12</v>
      </c>
      <c r="B1002">
        <v>2016110024</v>
      </c>
      <c r="C1002" t="s">
        <v>36</v>
      </c>
      <c r="E1002" t="s">
        <v>205</v>
      </c>
      <c r="F1002" t="s">
        <v>116</v>
      </c>
      <c r="G1002">
        <v>4</v>
      </c>
      <c r="H1002" t="s">
        <v>524</v>
      </c>
      <c r="I1002" s="4">
        <f t="shared" si="140"/>
        <v>2</v>
      </c>
      <c r="J1002">
        <f t="shared" si="141"/>
        <v>8</v>
      </c>
      <c r="K1002">
        <v>64</v>
      </c>
      <c r="L1002">
        <v>22</v>
      </c>
      <c r="M1002" s="2">
        <v>2.91</v>
      </c>
      <c r="N1002" s="2">
        <v>3.18</v>
      </c>
      <c r="O1002">
        <v>0</v>
      </c>
      <c r="P1002">
        <v>3</v>
      </c>
      <c r="Q1002" t="s">
        <v>563</v>
      </c>
      <c r="R1002" t="s">
        <v>260</v>
      </c>
      <c r="S1002" t="str">
        <f t="shared" si="139"/>
        <v>PA</v>
      </c>
    </row>
    <row r="1003" spans="1:19" x14ac:dyDescent="0.3">
      <c r="A1003" t="s">
        <v>12</v>
      </c>
      <c r="B1003">
        <v>2016110024</v>
      </c>
      <c r="C1003" t="s">
        <v>36</v>
      </c>
      <c r="E1003" t="s">
        <v>309</v>
      </c>
      <c r="F1003" t="s">
        <v>310</v>
      </c>
      <c r="G1003">
        <v>4</v>
      </c>
      <c r="H1003" t="s">
        <v>524</v>
      </c>
      <c r="I1003" s="4">
        <f t="shared" si="140"/>
        <v>2</v>
      </c>
      <c r="J1003">
        <f t="shared" si="141"/>
        <v>8</v>
      </c>
      <c r="K1003">
        <v>58</v>
      </c>
      <c r="L1003">
        <v>20</v>
      </c>
      <c r="M1003" s="2">
        <v>2.9</v>
      </c>
      <c r="N1003" s="2">
        <v>3.18</v>
      </c>
      <c r="O1003">
        <v>0</v>
      </c>
      <c r="P1003">
        <v>4</v>
      </c>
      <c r="Q1003" t="s">
        <v>565</v>
      </c>
      <c r="R1003" t="s">
        <v>260</v>
      </c>
      <c r="S1003" t="str">
        <f t="shared" si="139"/>
        <v>PA</v>
      </c>
    </row>
    <row r="1004" spans="1:19" x14ac:dyDescent="0.3">
      <c r="A1004" t="s">
        <v>12</v>
      </c>
      <c r="B1004">
        <v>2016110024</v>
      </c>
      <c r="C1004" t="s">
        <v>36</v>
      </c>
      <c r="E1004" t="s">
        <v>97</v>
      </c>
      <c r="F1004" t="s">
        <v>98</v>
      </c>
      <c r="G1004">
        <v>4</v>
      </c>
      <c r="H1004" t="s">
        <v>524</v>
      </c>
      <c r="I1004" s="4">
        <f t="shared" si="140"/>
        <v>2</v>
      </c>
      <c r="J1004">
        <f t="shared" si="141"/>
        <v>8</v>
      </c>
      <c r="K1004">
        <v>60</v>
      </c>
      <c r="L1004">
        <v>20</v>
      </c>
      <c r="M1004" s="2">
        <v>3</v>
      </c>
      <c r="N1004" s="2">
        <v>3.18</v>
      </c>
      <c r="O1004">
        <v>0</v>
      </c>
      <c r="P1004">
        <v>2</v>
      </c>
      <c r="Q1004" t="s">
        <v>559</v>
      </c>
      <c r="R1004" t="s">
        <v>260</v>
      </c>
      <c r="S1004" t="str">
        <f t="shared" si="139"/>
        <v>PA</v>
      </c>
    </row>
    <row r="1005" spans="1:19" x14ac:dyDescent="0.3">
      <c r="A1005" t="s">
        <v>12</v>
      </c>
      <c r="B1005">
        <v>2016110024</v>
      </c>
      <c r="C1005" t="s">
        <v>36</v>
      </c>
      <c r="E1005" t="s">
        <v>257</v>
      </c>
      <c r="F1005" t="s">
        <v>258</v>
      </c>
      <c r="G1005">
        <v>4</v>
      </c>
      <c r="H1005" t="s">
        <v>524</v>
      </c>
      <c r="I1005" s="4">
        <f t="shared" si="140"/>
        <v>2</v>
      </c>
      <c r="J1005">
        <f t="shared" si="141"/>
        <v>8</v>
      </c>
      <c r="K1005">
        <v>68</v>
      </c>
      <c r="L1005">
        <v>24</v>
      </c>
      <c r="M1005" s="2">
        <v>2.83</v>
      </c>
      <c r="N1005" s="2">
        <v>3.18</v>
      </c>
      <c r="O1005">
        <v>0</v>
      </c>
      <c r="P1005">
        <v>6</v>
      </c>
      <c r="Q1005" t="s">
        <v>567</v>
      </c>
      <c r="R1005" t="s">
        <v>260</v>
      </c>
      <c r="S1005" t="str">
        <f t="shared" si="139"/>
        <v>PA</v>
      </c>
    </row>
    <row r="1006" spans="1:19" x14ac:dyDescent="0.3">
      <c r="A1006" t="s">
        <v>12</v>
      </c>
      <c r="B1006">
        <v>2016110024</v>
      </c>
      <c r="C1006" t="s">
        <v>36</v>
      </c>
      <c r="E1006" t="s">
        <v>241</v>
      </c>
      <c r="F1006" t="s">
        <v>45</v>
      </c>
      <c r="G1006">
        <v>2</v>
      </c>
      <c r="H1006" t="s">
        <v>539</v>
      </c>
      <c r="I1006" s="4">
        <f t="shared" si="140"/>
        <v>0</v>
      </c>
      <c r="J1006">
        <f t="shared" si="141"/>
        <v>0</v>
      </c>
      <c r="K1006">
        <v>64</v>
      </c>
      <c r="L1006">
        <v>22</v>
      </c>
      <c r="M1006" s="2">
        <v>2.91</v>
      </c>
      <c r="N1006" s="2">
        <v>3.18</v>
      </c>
      <c r="O1006">
        <v>0</v>
      </c>
      <c r="P1006">
        <v>3</v>
      </c>
      <c r="Q1006" t="s">
        <v>563</v>
      </c>
      <c r="R1006" t="s">
        <v>260</v>
      </c>
      <c r="S1006" t="str">
        <f t="shared" si="139"/>
        <v>FA</v>
      </c>
    </row>
    <row r="1007" spans="1:19" x14ac:dyDescent="0.3">
      <c r="A1007" t="s">
        <v>12</v>
      </c>
      <c r="B1007">
        <v>2016110024</v>
      </c>
      <c r="C1007" t="s">
        <v>36</v>
      </c>
      <c r="E1007" t="s">
        <v>241</v>
      </c>
      <c r="F1007" t="s">
        <v>45</v>
      </c>
      <c r="G1007">
        <v>2</v>
      </c>
      <c r="H1007" t="s">
        <v>438</v>
      </c>
      <c r="I1007" s="4">
        <f t="shared" si="140"/>
        <v>3</v>
      </c>
      <c r="J1007">
        <f t="shared" si="141"/>
        <v>6</v>
      </c>
      <c r="K1007">
        <v>6</v>
      </c>
      <c r="L1007">
        <v>2</v>
      </c>
      <c r="M1007" s="2">
        <v>3</v>
      </c>
      <c r="N1007" s="2">
        <v>3.18</v>
      </c>
      <c r="O1007">
        <v>1</v>
      </c>
      <c r="P1007">
        <v>6</v>
      </c>
      <c r="Q1007" t="s">
        <v>572</v>
      </c>
      <c r="R1007" t="s">
        <v>260</v>
      </c>
      <c r="S1007" t="str">
        <f t="shared" si="139"/>
        <v>PA</v>
      </c>
    </row>
    <row r="1008" spans="1:19" x14ac:dyDescent="0.3">
      <c r="A1008" t="s">
        <v>12</v>
      </c>
      <c r="B1008">
        <v>2016110025</v>
      </c>
      <c r="C1008" t="s">
        <v>57</v>
      </c>
      <c r="E1008" t="s">
        <v>31</v>
      </c>
      <c r="F1008" t="s">
        <v>20</v>
      </c>
      <c r="G1008">
        <v>4</v>
      </c>
      <c r="I1008" s="4"/>
      <c r="J1008">
        <f t="shared" ref="J1008:J1012" si="142">G1008*I1008</f>
        <v>0</v>
      </c>
      <c r="K1008">
        <v>20</v>
      </c>
      <c r="L1008">
        <v>8</v>
      </c>
      <c r="M1008" s="2">
        <v>2.5</v>
      </c>
      <c r="N1008" s="2">
        <v>3.04</v>
      </c>
      <c r="O1008">
        <v>0</v>
      </c>
      <c r="P1008">
        <v>8</v>
      </c>
      <c r="Q1008" t="s">
        <v>569</v>
      </c>
      <c r="R1008" t="s">
        <v>260</v>
      </c>
      <c r="S1008" t="s">
        <v>595</v>
      </c>
    </row>
    <row r="1009" spans="1:19" x14ac:dyDescent="0.3">
      <c r="A1009" t="s">
        <v>12</v>
      </c>
      <c r="B1009">
        <v>2016110025</v>
      </c>
      <c r="C1009" t="s">
        <v>57</v>
      </c>
      <c r="E1009" t="s">
        <v>14</v>
      </c>
      <c r="F1009" t="s">
        <v>15</v>
      </c>
      <c r="G1009">
        <v>2</v>
      </c>
      <c r="I1009" s="4"/>
      <c r="J1009">
        <f t="shared" si="142"/>
        <v>0</v>
      </c>
      <c r="K1009">
        <v>20</v>
      </c>
      <c r="L1009">
        <v>8</v>
      </c>
      <c r="M1009" s="2">
        <v>2.5</v>
      </c>
      <c r="N1009" s="2">
        <v>3.04</v>
      </c>
      <c r="O1009">
        <v>0</v>
      </c>
      <c r="P1009">
        <v>8</v>
      </c>
      <c r="Q1009" t="s">
        <v>569</v>
      </c>
      <c r="R1009" t="s">
        <v>260</v>
      </c>
      <c r="S1009" t="s">
        <v>595</v>
      </c>
    </row>
    <row r="1010" spans="1:19" x14ac:dyDescent="0.3">
      <c r="A1010" t="s">
        <v>12</v>
      </c>
      <c r="B1010">
        <v>2016110025</v>
      </c>
      <c r="C1010" t="s">
        <v>57</v>
      </c>
      <c r="E1010" t="s">
        <v>31</v>
      </c>
      <c r="F1010" t="s">
        <v>20</v>
      </c>
      <c r="G1010">
        <v>4</v>
      </c>
      <c r="I1010" s="4"/>
      <c r="J1010">
        <f t="shared" si="142"/>
        <v>0</v>
      </c>
      <c r="K1010">
        <v>14</v>
      </c>
      <c r="L1010">
        <v>6</v>
      </c>
      <c r="M1010" s="2">
        <v>2.33</v>
      </c>
      <c r="N1010" s="2">
        <v>3.04</v>
      </c>
      <c r="O1010">
        <v>1</v>
      </c>
      <c r="P1010">
        <v>9</v>
      </c>
      <c r="Q1010" t="s">
        <v>570</v>
      </c>
      <c r="R1010" t="s">
        <v>260</v>
      </c>
      <c r="S1010" t="s">
        <v>595</v>
      </c>
    </row>
    <row r="1011" spans="1:19" x14ac:dyDescent="0.3">
      <c r="A1011" t="s">
        <v>12</v>
      </c>
      <c r="B1011">
        <v>2016110025</v>
      </c>
      <c r="C1011" t="s">
        <v>57</v>
      </c>
      <c r="E1011" t="s">
        <v>14</v>
      </c>
      <c r="F1011" t="s">
        <v>15</v>
      </c>
      <c r="G1011">
        <v>2</v>
      </c>
      <c r="I1011" s="4"/>
      <c r="J1011">
        <f t="shared" si="142"/>
        <v>0</v>
      </c>
      <c r="K1011">
        <v>14</v>
      </c>
      <c r="L1011">
        <v>6</v>
      </c>
      <c r="M1011" s="2">
        <v>2.33</v>
      </c>
      <c r="N1011" s="2">
        <v>3.04</v>
      </c>
      <c r="O1011">
        <v>1</v>
      </c>
      <c r="P1011">
        <v>9</v>
      </c>
      <c r="Q1011" t="s">
        <v>570</v>
      </c>
      <c r="R1011" t="s">
        <v>260</v>
      </c>
      <c r="S1011" t="s">
        <v>595</v>
      </c>
    </row>
    <row r="1012" spans="1:19" x14ac:dyDescent="0.3">
      <c r="A1012" t="s">
        <v>12</v>
      </c>
      <c r="B1012">
        <v>2016110025</v>
      </c>
      <c r="C1012" t="s">
        <v>57</v>
      </c>
      <c r="E1012" t="s">
        <v>31</v>
      </c>
      <c r="F1012" t="s">
        <v>20</v>
      </c>
      <c r="G1012">
        <v>4</v>
      </c>
      <c r="H1012" t="s">
        <v>524</v>
      </c>
      <c r="I1012" s="4">
        <f t="shared" ref="I1012" si="143">IF(H1012="A",4,IF(H1012="B",3,IF(H1012="C",2,IF(H1012="D",1,0))))</f>
        <v>2</v>
      </c>
      <c r="J1012">
        <f t="shared" si="142"/>
        <v>8</v>
      </c>
      <c r="K1012">
        <v>12</v>
      </c>
      <c r="L1012">
        <v>6</v>
      </c>
      <c r="M1012" s="2">
        <v>2</v>
      </c>
      <c r="N1012" s="2">
        <v>3.04</v>
      </c>
      <c r="O1012">
        <v>2</v>
      </c>
      <c r="P1012">
        <v>10</v>
      </c>
      <c r="Q1012" t="s">
        <v>560</v>
      </c>
      <c r="R1012" t="s">
        <v>596</v>
      </c>
      <c r="S1012" t="str">
        <f t="shared" ref="S1012:S1073" si="144">IF(OR(H1012="A",H1012="B",H1012="C"),"PA","FA")</f>
        <v>PA</v>
      </c>
    </row>
    <row r="1013" spans="1:19" x14ac:dyDescent="0.3">
      <c r="A1013" t="s">
        <v>12</v>
      </c>
      <c r="B1013">
        <v>2016110025</v>
      </c>
      <c r="C1013" t="s">
        <v>57</v>
      </c>
      <c r="E1013" t="s">
        <v>14</v>
      </c>
      <c r="F1013" t="s">
        <v>15</v>
      </c>
      <c r="G1013">
        <v>2</v>
      </c>
      <c r="H1013" t="s">
        <v>524</v>
      </c>
      <c r="I1013" s="4">
        <f t="shared" ref="I1013:I1073" si="145">IF(H1013="A",4,IF(H1013="B",3,IF(H1013="C",2,IF(H1013="D",1,0))))</f>
        <v>2</v>
      </c>
      <c r="J1013">
        <f t="shared" ref="J1013:J1073" si="146">G1013*I1013</f>
        <v>4</v>
      </c>
      <c r="K1013">
        <v>12</v>
      </c>
      <c r="L1013">
        <v>6</v>
      </c>
      <c r="M1013" s="2">
        <v>2</v>
      </c>
      <c r="N1013" s="2">
        <v>3.04</v>
      </c>
      <c r="O1013">
        <v>2</v>
      </c>
      <c r="P1013">
        <v>10</v>
      </c>
      <c r="Q1013" t="s">
        <v>560</v>
      </c>
      <c r="R1013" t="s">
        <v>596</v>
      </c>
      <c r="S1013" t="str">
        <f t="shared" si="144"/>
        <v>PA</v>
      </c>
    </row>
    <row r="1014" spans="1:19" x14ac:dyDescent="0.3">
      <c r="A1014" t="s">
        <v>12</v>
      </c>
      <c r="B1014">
        <v>2016110025</v>
      </c>
      <c r="C1014" t="s">
        <v>57</v>
      </c>
      <c r="E1014" t="s">
        <v>244</v>
      </c>
      <c r="F1014" t="s">
        <v>228</v>
      </c>
      <c r="G1014">
        <v>2</v>
      </c>
      <c r="H1014" t="s">
        <v>260</v>
      </c>
      <c r="I1014" s="4">
        <f t="shared" si="145"/>
        <v>4</v>
      </c>
      <c r="J1014">
        <f t="shared" si="146"/>
        <v>8</v>
      </c>
      <c r="K1014">
        <v>58</v>
      </c>
      <c r="L1014">
        <v>24</v>
      </c>
      <c r="M1014" s="2">
        <v>2.42</v>
      </c>
      <c r="N1014" s="2">
        <v>3.04</v>
      </c>
      <c r="O1014">
        <v>0</v>
      </c>
      <c r="P1014">
        <v>4</v>
      </c>
      <c r="Q1014" t="s">
        <v>565</v>
      </c>
      <c r="R1014" t="s">
        <v>260</v>
      </c>
      <c r="S1014" t="str">
        <f t="shared" si="144"/>
        <v>PA</v>
      </c>
    </row>
    <row r="1015" spans="1:19" x14ac:dyDescent="0.3">
      <c r="A1015" t="s">
        <v>12</v>
      </c>
      <c r="B1015">
        <v>2016110025</v>
      </c>
      <c r="C1015" t="s">
        <v>57</v>
      </c>
      <c r="E1015" t="s">
        <v>290</v>
      </c>
      <c r="F1015" t="s">
        <v>327</v>
      </c>
      <c r="G1015">
        <v>4</v>
      </c>
      <c r="H1015" t="s">
        <v>260</v>
      </c>
      <c r="I1015" s="4">
        <f t="shared" si="145"/>
        <v>4</v>
      </c>
      <c r="J1015">
        <f t="shared" si="146"/>
        <v>16</v>
      </c>
      <c r="K1015">
        <v>48</v>
      </c>
      <c r="L1015">
        <v>16</v>
      </c>
      <c r="M1015" s="2">
        <v>3</v>
      </c>
      <c r="N1015" s="2">
        <v>3.04</v>
      </c>
      <c r="O1015">
        <v>0</v>
      </c>
      <c r="P1015">
        <v>2</v>
      </c>
      <c r="Q1015" t="s">
        <v>559</v>
      </c>
      <c r="R1015" t="s">
        <v>260</v>
      </c>
      <c r="S1015" t="str">
        <f t="shared" si="144"/>
        <v>PA</v>
      </c>
    </row>
    <row r="1016" spans="1:19" x14ac:dyDescent="0.3">
      <c r="A1016" t="s">
        <v>12</v>
      </c>
      <c r="B1016">
        <v>2016110025</v>
      </c>
      <c r="C1016" t="s">
        <v>57</v>
      </c>
      <c r="E1016" t="s">
        <v>122</v>
      </c>
      <c r="F1016" t="s">
        <v>123</v>
      </c>
      <c r="G1016">
        <v>4</v>
      </c>
      <c r="H1016" t="s">
        <v>260</v>
      </c>
      <c r="I1016" s="4">
        <f t="shared" si="145"/>
        <v>4</v>
      </c>
      <c r="J1016">
        <f t="shared" si="146"/>
        <v>16</v>
      </c>
      <c r="K1016">
        <v>64</v>
      </c>
      <c r="L1016">
        <v>20</v>
      </c>
      <c r="M1016" s="2">
        <v>3.2</v>
      </c>
      <c r="N1016" s="2">
        <v>3.04</v>
      </c>
      <c r="O1016">
        <v>0</v>
      </c>
      <c r="P1016">
        <v>1</v>
      </c>
      <c r="Q1016" t="s">
        <v>558</v>
      </c>
      <c r="R1016" t="s">
        <v>260</v>
      </c>
      <c r="S1016" t="str">
        <f t="shared" si="144"/>
        <v>PA</v>
      </c>
    </row>
    <row r="1017" spans="1:19" x14ac:dyDescent="0.3">
      <c r="A1017" t="s">
        <v>12</v>
      </c>
      <c r="B1017">
        <v>2016110025</v>
      </c>
      <c r="C1017" t="s">
        <v>57</v>
      </c>
      <c r="E1017" t="s">
        <v>77</v>
      </c>
      <c r="F1017" t="s">
        <v>78</v>
      </c>
      <c r="G1017">
        <v>2</v>
      </c>
      <c r="H1017" t="s">
        <v>260</v>
      </c>
      <c r="I1017" s="4">
        <f t="shared" si="145"/>
        <v>4</v>
      </c>
      <c r="J1017">
        <f t="shared" si="146"/>
        <v>8</v>
      </c>
      <c r="K1017">
        <v>64</v>
      </c>
      <c r="L1017">
        <v>20</v>
      </c>
      <c r="M1017" s="2">
        <v>3.2</v>
      </c>
      <c r="N1017" s="2">
        <v>3.04</v>
      </c>
      <c r="O1017">
        <v>0</v>
      </c>
      <c r="P1017">
        <v>1</v>
      </c>
      <c r="Q1017" t="s">
        <v>558</v>
      </c>
      <c r="R1017" t="s">
        <v>260</v>
      </c>
      <c r="S1017" t="str">
        <f t="shared" si="144"/>
        <v>PA</v>
      </c>
    </row>
    <row r="1018" spans="1:19" x14ac:dyDescent="0.3">
      <c r="A1018" t="s">
        <v>12</v>
      </c>
      <c r="B1018">
        <v>2016110025</v>
      </c>
      <c r="C1018" t="s">
        <v>57</v>
      </c>
      <c r="E1018" t="s">
        <v>337</v>
      </c>
      <c r="F1018" t="s">
        <v>338</v>
      </c>
      <c r="G1018">
        <v>2</v>
      </c>
      <c r="H1018" t="s">
        <v>260</v>
      </c>
      <c r="I1018" s="4">
        <f t="shared" si="145"/>
        <v>4</v>
      </c>
      <c r="J1018">
        <f t="shared" si="146"/>
        <v>8</v>
      </c>
      <c r="K1018">
        <v>50</v>
      </c>
      <c r="L1018">
        <v>18</v>
      </c>
      <c r="M1018" s="2">
        <v>2.78</v>
      </c>
      <c r="N1018" s="2">
        <v>3.04</v>
      </c>
      <c r="O1018">
        <v>0</v>
      </c>
      <c r="P1018">
        <v>5</v>
      </c>
      <c r="Q1018" t="s">
        <v>566</v>
      </c>
      <c r="R1018" t="s">
        <v>260</v>
      </c>
      <c r="S1018" t="str">
        <f t="shared" si="144"/>
        <v>PA</v>
      </c>
    </row>
    <row r="1019" spans="1:19" x14ac:dyDescent="0.3">
      <c r="A1019" t="s">
        <v>12</v>
      </c>
      <c r="B1019">
        <v>2016110025</v>
      </c>
      <c r="C1019" t="s">
        <v>57</v>
      </c>
      <c r="E1019" t="s">
        <v>173</v>
      </c>
      <c r="F1019" t="s">
        <v>8</v>
      </c>
      <c r="G1019">
        <v>2</v>
      </c>
      <c r="H1019" t="s">
        <v>260</v>
      </c>
      <c r="I1019" s="4">
        <f t="shared" si="145"/>
        <v>4</v>
      </c>
      <c r="J1019">
        <f t="shared" si="146"/>
        <v>8</v>
      </c>
      <c r="K1019">
        <v>62</v>
      </c>
      <c r="L1019">
        <v>20</v>
      </c>
      <c r="M1019" s="2">
        <v>3.1</v>
      </c>
      <c r="N1019" s="2">
        <v>3.04</v>
      </c>
      <c r="O1019">
        <v>0</v>
      </c>
      <c r="P1019">
        <v>3</v>
      </c>
      <c r="Q1019" t="s">
        <v>563</v>
      </c>
      <c r="R1019" t="s">
        <v>260</v>
      </c>
      <c r="S1019" t="str">
        <f t="shared" si="144"/>
        <v>PA</v>
      </c>
    </row>
    <row r="1020" spans="1:19" x14ac:dyDescent="0.3">
      <c r="A1020" t="s">
        <v>12</v>
      </c>
      <c r="B1020">
        <v>2016110025</v>
      </c>
      <c r="C1020" t="s">
        <v>57</v>
      </c>
      <c r="E1020" t="s">
        <v>170</v>
      </c>
      <c r="F1020" t="s">
        <v>171</v>
      </c>
      <c r="G1020">
        <v>4</v>
      </c>
      <c r="H1020" t="s">
        <v>260</v>
      </c>
      <c r="I1020" s="4">
        <f t="shared" si="145"/>
        <v>4</v>
      </c>
      <c r="J1020">
        <f t="shared" si="146"/>
        <v>16</v>
      </c>
      <c r="K1020">
        <v>62</v>
      </c>
      <c r="L1020">
        <v>20</v>
      </c>
      <c r="M1020" s="2">
        <v>3.1</v>
      </c>
      <c r="N1020" s="2">
        <v>3.04</v>
      </c>
      <c r="O1020">
        <v>0</v>
      </c>
      <c r="P1020">
        <v>3</v>
      </c>
      <c r="Q1020" t="s">
        <v>563</v>
      </c>
      <c r="R1020" t="s">
        <v>260</v>
      </c>
      <c r="S1020" t="str">
        <f t="shared" si="144"/>
        <v>PA</v>
      </c>
    </row>
    <row r="1021" spans="1:19" x14ac:dyDescent="0.3">
      <c r="A1021" t="s">
        <v>12</v>
      </c>
      <c r="B1021">
        <v>2016110025</v>
      </c>
      <c r="C1021" t="s">
        <v>57</v>
      </c>
      <c r="E1021" t="s">
        <v>165</v>
      </c>
      <c r="F1021" t="s">
        <v>166</v>
      </c>
      <c r="G1021">
        <v>2</v>
      </c>
      <c r="H1021" t="s">
        <v>438</v>
      </c>
      <c r="I1021" s="4">
        <f t="shared" si="145"/>
        <v>3</v>
      </c>
      <c r="J1021">
        <f t="shared" si="146"/>
        <v>6</v>
      </c>
      <c r="K1021">
        <v>64</v>
      </c>
      <c r="L1021">
        <v>20</v>
      </c>
      <c r="M1021" s="2">
        <v>3.2</v>
      </c>
      <c r="N1021" s="2">
        <v>3.04</v>
      </c>
      <c r="O1021">
        <v>0</v>
      </c>
      <c r="P1021">
        <v>1</v>
      </c>
      <c r="Q1021" t="s">
        <v>558</v>
      </c>
      <c r="R1021" t="s">
        <v>260</v>
      </c>
      <c r="S1021" t="str">
        <f t="shared" si="144"/>
        <v>PA</v>
      </c>
    </row>
    <row r="1022" spans="1:19" x14ac:dyDescent="0.3">
      <c r="A1022" t="s">
        <v>12</v>
      </c>
      <c r="B1022">
        <v>2016110025</v>
      </c>
      <c r="C1022" t="s">
        <v>57</v>
      </c>
      <c r="E1022" t="s">
        <v>302</v>
      </c>
      <c r="F1022" t="s">
        <v>303</v>
      </c>
      <c r="G1022">
        <v>2</v>
      </c>
      <c r="H1022" t="s">
        <v>438</v>
      </c>
      <c r="I1022" s="4">
        <f t="shared" si="145"/>
        <v>3</v>
      </c>
      <c r="J1022">
        <f t="shared" si="146"/>
        <v>6</v>
      </c>
      <c r="K1022">
        <v>58</v>
      </c>
      <c r="L1022">
        <v>22</v>
      </c>
      <c r="M1022" s="2">
        <v>2.64</v>
      </c>
      <c r="N1022" s="2">
        <v>3.04</v>
      </c>
      <c r="O1022">
        <v>0</v>
      </c>
      <c r="P1022">
        <v>6</v>
      </c>
      <c r="Q1022" t="s">
        <v>567</v>
      </c>
      <c r="R1022" t="s">
        <v>260</v>
      </c>
      <c r="S1022" t="str">
        <f t="shared" si="144"/>
        <v>PA</v>
      </c>
    </row>
    <row r="1023" spans="1:19" x14ac:dyDescent="0.3">
      <c r="A1023" t="s">
        <v>12</v>
      </c>
      <c r="B1023">
        <v>2016110025</v>
      </c>
      <c r="C1023" t="s">
        <v>57</v>
      </c>
      <c r="E1023" t="s">
        <v>131</v>
      </c>
      <c r="F1023" t="s">
        <v>132</v>
      </c>
      <c r="G1023">
        <v>2</v>
      </c>
      <c r="H1023" t="s">
        <v>438</v>
      </c>
      <c r="I1023" s="4">
        <f t="shared" si="145"/>
        <v>3</v>
      </c>
      <c r="J1023">
        <f t="shared" si="146"/>
        <v>6</v>
      </c>
      <c r="K1023">
        <v>64</v>
      </c>
      <c r="L1023">
        <v>20</v>
      </c>
      <c r="M1023" s="2">
        <v>3.2</v>
      </c>
      <c r="N1023" s="2">
        <v>3.04</v>
      </c>
      <c r="O1023">
        <v>0</v>
      </c>
      <c r="P1023">
        <v>1</v>
      </c>
      <c r="Q1023" t="s">
        <v>558</v>
      </c>
      <c r="R1023" t="s">
        <v>260</v>
      </c>
      <c r="S1023" t="str">
        <f t="shared" si="144"/>
        <v>PA</v>
      </c>
    </row>
    <row r="1024" spans="1:19" x14ac:dyDescent="0.3">
      <c r="A1024" t="s">
        <v>12</v>
      </c>
      <c r="B1024">
        <v>2016110025</v>
      </c>
      <c r="C1024" t="s">
        <v>57</v>
      </c>
      <c r="E1024" t="s">
        <v>262</v>
      </c>
      <c r="F1024" t="s">
        <v>263</v>
      </c>
      <c r="G1024">
        <v>2</v>
      </c>
      <c r="H1024" t="s">
        <v>438</v>
      </c>
      <c r="I1024" s="4">
        <f t="shared" si="145"/>
        <v>3</v>
      </c>
      <c r="J1024">
        <f t="shared" si="146"/>
        <v>6</v>
      </c>
      <c r="K1024">
        <v>58</v>
      </c>
      <c r="L1024">
        <v>22</v>
      </c>
      <c r="M1024" s="2">
        <v>2.64</v>
      </c>
      <c r="N1024" s="2">
        <v>3.04</v>
      </c>
      <c r="O1024">
        <v>0</v>
      </c>
      <c r="P1024">
        <v>6</v>
      </c>
      <c r="Q1024" t="s">
        <v>567</v>
      </c>
      <c r="R1024" t="s">
        <v>260</v>
      </c>
      <c r="S1024" t="str">
        <f t="shared" si="144"/>
        <v>PA</v>
      </c>
    </row>
    <row r="1025" spans="1:19" x14ac:dyDescent="0.3">
      <c r="A1025" t="s">
        <v>12</v>
      </c>
      <c r="B1025">
        <v>2016110025</v>
      </c>
      <c r="C1025" t="s">
        <v>57</v>
      </c>
      <c r="E1025" t="s">
        <v>374</v>
      </c>
      <c r="F1025" t="s">
        <v>375</v>
      </c>
      <c r="G1025">
        <v>2</v>
      </c>
      <c r="H1025" t="s">
        <v>438</v>
      </c>
      <c r="I1025" s="4">
        <f t="shared" si="145"/>
        <v>3</v>
      </c>
      <c r="J1025">
        <f t="shared" si="146"/>
        <v>6</v>
      </c>
      <c r="K1025">
        <v>58</v>
      </c>
      <c r="L1025">
        <v>24</v>
      </c>
      <c r="M1025" s="2">
        <v>2.42</v>
      </c>
      <c r="N1025" s="2">
        <v>3.04</v>
      </c>
      <c r="O1025">
        <v>0</v>
      </c>
      <c r="P1025">
        <v>4</v>
      </c>
      <c r="Q1025" t="s">
        <v>565</v>
      </c>
      <c r="R1025" t="s">
        <v>260</v>
      </c>
      <c r="S1025" t="str">
        <f t="shared" si="144"/>
        <v>PA</v>
      </c>
    </row>
    <row r="1026" spans="1:19" x14ac:dyDescent="0.3">
      <c r="A1026" t="s">
        <v>12</v>
      </c>
      <c r="B1026">
        <v>2016110025</v>
      </c>
      <c r="C1026" t="s">
        <v>57</v>
      </c>
      <c r="E1026" t="s">
        <v>372</v>
      </c>
      <c r="F1026" t="s">
        <v>373</v>
      </c>
      <c r="G1026">
        <v>2</v>
      </c>
      <c r="H1026" t="s">
        <v>438</v>
      </c>
      <c r="I1026" s="4">
        <f t="shared" si="145"/>
        <v>3</v>
      </c>
      <c r="J1026">
        <f t="shared" si="146"/>
        <v>6</v>
      </c>
      <c r="K1026">
        <v>58</v>
      </c>
      <c r="L1026">
        <v>22</v>
      </c>
      <c r="M1026" s="2">
        <v>2.64</v>
      </c>
      <c r="N1026" s="2">
        <v>3.04</v>
      </c>
      <c r="O1026">
        <v>0</v>
      </c>
      <c r="P1026">
        <v>6</v>
      </c>
      <c r="Q1026" t="s">
        <v>567</v>
      </c>
      <c r="R1026" t="s">
        <v>260</v>
      </c>
      <c r="S1026" t="str">
        <f t="shared" si="144"/>
        <v>PA</v>
      </c>
    </row>
    <row r="1027" spans="1:19" x14ac:dyDescent="0.3">
      <c r="A1027" t="s">
        <v>12</v>
      </c>
      <c r="B1027">
        <v>2016110025</v>
      </c>
      <c r="C1027" t="s">
        <v>57</v>
      </c>
      <c r="E1027" t="s">
        <v>276</v>
      </c>
      <c r="F1027" t="s">
        <v>137</v>
      </c>
      <c r="G1027">
        <v>4</v>
      </c>
      <c r="H1027" t="s">
        <v>438</v>
      </c>
      <c r="I1027" s="4">
        <f t="shared" si="145"/>
        <v>3</v>
      </c>
      <c r="J1027">
        <f t="shared" si="146"/>
        <v>12</v>
      </c>
      <c r="K1027">
        <v>58</v>
      </c>
      <c r="L1027">
        <v>24</v>
      </c>
      <c r="M1027" s="2">
        <v>2.42</v>
      </c>
      <c r="N1027" s="2">
        <v>3.04</v>
      </c>
      <c r="O1027">
        <v>0</v>
      </c>
      <c r="P1027">
        <v>4</v>
      </c>
      <c r="Q1027" t="s">
        <v>565</v>
      </c>
      <c r="R1027" t="s">
        <v>260</v>
      </c>
      <c r="S1027" t="str">
        <f t="shared" si="144"/>
        <v>PA</v>
      </c>
    </row>
    <row r="1028" spans="1:19" x14ac:dyDescent="0.3">
      <c r="A1028" t="s">
        <v>12</v>
      </c>
      <c r="B1028">
        <v>2016110025</v>
      </c>
      <c r="C1028" t="s">
        <v>57</v>
      </c>
      <c r="E1028" t="s">
        <v>279</v>
      </c>
      <c r="F1028" t="s">
        <v>280</v>
      </c>
      <c r="G1028">
        <v>2</v>
      </c>
      <c r="H1028" t="s">
        <v>438</v>
      </c>
      <c r="I1028" s="4">
        <f t="shared" si="145"/>
        <v>3</v>
      </c>
      <c r="J1028">
        <f t="shared" si="146"/>
        <v>6</v>
      </c>
      <c r="K1028">
        <v>48</v>
      </c>
      <c r="L1028">
        <v>16</v>
      </c>
      <c r="M1028" s="2">
        <v>3</v>
      </c>
      <c r="N1028" s="2">
        <v>3.04</v>
      </c>
      <c r="O1028">
        <v>0</v>
      </c>
      <c r="P1028">
        <v>2</v>
      </c>
      <c r="Q1028" t="s">
        <v>559</v>
      </c>
      <c r="R1028" t="s">
        <v>260</v>
      </c>
      <c r="S1028" t="str">
        <f t="shared" si="144"/>
        <v>PA</v>
      </c>
    </row>
    <row r="1029" spans="1:19" x14ac:dyDescent="0.3">
      <c r="A1029" t="s">
        <v>12</v>
      </c>
      <c r="B1029">
        <v>2016110025</v>
      </c>
      <c r="C1029" t="s">
        <v>57</v>
      </c>
      <c r="E1029" t="s">
        <v>39</v>
      </c>
      <c r="F1029" t="s">
        <v>11</v>
      </c>
      <c r="G1029">
        <v>2</v>
      </c>
      <c r="H1029" t="s">
        <v>438</v>
      </c>
      <c r="I1029" s="4">
        <f t="shared" si="145"/>
        <v>3</v>
      </c>
      <c r="J1029">
        <f t="shared" si="146"/>
        <v>6</v>
      </c>
      <c r="K1029">
        <v>44</v>
      </c>
      <c r="L1029">
        <v>16</v>
      </c>
      <c r="M1029" s="2">
        <v>2.75</v>
      </c>
      <c r="N1029" s="2">
        <v>3.04</v>
      </c>
      <c r="O1029">
        <v>0</v>
      </c>
      <c r="P1029">
        <v>7</v>
      </c>
      <c r="Q1029" t="s">
        <v>568</v>
      </c>
      <c r="R1029" t="s">
        <v>260</v>
      </c>
      <c r="S1029" t="str">
        <f t="shared" si="144"/>
        <v>PA</v>
      </c>
    </row>
    <row r="1030" spans="1:19" x14ac:dyDescent="0.3">
      <c r="A1030" t="s">
        <v>12</v>
      </c>
      <c r="B1030">
        <v>2016110025</v>
      </c>
      <c r="C1030" t="s">
        <v>57</v>
      </c>
      <c r="E1030" t="s">
        <v>208</v>
      </c>
      <c r="F1030" t="s">
        <v>209</v>
      </c>
      <c r="G1030">
        <v>2</v>
      </c>
      <c r="H1030" t="s">
        <v>438</v>
      </c>
      <c r="I1030" s="4">
        <f t="shared" si="145"/>
        <v>3</v>
      </c>
      <c r="J1030">
        <f t="shared" si="146"/>
        <v>6</v>
      </c>
      <c r="K1030">
        <v>50</v>
      </c>
      <c r="L1030">
        <v>18</v>
      </c>
      <c r="M1030" s="2">
        <v>2.78</v>
      </c>
      <c r="N1030" s="2">
        <v>3.04</v>
      </c>
      <c r="O1030">
        <v>0</v>
      </c>
      <c r="P1030">
        <v>5</v>
      </c>
      <c r="Q1030" t="s">
        <v>566</v>
      </c>
      <c r="R1030" t="s">
        <v>260</v>
      </c>
      <c r="S1030" t="str">
        <f t="shared" si="144"/>
        <v>PA</v>
      </c>
    </row>
    <row r="1031" spans="1:19" x14ac:dyDescent="0.3">
      <c r="A1031" t="s">
        <v>12</v>
      </c>
      <c r="B1031">
        <v>2016110025</v>
      </c>
      <c r="C1031" t="s">
        <v>57</v>
      </c>
      <c r="E1031" t="s">
        <v>344</v>
      </c>
      <c r="F1031" t="s">
        <v>345</v>
      </c>
      <c r="G1031">
        <v>2</v>
      </c>
      <c r="H1031" t="s">
        <v>438</v>
      </c>
      <c r="I1031" s="4">
        <f t="shared" si="145"/>
        <v>3</v>
      </c>
      <c r="J1031">
        <f t="shared" si="146"/>
        <v>6</v>
      </c>
      <c r="K1031">
        <v>44</v>
      </c>
      <c r="L1031">
        <v>16</v>
      </c>
      <c r="M1031" s="2">
        <v>2.75</v>
      </c>
      <c r="N1031" s="2">
        <v>3.04</v>
      </c>
      <c r="O1031">
        <v>0</v>
      </c>
      <c r="P1031">
        <v>7</v>
      </c>
      <c r="Q1031" t="s">
        <v>568</v>
      </c>
      <c r="R1031" t="s">
        <v>260</v>
      </c>
      <c r="S1031" t="str">
        <f t="shared" si="144"/>
        <v>PA</v>
      </c>
    </row>
    <row r="1032" spans="1:19" x14ac:dyDescent="0.3">
      <c r="A1032" t="s">
        <v>12</v>
      </c>
      <c r="B1032">
        <v>2016110025</v>
      </c>
      <c r="C1032" t="s">
        <v>57</v>
      </c>
      <c r="E1032" t="s">
        <v>234</v>
      </c>
      <c r="F1032" t="s">
        <v>235</v>
      </c>
      <c r="G1032">
        <v>4</v>
      </c>
      <c r="H1032" t="s">
        <v>438</v>
      </c>
      <c r="I1032" s="4">
        <f t="shared" si="145"/>
        <v>3</v>
      </c>
      <c r="J1032">
        <f t="shared" si="146"/>
        <v>12</v>
      </c>
      <c r="K1032">
        <v>62</v>
      </c>
      <c r="L1032">
        <v>20</v>
      </c>
      <c r="M1032" s="2">
        <v>3.1</v>
      </c>
      <c r="N1032" s="2">
        <v>3.04</v>
      </c>
      <c r="O1032">
        <v>0</v>
      </c>
      <c r="P1032">
        <v>3</v>
      </c>
      <c r="Q1032" t="s">
        <v>563</v>
      </c>
      <c r="R1032" t="s">
        <v>260</v>
      </c>
      <c r="S1032" t="str">
        <f t="shared" si="144"/>
        <v>PA</v>
      </c>
    </row>
    <row r="1033" spans="1:19" x14ac:dyDescent="0.3">
      <c r="A1033" t="s">
        <v>12</v>
      </c>
      <c r="B1033">
        <v>2016110025</v>
      </c>
      <c r="C1033" t="s">
        <v>57</v>
      </c>
      <c r="E1033" t="s">
        <v>205</v>
      </c>
      <c r="F1033" t="s">
        <v>116</v>
      </c>
      <c r="G1033">
        <v>4</v>
      </c>
      <c r="H1033" t="s">
        <v>438</v>
      </c>
      <c r="I1033" s="4">
        <f t="shared" si="145"/>
        <v>3</v>
      </c>
      <c r="J1033">
        <f t="shared" si="146"/>
        <v>12</v>
      </c>
      <c r="K1033">
        <v>62</v>
      </c>
      <c r="L1033">
        <v>20</v>
      </c>
      <c r="M1033" s="2">
        <v>3.1</v>
      </c>
      <c r="N1033" s="2">
        <v>3.04</v>
      </c>
      <c r="O1033">
        <v>0</v>
      </c>
      <c r="P1033">
        <v>3</v>
      </c>
      <c r="Q1033" t="s">
        <v>563</v>
      </c>
      <c r="R1033" t="s">
        <v>260</v>
      </c>
      <c r="S1033" t="str">
        <f t="shared" si="144"/>
        <v>PA</v>
      </c>
    </row>
    <row r="1034" spans="1:19" x14ac:dyDescent="0.3">
      <c r="A1034" t="s">
        <v>12</v>
      </c>
      <c r="B1034">
        <v>2016110025</v>
      </c>
      <c r="C1034" t="s">
        <v>57</v>
      </c>
      <c r="E1034" t="s">
        <v>151</v>
      </c>
      <c r="F1034" t="s">
        <v>152</v>
      </c>
      <c r="G1034">
        <v>2</v>
      </c>
      <c r="H1034" t="s">
        <v>438</v>
      </c>
      <c r="I1034" s="4">
        <f t="shared" si="145"/>
        <v>3</v>
      </c>
      <c r="J1034">
        <f t="shared" si="146"/>
        <v>6</v>
      </c>
      <c r="K1034">
        <v>64</v>
      </c>
      <c r="L1034">
        <v>20</v>
      </c>
      <c r="M1034" s="2">
        <v>3.2</v>
      </c>
      <c r="N1034" s="2">
        <v>3.04</v>
      </c>
      <c r="O1034">
        <v>0</v>
      </c>
      <c r="P1034">
        <v>1</v>
      </c>
      <c r="Q1034" t="s">
        <v>558</v>
      </c>
      <c r="R1034" t="s">
        <v>260</v>
      </c>
      <c r="S1034" t="str">
        <f t="shared" si="144"/>
        <v>PA</v>
      </c>
    </row>
    <row r="1035" spans="1:19" x14ac:dyDescent="0.3">
      <c r="A1035" t="s">
        <v>12</v>
      </c>
      <c r="B1035">
        <v>2016110025</v>
      </c>
      <c r="C1035" t="s">
        <v>57</v>
      </c>
      <c r="E1035" t="s">
        <v>370</v>
      </c>
      <c r="F1035" t="s">
        <v>371</v>
      </c>
      <c r="G1035">
        <v>2</v>
      </c>
      <c r="H1035" t="s">
        <v>438</v>
      </c>
      <c r="I1035" s="4">
        <f t="shared" si="145"/>
        <v>3</v>
      </c>
      <c r="J1035">
        <f t="shared" si="146"/>
        <v>6</v>
      </c>
      <c r="K1035">
        <v>50</v>
      </c>
      <c r="L1035">
        <v>18</v>
      </c>
      <c r="M1035" s="2">
        <v>2.78</v>
      </c>
      <c r="N1035" s="2">
        <v>3.04</v>
      </c>
      <c r="O1035">
        <v>0</v>
      </c>
      <c r="P1035">
        <v>5</v>
      </c>
      <c r="Q1035" t="s">
        <v>566</v>
      </c>
      <c r="R1035" t="s">
        <v>260</v>
      </c>
      <c r="S1035" t="str">
        <f t="shared" si="144"/>
        <v>PA</v>
      </c>
    </row>
    <row r="1036" spans="1:19" x14ac:dyDescent="0.3">
      <c r="A1036" t="s">
        <v>12</v>
      </c>
      <c r="B1036">
        <v>2016110025</v>
      </c>
      <c r="C1036" t="s">
        <v>57</v>
      </c>
      <c r="E1036" t="s">
        <v>306</v>
      </c>
      <c r="F1036" t="s">
        <v>307</v>
      </c>
      <c r="G1036">
        <v>2</v>
      </c>
      <c r="H1036" t="s">
        <v>438</v>
      </c>
      <c r="I1036" s="4">
        <f t="shared" si="145"/>
        <v>3</v>
      </c>
      <c r="J1036">
        <f t="shared" si="146"/>
        <v>6</v>
      </c>
      <c r="K1036">
        <v>62</v>
      </c>
      <c r="L1036">
        <v>20</v>
      </c>
      <c r="M1036" s="2">
        <v>3.1</v>
      </c>
      <c r="N1036" s="2">
        <v>3.04</v>
      </c>
      <c r="O1036">
        <v>0</v>
      </c>
      <c r="P1036">
        <v>3</v>
      </c>
      <c r="Q1036" t="s">
        <v>563</v>
      </c>
      <c r="R1036" t="s">
        <v>260</v>
      </c>
      <c r="S1036" t="str">
        <f t="shared" si="144"/>
        <v>PA</v>
      </c>
    </row>
    <row r="1037" spans="1:19" x14ac:dyDescent="0.3">
      <c r="A1037" t="s">
        <v>12</v>
      </c>
      <c r="B1037">
        <v>2016110025</v>
      </c>
      <c r="C1037" t="s">
        <v>57</v>
      </c>
      <c r="E1037" t="s">
        <v>446</v>
      </c>
      <c r="F1037" t="s">
        <v>447</v>
      </c>
      <c r="G1037">
        <v>2</v>
      </c>
      <c r="H1037" t="s">
        <v>438</v>
      </c>
      <c r="I1037" s="4">
        <f t="shared" si="145"/>
        <v>3</v>
      </c>
      <c r="J1037">
        <f t="shared" si="146"/>
        <v>6</v>
      </c>
      <c r="K1037">
        <v>58</v>
      </c>
      <c r="L1037">
        <v>22</v>
      </c>
      <c r="M1037" s="2">
        <v>2.64</v>
      </c>
      <c r="N1037" s="2">
        <v>3.04</v>
      </c>
      <c r="O1037">
        <v>0</v>
      </c>
      <c r="P1037">
        <v>6</v>
      </c>
      <c r="Q1037" t="s">
        <v>567</v>
      </c>
      <c r="R1037" t="s">
        <v>260</v>
      </c>
      <c r="S1037" t="str">
        <f t="shared" si="144"/>
        <v>PA</v>
      </c>
    </row>
    <row r="1038" spans="1:19" x14ac:dyDescent="0.3">
      <c r="A1038" t="s">
        <v>12</v>
      </c>
      <c r="B1038">
        <v>2016110025</v>
      </c>
      <c r="C1038" t="s">
        <v>57</v>
      </c>
      <c r="E1038" t="s">
        <v>437</v>
      </c>
      <c r="F1038" t="s">
        <v>169</v>
      </c>
      <c r="G1038">
        <v>4</v>
      </c>
      <c r="H1038" t="s">
        <v>438</v>
      </c>
      <c r="I1038" s="4">
        <f t="shared" si="145"/>
        <v>3</v>
      </c>
      <c r="J1038">
        <f t="shared" si="146"/>
        <v>12</v>
      </c>
      <c r="K1038">
        <v>64</v>
      </c>
      <c r="L1038">
        <v>20</v>
      </c>
      <c r="M1038" s="2">
        <v>3.2</v>
      </c>
      <c r="N1038" s="2">
        <v>3.04</v>
      </c>
      <c r="O1038">
        <v>0</v>
      </c>
      <c r="P1038">
        <v>1</v>
      </c>
      <c r="Q1038" t="s">
        <v>558</v>
      </c>
      <c r="R1038" t="s">
        <v>260</v>
      </c>
      <c r="S1038" t="str">
        <f t="shared" si="144"/>
        <v>PA</v>
      </c>
    </row>
    <row r="1039" spans="1:19" x14ac:dyDescent="0.3">
      <c r="A1039" t="s">
        <v>12</v>
      </c>
      <c r="B1039">
        <v>2016110025</v>
      </c>
      <c r="C1039" t="s">
        <v>57</v>
      </c>
      <c r="E1039" t="s">
        <v>432</v>
      </c>
      <c r="F1039" t="s">
        <v>433</v>
      </c>
      <c r="G1039">
        <v>4</v>
      </c>
      <c r="H1039" t="s">
        <v>438</v>
      </c>
      <c r="I1039" s="4">
        <f t="shared" si="145"/>
        <v>3</v>
      </c>
      <c r="J1039">
        <f t="shared" si="146"/>
        <v>12</v>
      </c>
      <c r="K1039">
        <v>58</v>
      </c>
      <c r="L1039">
        <v>24</v>
      </c>
      <c r="M1039" s="2">
        <v>2.42</v>
      </c>
      <c r="N1039" s="2">
        <v>3.04</v>
      </c>
      <c r="O1039">
        <v>0</v>
      </c>
      <c r="P1039">
        <v>4</v>
      </c>
      <c r="Q1039" t="s">
        <v>565</v>
      </c>
      <c r="R1039" t="s">
        <v>260</v>
      </c>
      <c r="S1039" t="str">
        <f t="shared" si="144"/>
        <v>PA</v>
      </c>
    </row>
    <row r="1040" spans="1:19" x14ac:dyDescent="0.3">
      <c r="A1040" t="s">
        <v>12</v>
      </c>
      <c r="B1040">
        <v>2016110025</v>
      </c>
      <c r="C1040" t="s">
        <v>57</v>
      </c>
      <c r="E1040" t="s">
        <v>139</v>
      </c>
      <c r="F1040" t="s">
        <v>140</v>
      </c>
      <c r="G1040">
        <v>2</v>
      </c>
      <c r="H1040" t="s">
        <v>438</v>
      </c>
      <c r="I1040" s="4">
        <f t="shared" si="145"/>
        <v>3</v>
      </c>
      <c r="J1040">
        <f t="shared" si="146"/>
        <v>6</v>
      </c>
      <c r="K1040">
        <v>48</v>
      </c>
      <c r="L1040">
        <v>16</v>
      </c>
      <c r="M1040" s="2">
        <v>3</v>
      </c>
      <c r="N1040" s="2">
        <v>3.04</v>
      </c>
      <c r="O1040">
        <v>0</v>
      </c>
      <c r="P1040">
        <v>2</v>
      </c>
      <c r="Q1040" t="s">
        <v>559</v>
      </c>
      <c r="R1040" t="s">
        <v>260</v>
      </c>
      <c r="S1040" t="str">
        <f t="shared" si="144"/>
        <v>PA</v>
      </c>
    </row>
    <row r="1041" spans="1:19" x14ac:dyDescent="0.3">
      <c r="A1041" t="s">
        <v>12</v>
      </c>
      <c r="B1041">
        <v>2016110025</v>
      </c>
      <c r="C1041" t="s">
        <v>57</v>
      </c>
      <c r="E1041" t="s">
        <v>427</v>
      </c>
      <c r="F1041" t="s">
        <v>428</v>
      </c>
      <c r="G1041">
        <v>2</v>
      </c>
      <c r="H1041" t="s">
        <v>438</v>
      </c>
      <c r="I1041" s="4">
        <f t="shared" si="145"/>
        <v>3</v>
      </c>
      <c r="J1041">
        <f t="shared" si="146"/>
        <v>6</v>
      </c>
      <c r="K1041">
        <v>58</v>
      </c>
      <c r="L1041">
        <v>22</v>
      </c>
      <c r="M1041" s="2">
        <v>2.64</v>
      </c>
      <c r="N1041" s="2">
        <v>3.04</v>
      </c>
      <c r="O1041">
        <v>0</v>
      </c>
      <c r="P1041">
        <v>6</v>
      </c>
      <c r="Q1041" t="s">
        <v>567</v>
      </c>
      <c r="R1041" t="s">
        <v>260</v>
      </c>
      <c r="S1041" t="str">
        <f t="shared" si="144"/>
        <v>PA</v>
      </c>
    </row>
    <row r="1042" spans="1:19" x14ac:dyDescent="0.3">
      <c r="A1042" t="s">
        <v>12</v>
      </c>
      <c r="B1042">
        <v>2016110025</v>
      </c>
      <c r="C1042" t="s">
        <v>57</v>
      </c>
      <c r="E1042" t="s">
        <v>248</v>
      </c>
      <c r="F1042" t="s">
        <v>249</v>
      </c>
      <c r="G1042">
        <v>2</v>
      </c>
      <c r="H1042" t="s">
        <v>438</v>
      </c>
      <c r="I1042" s="4">
        <f t="shared" si="145"/>
        <v>3</v>
      </c>
      <c r="J1042">
        <f t="shared" si="146"/>
        <v>6</v>
      </c>
      <c r="K1042">
        <v>58</v>
      </c>
      <c r="L1042">
        <v>24</v>
      </c>
      <c r="M1042" s="2">
        <v>2.42</v>
      </c>
      <c r="N1042" s="2">
        <v>3.04</v>
      </c>
      <c r="O1042">
        <v>0</v>
      </c>
      <c r="P1042">
        <v>4</v>
      </c>
      <c r="Q1042" t="s">
        <v>565</v>
      </c>
      <c r="R1042" t="s">
        <v>260</v>
      </c>
      <c r="S1042" t="str">
        <f t="shared" si="144"/>
        <v>PA</v>
      </c>
    </row>
    <row r="1043" spans="1:19" x14ac:dyDescent="0.3">
      <c r="A1043" t="s">
        <v>12</v>
      </c>
      <c r="B1043">
        <v>2016110025</v>
      </c>
      <c r="C1043" t="s">
        <v>57</v>
      </c>
      <c r="E1043" t="s">
        <v>100</v>
      </c>
      <c r="F1043" t="s">
        <v>101</v>
      </c>
      <c r="G1043">
        <v>4</v>
      </c>
      <c r="H1043" t="s">
        <v>438</v>
      </c>
      <c r="I1043" s="4">
        <f t="shared" si="145"/>
        <v>3</v>
      </c>
      <c r="J1043">
        <f t="shared" si="146"/>
        <v>12</v>
      </c>
      <c r="K1043">
        <v>58</v>
      </c>
      <c r="L1043">
        <v>22</v>
      </c>
      <c r="M1043" s="2">
        <v>2.64</v>
      </c>
      <c r="N1043" s="2">
        <v>3.04</v>
      </c>
      <c r="O1043">
        <v>0</v>
      </c>
      <c r="P1043">
        <v>6</v>
      </c>
      <c r="Q1043" t="s">
        <v>567</v>
      </c>
      <c r="R1043" t="s">
        <v>260</v>
      </c>
      <c r="S1043" t="str">
        <f t="shared" si="144"/>
        <v>PA</v>
      </c>
    </row>
    <row r="1044" spans="1:19" x14ac:dyDescent="0.3">
      <c r="A1044" t="s">
        <v>12</v>
      </c>
      <c r="B1044">
        <v>2016110025</v>
      </c>
      <c r="C1044" t="s">
        <v>57</v>
      </c>
      <c r="E1044" t="s">
        <v>97</v>
      </c>
      <c r="F1044" t="s">
        <v>98</v>
      </c>
      <c r="G1044">
        <v>4</v>
      </c>
      <c r="H1044" t="s">
        <v>438</v>
      </c>
      <c r="I1044" s="4">
        <f t="shared" si="145"/>
        <v>3</v>
      </c>
      <c r="J1044">
        <f t="shared" si="146"/>
        <v>12</v>
      </c>
      <c r="K1044">
        <v>48</v>
      </c>
      <c r="L1044">
        <v>16</v>
      </c>
      <c r="M1044" s="2">
        <v>3</v>
      </c>
      <c r="N1044" s="2">
        <v>3.04</v>
      </c>
      <c r="O1044">
        <v>0</v>
      </c>
      <c r="P1044">
        <v>2</v>
      </c>
      <c r="Q1044" t="s">
        <v>559</v>
      </c>
      <c r="R1044" t="s">
        <v>260</v>
      </c>
      <c r="S1044" t="str">
        <f t="shared" si="144"/>
        <v>PA</v>
      </c>
    </row>
    <row r="1045" spans="1:19" x14ac:dyDescent="0.3">
      <c r="A1045" t="s">
        <v>12</v>
      </c>
      <c r="B1045">
        <v>2016110025</v>
      </c>
      <c r="C1045" t="s">
        <v>57</v>
      </c>
      <c r="E1045" t="s">
        <v>316</v>
      </c>
      <c r="F1045" t="s">
        <v>317</v>
      </c>
      <c r="G1045">
        <v>2</v>
      </c>
      <c r="H1045" t="s">
        <v>438</v>
      </c>
      <c r="I1045" s="4">
        <f t="shared" si="145"/>
        <v>3</v>
      </c>
      <c r="J1045">
        <f t="shared" si="146"/>
        <v>6</v>
      </c>
      <c r="K1045">
        <v>44</v>
      </c>
      <c r="L1045">
        <v>16</v>
      </c>
      <c r="M1045" s="2">
        <v>2.75</v>
      </c>
      <c r="N1045" s="2">
        <v>3.04</v>
      </c>
      <c r="O1045">
        <v>0</v>
      </c>
      <c r="P1045">
        <v>7</v>
      </c>
      <c r="Q1045" t="s">
        <v>568</v>
      </c>
      <c r="R1045" t="s">
        <v>260</v>
      </c>
      <c r="S1045" t="str">
        <f t="shared" si="144"/>
        <v>PA</v>
      </c>
    </row>
    <row r="1046" spans="1:19" x14ac:dyDescent="0.3">
      <c r="A1046" t="s">
        <v>12</v>
      </c>
      <c r="B1046">
        <v>2016110025</v>
      </c>
      <c r="C1046" t="s">
        <v>57</v>
      </c>
      <c r="E1046" t="s">
        <v>330</v>
      </c>
      <c r="F1046" t="s">
        <v>108</v>
      </c>
      <c r="G1046">
        <v>2</v>
      </c>
      <c r="H1046" t="s">
        <v>438</v>
      </c>
      <c r="I1046" s="4">
        <f t="shared" si="145"/>
        <v>3</v>
      </c>
      <c r="J1046">
        <f t="shared" si="146"/>
        <v>6</v>
      </c>
      <c r="K1046">
        <v>44</v>
      </c>
      <c r="L1046">
        <v>16</v>
      </c>
      <c r="M1046" s="2">
        <v>2.75</v>
      </c>
      <c r="N1046" s="2">
        <v>3.04</v>
      </c>
      <c r="O1046">
        <v>0</v>
      </c>
      <c r="P1046">
        <v>7</v>
      </c>
      <c r="Q1046" t="s">
        <v>568</v>
      </c>
      <c r="R1046" t="s">
        <v>260</v>
      </c>
      <c r="S1046" t="str">
        <f t="shared" si="144"/>
        <v>PA</v>
      </c>
    </row>
    <row r="1047" spans="1:19" x14ac:dyDescent="0.3">
      <c r="A1047" t="s">
        <v>12</v>
      </c>
      <c r="B1047">
        <v>2016110025</v>
      </c>
      <c r="C1047" t="s">
        <v>57</v>
      </c>
      <c r="E1047" t="s">
        <v>357</v>
      </c>
      <c r="F1047" t="s">
        <v>358</v>
      </c>
      <c r="G1047">
        <v>4</v>
      </c>
      <c r="H1047" t="s">
        <v>438</v>
      </c>
      <c r="I1047" s="4">
        <f t="shared" si="145"/>
        <v>3</v>
      </c>
      <c r="J1047">
        <f t="shared" si="146"/>
        <v>12</v>
      </c>
      <c r="K1047">
        <v>50</v>
      </c>
      <c r="L1047">
        <v>18</v>
      </c>
      <c r="M1047" s="2">
        <v>2.78</v>
      </c>
      <c r="N1047" s="2">
        <v>3.04</v>
      </c>
      <c r="O1047">
        <v>0</v>
      </c>
      <c r="P1047">
        <v>5</v>
      </c>
      <c r="Q1047" t="s">
        <v>566</v>
      </c>
      <c r="R1047" t="s">
        <v>260</v>
      </c>
      <c r="S1047" t="str">
        <f t="shared" si="144"/>
        <v>PA</v>
      </c>
    </row>
    <row r="1048" spans="1:19" x14ac:dyDescent="0.3">
      <c r="A1048" t="s">
        <v>12</v>
      </c>
      <c r="B1048">
        <v>2016110025</v>
      </c>
      <c r="C1048" t="s">
        <v>57</v>
      </c>
      <c r="E1048" t="s">
        <v>190</v>
      </c>
      <c r="F1048" t="s">
        <v>191</v>
      </c>
      <c r="G1048">
        <v>4</v>
      </c>
      <c r="H1048" t="s">
        <v>438</v>
      </c>
      <c r="I1048" s="4">
        <f t="shared" si="145"/>
        <v>3</v>
      </c>
      <c r="J1048">
        <f t="shared" si="146"/>
        <v>12</v>
      </c>
      <c r="K1048">
        <v>44</v>
      </c>
      <c r="L1048">
        <v>16</v>
      </c>
      <c r="M1048" s="2">
        <v>2.75</v>
      </c>
      <c r="N1048" s="2">
        <v>3.04</v>
      </c>
      <c r="O1048">
        <v>0</v>
      </c>
      <c r="P1048">
        <v>7</v>
      </c>
      <c r="Q1048" t="s">
        <v>568</v>
      </c>
      <c r="R1048" t="s">
        <v>260</v>
      </c>
      <c r="S1048" t="str">
        <f t="shared" si="144"/>
        <v>PA</v>
      </c>
    </row>
    <row r="1049" spans="1:19" x14ac:dyDescent="0.3">
      <c r="A1049" t="s">
        <v>12</v>
      </c>
      <c r="B1049">
        <v>2016110025</v>
      </c>
      <c r="C1049" t="s">
        <v>57</v>
      </c>
      <c r="E1049" t="s">
        <v>142</v>
      </c>
      <c r="F1049" t="s">
        <v>143</v>
      </c>
      <c r="G1049">
        <v>2</v>
      </c>
      <c r="H1049" t="s">
        <v>438</v>
      </c>
      <c r="I1049" s="4">
        <f t="shared" si="145"/>
        <v>3</v>
      </c>
      <c r="J1049">
        <f t="shared" si="146"/>
        <v>6</v>
      </c>
      <c r="K1049">
        <v>64</v>
      </c>
      <c r="L1049">
        <v>20</v>
      </c>
      <c r="M1049" s="2">
        <v>3.2</v>
      </c>
      <c r="N1049" s="2">
        <v>3.04</v>
      </c>
      <c r="O1049">
        <v>0</v>
      </c>
      <c r="P1049">
        <v>1</v>
      </c>
      <c r="Q1049" t="s">
        <v>558</v>
      </c>
      <c r="R1049" t="s">
        <v>260</v>
      </c>
      <c r="S1049" t="str">
        <f t="shared" si="144"/>
        <v>PA</v>
      </c>
    </row>
    <row r="1050" spans="1:19" x14ac:dyDescent="0.3">
      <c r="A1050" t="s">
        <v>12</v>
      </c>
      <c r="B1050">
        <v>2016110025</v>
      </c>
      <c r="C1050" t="s">
        <v>57</v>
      </c>
      <c r="E1050" t="s">
        <v>283</v>
      </c>
      <c r="F1050" t="s">
        <v>284</v>
      </c>
      <c r="G1050">
        <v>2</v>
      </c>
      <c r="H1050" t="s">
        <v>438</v>
      </c>
      <c r="I1050" s="4">
        <f t="shared" si="145"/>
        <v>3</v>
      </c>
      <c r="J1050">
        <f t="shared" si="146"/>
        <v>6</v>
      </c>
      <c r="K1050">
        <v>50</v>
      </c>
      <c r="L1050">
        <v>18</v>
      </c>
      <c r="M1050" s="2">
        <v>2.78</v>
      </c>
      <c r="N1050" s="2">
        <v>3.04</v>
      </c>
      <c r="O1050">
        <v>0</v>
      </c>
      <c r="P1050">
        <v>5</v>
      </c>
      <c r="Q1050" t="s">
        <v>566</v>
      </c>
      <c r="R1050" t="s">
        <v>260</v>
      </c>
      <c r="S1050" t="str">
        <f t="shared" si="144"/>
        <v>PA</v>
      </c>
    </row>
    <row r="1051" spans="1:19" x14ac:dyDescent="0.3">
      <c r="A1051" t="s">
        <v>12</v>
      </c>
      <c r="B1051">
        <v>2016110025</v>
      </c>
      <c r="C1051" t="s">
        <v>57</v>
      </c>
      <c r="E1051" t="s">
        <v>90</v>
      </c>
      <c r="F1051" t="s">
        <v>91</v>
      </c>
      <c r="G1051">
        <v>2</v>
      </c>
      <c r="H1051" t="s">
        <v>524</v>
      </c>
      <c r="I1051" s="4">
        <f t="shared" si="145"/>
        <v>2</v>
      </c>
      <c r="J1051">
        <f t="shared" si="146"/>
        <v>4</v>
      </c>
      <c r="K1051">
        <v>64</v>
      </c>
      <c r="L1051">
        <v>20</v>
      </c>
      <c r="M1051" s="2">
        <v>3.2</v>
      </c>
      <c r="N1051" s="2">
        <v>3.04</v>
      </c>
      <c r="O1051">
        <v>0</v>
      </c>
      <c r="P1051">
        <v>1</v>
      </c>
      <c r="Q1051" t="s">
        <v>558</v>
      </c>
      <c r="R1051" t="s">
        <v>260</v>
      </c>
      <c r="S1051" t="str">
        <f t="shared" si="144"/>
        <v>PA</v>
      </c>
    </row>
    <row r="1052" spans="1:19" x14ac:dyDescent="0.3">
      <c r="A1052" t="s">
        <v>12</v>
      </c>
      <c r="B1052">
        <v>2016110025</v>
      </c>
      <c r="C1052" t="s">
        <v>57</v>
      </c>
      <c r="E1052" t="s">
        <v>297</v>
      </c>
      <c r="F1052" t="s">
        <v>342</v>
      </c>
      <c r="G1052">
        <v>4</v>
      </c>
      <c r="H1052" t="s">
        <v>524</v>
      </c>
      <c r="I1052" s="4">
        <f t="shared" si="145"/>
        <v>2</v>
      </c>
      <c r="J1052">
        <f t="shared" si="146"/>
        <v>8</v>
      </c>
      <c r="K1052">
        <v>58</v>
      </c>
      <c r="L1052">
        <v>22</v>
      </c>
      <c r="M1052" s="2">
        <v>2.64</v>
      </c>
      <c r="N1052" s="2">
        <v>3.04</v>
      </c>
      <c r="O1052">
        <v>0</v>
      </c>
      <c r="P1052">
        <v>6</v>
      </c>
      <c r="Q1052" t="s">
        <v>567</v>
      </c>
      <c r="R1052" t="s">
        <v>260</v>
      </c>
      <c r="S1052" t="str">
        <f t="shared" si="144"/>
        <v>PA</v>
      </c>
    </row>
    <row r="1053" spans="1:19" x14ac:dyDescent="0.3">
      <c r="A1053" t="s">
        <v>12</v>
      </c>
      <c r="B1053">
        <v>2016110025</v>
      </c>
      <c r="C1053" t="s">
        <v>57</v>
      </c>
      <c r="E1053" t="s">
        <v>297</v>
      </c>
      <c r="F1053" t="s">
        <v>342</v>
      </c>
      <c r="G1053">
        <v>4</v>
      </c>
      <c r="H1053" t="s">
        <v>260</v>
      </c>
      <c r="I1053" s="4">
        <f t="shared" si="145"/>
        <v>4</v>
      </c>
      <c r="J1053">
        <f t="shared" si="146"/>
        <v>16</v>
      </c>
      <c r="K1053">
        <v>20</v>
      </c>
      <c r="L1053">
        <v>8</v>
      </c>
      <c r="M1053" s="2">
        <v>2.5</v>
      </c>
      <c r="N1053" s="2">
        <v>3.04</v>
      </c>
      <c r="O1053">
        <v>1</v>
      </c>
      <c r="P1053">
        <v>8</v>
      </c>
      <c r="Q1053" t="s">
        <v>569</v>
      </c>
      <c r="R1053" t="s">
        <v>260</v>
      </c>
      <c r="S1053" t="str">
        <f t="shared" si="144"/>
        <v>PA</v>
      </c>
    </row>
    <row r="1054" spans="1:19" x14ac:dyDescent="0.3">
      <c r="A1054" t="s">
        <v>12</v>
      </c>
      <c r="B1054">
        <v>2016110025</v>
      </c>
      <c r="C1054" t="s">
        <v>57</v>
      </c>
      <c r="E1054" t="s">
        <v>192</v>
      </c>
      <c r="F1054" t="s">
        <v>106</v>
      </c>
      <c r="G1054">
        <v>2</v>
      </c>
      <c r="H1054" t="s">
        <v>524</v>
      </c>
      <c r="I1054" s="4">
        <f t="shared" si="145"/>
        <v>2</v>
      </c>
      <c r="J1054">
        <f t="shared" si="146"/>
        <v>4</v>
      </c>
      <c r="K1054">
        <v>62</v>
      </c>
      <c r="L1054">
        <v>20</v>
      </c>
      <c r="M1054" s="2">
        <v>3.1</v>
      </c>
      <c r="N1054" s="2">
        <v>3.04</v>
      </c>
      <c r="O1054">
        <v>0</v>
      </c>
      <c r="P1054">
        <v>3</v>
      </c>
      <c r="Q1054" t="s">
        <v>563</v>
      </c>
      <c r="R1054" t="s">
        <v>260</v>
      </c>
      <c r="S1054" t="str">
        <f t="shared" si="144"/>
        <v>PA</v>
      </c>
    </row>
    <row r="1055" spans="1:19" x14ac:dyDescent="0.3">
      <c r="A1055" t="s">
        <v>12</v>
      </c>
      <c r="B1055">
        <v>2016110025</v>
      </c>
      <c r="C1055" t="s">
        <v>57</v>
      </c>
      <c r="E1055" t="s">
        <v>192</v>
      </c>
      <c r="F1055" t="s">
        <v>106</v>
      </c>
      <c r="G1055">
        <v>2</v>
      </c>
      <c r="H1055" t="s">
        <v>524</v>
      </c>
      <c r="I1055" s="4">
        <f t="shared" si="145"/>
        <v>2</v>
      </c>
      <c r="J1055">
        <f t="shared" si="146"/>
        <v>4</v>
      </c>
      <c r="K1055">
        <v>14</v>
      </c>
      <c r="L1055">
        <v>6</v>
      </c>
      <c r="M1055" s="2">
        <v>2.33</v>
      </c>
      <c r="N1055" s="2">
        <v>3.04</v>
      </c>
      <c r="O1055">
        <v>1</v>
      </c>
      <c r="P1055">
        <v>9</v>
      </c>
      <c r="Q1055" t="s">
        <v>570</v>
      </c>
      <c r="R1055" t="s">
        <v>260</v>
      </c>
      <c r="S1055" t="str">
        <f t="shared" si="144"/>
        <v>PA</v>
      </c>
    </row>
    <row r="1056" spans="1:19" x14ac:dyDescent="0.3">
      <c r="A1056" t="s">
        <v>12</v>
      </c>
      <c r="B1056">
        <v>2016110025</v>
      </c>
      <c r="C1056" t="s">
        <v>57</v>
      </c>
      <c r="E1056" t="s">
        <v>211</v>
      </c>
      <c r="F1056" t="s">
        <v>186</v>
      </c>
      <c r="G1056">
        <v>4</v>
      </c>
      <c r="H1056" t="s">
        <v>524</v>
      </c>
      <c r="I1056" s="4">
        <f t="shared" si="145"/>
        <v>2</v>
      </c>
      <c r="J1056">
        <f t="shared" si="146"/>
        <v>8</v>
      </c>
      <c r="K1056">
        <v>50</v>
      </c>
      <c r="L1056">
        <v>18</v>
      </c>
      <c r="M1056" s="2">
        <v>2.78</v>
      </c>
      <c r="N1056" s="2">
        <v>3.04</v>
      </c>
      <c r="O1056">
        <v>0</v>
      </c>
      <c r="P1056">
        <v>5</v>
      </c>
      <c r="Q1056" t="s">
        <v>566</v>
      </c>
      <c r="R1056" t="s">
        <v>260</v>
      </c>
      <c r="S1056" t="str">
        <f t="shared" si="144"/>
        <v>PA</v>
      </c>
    </row>
    <row r="1057" spans="1:19" x14ac:dyDescent="0.3">
      <c r="A1057" t="s">
        <v>12</v>
      </c>
      <c r="B1057">
        <v>2016110025</v>
      </c>
      <c r="C1057" t="s">
        <v>57</v>
      </c>
      <c r="E1057" t="s">
        <v>211</v>
      </c>
      <c r="F1057" t="s">
        <v>186</v>
      </c>
      <c r="G1057">
        <v>4</v>
      </c>
      <c r="H1057" t="s">
        <v>438</v>
      </c>
      <c r="I1057" s="4">
        <f t="shared" si="145"/>
        <v>3</v>
      </c>
      <c r="J1057">
        <f t="shared" si="146"/>
        <v>12</v>
      </c>
      <c r="K1057">
        <v>66</v>
      </c>
      <c r="L1057">
        <v>22</v>
      </c>
      <c r="M1057" s="2">
        <v>3</v>
      </c>
      <c r="N1057" s="2">
        <v>3.04</v>
      </c>
      <c r="O1057">
        <v>1</v>
      </c>
      <c r="P1057">
        <v>8</v>
      </c>
      <c r="Q1057" t="s">
        <v>571</v>
      </c>
      <c r="R1057" t="s">
        <v>260</v>
      </c>
      <c r="S1057" t="str">
        <f t="shared" si="144"/>
        <v>PA</v>
      </c>
    </row>
    <row r="1058" spans="1:19" x14ac:dyDescent="0.3">
      <c r="A1058" t="s">
        <v>12</v>
      </c>
      <c r="B1058">
        <v>2016110025</v>
      </c>
      <c r="C1058" t="s">
        <v>57</v>
      </c>
      <c r="E1058" t="s">
        <v>382</v>
      </c>
      <c r="F1058" t="s">
        <v>383</v>
      </c>
      <c r="G1058">
        <v>4</v>
      </c>
      <c r="H1058" t="s">
        <v>524</v>
      </c>
      <c r="I1058" s="4">
        <f t="shared" si="145"/>
        <v>2</v>
      </c>
      <c r="J1058">
        <f t="shared" si="146"/>
        <v>8</v>
      </c>
      <c r="K1058">
        <v>44</v>
      </c>
      <c r="L1058">
        <v>16</v>
      </c>
      <c r="M1058" s="2">
        <v>2.75</v>
      </c>
      <c r="N1058" s="2">
        <v>3.04</v>
      </c>
      <c r="O1058">
        <v>0</v>
      </c>
      <c r="P1058">
        <v>7</v>
      </c>
      <c r="Q1058" t="s">
        <v>568</v>
      </c>
      <c r="R1058" t="s">
        <v>260</v>
      </c>
      <c r="S1058" t="str">
        <f t="shared" si="144"/>
        <v>PA</v>
      </c>
    </row>
    <row r="1059" spans="1:19" x14ac:dyDescent="0.3">
      <c r="A1059" t="s">
        <v>12</v>
      </c>
      <c r="B1059">
        <v>2016110025</v>
      </c>
      <c r="C1059" t="s">
        <v>57</v>
      </c>
      <c r="E1059" t="s">
        <v>264</v>
      </c>
      <c r="F1059" t="s">
        <v>265</v>
      </c>
      <c r="G1059">
        <v>2</v>
      </c>
      <c r="H1059" t="s">
        <v>524</v>
      </c>
      <c r="I1059" s="4">
        <f t="shared" si="145"/>
        <v>2</v>
      </c>
      <c r="J1059">
        <f t="shared" si="146"/>
        <v>4</v>
      </c>
      <c r="K1059">
        <v>50</v>
      </c>
      <c r="L1059">
        <v>18</v>
      </c>
      <c r="M1059" s="2">
        <v>2.78</v>
      </c>
      <c r="N1059" s="2">
        <v>3.04</v>
      </c>
      <c r="O1059">
        <v>0</v>
      </c>
      <c r="P1059">
        <v>5</v>
      </c>
      <c r="Q1059" t="s">
        <v>566</v>
      </c>
      <c r="R1059" t="s">
        <v>260</v>
      </c>
      <c r="S1059" t="str">
        <f t="shared" si="144"/>
        <v>PA</v>
      </c>
    </row>
    <row r="1060" spans="1:19" x14ac:dyDescent="0.3">
      <c r="A1060" t="s">
        <v>12</v>
      </c>
      <c r="B1060">
        <v>2016110025</v>
      </c>
      <c r="C1060" t="s">
        <v>57</v>
      </c>
      <c r="E1060" t="s">
        <v>236</v>
      </c>
      <c r="F1060" t="s">
        <v>237</v>
      </c>
      <c r="G1060">
        <v>2</v>
      </c>
      <c r="H1060" t="s">
        <v>524</v>
      </c>
      <c r="I1060" s="4">
        <f t="shared" si="145"/>
        <v>2</v>
      </c>
      <c r="J1060">
        <f t="shared" si="146"/>
        <v>4</v>
      </c>
      <c r="K1060">
        <v>14</v>
      </c>
      <c r="L1060">
        <v>6</v>
      </c>
      <c r="M1060" s="2">
        <v>2.33</v>
      </c>
      <c r="N1060" s="2">
        <v>3.04</v>
      </c>
      <c r="O1060">
        <v>0</v>
      </c>
      <c r="P1060">
        <v>9</v>
      </c>
      <c r="Q1060" t="s">
        <v>570</v>
      </c>
      <c r="R1060" t="s">
        <v>260</v>
      </c>
      <c r="S1060" t="str">
        <f t="shared" si="144"/>
        <v>PA</v>
      </c>
    </row>
    <row r="1061" spans="1:19" x14ac:dyDescent="0.3">
      <c r="A1061" t="s">
        <v>12</v>
      </c>
      <c r="B1061">
        <v>2016110025</v>
      </c>
      <c r="C1061" t="s">
        <v>57</v>
      </c>
      <c r="E1061" t="s">
        <v>348</v>
      </c>
      <c r="F1061" t="s">
        <v>402</v>
      </c>
      <c r="G1061">
        <v>4</v>
      </c>
      <c r="H1061" t="s">
        <v>524</v>
      </c>
      <c r="I1061" s="4">
        <f t="shared" si="145"/>
        <v>2</v>
      </c>
      <c r="J1061">
        <f t="shared" si="146"/>
        <v>8</v>
      </c>
      <c r="K1061">
        <v>58</v>
      </c>
      <c r="L1061">
        <v>24</v>
      </c>
      <c r="M1061" s="2">
        <v>2.42</v>
      </c>
      <c r="N1061" s="2">
        <v>3.04</v>
      </c>
      <c r="O1061">
        <v>0</v>
      </c>
      <c r="P1061">
        <v>4</v>
      </c>
      <c r="Q1061" t="s">
        <v>565</v>
      </c>
      <c r="R1061" t="s">
        <v>260</v>
      </c>
      <c r="S1061" t="str">
        <f t="shared" si="144"/>
        <v>PA</v>
      </c>
    </row>
    <row r="1062" spans="1:19" x14ac:dyDescent="0.3">
      <c r="A1062" t="s">
        <v>12</v>
      </c>
      <c r="B1062">
        <v>2016110025</v>
      </c>
      <c r="C1062" t="s">
        <v>57</v>
      </c>
      <c r="E1062" t="s">
        <v>348</v>
      </c>
      <c r="F1062" t="s">
        <v>402</v>
      </c>
      <c r="G1062">
        <v>4</v>
      </c>
      <c r="H1062" t="s">
        <v>438</v>
      </c>
      <c r="I1062" s="4">
        <f t="shared" si="145"/>
        <v>3</v>
      </c>
      <c r="J1062">
        <f t="shared" si="146"/>
        <v>12</v>
      </c>
      <c r="K1062">
        <v>66</v>
      </c>
      <c r="L1062">
        <v>22</v>
      </c>
      <c r="M1062" s="2">
        <v>3</v>
      </c>
      <c r="N1062" s="2">
        <v>3.04</v>
      </c>
      <c r="O1062">
        <v>1</v>
      </c>
      <c r="P1062">
        <v>8</v>
      </c>
      <c r="Q1062" t="s">
        <v>571</v>
      </c>
      <c r="R1062" t="s">
        <v>260</v>
      </c>
      <c r="S1062" t="str">
        <f t="shared" si="144"/>
        <v>PA</v>
      </c>
    </row>
    <row r="1063" spans="1:19" x14ac:dyDescent="0.3">
      <c r="A1063" t="s">
        <v>12</v>
      </c>
      <c r="B1063">
        <v>2016110025</v>
      </c>
      <c r="C1063" t="s">
        <v>57</v>
      </c>
      <c r="E1063" t="s">
        <v>257</v>
      </c>
      <c r="F1063" t="s">
        <v>258</v>
      </c>
      <c r="G1063">
        <v>4</v>
      </c>
      <c r="H1063" t="s">
        <v>524</v>
      </c>
      <c r="I1063" s="4">
        <f t="shared" si="145"/>
        <v>2</v>
      </c>
      <c r="J1063">
        <f t="shared" si="146"/>
        <v>8</v>
      </c>
      <c r="K1063">
        <v>58</v>
      </c>
      <c r="L1063">
        <v>22</v>
      </c>
      <c r="M1063" s="2">
        <v>2.64</v>
      </c>
      <c r="N1063" s="2">
        <v>3.04</v>
      </c>
      <c r="O1063">
        <v>0</v>
      </c>
      <c r="P1063">
        <v>6</v>
      </c>
      <c r="Q1063" t="s">
        <v>567</v>
      </c>
      <c r="R1063" t="s">
        <v>260</v>
      </c>
      <c r="S1063" t="str">
        <f t="shared" si="144"/>
        <v>PA</v>
      </c>
    </row>
    <row r="1064" spans="1:19" x14ac:dyDescent="0.3">
      <c r="A1064" t="s">
        <v>12</v>
      </c>
      <c r="B1064">
        <v>2016110025</v>
      </c>
      <c r="C1064" t="s">
        <v>57</v>
      </c>
      <c r="E1064" t="s">
        <v>257</v>
      </c>
      <c r="F1064" t="s">
        <v>258</v>
      </c>
      <c r="G1064">
        <v>4</v>
      </c>
      <c r="H1064" t="s">
        <v>535</v>
      </c>
      <c r="I1064" s="4">
        <f t="shared" si="145"/>
        <v>1</v>
      </c>
      <c r="J1064">
        <f t="shared" si="146"/>
        <v>4</v>
      </c>
      <c r="K1064">
        <v>20</v>
      </c>
      <c r="L1064">
        <v>8</v>
      </c>
      <c r="M1064" s="2">
        <v>2.5</v>
      </c>
      <c r="N1064" s="2">
        <v>3.04</v>
      </c>
      <c r="O1064">
        <v>1</v>
      </c>
      <c r="P1064">
        <v>8</v>
      </c>
      <c r="Q1064" t="s">
        <v>569</v>
      </c>
      <c r="R1064" t="s">
        <v>260</v>
      </c>
      <c r="S1064" t="str">
        <f t="shared" si="144"/>
        <v>FA</v>
      </c>
    </row>
    <row r="1065" spans="1:19" x14ac:dyDescent="0.3">
      <c r="A1065" t="s">
        <v>12</v>
      </c>
      <c r="B1065">
        <v>2016110025</v>
      </c>
      <c r="C1065" t="s">
        <v>57</v>
      </c>
      <c r="E1065" t="s">
        <v>257</v>
      </c>
      <c r="F1065" t="s">
        <v>258</v>
      </c>
      <c r="G1065">
        <v>4</v>
      </c>
      <c r="H1065" t="s">
        <v>438</v>
      </c>
      <c r="I1065" s="4">
        <f t="shared" si="145"/>
        <v>3</v>
      </c>
      <c r="J1065">
        <f t="shared" si="146"/>
        <v>12</v>
      </c>
      <c r="K1065">
        <v>66</v>
      </c>
      <c r="L1065">
        <v>22</v>
      </c>
      <c r="M1065" s="2">
        <v>3</v>
      </c>
      <c r="N1065" s="2">
        <v>3.04</v>
      </c>
      <c r="O1065">
        <v>2</v>
      </c>
      <c r="P1065">
        <v>8</v>
      </c>
      <c r="Q1065" t="s">
        <v>571</v>
      </c>
      <c r="R1065" t="s">
        <v>260</v>
      </c>
      <c r="S1065" t="str">
        <f t="shared" si="144"/>
        <v>PA</v>
      </c>
    </row>
    <row r="1066" spans="1:19" x14ac:dyDescent="0.3">
      <c r="A1066" t="s">
        <v>12</v>
      </c>
      <c r="B1066">
        <v>2016110025</v>
      </c>
      <c r="C1066" t="s">
        <v>57</v>
      </c>
      <c r="E1066" t="s">
        <v>103</v>
      </c>
      <c r="F1066" t="s">
        <v>104</v>
      </c>
      <c r="G1066">
        <v>4</v>
      </c>
      <c r="H1066" t="s">
        <v>524</v>
      </c>
      <c r="I1066" s="4">
        <f t="shared" si="145"/>
        <v>2</v>
      </c>
      <c r="J1066">
        <f t="shared" si="146"/>
        <v>8</v>
      </c>
      <c r="K1066">
        <v>48</v>
      </c>
      <c r="L1066">
        <v>16</v>
      </c>
      <c r="M1066" s="2">
        <v>3</v>
      </c>
      <c r="N1066" s="2">
        <v>3.04</v>
      </c>
      <c r="O1066">
        <v>0</v>
      </c>
      <c r="P1066">
        <v>2</v>
      </c>
      <c r="Q1066" t="s">
        <v>559</v>
      </c>
      <c r="R1066" t="s">
        <v>260</v>
      </c>
      <c r="S1066" t="str">
        <f t="shared" si="144"/>
        <v>PA</v>
      </c>
    </row>
    <row r="1067" spans="1:19" x14ac:dyDescent="0.3">
      <c r="A1067" t="s">
        <v>12</v>
      </c>
      <c r="B1067">
        <v>2016110025</v>
      </c>
      <c r="C1067" t="s">
        <v>57</v>
      </c>
      <c r="E1067" t="s">
        <v>103</v>
      </c>
      <c r="F1067" t="s">
        <v>104</v>
      </c>
      <c r="G1067">
        <v>4</v>
      </c>
      <c r="H1067" t="s">
        <v>438</v>
      </c>
      <c r="I1067" s="4">
        <f t="shared" si="145"/>
        <v>3</v>
      </c>
      <c r="J1067">
        <f t="shared" si="146"/>
        <v>12</v>
      </c>
      <c r="K1067">
        <v>66</v>
      </c>
      <c r="L1067">
        <v>22</v>
      </c>
      <c r="M1067" s="2">
        <v>3</v>
      </c>
      <c r="N1067" s="2">
        <v>3.04</v>
      </c>
      <c r="O1067">
        <v>1</v>
      </c>
      <c r="P1067">
        <v>8</v>
      </c>
      <c r="Q1067" t="s">
        <v>571</v>
      </c>
      <c r="R1067" t="s">
        <v>260</v>
      </c>
      <c r="S1067" t="str">
        <f t="shared" si="144"/>
        <v>PA</v>
      </c>
    </row>
    <row r="1068" spans="1:19" x14ac:dyDescent="0.3">
      <c r="A1068" t="s">
        <v>12</v>
      </c>
      <c r="B1068">
        <v>2016110025</v>
      </c>
      <c r="C1068" t="s">
        <v>57</v>
      </c>
      <c r="E1068" t="s">
        <v>241</v>
      </c>
      <c r="F1068" t="s">
        <v>45</v>
      </c>
      <c r="G1068">
        <v>2</v>
      </c>
      <c r="H1068" t="s">
        <v>524</v>
      </c>
      <c r="I1068" s="4">
        <f t="shared" si="145"/>
        <v>2</v>
      </c>
      <c r="J1068">
        <f t="shared" si="146"/>
        <v>4</v>
      </c>
      <c r="K1068">
        <v>62</v>
      </c>
      <c r="L1068">
        <v>20</v>
      </c>
      <c r="M1068" s="2">
        <v>3.1</v>
      </c>
      <c r="N1068" s="2">
        <v>3.04</v>
      </c>
      <c r="O1068">
        <v>0</v>
      </c>
      <c r="P1068">
        <v>3</v>
      </c>
      <c r="Q1068" t="s">
        <v>563</v>
      </c>
      <c r="R1068" t="s">
        <v>260</v>
      </c>
      <c r="S1068" t="str">
        <f t="shared" si="144"/>
        <v>PA</v>
      </c>
    </row>
    <row r="1069" spans="1:19" x14ac:dyDescent="0.3">
      <c r="A1069" t="s">
        <v>12</v>
      </c>
      <c r="B1069">
        <v>2016110025</v>
      </c>
      <c r="C1069" t="s">
        <v>57</v>
      </c>
      <c r="E1069" t="s">
        <v>241</v>
      </c>
      <c r="F1069" t="s">
        <v>45</v>
      </c>
      <c r="G1069">
        <v>2</v>
      </c>
      <c r="H1069" t="s">
        <v>438</v>
      </c>
      <c r="I1069" s="4">
        <f t="shared" si="145"/>
        <v>3</v>
      </c>
      <c r="J1069">
        <f t="shared" si="146"/>
        <v>6</v>
      </c>
      <c r="K1069">
        <v>14</v>
      </c>
      <c r="L1069">
        <v>6</v>
      </c>
      <c r="M1069" s="2">
        <v>2.33</v>
      </c>
      <c r="N1069" s="2">
        <v>3.04</v>
      </c>
      <c r="O1069">
        <v>1</v>
      </c>
      <c r="P1069">
        <v>9</v>
      </c>
      <c r="Q1069" t="s">
        <v>570</v>
      </c>
      <c r="R1069" t="s">
        <v>260</v>
      </c>
      <c r="S1069" t="str">
        <f t="shared" si="144"/>
        <v>PA</v>
      </c>
    </row>
    <row r="1070" spans="1:19" x14ac:dyDescent="0.3">
      <c r="A1070" t="s">
        <v>12</v>
      </c>
      <c r="B1070">
        <v>2016110025</v>
      </c>
      <c r="C1070" t="s">
        <v>57</v>
      </c>
      <c r="E1070" t="s">
        <v>309</v>
      </c>
      <c r="F1070" t="s">
        <v>310</v>
      </c>
      <c r="G1070">
        <v>4</v>
      </c>
      <c r="H1070" t="s">
        <v>535</v>
      </c>
      <c r="I1070" s="4">
        <f t="shared" si="145"/>
        <v>1</v>
      </c>
      <c r="J1070">
        <f t="shared" si="146"/>
        <v>4</v>
      </c>
      <c r="K1070">
        <v>58</v>
      </c>
      <c r="L1070">
        <v>24</v>
      </c>
      <c r="M1070" s="2">
        <v>2.42</v>
      </c>
      <c r="N1070" s="2">
        <v>3.04</v>
      </c>
      <c r="O1070">
        <v>0</v>
      </c>
      <c r="P1070">
        <v>4</v>
      </c>
      <c r="Q1070" t="s">
        <v>565</v>
      </c>
      <c r="R1070" t="s">
        <v>260</v>
      </c>
      <c r="S1070" t="str">
        <f t="shared" si="144"/>
        <v>FA</v>
      </c>
    </row>
    <row r="1071" spans="1:19" x14ac:dyDescent="0.3">
      <c r="A1071" t="s">
        <v>12</v>
      </c>
      <c r="B1071">
        <v>2016110025</v>
      </c>
      <c r="C1071" t="s">
        <v>57</v>
      </c>
      <c r="E1071" t="s">
        <v>309</v>
      </c>
      <c r="F1071" t="s">
        <v>310</v>
      </c>
      <c r="G1071">
        <v>4</v>
      </c>
      <c r="H1071" t="s">
        <v>438</v>
      </c>
      <c r="I1071" s="4">
        <f t="shared" si="145"/>
        <v>3</v>
      </c>
      <c r="J1071">
        <f t="shared" si="146"/>
        <v>12</v>
      </c>
      <c r="K1071">
        <v>66</v>
      </c>
      <c r="L1071">
        <v>22</v>
      </c>
      <c r="M1071" s="2">
        <v>3</v>
      </c>
      <c r="N1071" s="2">
        <v>3.04</v>
      </c>
      <c r="O1071">
        <v>1</v>
      </c>
      <c r="P1071">
        <v>8</v>
      </c>
      <c r="Q1071" t="s">
        <v>571</v>
      </c>
      <c r="R1071" t="s">
        <v>260</v>
      </c>
      <c r="S1071" t="str">
        <f t="shared" si="144"/>
        <v>PA</v>
      </c>
    </row>
    <row r="1072" spans="1:19" x14ac:dyDescent="0.3">
      <c r="A1072" t="s">
        <v>12</v>
      </c>
      <c r="B1072">
        <v>2016110025</v>
      </c>
      <c r="C1072" t="s">
        <v>57</v>
      </c>
      <c r="E1072" t="s">
        <v>273</v>
      </c>
      <c r="F1072" t="s">
        <v>274</v>
      </c>
      <c r="G1072">
        <v>2</v>
      </c>
      <c r="H1072" t="s">
        <v>535</v>
      </c>
      <c r="I1072" s="4">
        <f t="shared" si="145"/>
        <v>1</v>
      </c>
      <c r="J1072">
        <f t="shared" si="146"/>
        <v>2</v>
      </c>
      <c r="K1072">
        <v>58</v>
      </c>
      <c r="L1072">
        <v>24</v>
      </c>
      <c r="M1072" s="2">
        <v>2.42</v>
      </c>
      <c r="N1072" s="2">
        <v>3.04</v>
      </c>
      <c r="O1072">
        <v>0</v>
      </c>
      <c r="P1072">
        <v>4</v>
      </c>
      <c r="Q1072" t="s">
        <v>565</v>
      </c>
      <c r="R1072" t="s">
        <v>260</v>
      </c>
      <c r="S1072" t="str">
        <f t="shared" si="144"/>
        <v>FA</v>
      </c>
    </row>
    <row r="1073" spans="1:19" x14ac:dyDescent="0.3">
      <c r="A1073" t="s">
        <v>12</v>
      </c>
      <c r="B1073">
        <v>2016110025</v>
      </c>
      <c r="C1073" t="s">
        <v>57</v>
      </c>
      <c r="E1073" t="s">
        <v>273</v>
      </c>
      <c r="F1073" t="s">
        <v>274</v>
      </c>
      <c r="G1073">
        <v>2</v>
      </c>
      <c r="H1073" t="s">
        <v>438</v>
      </c>
      <c r="I1073" s="4">
        <f t="shared" si="145"/>
        <v>3</v>
      </c>
      <c r="J1073">
        <f t="shared" si="146"/>
        <v>6</v>
      </c>
      <c r="K1073">
        <v>66</v>
      </c>
      <c r="L1073">
        <v>22</v>
      </c>
      <c r="M1073" s="2">
        <v>3</v>
      </c>
      <c r="N1073" s="2">
        <v>3.04</v>
      </c>
      <c r="O1073">
        <v>1</v>
      </c>
      <c r="P1073">
        <v>8</v>
      </c>
      <c r="Q1073" t="s">
        <v>571</v>
      </c>
      <c r="R1073" t="s">
        <v>260</v>
      </c>
      <c r="S1073" t="str">
        <f t="shared" si="144"/>
        <v>PA</v>
      </c>
    </row>
    <row r="1074" spans="1:19" x14ac:dyDescent="0.3">
      <c r="A1074" t="s">
        <v>12</v>
      </c>
      <c r="B1074">
        <v>2016110026</v>
      </c>
      <c r="C1074" t="s">
        <v>60</v>
      </c>
      <c r="E1074" t="s">
        <v>39</v>
      </c>
      <c r="F1074" t="s">
        <v>11</v>
      </c>
      <c r="G1074">
        <v>2</v>
      </c>
      <c r="I1074" s="4"/>
      <c r="J1074">
        <f t="shared" ref="J1074:J1075" si="147">G1074*I1074</f>
        <v>0</v>
      </c>
      <c r="K1074">
        <v>40</v>
      </c>
      <c r="L1074">
        <v>14</v>
      </c>
      <c r="M1074" s="2">
        <v>2.86</v>
      </c>
      <c r="N1074" s="2">
        <v>3.13</v>
      </c>
      <c r="O1074">
        <v>0</v>
      </c>
      <c r="P1074">
        <v>7</v>
      </c>
      <c r="Q1074" t="s">
        <v>568</v>
      </c>
      <c r="R1074" t="s">
        <v>260</v>
      </c>
      <c r="S1074" t="s">
        <v>595</v>
      </c>
    </row>
    <row r="1075" spans="1:19" x14ac:dyDescent="0.3">
      <c r="A1075" t="s">
        <v>12</v>
      </c>
      <c r="B1075">
        <v>2016110026</v>
      </c>
      <c r="C1075" t="s">
        <v>60</v>
      </c>
      <c r="E1075" t="s">
        <v>39</v>
      </c>
      <c r="F1075" t="s">
        <v>11</v>
      </c>
      <c r="G1075">
        <v>2</v>
      </c>
      <c r="H1075" t="s">
        <v>438</v>
      </c>
      <c r="I1075" s="4">
        <f t="shared" ref="I1075" si="148">IF(H1075="A",4,IF(H1075="B",3,IF(H1075="C",2,IF(H1075="D",1,0))))</f>
        <v>3</v>
      </c>
      <c r="J1075">
        <f t="shared" si="147"/>
        <v>6</v>
      </c>
      <c r="K1075">
        <v>20</v>
      </c>
      <c r="L1075">
        <v>8</v>
      </c>
      <c r="M1075" s="2">
        <v>2.5</v>
      </c>
      <c r="N1075" s="2">
        <v>3.13</v>
      </c>
      <c r="O1075">
        <v>1</v>
      </c>
      <c r="P1075">
        <v>8</v>
      </c>
      <c r="Q1075" t="s">
        <v>569</v>
      </c>
      <c r="R1075" t="s">
        <v>596</v>
      </c>
      <c r="S1075" t="str">
        <f t="shared" ref="S1075:S1130" si="149">IF(OR(H1075="A",H1075="B",H1075="C"),"PA","FA")</f>
        <v>PA</v>
      </c>
    </row>
    <row r="1076" spans="1:19" x14ac:dyDescent="0.3">
      <c r="A1076" t="s">
        <v>12</v>
      </c>
      <c r="B1076">
        <v>2016110026</v>
      </c>
      <c r="C1076" t="s">
        <v>60</v>
      </c>
      <c r="E1076" t="s">
        <v>236</v>
      </c>
      <c r="F1076" t="s">
        <v>237</v>
      </c>
      <c r="G1076">
        <v>2</v>
      </c>
      <c r="H1076" t="s">
        <v>260</v>
      </c>
      <c r="I1076" s="4">
        <f t="shared" ref="I1076:I1130" si="150">IF(H1076="A",4,IF(H1076="B",3,IF(H1076="C",2,IF(H1076="D",1,0))))</f>
        <v>4</v>
      </c>
      <c r="J1076">
        <f t="shared" ref="J1076:J1130" si="151">G1076*I1076</f>
        <v>8</v>
      </c>
      <c r="K1076">
        <v>58</v>
      </c>
      <c r="L1076">
        <v>18</v>
      </c>
      <c r="M1076" s="2">
        <v>3.22</v>
      </c>
      <c r="N1076" s="2">
        <v>3.13</v>
      </c>
      <c r="O1076">
        <v>0</v>
      </c>
      <c r="P1076">
        <v>5</v>
      </c>
      <c r="Q1076" t="s">
        <v>566</v>
      </c>
      <c r="R1076" t="s">
        <v>260</v>
      </c>
      <c r="S1076" t="str">
        <f t="shared" si="149"/>
        <v>PA</v>
      </c>
    </row>
    <row r="1077" spans="1:19" x14ac:dyDescent="0.3">
      <c r="A1077" t="s">
        <v>12</v>
      </c>
      <c r="B1077">
        <v>2016110026</v>
      </c>
      <c r="C1077" t="s">
        <v>60</v>
      </c>
      <c r="E1077" t="s">
        <v>151</v>
      </c>
      <c r="F1077" t="s">
        <v>152</v>
      </c>
      <c r="G1077">
        <v>2</v>
      </c>
      <c r="H1077" t="s">
        <v>260</v>
      </c>
      <c r="I1077" s="4">
        <f t="shared" si="150"/>
        <v>4</v>
      </c>
      <c r="J1077">
        <f t="shared" si="151"/>
        <v>8</v>
      </c>
      <c r="K1077">
        <v>62</v>
      </c>
      <c r="L1077">
        <v>20</v>
      </c>
      <c r="M1077" s="2">
        <v>3.1</v>
      </c>
      <c r="N1077" s="2">
        <v>3.13</v>
      </c>
      <c r="O1077">
        <v>0</v>
      </c>
      <c r="P1077">
        <v>1</v>
      </c>
      <c r="Q1077" t="s">
        <v>558</v>
      </c>
      <c r="R1077" t="s">
        <v>260</v>
      </c>
      <c r="S1077" t="str">
        <f t="shared" si="149"/>
        <v>PA</v>
      </c>
    </row>
    <row r="1078" spans="1:19" x14ac:dyDescent="0.3">
      <c r="A1078" t="s">
        <v>12</v>
      </c>
      <c r="B1078">
        <v>2016110026</v>
      </c>
      <c r="C1078" t="s">
        <v>60</v>
      </c>
      <c r="E1078" t="s">
        <v>170</v>
      </c>
      <c r="F1078" t="s">
        <v>171</v>
      </c>
      <c r="G1078">
        <v>4</v>
      </c>
      <c r="H1078" t="s">
        <v>260</v>
      </c>
      <c r="I1078" s="4">
        <f t="shared" si="150"/>
        <v>4</v>
      </c>
      <c r="J1078">
        <f t="shared" si="151"/>
        <v>16</v>
      </c>
      <c r="K1078">
        <v>70</v>
      </c>
      <c r="L1078">
        <v>22</v>
      </c>
      <c r="M1078" s="2">
        <v>3.18</v>
      </c>
      <c r="N1078" s="2">
        <v>3.13</v>
      </c>
      <c r="O1078">
        <v>0</v>
      </c>
      <c r="P1078">
        <v>3</v>
      </c>
      <c r="Q1078" t="s">
        <v>563</v>
      </c>
      <c r="R1078" t="s">
        <v>260</v>
      </c>
      <c r="S1078" t="str">
        <f t="shared" si="149"/>
        <v>PA</v>
      </c>
    </row>
    <row r="1079" spans="1:19" x14ac:dyDescent="0.3">
      <c r="A1079" t="s">
        <v>12</v>
      </c>
      <c r="B1079">
        <v>2016110026</v>
      </c>
      <c r="C1079" t="s">
        <v>60</v>
      </c>
      <c r="E1079" t="s">
        <v>77</v>
      </c>
      <c r="F1079" t="s">
        <v>78</v>
      </c>
      <c r="G1079">
        <v>2</v>
      </c>
      <c r="H1079" t="s">
        <v>260</v>
      </c>
      <c r="I1079" s="4">
        <f t="shared" si="150"/>
        <v>4</v>
      </c>
      <c r="J1079">
        <f t="shared" si="151"/>
        <v>8</v>
      </c>
      <c r="K1079">
        <v>62</v>
      </c>
      <c r="L1079">
        <v>20</v>
      </c>
      <c r="M1079" s="2">
        <v>3.1</v>
      </c>
      <c r="N1079" s="2">
        <v>3.13</v>
      </c>
      <c r="O1079">
        <v>0</v>
      </c>
      <c r="P1079">
        <v>1</v>
      </c>
      <c r="Q1079" t="s">
        <v>558</v>
      </c>
      <c r="R1079" t="s">
        <v>260</v>
      </c>
      <c r="S1079" t="str">
        <f t="shared" si="149"/>
        <v>PA</v>
      </c>
    </row>
    <row r="1080" spans="1:19" x14ac:dyDescent="0.3">
      <c r="A1080" t="s">
        <v>12</v>
      </c>
      <c r="B1080">
        <v>2016110026</v>
      </c>
      <c r="C1080" t="s">
        <v>60</v>
      </c>
      <c r="E1080" t="s">
        <v>302</v>
      </c>
      <c r="F1080" t="s">
        <v>303</v>
      </c>
      <c r="G1080">
        <v>2</v>
      </c>
      <c r="H1080" t="s">
        <v>260</v>
      </c>
      <c r="I1080" s="4">
        <f t="shared" si="150"/>
        <v>4</v>
      </c>
      <c r="J1080">
        <f t="shared" si="151"/>
        <v>8</v>
      </c>
      <c r="K1080">
        <v>68</v>
      </c>
      <c r="L1080">
        <v>24</v>
      </c>
      <c r="M1080" s="2">
        <v>2.83</v>
      </c>
      <c r="N1080" s="2">
        <v>3.13</v>
      </c>
      <c r="O1080">
        <v>0</v>
      </c>
      <c r="P1080">
        <v>6</v>
      </c>
      <c r="Q1080" t="s">
        <v>567</v>
      </c>
      <c r="R1080" t="s">
        <v>260</v>
      </c>
      <c r="S1080" t="str">
        <f t="shared" si="149"/>
        <v>PA</v>
      </c>
    </row>
    <row r="1081" spans="1:19" x14ac:dyDescent="0.3">
      <c r="A1081" t="s">
        <v>12</v>
      </c>
      <c r="B1081">
        <v>2016110026</v>
      </c>
      <c r="C1081" t="s">
        <v>60</v>
      </c>
      <c r="E1081" t="s">
        <v>297</v>
      </c>
      <c r="F1081" t="s">
        <v>342</v>
      </c>
      <c r="G1081">
        <v>4</v>
      </c>
      <c r="H1081" t="s">
        <v>260</v>
      </c>
      <c r="I1081" s="4">
        <f t="shared" si="150"/>
        <v>4</v>
      </c>
      <c r="J1081">
        <f t="shared" si="151"/>
        <v>16</v>
      </c>
      <c r="K1081">
        <v>68</v>
      </c>
      <c r="L1081">
        <v>24</v>
      </c>
      <c r="M1081" s="2">
        <v>2.83</v>
      </c>
      <c r="N1081" s="2">
        <v>3.13</v>
      </c>
      <c r="O1081">
        <v>0</v>
      </c>
      <c r="P1081">
        <v>6</v>
      </c>
      <c r="Q1081" t="s">
        <v>567</v>
      </c>
      <c r="R1081" t="s">
        <v>260</v>
      </c>
      <c r="S1081" t="str">
        <f t="shared" si="149"/>
        <v>PA</v>
      </c>
    </row>
    <row r="1082" spans="1:19" x14ac:dyDescent="0.3">
      <c r="A1082" t="s">
        <v>12</v>
      </c>
      <c r="B1082">
        <v>2016110026</v>
      </c>
      <c r="C1082" t="s">
        <v>60</v>
      </c>
      <c r="E1082" t="s">
        <v>276</v>
      </c>
      <c r="F1082" t="s">
        <v>137</v>
      </c>
      <c r="G1082">
        <v>4</v>
      </c>
      <c r="H1082" t="s">
        <v>260</v>
      </c>
      <c r="I1082" s="4">
        <f t="shared" si="150"/>
        <v>4</v>
      </c>
      <c r="J1082">
        <f t="shared" si="151"/>
        <v>16</v>
      </c>
      <c r="K1082">
        <v>58</v>
      </c>
      <c r="L1082">
        <v>24</v>
      </c>
      <c r="M1082" s="2">
        <v>2.42</v>
      </c>
      <c r="N1082" s="2">
        <v>3.13</v>
      </c>
      <c r="O1082">
        <v>0</v>
      </c>
      <c r="P1082">
        <v>4</v>
      </c>
      <c r="Q1082" t="s">
        <v>565</v>
      </c>
      <c r="R1082" t="s">
        <v>260</v>
      </c>
      <c r="S1082" t="str">
        <f t="shared" si="149"/>
        <v>PA</v>
      </c>
    </row>
    <row r="1083" spans="1:19" x14ac:dyDescent="0.3">
      <c r="A1083" t="s">
        <v>12</v>
      </c>
      <c r="B1083">
        <v>2016110026</v>
      </c>
      <c r="C1083" t="s">
        <v>60</v>
      </c>
      <c r="E1083" t="s">
        <v>208</v>
      </c>
      <c r="F1083" t="s">
        <v>209</v>
      </c>
      <c r="G1083">
        <v>2</v>
      </c>
      <c r="H1083" t="s">
        <v>260</v>
      </c>
      <c r="I1083" s="4">
        <f t="shared" si="150"/>
        <v>4</v>
      </c>
      <c r="J1083">
        <f t="shared" si="151"/>
        <v>8</v>
      </c>
      <c r="K1083">
        <v>58</v>
      </c>
      <c r="L1083">
        <v>18</v>
      </c>
      <c r="M1083" s="2">
        <v>3.22</v>
      </c>
      <c r="N1083" s="2">
        <v>3.13</v>
      </c>
      <c r="O1083">
        <v>0</v>
      </c>
      <c r="P1083">
        <v>5</v>
      </c>
      <c r="Q1083" t="s">
        <v>566</v>
      </c>
      <c r="R1083" t="s">
        <v>260</v>
      </c>
      <c r="S1083" t="str">
        <f t="shared" si="149"/>
        <v>PA</v>
      </c>
    </row>
    <row r="1084" spans="1:19" x14ac:dyDescent="0.3">
      <c r="A1084" t="s">
        <v>12</v>
      </c>
      <c r="B1084">
        <v>2016110026</v>
      </c>
      <c r="C1084" t="s">
        <v>60</v>
      </c>
      <c r="E1084" t="s">
        <v>142</v>
      </c>
      <c r="F1084" t="s">
        <v>143</v>
      </c>
      <c r="G1084">
        <v>2</v>
      </c>
      <c r="H1084" t="s">
        <v>260</v>
      </c>
      <c r="I1084" s="4">
        <f t="shared" si="150"/>
        <v>4</v>
      </c>
      <c r="J1084">
        <f t="shared" si="151"/>
        <v>8</v>
      </c>
      <c r="K1084">
        <v>62</v>
      </c>
      <c r="L1084">
        <v>20</v>
      </c>
      <c r="M1084" s="2">
        <v>3.1</v>
      </c>
      <c r="N1084" s="2">
        <v>3.13</v>
      </c>
      <c r="O1084">
        <v>0</v>
      </c>
      <c r="P1084">
        <v>1</v>
      </c>
      <c r="Q1084" t="s">
        <v>558</v>
      </c>
      <c r="R1084" t="s">
        <v>260</v>
      </c>
      <c r="S1084" t="str">
        <f t="shared" si="149"/>
        <v>PA</v>
      </c>
    </row>
    <row r="1085" spans="1:19" x14ac:dyDescent="0.3">
      <c r="A1085" t="s">
        <v>12</v>
      </c>
      <c r="B1085">
        <v>2016110026</v>
      </c>
      <c r="C1085" t="s">
        <v>60</v>
      </c>
      <c r="E1085" t="s">
        <v>131</v>
      </c>
      <c r="F1085" t="s">
        <v>132</v>
      </c>
      <c r="G1085">
        <v>2</v>
      </c>
      <c r="H1085" t="s">
        <v>260</v>
      </c>
      <c r="I1085" s="4">
        <f t="shared" si="150"/>
        <v>4</v>
      </c>
      <c r="J1085">
        <f t="shared" si="151"/>
        <v>8</v>
      </c>
      <c r="K1085">
        <v>62</v>
      </c>
      <c r="L1085">
        <v>20</v>
      </c>
      <c r="M1085" s="2">
        <v>3.1</v>
      </c>
      <c r="N1085" s="2">
        <v>3.13</v>
      </c>
      <c r="O1085">
        <v>0</v>
      </c>
      <c r="P1085">
        <v>1</v>
      </c>
      <c r="Q1085" t="s">
        <v>558</v>
      </c>
      <c r="R1085" t="s">
        <v>260</v>
      </c>
      <c r="S1085" t="str">
        <f t="shared" si="149"/>
        <v>PA</v>
      </c>
    </row>
    <row r="1086" spans="1:19" x14ac:dyDescent="0.3">
      <c r="A1086" t="s">
        <v>12</v>
      </c>
      <c r="B1086">
        <v>2016110026</v>
      </c>
      <c r="C1086" t="s">
        <v>60</v>
      </c>
      <c r="E1086" t="s">
        <v>262</v>
      </c>
      <c r="F1086" t="s">
        <v>263</v>
      </c>
      <c r="G1086">
        <v>2</v>
      </c>
      <c r="H1086" t="s">
        <v>260</v>
      </c>
      <c r="I1086" s="4">
        <f t="shared" si="150"/>
        <v>4</v>
      </c>
      <c r="J1086">
        <f t="shared" si="151"/>
        <v>8</v>
      </c>
      <c r="K1086">
        <v>68</v>
      </c>
      <c r="L1086">
        <v>24</v>
      </c>
      <c r="M1086" s="2">
        <v>2.83</v>
      </c>
      <c r="N1086" s="2">
        <v>3.13</v>
      </c>
      <c r="O1086">
        <v>0</v>
      </c>
      <c r="P1086">
        <v>6</v>
      </c>
      <c r="Q1086" t="s">
        <v>567</v>
      </c>
      <c r="R1086" t="s">
        <v>260</v>
      </c>
      <c r="S1086" t="str">
        <f t="shared" si="149"/>
        <v>PA</v>
      </c>
    </row>
    <row r="1087" spans="1:19" x14ac:dyDescent="0.3">
      <c r="A1087" t="s">
        <v>12</v>
      </c>
      <c r="B1087">
        <v>2016110026</v>
      </c>
      <c r="C1087" t="s">
        <v>60</v>
      </c>
      <c r="E1087" t="s">
        <v>283</v>
      </c>
      <c r="F1087" t="s">
        <v>284</v>
      </c>
      <c r="G1087">
        <v>2</v>
      </c>
      <c r="H1087" t="s">
        <v>260</v>
      </c>
      <c r="I1087" s="4">
        <f t="shared" si="150"/>
        <v>4</v>
      </c>
      <c r="J1087">
        <f t="shared" si="151"/>
        <v>8</v>
      </c>
      <c r="K1087">
        <v>40</v>
      </c>
      <c r="L1087">
        <v>14</v>
      </c>
      <c r="M1087" s="2">
        <v>2.86</v>
      </c>
      <c r="N1087" s="2">
        <v>3.13</v>
      </c>
      <c r="O1087">
        <v>0</v>
      </c>
      <c r="P1087">
        <v>7</v>
      </c>
      <c r="Q1087" t="s">
        <v>568</v>
      </c>
      <c r="R1087" t="s">
        <v>260</v>
      </c>
      <c r="S1087" t="str">
        <f t="shared" si="149"/>
        <v>PA</v>
      </c>
    </row>
    <row r="1088" spans="1:19" x14ac:dyDescent="0.3">
      <c r="A1088" t="s">
        <v>12</v>
      </c>
      <c r="B1088">
        <v>2016110026</v>
      </c>
      <c r="C1088" t="s">
        <v>60</v>
      </c>
      <c r="E1088" t="s">
        <v>279</v>
      </c>
      <c r="F1088" t="s">
        <v>280</v>
      </c>
      <c r="G1088">
        <v>2</v>
      </c>
      <c r="H1088" t="s">
        <v>260</v>
      </c>
      <c r="I1088" s="4">
        <f t="shared" si="150"/>
        <v>4</v>
      </c>
      <c r="J1088">
        <f t="shared" si="151"/>
        <v>8</v>
      </c>
      <c r="K1088">
        <v>58</v>
      </c>
      <c r="L1088">
        <v>20</v>
      </c>
      <c r="M1088" s="2">
        <v>2.9</v>
      </c>
      <c r="N1088" s="2">
        <v>3.13</v>
      </c>
      <c r="O1088">
        <v>0</v>
      </c>
      <c r="P1088">
        <v>2</v>
      </c>
      <c r="Q1088" t="s">
        <v>559</v>
      </c>
      <c r="R1088" t="s">
        <v>260</v>
      </c>
      <c r="S1088" t="str">
        <f t="shared" si="149"/>
        <v>PA</v>
      </c>
    </row>
    <row r="1089" spans="1:19" x14ac:dyDescent="0.3">
      <c r="A1089" t="s">
        <v>12</v>
      </c>
      <c r="B1089">
        <v>2016110026</v>
      </c>
      <c r="C1089" t="s">
        <v>60</v>
      </c>
      <c r="E1089" t="s">
        <v>337</v>
      </c>
      <c r="F1089" t="s">
        <v>338</v>
      </c>
      <c r="G1089">
        <v>2</v>
      </c>
      <c r="H1089" t="s">
        <v>438</v>
      </c>
      <c r="I1089" s="4">
        <f t="shared" si="150"/>
        <v>3</v>
      </c>
      <c r="J1089">
        <f t="shared" si="151"/>
        <v>6</v>
      </c>
      <c r="K1089">
        <v>40</v>
      </c>
      <c r="L1089">
        <v>14</v>
      </c>
      <c r="M1089" s="2">
        <v>2.86</v>
      </c>
      <c r="N1089" s="2">
        <v>3.13</v>
      </c>
      <c r="O1089">
        <v>0</v>
      </c>
      <c r="P1089">
        <v>7</v>
      </c>
      <c r="Q1089" t="s">
        <v>568</v>
      </c>
      <c r="R1089" t="s">
        <v>260</v>
      </c>
      <c r="S1089" t="str">
        <f t="shared" si="149"/>
        <v>PA</v>
      </c>
    </row>
    <row r="1090" spans="1:19" x14ac:dyDescent="0.3">
      <c r="A1090" t="s">
        <v>12</v>
      </c>
      <c r="B1090">
        <v>2016110026</v>
      </c>
      <c r="C1090" t="s">
        <v>60</v>
      </c>
      <c r="E1090" t="s">
        <v>205</v>
      </c>
      <c r="F1090" t="s">
        <v>116</v>
      </c>
      <c r="G1090">
        <v>4</v>
      </c>
      <c r="H1090" t="s">
        <v>438</v>
      </c>
      <c r="I1090" s="4">
        <f t="shared" si="150"/>
        <v>3</v>
      </c>
      <c r="J1090">
        <f t="shared" si="151"/>
        <v>12</v>
      </c>
      <c r="K1090">
        <v>70</v>
      </c>
      <c r="L1090">
        <v>22</v>
      </c>
      <c r="M1090" s="2">
        <v>3.18</v>
      </c>
      <c r="N1090" s="2">
        <v>3.13</v>
      </c>
      <c r="O1090">
        <v>0</v>
      </c>
      <c r="P1090">
        <v>3</v>
      </c>
      <c r="Q1090" t="s">
        <v>563</v>
      </c>
      <c r="R1090" t="s">
        <v>260</v>
      </c>
      <c r="S1090" t="str">
        <f t="shared" si="149"/>
        <v>PA</v>
      </c>
    </row>
    <row r="1091" spans="1:19" x14ac:dyDescent="0.3">
      <c r="A1091" t="s">
        <v>12</v>
      </c>
      <c r="B1091">
        <v>2016110026</v>
      </c>
      <c r="C1091" t="s">
        <v>60</v>
      </c>
      <c r="E1091" t="s">
        <v>190</v>
      </c>
      <c r="F1091" t="s">
        <v>191</v>
      </c>
      <c r="G1091">
        <v>4</v>
      </c>
      <c r="H1091" t="s">
        <v>438</v>
      </c>
      <c r="I1091" s="4">
        <f t="shared" si="150"/>
        <v>3</v>
      </c>
      <c r="J1091">
        <f t="shared" si="151"/>
        <v>12</v>
      </c>
      <c r="K1091">
        <v>70</v>
      </c>
      <c r="L1091">
        <v>22</v>
      </c>
      <c r="M1091" s="2">
        <v>3.18</v>
      </c>
      <c r="N1091" s="2">
        <v>3.13</v>
      </c>
      <c r="O1091">
        <v>0</v>
      </c>
      <c r="P1091">
        <v>3</v>
      </c>
      <c r="Q1091" t="s">
        <v>563</v>
      </c>
      <c r="R1091" t="s">
        <v>260</v>
      </c>
      <c r="S1091" t="str">
        <f t="shared" si="149"/>
        <v>PA</v>
      </c>
    </row>
    <row r="1092" spans="1:19" x14ac:dyDescent="0.3">
      <c r="A1092" t="s">
        <v>12</v>
      </c>
      <c r="B1092">
        <v>2016110026</v>
      </c>
      <c r="C1092" t="s">
        <v>60</v>
      </c>
      <c r="E1092" t="s">
        <v>211</v>
      </c>
      <c r="F1092" t="s">
        <v>186</v>
      </c>
      <c r="G1092">
        <v>4</v>
      </c>
      <c r="H1092" t="s">
        <v>438</v>
      </c>
      <c r="I1092" s="4">
        <f t="shared" si="150"/>
        <v>3</v>
      </c>
      <c r="J1092">
        <f t="shared" si="151"/>
        <v>12</v>
      </c>
      <c r="K1092">
        <v>58</v>
      </c>
      <c r="L1092">
        <v>18</v>
      </c>
      <c r="M1092" s="2">
        <v>3.22</v>
      </c>
      <c r="N1092" s="2">
        <v>3.13</v>
      </c>
      <c r="O1092">
        <v>0</v>
      </c>
      <c r="P1092">
        <v>5</v>
      </c>
      <c r="Q1092" t="s">
        <v>566</v>
      </c>
      <c r="R1092" t="s">
        <v>260</v>
      </c>
      <c r="S1092" t="str">
        <f t="shared" si="149"/>
        <v>PA</v>
      </c>
    </row>
    <row r="1093" spans="1:19" x14ac:dyDescent="0.3">
      <c r="A1093" t="s">
        <v>12</v>
      </c>
      <c r="B1093">
        <v>2016110026</v>
      </c>
      <c r="C1093" t="s">
        <v>60</v>
      </c>
      <c r="E1093" t="s">
        <v>14</v>
      </c>
      <c r="F1093" t="s">
        <v>15</v>
      </c>
      <c r="G1093">
        <v>2</v>
      </c>
      <c r="H1093" t="s">
        <v>438</v>
      </c>
      <c r="I1093" s="4">
        <f t="shared" si="150"/>
        <v>3</v>
      </c>
      <c r="J1093">
        <f t="shared" si="151"/>
        <v>6</v>
      </c>
      <c r="K1093">
        <v>20</v>
      </c>
      <c r="L1093">
        <v>8</v>
      </c>
      <c r="M1093" s="2">
        <v>2.5</v>
      </c>
      <c r="N1093" s="2">
        <v>3.13</v>
      </c>
      <c r="O1093">
        <v>1</v>
      </c>
      <c r="P1093">
        <v>8</v>
      </c>
      <c r="Q1093" t="s">
        <v>569</v>
      </c>
      <c r="R1093" t="s">
        <v>596</v>
      </c>
      <c r="S1093" t="str">
        <f t="shared" si="149"/>
        <v>PA</v>
      </c>
    </row>
    <row r="1094" spans="1:19" x14ac:dyDescent="0.3">
      <c r="A1094" t="s">
        <v>12</v>
      </c>
      <c r="B1094">
        <v>2016110026</v>
      </c>
      <c r="C1094" t="s">
        <v>60</v>
      </c>
      <c r="E1094" t="s">
        <v>427</v>
      </c>
      <c r="F1094" t="s">
        <v>428</v>
      </c>
      <c r="G1094">
        <v>2</v>
      </c>
      <c r="H1094" t="s">
        <v>438</v>
      </c>
      <c r="I1094" s="4">
        <f t="shared" si="150"/>
        <v>3</v>
      </c>
      <c r="J1094">
        <f t="shared" si="151"/>
        <v>6</v>
      </c>
      <c r="K1094">
        <v>68</v>
      </c>
      <c r="L1094">
        <v>24</v>
      </c>
      <c r="M1094" s="2">
        <v>2.83</v>
      </c>
      <c r="N1094" s="2">
        <v>3.13</v>
      </c>
      <c r="O1094">
        <v>0</v>
      </c>
      <c r="P1094">
        <v>6</v>
      </c>
      <c r="Q1094" t="s">
        <v>567</v>
      </c>
      <c r="R1094" t="s">
        <v>260</v>
      </c>
      <c r="S1094" t="str">
        <f t="shared" si="149"/>
        <v>PA</v>
      </c>
    </row>
    <row r="1095" spans="1:19" x14ac:dyDescent="0.3">
      <c r="A1095" t="s">
        <v>12</v>
      </c>
      <c r="B1095">
        <v>2016110026</v>
      </c>
      <c r="C1095" t="s">
        <v>60</v>
      </c>
      <c r="E1095" t="s">
        <v>437</v>
      </c>
      <c r="F1095" t="s">
        <v>169</v>
      </c>
      <c r="G1095">
        <v>4</v>
      </c>
      <c r="H1095" t="s">
        <v>438</v>
      </c>
      <c r="I1095" s="4">
        <f t="shared" si="150"/>
        <v>3</v>
      </c>
      <c r="J1095">
        <f t="shared" si="151"/>
        <v>12</v>
      </c>
      <c r="K1095">
        <v>62</v>
      </c>
      <c r="L1095">
        <v>20</v>
      </c>
      <c r="M1095" s="2">
        <v>3.1</v>
      </c>
      <c r="N1095" s="2">
        <v>3.13</v>
      </c>
      <c r="O1095">
        <v>0</v>
      </c>
      <c r="P1095">
        <v>1</v>
      </c>
      <c r="Q1095" t="s">
        <v>558</v>
      </c>
      <c r="R1095" t="s">
        <v>260</v>
      </c>
      <c r="S1095" t="str">
        <f t="shared" si="149"/>
        <v>PA</v>
      </c>
    </row>
    <row r="1096" spans="1:19" x14ac:dyDescent="0.3">
      <c r="A1096" t="s">
        <v>12</v>
      </c>
      <c r="B1096">
        <v>2016110026</v>
      </c>
      <c r="C1096" t="s">
        <v>60</v>
      </c>
      <c r="E1096" t="s">
        <v>374</v>
      </c>
      <c r="F1096" t="s">
        <v>375</v>
      </c>
      <c r="G1096">
        <v>2</v>
      </c>
      <c r="H1096" t="s">
        <v>438</v>
      </c>
      <c r="I1096" s="4">
        <f t="shared" si="150"/>
        <v>3</v>
      </c>
      <c r="J1096">
        <f t="shared" si="151"/>
        <v>6</v>
      </c>
      <c r="K1096">
        <v>58</v>
      </c>
      <c r="L1096">
        <v>24</v>
      </c>
      <c r="M1096" s="2">
        <v>2.42</v>
      </c>
      <c r="N1096" s="2">
        <v>3.13</v>
      </c>
      <c r="O1096">
        <v>0</v>
      </c>
      <c r="P1096">
        <v>4</v>
      </c>
      <c r="Q1096" t="s">
        <v>565</v>
      </c>
      <c r="R1096" t="s">
        <v>260</v>
      </c>
      <c r="S1096" t="str">
        <f t="shared" si="149"/>
        <v>PA</v>
      </c>
    </row>
    <row r="1097" spans="1:19" x14ac:dyDescent="0.3">
      <c r="A1097" t="s">
        <v>12</v>
      </c>
      <c r="B1097">
        <v>2016110026</v>
      </c>
      <c r="C1097" t="s">
        <v>60</v>
      </c>
      <c r="E1097" t="s">
        <v>97</v>
      </c>
      <c r="F1097" t="s">
        <v>98</v>
      </c>
      <c r="G1097">
        <v>4</v>
      </c>
      <c r="H1097" t="s">
        <v>438</v>
      </c>
      <c r="I1097" s="4">
        <f t="shared" si="150"/>
        <v>3</v>
      </c>
      <c r="J1097">
        <f t="shared" si="151"/>
        <v>12</v>
      </c>
      <c r="K1097">
        <v>58</v>
      </c>
      <c r="L1097">
        <v>20</v>
      </c>
      <c r="M1097" s="2">
        <v>2.9</v>
      </c>
      <c r="N1097" s="2">
        <v>3.13</v>
      </c>
      <c r="O1097">
        <v>0</v>
      </c>
      <c r="P1097">
        <v>2</v>
      </c>
      <c r="Q1097" t="s">
        <v>559</v>
      </c>
      <c r="R1097" t="s">
        <v>260</v>
      </c>
      <c r="S1097" t="str">
        <f t="shared" si="149"/>
        <v>PA</v>
      </c>
    </row>
    <row r="1098" spans="1:19" x14ac:dyDescent="0.3">
      <c r="A1098" t="s">
        <v>12</v>
      </c>
      <c r="B1098">
        <v>2016110026</v>
      </c>
      <c r="C1098" t="s">
        <v>60</v>
      </c>
      <c r="E1098" t="s">
        <v>244</v>
      </c>
      <c r="F1098" t="s">
        <v>228</v>
      </c>
      <c r="G1098">
        <v>2</v>
      </c>
      <c r="H1098" t="s">
        <v>438</v>
      </c>
      <c r="I1098" s="4">
        <f t="shared" si="150"/>
        <v>3</v>
      </c>
      <c r="J1098">
        <f t="shared" si="151"/>
        <v>6</v>
      </c>
      <c r="K1098">
        <v>58</v>
      </c>
      <c r="L1098">
        <v>24</v>
      </c>
      <c r="M1098" s="2">
        <v>2.42</v>
      </c>
      <c r="N1098" s="2">
        <v>3.13</v>
      </c>
      <c r="O1098">
        <v>0</v>
      </c>
      <c r="P1098">
        <v>4</v>
      </c>
      <c r="Q1098" t="s">
        <v>565</v>
      </c>
      <c r="R1098" t="s">
        <v>260</v>
      </c>
      <c r="S1098" t="str">
        <f t="shared" si="149"/>
        <v>PA</v>
      </c>
    </row>
    <row r="1099" spans="1:19" x14ac:dyDescent="0.3">
      <c r="A1099" t="s">
        <v>12</v>
      </c>
      <c r="B1099">
        <v>2016110026</v>
      </c>
      <c r="C1099" t="s">
        <v>60</v>
      </c>
      <c r="E1099" t="s">
        <v>257</v>
      </c>
      <c r="F1099" t="s">
        <v>258</v>
      </c>
      <c r="G1099">
        <v>4</v>
      </c>
      <c r="H1099" t="s">
        <v>438</v>
      </c>
      <c r="I1099" s="4">
        <f t="shared" si="150"/>
        <v>3</v>
      </c>
      <c r="J1099">
        <f t="shared" si="151"/>
        <v>12</v>
      </c>
      <c r="K1099">
        <v>68</v>
      </c>
      <c r="L1099">
        <v>24</v>
      </c>
      <c r="M1099" s="2">
        <v>2.83</v>
      </c>
      <c r="N1099" s="2">
        <v>3.13</v>
      </c>
      <c r="O1099">
        <v>0</v>
      </c>
      <c r="P1099">
        <v>6</v>
      </c>
      <c r="Q1099" t="s">
        <v>567</v>
      </c>
      <c r="R1099" t="s">
        <v>260</v>
      </c>
      <c r="S1099" t="str">
        <f t="shared" si="149"/>
        <v>PA</v>
      </c>
    </row>
    <row r="1100" spans="1:19" x14ac:dyDescent="0.3">
      <c r="A1100" t="s">
        <v>12</v>
      </c>
      <c r="B1100">
        <v>2016110026</v>
      </c>
      <c r="C1100" t="s">
        <v>60</v>
      </c>
      <c r="E1100" t="s">
        <v>290</v>
      </c>
      <c r="F1100" t="s">
        <v>327</v>
      </c>
      <c r="G1100">
        <v>4</v>
      </c>
      <c r="H1100" t="s">
        <v>438</v>
      </c>
      <c r="I1100" s="4">
        <f t="shared" si="150"/>
        <v>3</v>
      </c>
      <c r="J1100">
        <f t="shared" si="151"/>
        <v>12</v>
      </c>
      <c r="K1100">
        <v>58</v>
      </c>
      <c r="L1100">
        <v>20</v>
      </c>
      <c r="M1100" s="2">
        <v>2.9</v>
      </c>
      <c r="N1100" s="2">
        <v>3.13</v>
      </c>
      <c r="O1100">
        <v>0</v>
      </c>
      <c r="P1100">
        <v>2</v>
      </c>
      <c r="Q1100" t="s">
        <v>559</v>
      </c>
      <c r="R1100" t="s">
        <v>260</v>
      </c>
      <c r="S1100" t="str">
        <f t="shared" si="149"/>
        <v>PA</v>
      </c>
    </row>
    <row r="1101" spans="1:19" x14ac:dyDescent="0.3">
      <c r="A1101" t="s">
        <v>12</v>
      </c>
      <c r="B1101">
        <v>2016110026</v>
      </c>
      <c r="C1101" t="s">
        <v>60</v>
      </c>
      <c r="E1101" t="s">
        <v>344</v>
      </c>
      <c r="F1101" t="s">
        <v>345</v>
      </c>
      <c r="G1101">
        <v>2</v>
      </c>
      <c r="H1101" t="s">
        <v>438</v>
      </c>
      <c r="I1101" s="4">
        <f t="shared" si="150"/>
        <v>3</v>
      </c>
      <c r="J1101">
        <f t="shared" si="151"/>
        <v>6</v>
      </c>
      <c r="K1101">
        <v>40</v>
      </c>
      <c r="L1101">
        <v>14</v>
      </c>
      <c r="M1101" s="2">
        <v>2.86</v>
      </c>
      <c r="N1101" s="2">
        <v>3.13</v>
      </c>
      <c r="O1101">
        <v>0</v>
      </c>
      <c r="P1101">
        <v>7</v>
      </c>
      <c r="Q1101" t="s">
        <v>568</v>
      </c>
      <c r="R1101" t="s">
        <v>260</v>
      </c>
      <c r="S1101" t="str">
        <f t="shared" si="149"/>
        <v>PA</v>
      </c>
    </row>
    <row r="1102" spans="1:19" x14ac:dyDescent="0.3">
      <c r="A1102" t="s">
        <v>12</v>
      </c>
      <c r="B1102">
        <v>2016110026</v>
      </c>
      <c r="C1102" t="s">
        <v>60</v>
      </c>
      <c r="E1102" t="s">
        <v>103</v>
      </c>
      <c r="F1102" t="s">
        <v>104</v>
      </c>
      <c r="G1102">
        <v>4</v>
      </c>
      <c r="H1102" t="s">
        <v>438</v>
      </c>
      <c r="I1102" s="4">
        <f t="shared" si="150"/>
        <v>3</v>
      </c>
      <c r="J1102">
        <f t="shared" si="151"/>
        <v>12</v>
      </c>
      <c r="K1102">
        <v>58</v>
      </c>
      <c r="L1102">
        <v>20</v>
      </c>
      <c r="M1102" s="2">
        <v>2.9</v>
      </c>
      <c r="N1102" s="2">
        <v>3.13</v>
      </c>
      <c r="O1102">
        <v>0</v>
      </c>
      <c r="P1102">
        <v>2</v>
      </c>
      <c r="Q1102" t="s">
        <v>559</v>
      </c>
      <c r="R1102" t="s">
        <v>260</v>
      </c>
      <c r="S1102" t="str">
        <f t="shared" si="149"/>
        <v>PA</v>
      </c>
    </row>
    <row r="1103" spans="1:19" x14ac:dyDescent="0.3">
      <c r="A1103" t="s">
        <v>12</v>
      </c>
      <c r="B1103">
        <v>2016110026</v>
      </c>
      <c r="C1103" t="s">
        <v>60</v>
      </c>
      <c r="E1103" t="s">
        <v>316</v>
      </c>
      <c r="F1103" t="s">
        <v>317</v>
      </c>
      <c r="G1103">
        <v>2</v>
      </c>
      <c r="H1103" t="s">
        <v>438</v>
      </c>
      <c r="I1103" s="4">
        <f t="shared" si="150"/>
        <v>3</v>
      </c>
      <c r="J1103">
        <f t="shared" si="151"/>
        <v>6</v>
      </c>
      <c r="K1103">
        <v>40</v>
      </c>
      <c r="L1103">
        <v>14</v>
      </c>
      <c r="M1103" s="2">
        <v>2.86</v>
      </c>
      <c r="N1103" s="2">
        <v>3.13</v>
      </c>
      <c r="O1103">
        <v>0</v>
      </c>
      <c r="P1103">
        <v>7</v>
      </c>
      <c r="Q1103" t="s">
        <v>568</v>
      </c>
      <c r="R1103" t="s">
        <v>260</v>
      </c>
      <c r="S1103" t="str">
        <f t="shared" si="149"/>
        <v>PA</v>
      </c>
    </row>
    <row r="1104" spans="1:19" x14ac:dyDescent="0.3">
      <c r="A1104" t="s">
        <v>12</v>
      </c>
      <c r="B1104">
        <v>2016110026</v>
      </c>
      <c r="C1104" t="s">
        <v>60</v>
      </c>
      <c r="E1104" t="s">
        <v>234</v>
      </c>
      <c r="F1104" t="s">
        <v>235</v>
      </c>
      <c r="G1104">
        <v>4</v>
      </c>
      <c r="H1104" t="s">
        <v>438</v>
      </c>
      <c r="I1104" s="4">
        <f t="shared" si="150"/>
        <v>3</v>
      </c>
      <c r="J1104">
        <f t="shared" si="151"/>
        <v>12</v>
      </c>
      <c r="K1104">
        <v>70</v>
      </c>
      <c r="L1104">
        <v>22</v>
      </c>
      <c r="M1104" s="2">
        <v>3.18</v>
      </c>
      <c r="N1104" s="2">
        <v>3.13</v>
      </c>
      <c r="O1104">
        <v>0</v>
      </c>
      <c r="P1104">
        <v>3</v>
      </c>
      <c r="Q1104" t="s">
        <v>563</v>
      </c>
      <c r="R1104" t="s">
        <v>260</v>
      </c>
      <c r="S1104" t="str">
        <f t="shared" si="149"/>
        <v>PA</v>
      </c>
    </row>
    <row r="1105" spans="1:19" x14ac:dyDescent="0.3">
      <c r="A1105" t="s">
        <v>12</v>
      </c>
      <c r="B1105">
        <v>2016110026</v>
      </c>
      <c r="C1105" t="s">
        <v>60</v>
      </c>
      <c r="E1105" t="s">
        <v>357</v>
      </c>
      <c r="F1105" t="s">
        <v>358</v>
      </c>
      <c r="G1105">
        <v>4</v>
      </c>
      <c r="H1105" t="s">
        <v>438</v>
      </c>
      <c r="I1105" s="4">
        <f t="shared" si="150"/>
        <v>3</v>
      </c>
      <c r="J1105">
        <f t="shared" si="151"/>
        <v>12</v>
      </c>
      <c r="K1105">
        <v>58</v>
      </c>
      <c r="L1105">
        <v>18</v>
      </c>
      <c r="M1105" s="2">
        <v>3.22</v>
      </c>
      <c r="N1105" s="2">
        <v>3.13</v>
      </c>
      <c r="O1105">
        <v>0</v>
      </c>
      <c r="P1105">
        <v>5</v>
      </c>
      <c r="Q1105" t="s">
        <v>566</v>
      </c>
      <c r="R1105" t="s">
        <v>260</v>
      </c>
      <c r="S1105" t="str">
        <f t="shared" si="149"/>
        <v>PA</v>
      </c>
    </row>
    <row r="1106" spans="1:19" x14ac:dyDescent="0.3">
      <c r="A1106" t="s">
        <v>12</v>
      </c>
      <c r="B1106">
        <v>2016110026</v>
      </c>
      <c r="C1106" t="s">
        <v>60</v>
      </c>
      <c r="E1106" t="s">
        <v>192</v>
      </c>
      <c r="F1106" t="s">
        <v>106</v>
      </c>
      <c r="G1106">
        <v>2</v>
      </c>
      <c r="H1106" t="s">
        <v>438</v>
      </c>
      <c r="I1106" s="4">
        <f t="shared" si="150"/>
        <v>3</v>
      </c>
      <c r="J1106">
        <f t="shared" si="151"/>
        <v>6</v>
      </c>
      <c r="K1106">
        <v>70</v>
      </c>
      <c r="L1106">
        <v>22</v>
      </c>
      <c r="M1106" s="2">
        <v>3.18</v>
      </c>
      <c r="N1106" s="2">
        <v>3.13</v>
      </c>
      <c r="O1106">
        <v>0</v>
      </c>
      <c r="P1106">
        <v>3</v>
      </c>
      <c r="Q1106" t="s">
        <v>563</v>
      </c>
      <c r="R1106" t="s">
        <v>260</v>
      </c>
      <c r="S1106" t="str">
        <f t="shared" si="149"/>
        <v>PA</v>
      </c>
    </row>
    <row r="1107" spans="1:19" x14ac:dyDescent="0.3">
      <c r="A1107" t="s">
        <v>12</v>
      </c>
      <c r="B1107">
        <v>2016110026</v>
      </c>
      <c r="C1107" t="s">
        <v>60</v>
      </c>
      <c r="E1107" t="s">
        <v>370</v>
      </c>
      <c r="F1107" t="s">
        <v>371</v>
      </c>
      <c r="G1107">
        <v>2</v>
      </c>
      <c r="H1107" t="s">
        <v>438</v>
      </c>
      <c r="I1107" s="4">
        <f t="shared" si="150"/>
        <v>3</v>
      </c>
      <c r="J1107">
        <f t="shared" si="151"/>
        <v>6</v>
      </c>
      <c r="K1107">
        <v>58</v>
      </c>
      <c r="L1107">
        <v>18</v>
      </c>
      <c r="M1107" s="2">
        <v>3.22</v>
      </c>
      <c r="N1107" s="2">
        <v>3.13</v>
      </c>
      <c r="O1107">
        <v>0</v>
      </c>
      <c r="P1107">
        <v>5</v>
      </c>
      <c r="Q1107" t="s">
        <v>566</v>
      </c>
      <c r="R1107" t="s">
        <v>260</v>
      </c>
      <c r="S1107" t="str">
        <f t="shared" si="149"/>
        <v>PA</v>
      </c>
    </row>
    <row r="1108" spans="1:19" x14ac:dyDescent="0.3">
      <c r="A1108" t="s">
        <v>12</v>
      </c>
      <c r="B1108">
        <v>2016110026</v>
      </c>
      <c r="C1108" t="s">
        <v>60</v>
      </c>
      <c r="E1108" t="s">
        <v>173</v>
      </c>
      <c r="F1108" t="s">
        <v>8</v>
      </c>
      <c r="G1108">
        <v>2</v>
      </c>
      <c r="H1108" t="s">
        <v>438</v>
      </c>
      <c r="I1108" s="4">
        <f t="shared" si="150"/>
        <v>3</v>
      </c>
      <c r="J1108">
        <f t="shared" si="151"/>
        <v>6</v>
      </c>
      <c r="K1108">
        <v>70</v>
      </c>
      <c r="L1108">
        <v>22</v>
      </c>
      <c r="M1108" s="2">
        <v>3.18</v>
      </c>
      <c r="N1108" s="2">
        <v>3.13</v>
      </c>
      <c r="O1108">
        <v>0</v>
      </c>
      <c r="P1108">
        <v>3</v>
      </c>
      <c r="Q1108" t="s">
        <v>563</v>
      </c>
      <c r="R1108" t="s">
        <v>260</v>
      </c>
      <c r="S1108" t="str">
        <f t="shared" si="149"/>
        <v>PA</v>
      </c>
    </row>
    <row r="1109" spans="1:19" x14ac:dyDescent="0.3">
      <c r="A1109" t="s">
        <v>12</v>
      </c>
      <c r="B1109">
        <v>2016110026</v>
      </c>
      <c r="C1109" t="s">
        <v>60</v>
      </c>
      <c r="E1109" t="s">
        <v>306</v>
      </c>
      <c r="F1109" t="s">
        <v>307</v>
      </c>
      <c r="G1109">
        <v>2</v>
      </c>
      <c r="H1109" t="s">
        <v>438</v>
      </c>
      <c r="I1109" s="4">
        <f t="shared" si="150"/>
        <v>3</v>
      </c>
      <c r="J1109">
        <f t="shared" si="151"/>
        <v>6</v>
      </c>
      <c r="K1109">
        <v>58</v>
      </c>
      <c r="L1109">
        <v>18</v>
      </c>
      <c r="M1109" s="2">
        <v>3.22</v>
      </c>
      <c r="N1109" s="2">
        <v>3.13</v>
      </c>
      <c r="O1109">
        <v>0</v>
      </c>
      <c r="P1109">
        <v>5</v>
      </c>
      <c r="Q1109" t="s">
        <v>566</v>
      </c>
      <c r="R1109" t="s">
        <v>260</v>
      </c>
      <c r="S1109" t="str">
        <f t="shared" si="149"/>
        <v>PA</v>
      </c>
    </row>
    <row r="1110" spans="1:19" x14ac:dyDescent="0.3">
      <c r="A1110" t="s">
        <v>12</v>
      </c>
      <c r="B1110">
        <v>2016110026</v>
      </c>
      <c r="C1110" t="s">
        <v>60</v>
      </c>
      <c r="E1110" t="s">
        <v>165</v>
      </c>
      <c r="F1110" t="s">
        <v>166</v>
      </c>
      <c r="G1110">
        <v>2</v>
      </c>
      <c r="H1110" t="s">
        <v>438</v>
      </c>
      <c r="I1110" s="4">
        <f t="shared" si="150"/>
        <v>3</v>
      </c>
      <c r="J1110">
        <f t="shared" si="151"/>
        <v>6</v>
      </c>
      <c r="K1110">
        <v>62</v>
      </c>
      <c r="L1110">
        <v>20</v>
      </c>
      <c r="M1110" s="2">
        <v>3.1</v>
      </c>
      <c r="N1110" s="2">
        <v>3.13</v>
      </c>
      <c r="O1110">
        <v>0</v>
      </c>
      <c r="P1110">
        <v>1</v>
      </c>
      <c r="Q1110" t="s">
        <v>558</v>
      </c>
      <c r="R1110" t="s">
        <v>260</v>
      </c>
      <c r="S1110" t="str">
        <f t="shared" si="149"/>
        <v>PA</v>
      </c>
    </row>
    <row r="1111" spans="1:19" x14ac:dyDescent="0.3">
      <c r="A1111" t="s">
        <v>12</v>
      </c>
      <c r="B1111">
        <v>2016110026</v>
      </c>
      <c r="C1111" t="s">
        <v>60</v>
      </c>
      <c r="E1111" t="s">
        <v>241</v>
      </c>
      <c r="F1111" t="s">
        <v>45</v>
      </c>
      <c r="G1111">
        <v>2</v>
      </c>
      <c r="H1111" t="s">
        <v>438</v>
      </c>
      <c r="I1111" s="4">
        <f t="shared" si="150"/>
        <v>3</v>
      </c>
      <c r="J1111">
        <f t="shared" si="151"/>
        <v>6</v>
      </c>
      <c r="K1111">
        <v>70</v>
      </c>
      <c r="L1111">
        <v>22</v>
      </c>
      <c r="M1111" s="2">
        <v>3.18</v>
      </c>
      <c r="N1111" s="2">
        <v>3.13</v>
      </c>
      <c r="O1111">
        <v>0</v>
      </c>
      <c r="P1111">
        <v>3</v>
      </c>
      <c r="Q1111" t="s">
        <v>563</v>
      </c>
      <c r="R1111" t="s">
        <v>260</v>
      </c>
      <c r="S1111" t="str">
        <f t="shared" si="149"/>
        <v>PA</v>
      </c>
    </row>
    <row r="1112" spans="1:19" x14ac:dyDescent="0.3">
      <c r="A1112" t="s">
        <v>12</v>
      </c>
      <c r="B1112">
        <v>2016110026</v>
      </c>
      <c r="C1112" t="s">
        <v>60</v>
      </c>
      <c r="E1112" t="s">
        <v>372</v>
      </c>
      <c r="F1112" t="s">
        <v>373</v>
      </c>
      <c r="G1112">
        <v>2</v>
      </c>
      <c r="H1112" t="s">
        <v>438</v>
      </c>
      <c r="I1112" s="4">
        <f t="shared" si="150"/>
        <v>3</v>
      </c>
      <c r="J1112">
        <f t="shared" si="151"/>
        <v>6</v>
      </c>
      <c r="K1112">
        <v>68</v>
      </c>
      <c r="L1112">
        <v>24</v>
      </c>
      <c r="M1112" s="2">
        <v>2.83</v>
      </c>
      <c r="N1112" s="2">
        <v>3.13</v>
      </c>
      <c r="O1112">
        <v>0</v>
      </c>
      <c r="P1112">
        <v>6</v>
      </c>
      <c r="Q1112" t="s">
        <v>567</v>
      </c>
      <c r="R1112" t="s">
        <v>260</v>
      </c>
      <c r="S1112" t="str">
        <f t="shared" si="149"/>
        <v>PA</v>
      </c>
    </row>
    <row r="1113" spans="1:19" x14ac:dyDescent="0.3">
      <c r="A1113" t="s">
        <v>12</v>
      </c>
      <c r="B1113">
        <v>2016110026</v>
      </c>
      <c r="C1113" t="s">
        <v>60</v>
      </c>
      <c r="E1113" t="s">
        <v>446</v>
      </c>
      <c r="F1113" t="s">
        <v>447</v>
      </c>
      <c r="G1113">
        <v>2</v>
      </c>
      <c r="H1113" t="s">
        <v>438</v>
      </c>
      <c r="I1113" s="4">
        <f t="shared" si="150"/>
        <v>3</v>
      </c>
      <c r="J1113">
        <f t="shared" si="151"/>
        <v>6</v>
      </c>
      <c r="K1113">
        <v>68</v>
      </c>
      <c r="L1113">
        <v>24</v>
      </c>
      <c r="M1113" s="2">
        <v>2.83</v>
      </c>
      <c r="N1113" s="2">
        <v>3.13</v>
      </c>
      <c r="O1113">
        <v>0</v>
      </c>
      <c r="P1113">
        <v>6</v>
      </c>
      <c r="Q1113" t="s">
        <v>567</v>
      </c>
      <c r="R1113" t="s">
        <v>260</v>
      </c>
      <c r="S1113" t="str">
        <f t="shared" si="149"/>
        <v>PA</v>
      </c>
    </row>
    <row r="1114" spans="1:19" x14ac:dyDescent="0.3">
      <c r="A1114" t="s">
        <v>12</v>
      </c>
      <c r="B1114">
        <v>2016110026</v>
      </c>
      <c r="C1114" t="s">
        <v>60</v>
      </c>
      <c r="E1114" t="s">
        <v>139</v>
      </c>
      <c r="F1114" t="s">
        <v>140</v>
      </c>
      <c r="G1114">
        <v>2</v>
      </c>
      <c r="H1114" t="s">
        <v>438</v>
      </c>
      <c r="I1114" s="4">
        <f t="shared" si="150"/>
        <v>3</v>
      </c>
      <c r="J1114">
        <f t="shared" si="151"/>
        <v>6</v>
      </c>
      <c r="K1114">
        <v>58</v>
      </c>
      <c r="L1114">
        <v>20</v>
      </c>
      <c r="M1114" s="2">
        <v>2.9</v>
      </c>
      <c r="N1114" s="2">
        <v>3.13</v>
      </c>
      <c r="O1114">
        <v>0</v>
      </c>
      <c r="P1114">
        <v>2</v>
      </c>
      <c r="Q1114" t="s">
        <v>559</v>
      </c>
      <c r="R1114" t="s">
        <v>260</v>
      </c>
      <c r="S1114" t="str">
        <f t="shared" si="149"/>
        <v>PA</v>
      </c>
    </row>
    <row r="1115" spans="1:19" x14ac:dyDescent="0.3">
      <c r="A1115" t="s">
        <v>12</v>
      </c>
      <c r="B1115">
        <v>2016110026</v>
      </c>
      <c r="C1115" t="s">
        <v>60</v>
      </c>
      <c r="E1115" t="s">
        <v>248</v>
      </c>
      <c r="F1115" t="s">
        <v>249</v>
      </c>
      <c r="G1115">
        <v>2</v>
      </c>
      <c r="H1115" t="s">
        <v>438</v>
      </c>
      <c r="I1115" s="4">
        <f t="shared" si="150"/>
        <v>3</v>
      </c>
      <c r="J1115">
        <f t="shared" si="151"/>
        <v>6</v>
      </c>
      <c r="K1115">
        <v>58</v>
      </c>
      <c r="L1115">
        <v>24</v>
      </c>
      <c r="M1115" s="2">
        <v>2.42</v>
      </c>
      <c r="N1115" s="2">
        <v>3.13</v>
      </c>
      <c r="O1115">
        <v>0</v>
      </c>
      <c r="P1115">
        <v>4</v>
      </c>
      <c r="Q1115" t="s">
        <v>565</v>
      </c>
      <c r="R1115" t="s">
        <v>260</v>
      </c>
      <c r="S1115" t="str">
        <f t="shared" si="149"/>
        <v>PA</v>
      </c>
    </row>
    <row r="1116" spans="1:19" x14ac:dyDescent="0.3">
      <c r="A1116" t="s">
        <v>12</v>
      </c>
      <c r="B1116">
        <v>2016110026</v>
      </c>
      <c r="C1116" t="s">
        <v>60</v>
      </c>
      <c r="E1116" t="s">
        <v>330</v>
      </c>
      <c r="F1116" t="s">
        <v>108</v>
      </c>
      <c r="G1116">
        <v>2</v>
      </c>
      <c r="H1116" t="s">
        <v>438</v>
      </c>
      <c r="I1116" s="4">
        <f t="shared" si="150"/>
        <v>3</v>
      </c>
      <c r="J1116">
        <f t="shared" si="151"/>
        <v>6</v>
      </c>
      <c r="K1116">
        <v>40</v>
      </c>
      <c r="L1116">
        <v>14</v>
      </c>
      <c r="M1116" s="2">
        <v>2.86</v>
      </c>
      <c r="N1116" s="2">
        <v>3.13</v>
      </c>
      <c r="O1116">
        <v>0</v>
      </c>
      <c r="P1116">
        <v>7</v>
      </c>
      <c r="Q1116" t="s">
        <v>568</v>
      </c>
      <c r="R1116" t="s">
        <v>260</v>
      </c>
      <c r="S1116" t="str">
        <f t="shared" si="149"/>
        <v>PA</v>
      </c>
    </row>
    <row r="1117" spans="1:19" x14ac:dyDescent="0.3">
      <c r="A1117" t="s">
        <v>12</v>
      </c>
      <c r="B1117">
        <v>2016110026</v>
      </c>
      <c r="C1117" t="s">
        <v>60</v>
      </c>
      <c r="E1117" t="s">
        <v>264</v>
      </c>
      <c r="F1117" t="s">
        <v>265</v>
      </c>
      <c r="G1117">
        <v>2</v>
      </c>
      <c r="H1117" t="s">
        <v>438</v>
      </c>
      <c r="I1117" s="4">
        <f t="shared" si="150"/>
        <v>3</v>
      </c>
      <c r="J1117">
        <f t="shared" si="151"/>
        <v>6</v>
      </c>
      <c r="K1117">
        <v>58</v>
      </c>
      <c r="L1117">
        <v>18</v>
      </c>
      <c r="M1117" s="2">
        <v>3.22</v>
      </c>
      <c r="N1117" s="2">
        <v>3.13</v>
      </c>
      <c r="O1117">
        <v>0</v>
      </c>
      <c r="P1117">
        <v>5</v>
      </c>
      <c r="Q1117" t="s">
        <v>566</v>
      </c>
      <c r="R1117" t="s">
        <v>260</v>
      </c>
      <c r="S1117" t="str">
        <f t="shared" si="149"/>
        <v>PA</v>
      </c>
    </row>
    <row r="1118" spans="1:19" x14ac:dyDescent="0.3">
      <c r="A1118" t="s">
        <v>12</v>
      </c>
      <c r="B1118">
        <v>2016110026</v>
      </c>
      <c r="C1118" t="s">
        <v>60</v>
      </c>
      <c r="E1118" t="s">
        <v>122</v>
      </c>
      <c r="F1118" t="s">
        <v>123</v>
      </c>
      <c r="G1118">
        <v>4</v>
      </c>
      <c r="H1118" t="s">
        <v>524</v>
      </c>
      <c r="I1118" s="4">
        <f t="shared" si="150"/>
        <v>2</v>
      </c>
      <c r="J1118">
        <f t="shared" si="151"/>
        <v>8</v>
      </c>
      <c r="K1118">
        <v>62</v>
      </c>
      <c r="L1118">
        <v>20</v>
      </c>
      <c r="M1118" s="2">
        <v>3.1</v>
      </c>
      <c r="N1118" s="2">
        <v>3.13</v>
      </c>
      <c r="O1118">
        <v>0</v>
      </c>
      <c r="P1118">
        <v>1</v>
      </c>
      <c r="Q1118" t="s">
        <v>558</v>
      </c>
      <c r="R1118" t="s">
        <v>260</v>
      </c>
      <c r="S1118" t="str">
        <f t="shared" si="149"/>
        <v>PA</v>
      </c>
    </row>
    <row r="1119" spans="1:19" x14ac:dyDescent="0.3">
      <c r="A1119" t="s">
        <v>12</v>
      </c>
      <c r="B1119">
        <v>2016110026</v>
      </c>
      <c r="C1119" t="s">
        <v>60</v>
      </c>
      <c r="E1119" t="s">
        <v>382</v>
      </c>
      <c r="F1119" t="s">
        <v>383</v>
      </c>
      <c r="G1119">
        <v>4</v>
      </c>
      <c r="H1119" t="s">
        <v>524</v>
      </c>
      <c r="I1119" s="4">
        <f t="shared" si="150"/>
        <v>2</v>
      </c>
      <c r="J1119">
        <f t="shared" si="151"/>
        <v>8</v>
      </c>
      <c r="K1119">
        <v>40</v>
      </c>
      <c r="L1119">
        <v>14</v>
      </c>
      <c r="M1119" s="2">
        <v>2.86</v>
      </c>
      <c r="N1119" s="2">
        <v>3.13</v>
      </c>
      <c r="O1119">
        <v>0</v>
      </c>
      <c r="P1119">
        <v>7</v>
      </c>
      <c r="Q1119" t="s">
        <v>568</v>
      </c>
      <c r="R1119" t="s">
        <v>260</v>
      </c>
      <c r="S1119" t="str">
        <f t="shared" si="149"/>
        <v>PA</v>
      </c>
    </row>
    <row r="1120" spans="1:19" x14ac:dyDescent="0.3">
      <c r="A1120" t="s">
        <v>12</v>
      </c>
      <c r="B1120">
        <v>2016110026</v>
      </c>
      <c r="C1120" t="s">
        <v>60</v>
      </c>
      <c r="E1120" t="s">
        <v>31</v>
      </c>
      <c r="F1120" t="s">
        <v>20</v>
      </c>
      <c r="G1120">
        <v>4</v>
      </c>
      <c r="H1120" t="s">
        <v>524</v>
      </c>
      <c r="I1120" s="4">
        <f t="shared" si="150"/>
        <v>2</v>
      </c>
      <c r="J1120">
        <f t="shared" si="151"/>
        <v>8</v>
      </c>
      <c r="K1120">
        <v>20</v>
      </c>
      <c r="L1120">
        <v>8</v>
      </c>
      <c r="M1120" s="2">
        <v>2.5</v>
      </c>
      <c r="N1120" s="2">
        <v>3.13</v>
      </c>
      <c r="O1120">
        <v>1</v>
      </c>
      <c r="P1120">
        <v>8</v>
      </c>
      <c r="Q1120" t="s">
        <v>569</v>
      </c>
      <c r="R1120" t="s">
        <v>596</v>
      </c>
      <c r="S1120" t="str">
        <f t="shared" si="149"/>
        <v>PA</v>
      </c>
    </row>
    <row r="1121" spans="1:19" x14ac:dyDescent="0.3">
      <c r="A1121" t="s">
        <v>12</v>
      </c>
      <c r="B1121">
        <v>2016110026</v>
      </c>
      <c r="C1121" t="s">
        <v>60</v>
      </c>
      <c r="E1121" t="s">
        <v>348</v>
      </c>
      <c r="F1121" t="s">
        <v>402</v>
      </c>
      <c r="G1121">
        <v>4</v>
      </c>
      <c r="H1121" t="s">
        <v>524</v>
      </c>
      <c r="I1121" s="4">
        <f t="shared" si="150"/>
        <v>2</v>
      </c>
      <c r="J1121">
        <f t="shared" si="151"/>
        <v>8</v>
      </c>
      <c r="K1121">
        <v>58</v>
      </c>
      <c r="L1121">
        <v>24</v>
      </c>
      <c r="M1121" s="2">
        <v>2.42</v>
      </c>
      <c r="N1121" s="2">
        <v>3.13</v>
      </c>
      <c r="O1121">
        <v>0</v>
      </c>
      <c r="P1121">
        <v>4</v>
      </c>
      <c r="Q1121" t="s">
        <v>565</v>
      </c>
      <c r="R1121" t="s">
        <v>260</v>
      </c>
      <c r="S1121" t="str">
        <f t="shared" si="149"/>
        <v>PA</v>
      </c>
    </row>
    <row r="1122" spans="1:19" x14ac:dyDescent="0.3">
      <c r="A1122" t="s">
        <v>12</v>
      </c>
      <c r="B1122">
        <v>2016110026</v>
      </c>
      <c r="C1122" t="s">
        <v>60</v>
      </c>
      <c r="E1122" t="s">
        <v>90</v>
      </c>
      <c r="F1122" t="s">
        <v>91</v>
      </c>
      <c r="G1122">
        <v>2</v>
      </c>
      <c r="H1122" t="s">
        <v>524</v>
      </c>
      <c r="I1122" s="4">
        <f t="shared" si="150"/>
        <v>2</v>
      </c>
      <c r="J1122">
        <f t="shared" si="151"/>
        <v>4</v>
      </c>
      <c r="K1122">
        <v>62</v>
      </c>
      <c r="L1122">
        <v>20</v>
      </c>
      <c r="M1122" s="2">
        <v>3.1</v>
      </c>
      <c r="N1122" s="2">
        <v>3.13</v>
      </c>
      <c r="O1122">
        <v>0</v>
      </c>
      <c r="P1122">
        <v>1</v>
      </c>
      <c r="Q1122" t="s">
        <v>558</v>
      </c>
      <c r="R1122" t="s">
        <v>260</v>
      </c>
      <c r="S1122" t="str">
        <f t="shared" si="149"/>
        <v>PA</v>
      </c>
    </row>
    <row r="1123" spans="1:19" x14ac:dyDescent="0.3">
      <c r="A1123" t="s">
        <v>12</v>
      </c>
      <c r="B1123">
        <v>2016110026</v>
      </c>
      <c r="C1123" t="s">
        <v>60</v>
      </c>
      <c r="E1123" t="s">
        <v>432</v>
      </c>
      <c r="F1123" t="s">
        <v>433</v>
      </c>
      <c r="G1123">
        <v>4</v>
      </c>
      <c r="H1123" t="s">
        <v>524</v>
      </c>
      <c r="I1123" s="4">
        <f t="shared" si="150"/>
        <v>2</v>
      </c>
      <c r="J1123">
        <f t="shared" si="151"/>
        <v>8</v>
      </c>
      <c r="K1123">
        <v>58</v>
      </c>
      <c r="L1123">
        <v>24</v>
      </c>
      <c r="M1123" s="2">
        <v>2.42</v>
      </c>
      <c r="N1123" s="2">
        <v>3.13</v>
      </c>
      <c r="O1123">
        <v>0</v>
      </c>
      <c r="P1123">
        <v>4</v>
      </c>
      <c r="Q1123" t="s">
        <v>565</v>
      </c>
      <c r="R1123" t="s">
        <v>260</v>
      </c>
      <c r="S1123" t="str">
        <f t="shared" si="149"/>
        <v>PA</v>
      </c>
    </row>
    <row r="1124" spans="1:19" x14ac:dyDescent="0.3">
      <c r="A1124" t="s">
        <v>12</v>
      </c>
      <c r="B1124">
        <v>2016110026</v>
      </c>
      <c r="C1124" t="s">
        <v>60</v>
      </c>
      <c r="E1124" t="s">
        <v>432</v>
      </c>
      <c r="F1124" t="s">
        <v>433</v>
      </c>
      <c r="G1124">
        <v>4</v>
      </c>
      <c r="H1124" t="s">
        <v>539</v>
      </c>
      <c r="I1124" s="4">
        <f t="shared" si="150"/>
        <v>0</v>
      </c>
      <c r="J1124">
        <f t="shared" si="151"/>
        <v>0</v>
      </c>
      <c r="K1124">
        <v>68</v>
      </c>
      <c r="L1124">
        <v>24</v>
      </c>
      <c r="M1124" s="2">
        <v>2.83</v>
      </c>
      <c r="N1124" s="2">
        <v>3.13</v>
      </c>
      <c r="O1124">
        <v>1</v>
      </c>
      <c r="P1124">
        <v>6</v>
      </c>
      <c r="Q1124" t="s">
        <v>567</v>
      </c>
      <c r="R1124" t="s">
        <v>260</v>
      </c>
      <c r="S1124" t="str">
        <f t="shared" si="149"/>
        <v>FA</v>
      </c>
    </row>
    <row r="1125" spans="1:19" x14ac:dyDescent="0.3">
      <c r="A1125" t="s">
        <v>12</v>
      </c>
      <c r="B1125">
        <v>2016110026</v>
      </c>
      <c r="C1125" t="s">
        <v>60</v>
      </c>
      <c r="E1125" t="s">
        <v>100</v>
      </c>
      <c r="F1125" t="s">
        <v>101</v>
      </c>
      <c r="G1125">
        <v>4</v>
      </c>
      <c r="H1125" t="s">
        <v>524</v>
      </c>
      <c r="I1125" s="4">
        <f t="shared" si="150"/>
        <v>2</v>
      </c>
      <c r="J1125">
        <f t="shared" si="151"/>
        <v>8</v>
      </c>
      <c r="K1125">
        <v>58</v>
      </c>
      <c r="L1125">
        <v>20</v>
      </c>
      <c r="M1125" s="2">
        <v>2.9</v>
      </c>
      <c r="N1125" s="2">
        <v>3.13</v>
      </c>
      <c r="O1125">
        <v>0</v>
      </c>
      <c r="P1125">
        <v>2</v>
      </c>
      <c r="Q1125" t="s">
        <v>559</v>
      </c>
      <c r="R1125" t="s">
        <v>260</v>
      </c>
      <c r="S1125" t="str">
        <f t="shared" si="149"/>
        <v>PA</v>
      </c>
    </row>
    <row r="1126" spans="1:19" x14ac:dyDescent="0.3">
      <c r="A1126" t="s">
        <v>12</v>
      </c>
      <c r="B1126">
        <v>2016110026</v>
      </c>
      <c r="C1126" t="s">
        <v>60</v>
      </c>
      <c r="E1126" t="s">
        <v>100</v>
      </c>
      <c r="F1126" t="s">
        <v>101</v>
      </c>
      <c r="G1126">
        <v>4</v>
      </c>
      <c r="H1126" t="s">
        <v>260</v>
      </c>
      <c r="I1126" s="4">
        <f t="shared" si="150"/>
        <v>4</v>
      </c>
      <c r="J1126">
        <f t="shared" si="151"/>
        <v>16</v>
      </c>
      <c r="K1126">
        <v>32</v>
      </c>
      <c r="L1126">
        <v>8</v>
      </c>
      <c r="M1126" s="2">
        <v>4</v>
      </c>
      <c r="N1126" s="2">
        <v>3.13</v>
      </c>
      <c r="O1126">
        <v>1</v>
      </c>
      <c r="P1126">
        <v>6</v>
      </c>
      <c r="Q1126" t="s">
        <v>572</v>
      </c>
      <c r="R1126" t="s">
        <v>260</v>
      </c>
      <c r="S1126" t="str">
        <f t="shared" si="149"/>
        <v>PA</v>
      </c>
    </row>
    <row r="1127" spans="1:19" x14ac:dyDescent="0.3">
      <c r="A1127" t="s">
        <v>12</v>
      </c>
      <c r="B1127">
        <v>2016110026</v>
      </c>
      <c r="C1127" t="s">
        <v>60</v>
      </c>
      <c r="E1127" t="s">
        <v>273</v>
      </c>
      <c r="F1127" t="s">
        <v>274</v>
      </c>
      <c r="G1127">
        <v>2</v>
      </c>
      <c r="H1127" t="s">
        <v>524</v>
      </c>
      <c r="I1127" s="4">
        <f t="shared" si="150"/>
        <v>2</v>
      </c>
      <c r="J1127">
        <f t="shared" si="151"/>
        <v>4</v>
      </c>
      <c r="K1127">
        <v>58</v>
      </c>
      <c r="L1127">
        <v>24</v>
      </c>
      <c r="M1127" s="2">
        <v>2.42</v>
      </c>
      <c r="N1127" s="2">
        <v>3.13</v>
      </c>
      <c r="O1127">
        <v>0</v>
      </c>
      <c r="P1127">
        <v>4</v>
      </c>
      <c r="Q1127" t="s">
        <v>565</v>
      </c>
      <c r="R1127" t="s">
        <v>260</v>
      </c>
      <c r="S1127" t="str">
        <f t="shared" si="149"/>
        <v>PA</v>
      </c>
    </row>
    <row r="1128" spans="1:19" x14ac:dyDescent="0.3">
      <c r="A1128" t="s">
        <v>12</v>
      </c>
      <c r="B1128">
        <v>2016110026</v>
      </c>
      <c r="C1128" t="s">
        <v>60</v>
      </c>
      <c r="E1128" t="s">
        <v>273</v>
      </c>
      <c r="F1128" t="s">
        <v>274</v>
      </c>
      <c r="G1128">
        <v>2</v>
      </c>
      <c r="H1128" t="s">
        <v>438</v>
      </c>
      <c r="I1128" s="4">
        <f t="shared" si="150"/>
        <v>3</v>
      </c>
      <c r="J1128">
        <f t="shared" si="151"/>
        <v>6</v>
      </c>
      <c r="K1128">
        <v>68</v>
      </c>
      <c r="L1128">
        <v>24</v>
      </c>
      <c r="M1128" s="2">
        <v>2.83</v>
      </c>
      <c r="N1128" s="2">
        <v>3.13</v>
      </c>
      <c r="O1128">
        <v>1</v>
      </c>
      <c r="P1128">
        <v>6</v>
      </c>
      <c r="Q1128" t="s">
        <v>567</v>
      </c>
      <c r="R1128" t="s">
        <v>260</v>
      </c>
      <c r="S1128" t="str">
        <f t="shared" si="149"/>
        <v>PA</v>
      </c>
    </row>
    <row r="1129" spans="1:19" x14ac:dyDescent="0.3">
      <c r="A1129" t="s">
        <v>12</v>
      </c>
      <c r="B1129">
        <v>2016110026</v>
      </c>
      <c r="C1129" t="s">
        <v>60</v>
      </c>
      <c r="E1129" t="s">
        <v>309</v>
      </c>
      <c r="F1129" t="s">
        <v>310</v>
      </c>
      <c r="G1129">
        <v>4</v>
      </c>
      <c r="H1129" t="s">
        <v>535</v>
      </c>
      <c r="I1129" s="4">
        <f t="shared" si="150"/>
        <v>1</v>
      </c>
      <c r="J1129">
        <f t="shared" si="151"/>
        <v>4</v>
      </c>
      <c r="K1129">
        <v>58</v>
      </c>
      <c r="L1129">
        <v>24</v>
      </c>
      <c r="M1129" s="2">
        <v>2.42</v>
      </c>
      <c r="N1129" s="2">
        <v>3.13</v>
      </c>
      <c r="O1129">
        <v>0</v>
      </c>
      <c r="P1129">
        <v>4</v>
      </c>
      <c r="Q1129" t="s">
        <v>565</v>
      </c>
      <c r="R1129" t="s">
        <v>260</v>
      </c>
      <c r="S1129" t="str">
        <f t="shared" si="149"/>
        <v>FA</v>
      </c>
    </row>
    <row r="1130" spans="1:19" x14ac:dyDescent="0.3">
      <c r="A1130" t="s">
        <v>12</v>
      </c>
      <c r="B1130">
        <v>2016110026</v>
      </c>
      <c r="C1130" t="s">
        <v>60</v>
      </c>
      <c r="E1130" t="s">
        <v>309</v>
      </c>
      <c r="F1130" t="s">
        <v>310</v>
      </c>
      <c r="G1130">
        <v>4</v>
      </c>
      <c r="H1130" t="s">
        <v>260</v>
      </c>
      <c r="I1130" s="4">
        <f t="shared" si="150"/>
        <v>4</v>
      </c>
      <c r="J1130">
        <f t="shared" si="151"/>
        <v>16</v>
      </c>
      <c r="K1130">
        <v>32</v>
      </c>
      <c r="L1130">
        <v>8</v>
      </c>
      <c r="M1130" s="2">
        <v>4</v>
      </c>
      <c r="N1130" s="2">
        <v>3.13</v>
      </c>
      <c r="O1130">
        <v>1</v>
      </c>
      <c r="P1130">
        <v>6</v>
      </c>
      <c r="Q1130" t="s">
        <v>572</v>
      </c>
      <c r="R1130" t="s">
        <v>260</v>
      </c>
      <c r="S1130" t="str">
        <f t="shared" si="149"/>
        <v>PA</v>
      </c>
    </row>
    <row r="1131" spans="1:19" x14ac:dyDescent="0.3">
      <c r="A1131" t="s">
        <v>12</v>
      </c>
      <c r="B1131">
        <v>2016110027</v>
      </c>
      <c r="C1131" t="s">
        <v>218</v>
      </c>
      <c r="E1131" t="s">
        <v>100</v>
      </c>
      <c r="F1131" t="s">
        <v>101</v>
      </c>
      <c r="G1131">
        <v>4</v>
      </c>
      <c r="I1131" s="4"/>
      <c r="J1131">
        <f t="shared" ref="J1131:J1132" si="152">G1131*I1131</f>
        <v>0</v>
      </c>
      <c r="K1131">
        <v>28</v>
      </c>
      <c r="L1131">
        <v>16</v>
      </c>
      <c r="M1131" s="2">
        <v>1.75</v>
      </c>
      <c r="N1131" s="2">
        <v>2.2799999999999998</v>
      </c>
      <c r="O1131">
        <v>0</v>
      </c>
      <c r="P1131">
        <v>2</v>
      </c>
      <c r="Q1131" t="s">
        <v>559</v>
      </c>
      <c r="R1131" t="s">
        <v>535</v>
      </c>
      <c r="S1131" t="s">
        <v>595</v>
      </c>
    </row>
    <row r="1132" spans="1:19" x14ac:dyDescent="0.3">
      <c r="A1132" t="s">
        <v>12</v>
      </c>
      <c r="B1132">
        <v>2016110027</v>
      </c>
      <c r="C1132" t="s">
        <v>218</v>
      </c>
      <c r="E1132" t="s">
        <v>77</v>
      </c>
      <c r="F1132" t="s">
        <v>78</v>
      </c>
      <c r="G1132">
        <v>2</v>
      </c>
      <c r="H1132" t="s">
        <v>260</v>
      </c>
      <c r="I1132" s="4">
        <f t="shared" ref="I1132" si="153">IF(H1132="A",4,IF(H1132="B",3,IF(H1132="C",2,IF(H1132="D",1,0))))</f>
        <v>4</v>
      </c>
      <c r="J1132">
        <f t="shared" si="152"/>
        <v>8</v>
      </c>
      <c r="K1132">
        <v>54</v>
      </c>
      <c r="L1132">
        <v>20</v>
      </c>
      <c r="M1132" s="2">
        <v>2.7</v>
      </c>
      <c r="N1132" s="2">
        <v>2.2799999999999998</v>
      </c>
      <c r="O1132">
        <v>0</v>
      </c>
      <c r="P1132">
        <v>1</v>
      </c>
      <c r="Q1132" t="s">
        <v>558</v>
      </c>
      <c r="R1132" t="s">
        <v>260</v>
      </c>
      <c r="S1132" t="str">
        <f t="shared" ref="S1132:S1144" si="154">IF(OR(H1132="A",H1132="B",H1132="C"),"PA","FA")</f>
        <v>PA</v>
      </c>
    </row>
    <row r="1133" spans="1:19" x14ac:dyDescent="0.3">
      <c r="A1133" t="s">
        <v>12</v>
      </c>
      <c r="B1133">
        <v>2016110027</v>
      </c>
      <c r="C1133" t="s">
        <v>218</v>
      </c>
      <c r="E1133" t="s">
        <v>165</v>
      </c>
      <c r="F1133" t="s">
        <v>166</v>
      </c>
      <c r="G1133">
        <v>2</v>
      </c>
      <c r="H1133" t="s">
        <v>438</v>
      </c>
      <c r="I1133" s="4">
        <f t="shared" ref="I1133:I1144" si="155">IF(H1133="A",4,IF(H1133="B",3,IF(H1133="C",2,IF(H1133="D",1,0))))</f>
        <v>3</v>
      </c>
      <c r="J1133">
        <f t="shared" ref="J1133:J1144" si="156">G1133*I1133</f>
        <v>6</v>
      </c>
      <c r="K1133">
        <v>54</v>
      </c>
      <c r="L1133">
        <v>20</v>
      </c>
      <c r="M1133" s="2">
        <v>2.7</v>
      </c>
      <c r="N1133" s="2">
        <v>2.2799999999999998</v>
      </c>
      <c r="O1133">
        <v>0</v>
      </c>
      <c r="P1133">
        <v>1</v>
      </c>
      <c r="Q1133" t="s">
        <v>558</v>
      </c>
      <c r="R1133" t="s">
        <v>260</v>
      </c>
      <c r="S1133" t="str">
        <f t="shared" si="154"/>
        <v>PA</v>
      </c>
    </row>
    <row r="1134" spans="1:19" x14ac:dyDescent="0.3">
      <c r="A1134" t="s">
        <v>12</v>
      </c>
      <c r="B1134">
        <v>2016110027</v>
      </c>
      <c r="C1134" t="s">
        <v>218</v>
      </c>
      <c r="E1134" t="s">
        <v>131</v>
      </c>
      <c r="F1134" t="s">
        <v>132</v>
      </c>
      <c r="G1134">
        <v>2</v>
      </c>
      <c r="H1134" t="s">
        <v>438</v>
      </c>
      <c r="I1134" s="4">
        <f t="shared" si="155"/>
        <v>3</v>
      </c>
      <c r="J1134">
        <f t="shared" si="156"/>
        <v>6</v>
      </c>
      <c r="K1134">
        <v>54</v>
      </c>
      <c r="L1134">
        <v>20</v>
      </c>
      <c r="M1134" s="2">
        <v>2.7</v>
      </c>
      <c r="N1134" s="2">
        <v>2.2799999999999998</v>
      </c>
      <c r="O1134">
        <v>0</v>
      </c>
      <c r="P1134">
        <v>1</v>
      </c>
      <c r="Q1134" t="s">
        <v>558</v>
      </c>
      <c r="R1134" t="s">
        <v>260</v>
      </c>
      <c r="S1134" t="str">
        <f t="shared" si="154"/>
        <v>PA</v>
      </c>
    </row>
    <row r="1135" spans="1:19" x14ac:dyDescent="0.3">
      <c r="A1135" t="s">
        <v>12</v>
      </c>
      <c r="B1135">
        <v>2016110027</v>
      </c>
      <c r="C1135" t="s">
        <v>218</v>
      </c>
      <c r="E1135" t="s">
        <v>279</v>
      </c>
      <c r="F1135" t="s">
        <v>280</v>
      </c>
      <c r="G1135">
        <v>2</v>
      </c>
      <c r="H1135" t="s">
        <v>438</v>
      </c>
      <c r="I1135" s="4">
        <f t="shared" si="155"/>
        <v>3</v>
      </c>
      <c r="J1135">
        <f t="shared" si="156"/>
        <v>6</v>
      </c>
      <c r="K1135">
        <v>28</v>
      </c>
      <c r="L1135">
        <v>16</v>
      </c>
      <c r="M1135" s="2">
        <v>1.75</v>
      </c>
      <c r="N1135" s="2">
        <v>2.2799999999999998</v>
      </c>
      <c r="O1135">
        <v>0</v>
      </c>
      <c r="P1135">
        <v>2</v>
      </c>
      <c r="Q1135" t="s">
        <v>559</v>
      </c>
      <c r="R1135" t="s">
        <v>535</v>
      </c>
      <c r="S1135" t="str">
        <f t="shared" si="154"/>
        <v>PA</v>
      </c>
    </row>
    <row r="1136" spans="1:19" x14ac:dyDescent="0.3">
      <c r="A1136" t="s">
        <v>12</v>
      </c>
      <c r="B1136">
        <v>2016110027</v>
      </c>
      <c r="C1136" t="s">
        <v>218</v>
      </c>
      <c r="E1136" t="s">
        <v>151</v>
      </c>
      <c r="F1136" t="s">
        <v>152</v>
      </c>
      <c r="G1136">
        <v>2</v>
      </c>
      <c r="H1136" t="s">
        <v>438</v>
      </c>
      <c r="I1136" s="4">
        <f t="shared" si="155"/>
        <v>3</v>
      </c>
      <c r="J1136">
        <f t="shared" si="156"/>
        <v>6</v>
      </c>
      <c r="K1136">
        <v>54</v>
      </c>
      <c r="L1136">
        <v>20</v>
      </c>
      <c r="M1136" s="2">
        <v>2.7</v>
      </c>
      <c r="N1136" s="2">
        <v>2.2799999999999998</v>
      </c>
      <c r="O1136">
        <v>0</v>
      </c>
      <c r="P1136">
        <v>1</v>
      </c>
      <c r="Q1136" t="s">
        <v>558</v>
      </c>
      <c r="R1136" t="s">
        <v>260</v>
      </c>
      <c r="S1136" t="str">
        <f t="shared" si="154"/>
        <v>PA</v>
      </c>
    </row>
    <row r="1137" spans="1:19" x14ac:dyDescent="0.3">
      <c r="A1137" t="s">
        <v>12</v>
      </c>
      <c r="B1137">
        <v>2016110027</v>
      </c>
      <c r="C1137" t="s">
        <v>218</v>
      </c>
      <c r="E1137" t="s">
        <v>437</v>
      </c>
      <c r="F1137" t="s">
        <v>169</v>
      </c>
      <c r="G1137">
        <v>4</v>
      </c>
      <c r="H1137" t="s">
        <v>438</v>
      </c>
      <c r="I1137" s="4">
        <f t="shared" si="155"/>
        <v>3</v>
      </c>
      <c r="J1137">
        <f t="shared" si="156"/>
        <v>12</v>
      </c>
      <c r="K1137">
        <v>54</v>
      </c>
      <c r="L1137">
        <v>20</v>
      </c>
      <c r="M1137" s="2">
        <v>2.7</v>
      </c>
      <c r="N1137" s="2">
        <v>2.2799999999999998</v>
      </c>
      <c r="O1137">
        <v>0</v>
      </c>
      <c r="P1137">
        <v>1</v>
      </c>
      <c r="Q1137" t="s">
        <v>558</v>
      </c>
      <c r="R1137" t="s">
        <v>260</v>
      </c>
      <c r="S1137" t="str">
        <f t="shared" si="154"/>
        <v>PA</v>
      </c>
    </row>
    <row r="1138" spans="1:19" x14ac:dyDescent="0.3">
      <c r="A1138" t="s">
        <v>12</v>
      </c>
      <c r="B1138">
        <v>2016110027</v>
      </c>
      <c r="C1138" t="s">
        <v>218</v>
      </c>
      <c r="E1138" t="s">
        <v>290</v>
      </c>
      <c r="F1138" t="s">
        <v>327</v>
      </c>
      <c r="G1138">
        <v>4</v>
      </c>
      <c r="H1138" t="s">
        <v>438</v>
      </c>
      <c r="I1138" s="4">
        <f t="shared" si="155"/>
        <v>3</v>
      </c>
      <c r="J1138">
        <f t="shared" si="156"/>
        <v>12</v>
      </c>
      <c r="K1138">
        <v>28</v>
      </c>
      <c r="L1138">
        <v>16</v>
      </c>
      <c r="M1138" s="2">
        <v>1.75</v>
      </c>
      <c r="N1138" s="2">
        <v>2.2799999999999998</v>
      </c>
      <c r="O1138">
        <v>0</v>
      </c>
      <c r="P1138">
        <v>2</v>
      </c>
      <c r="Q1138" t="s">
        <v>559</v>
      </c>
      <c r="R1138" t="s">
        <v>535</v>
      </c>
      <c r="S1138" t="str">
        <f t="shared" si="154"/>
        <v>PA</v>
      </c>
    </row>
    <row r="1139" spans="1:19" x14ac:dyDescent="0.3">
      <c r="A1139" t="s">
        <v>12</v>
      </c>
      <c r="B1139">
        <v>2016110027</v>
      </c>
      <c r="C1139" t="s">
        <v>218</v>
      </c>
      <c r="E1139" t="s">
        <v>142</v>
      </c>
      <c r="F1139" t="s">
        <v>143</v>
      </c>
      <c r="G1139">
        <v>2</v>
      </c>
      <c r="H1139" t="s">
        <v>524</v>
      </c>
      <c r="I1139" s="4">
        <f t="shared" si="155"/>
        <v>2</v>
      </c>
      <c r="J1139">
        <f t="shared" si="156"/>
        <v>4</v>
      </c>
      <c r="K1139">
        <v>54</v>
      </c>
      <c r="L1139">
        <v>20</v>
      </c>
      <c r="M1139" s="2">
        <v>2.7</v>
      </c>
      <c r="N1139" s="2">
        <v>2.2799999999999998</v>
      </c>
      <c r="O1139">
        <v>0</v>
      </c>
      <c r="P1139">
        <v>1</v>
      </c>
      <c r="Q1139" t="s">
        <v>558</v>
      </c>
      <c r="R1139" t="s">
        <v>260</v>
      </c>
      <c r="S1139" t="str">
        <f t="shared" si="154"/>
        <v>PA</v>
      </c>
    </row>
    <row r="1140" spans="1:19" x14ac:dyDescent="0.3">
      <c r="A1140" t="s">
        <v>12</v>
      </c>
      <c r="B1140">
        <v>2016110027</v>
      </c>
      <c r="C1140" t="s">
        <v>218</v>
      </c>
      <c r="E1140" t="s">
        <v>90</v>
      </c>
      <c r="F1140" t="s">
        <v>91</v>
      </c>
      <c r="G1140">
        <v>2</v>
      </c>
      <c r="H1140" t="s">
        <v>524</v>
      </c>
      <c r="I1140" s="4">
        <f t="shared" si="155"/>
        <v>2</v>
      </c>
      <c r="J1140">
        <f t="shared" si="156"/>
        <v>4</v>
      </c>
      <c r="K1140">
        <v>54</v>
      </c>
      <c r="L1140">
        <v>20</v>
      </c>
      <c r="M1140" s="2">
        <v>2.7</v>
      </c>
      <c r="N1140" s="2">
        <v>2.2799999999999998</v>
      </c>
      <c r="O1140">
        <v>0</v>
      </c>
      <c r="P1140">
        <v>1</v>
      </c>
      <c r="Q1140" t="s">
        <v>558</v>
      </c>
      <c r="R1140" t="s">
        <v>260</v>
      </c>
      <c r="S1140" t="str">
        <f t="shared" si="154"/>
        <v>PA</v>
      </c>
    </row>
    <row r="1141" spans="1:19" x14ac:dyDescent="0.3">
      <c r="A1141" t="s">
        <v>12</v>
      </c>
      <c r="B1141">
        <v>2016110027</v>
      </c>
      <c r="C1141" t="s">
        <v>218</v>
      </c>
      <c r="E1141" t="s">
        <v>122</v>
      </c>
      <c r="F1141" t="s">
        <v>123</v>
      </c>
      <c r="G1141">
        <v>4</v>
      </c>
      <c r="H1141" t="s">
        <v>524</v>
      </c>
      <c r="I1141" s="4">
        <f t="shared" si="155"/>
        <v>2</v>
      </c>
      <c r="J1141">
        <f t="shared" si="156"/>
        <v>8</v>
      </c>
      <c r="K1141">
        <v>54</v>
      </c>
      <c r="L1141">
        <v>20</v>
      </c>
      <c r="M1141" s="2">
        <v>2.7</v>
      </c>
      <c r="N1141" s="2">
        <v>2.2799999999999998</v>
      </c>
      <c r="O1141">
        <v>0</v>
      </c>
      <c r="P1141">
        <v>1</v>
      </c>
      <c r="Q1141" t="s">
        <v>558</v>
      </c>
      <c r="R1141" t="s">
        <v>260</v>
      </c>
      <c r="S1141" t="str">
        <f t="shared" si="154"/>
        <v>PA</v>
      </c>
    </row>
    <row r="1142" spans="1:19" x14ac:dyDescent="0.3">
      <c r="A1142" t="s">
        <v>12</v>
      </c>
      <c r="B1142">
        <v>2016110027</v>
      </c>
      <c r="C1142" t="s">
        <v>218</v>
      </c>
      <c r="E1142" t="s">
        <v>103</v>
      </c>
      <c r="F1142" t="s">
        <v>104</v>
      </c>
      <c r="G1142">
        <v>4</v>
      </c>
      <c r="H1142" t="s">
        <v>535</v>
      </c>
      <c r="I1142" s="4">
        <f t="shared" si="155"/>
        <v>1</v>
      </c>
      <c r="J1142">
        <f t="shared" si="156"/>
        <v>4</v>
      </c>
      <c r="K1142">
        <v>28</v>
      </c>
      <c r="L1142">
        <v>16</v>
      </c>
      <c r="M1142" s="2">
        <v>1.75</v>
      </c>
      <c r="N1142" s="2">
        <v>2.2799999999999998</v>
      </c>
      <c r="O1142">
        <v>0</v>
      </c>
      <c r="P1142">
        <v>2</v>
      </c>
      <c r="Q1142" t="s">
        <v>559</v>
      </c>
      <c r="R1142" t="s">
        <v>535</v>
      </c>
      <c r="S1142" t="str">
        <f t="shared" si="154"/>
        <v>FA</v>
      </c>
    </row>
    <row r="1143" spans="1:19" x14ac:dyDescent="0.3">
      <c r="A1143" t="s">
        <v>12</v>
      </c>
      <c r="B1143">
        <v>2016110027</v>
      </c>
      <c r="C1143" t="s">
        <v>218</v>
      </c>
      <c r="E1143" t="s">
        <v>139</v>
      </c>
      <c r="F1143" t="s">
        <v>140</v>
      </c>
      <c r="G1143">
        <v>2</v>
      </c>
      <c r="H1143" t="s">
        <v>535</v>
      </c>
      <c r="I1143" s="4">
        <f t="shared" si="155"/>
        <v>1</v>
      </c>
      <c r="J1143">
        <f t="shared" si="156"/>
        <v>2</v>
      </c>
      <c r="K1143">
        <v>28</v>
      </c>
      <c r="L1143">
        <v>16</v>
      </c>
      <c r="M1143" s="2">
        <v>1.75</v>
      </c>
      <c r="N1143" s="2">
        <v>2.2799999999999998</v>
      </c>
      <c r="O1143">
        <v>0</v>
      </c>
      <c r="P1143">
        <v>2</v>
      </c>
      <c r="Q1143" t="s">
        <v>559</v>
      </c>
      <c r="R1143" t="s">
        <v>535</v>
      </c>
      <c r="S1143" t="str">
        <f t="shared" si="154"/>
        <v>FA</v>
      </c>
    </row>
    <row r="1144" spans="1:19" x14ac:dyDescent="0.3">
      <c r="A1144" t="s">
        <v>12</v>
      </c>
      <c r="B1144">
        <v>2016110027</v>
      </c>
      <c r="C1144" t="s">
        <v>218</v>
      </c>
      <c r="E1144" t="s">
        <v>97</v>
      </c>
      <c r="F1144" t="s">
        <v>98</v>
      </c>
      <c r="G1144">
        <v>4</v>
      </c>
      <c r="H1144" t="s">
        <v>535</v>
      </c>
      <c r="I1144" s="4">
        <f t="shared" si="155"/>
        <v>1</v>
      </c>
      <c r="J1144">
        <f t="shared" si="156"/>
        <v>4</v>
      </c>
      <c r="K1144">
        <v>28</v>
      </c>
      <c r="L1144">
        <v>16</v>
      </c>
      <c r="M1144" s="2">
        <v>1.75</v>
      </c>
      <c r="N1144" s="2">
        <v>2.2799999999999998</v>
      </c>
      <c r="O1144">
        <v>0</v>
      </c>
      <c r="P1144">
        <v>2</v>
      </c>
      <c r="Q1144" t="s">
        <v>559</v>
      </c>
      <c r="R1144" t="s">
        <v>535</v>
      </c>
      <c r="S1144" t="str">
        <f t="shared" si="154"/>
        <v>FA</v>
      </c>
    </row>
    <row r="1145" spans="1:19" x14ac:dyDescent="0.3">
      <c r="A1145" t="s">
        <v>12</v>
      </c>
      <c r="B1145">
        <v>2016110028</v>
      </c>
      <c r="C1145" t="s">
        <v>34</v>
      </c>
      <c r="E1145" t="s">
        <v>31</v>
      </c>
      <c r="F1145" t="s">
        <v>20</v>
      </c>
      <c r="G1145">
        <v>4</v>
      </c>
      <c r="I1145" s="4"/>
      <c r="J1145">
        <f t="shared" ref="J1145:J1146" si="157">G1145*I1145</f>
        <v>0</v>
      </c>
      <c r="K1145">
        <v>26</v>
      </c>
      <c r="L1145">
        <v>10</v>
      </c>
      <c r="M1145" s="2">
        <v>2.6</v>
      </c>
      <c r="N1145" s="2">
        <v>3.14</v>
      </c>
      <c r="O1145">
        <v>0</v>
      </c>
      <c r="P1145">
        <v>9</v>
      </c>
      <c r="Q1145" t="s">
        <v>570</v>
      </c>
      <c r="R1145" t="s">
        <v>260</v>
      </c>
      <c r="S1145" t="s">
        <v>595</v>
      </c>
    </row>
    <row r="1146" spans="1:19" x14ac:dyDescent="0.3">
      <c r="A1146" t="s">
        <v>12</v>
      </c>
      <c r="B1146">
        <v>2016110028</v>
      </c>
      <c r="C1146" t="s">
        <v>34</v>
      </c>
      <c r="E1146" t="s">
        <v>31</v>
      </c>
      <c r="F1146" t="s">
        <v>20</v>
      </c>
      <c r="G1146">
        <v>4</v>
      </c>
      <c r="H1146" t="s">
        <v>438</v>
      </c>
      <c r="I1146" s="4">
        <f t="shared" ref="I1146" si="158">IF(H1146="A",4,IF(H1146="B",3,IF(H1146="C",2,IF(H1146="D",1,0))))</f>
        <v>3</v>
      </c>
      <c r="J1146">
        <f t="shared" si="157"/>
        <v>12</v>
      </c>
      <c r="K1146">
        <v>12</v>
      </c>
      <c r="L1146">
        <v>4</v>
      </c>
      <c r="M1146" s="2">
        <v>3</v>
      </c>
      <c r="N1146" s="2">
        <v>3.14</v>
      </c>
      <c r="O1146">
        <v>1</v>
      </c>
      <c r="P1146">
        <v>10</v>
      </c>
      <c r="Q1146" t="s">
        <v>560</v>
      </c>
      <c r="R1146" t="s">
        <v>596</v>
      </c>
      <c r="S1146" t="str">
        <f t="shared" ref="S1146:S1209" si="159">IF(OR(H1146="A",H1146="B",H1146="C"),"PA","FA")</f>
        <v>PA</v>
      </c>
    </row>
    <row r="1147" spans="1:19" x14ac:dyDescent="0.3">
      <c r="A1147" t="s">
        <v>12</v>
      </c>
      <c r="B1147">
        <v>2016110028</v>
      </c>
      <c r="C1147" t="s">
        <v>34</v>
      </c>
      <c r="E1147" t="s">
        <v>337</v>
      </c>
      <c r="F1147" t="s">
        <v>338</v>
      </c>
      <c r="G1147">
        <v>2</v>
      </c>
      <c r="H1147" t="s">
        <v>260</v>
      </c>
      <c r="I1147" s="4">
        <f t="shared" ref="I1147:I1210" si="160">IF(H1147="A",4,IF(H1147="B",3,IF(H1147="C",2,IF(H1147="D",1,0))))</f>
        <v>4</v>
      </c>
      <c r="J1147">
        <f t="shared" ref="J1147:J1210" si="161">G1147*I1147</f>
        <v>8</v>
      </c>
      <c r="K1147">
        <v>58</v>
      </c>
      <c r="L1147">
        <v>18</v>
      </c>
      <c r="M1147" s="2">
        <v>3.22</v>
      </c>
      <c r="N1147" s="2">
        <v>3.14</v>
      </c>
      <c r="O1147">
        <v>0</v>
      </c>
      <c r="P1147">
        <v>5</v>
      </c>
      <c r="Q1147" t="s">
        <v>566</v>
      </c>
      <c r="R1147" t="s">
        <v>260</v>
      </c>
      <c r="S1147" t="str">
        <f t="shared" si="159"/>
        <v>PA</v>
      </c>
    </row>
    <row r="1148" spans="1:19" x14ac:dyDescent="0.3">
      <c r="A1148" t="s">
        <v>12</v>
      </c>
      <c r="B1148">
        <v>2016110028</v>
      </c>
      <c r="C1148" t="s">
        <v>34</v>
      </c>
      <c r="E1148" t="s">
        <v>77</v>
      </c>
      <c r="F1148" t="s">
        <v>78</v>
      </c>
      <c r="G1148">
        <v>2</v>
      </c>
      <c r="H1148" t="s">
        <v>260</v>
      </c>
      <c r="I1148" s="4">
        <f t="shared" si="160"/>
        <v>4</v>
      </c>
      <c r="J1148">
        <f t="shared" si="161"/>
        <v>8</v>
      </c>
      <c r="K1148">
        <v>52</v>
      </c>
      <c r="L1148">
        <v>20</v>
      </c>
      <c r="M1148" s="2">
        <v>2.6</v>
      </c>
      <c r="N1148" s="2">
        <v>3.14</v>
      </c>
      <c r="O1148">
        <v>0</v>
      </c>
      <c r="P1148">
        <v>1</v>
      </c>
      <c r="Q1148" t="s">
        <v>558</v>
      </c>
      <c r="R1148" t="s">
        <v>260</v>
      </c>
      <c r="S1148" t="str">
        <f t="shared" si="159"/>
        <v>PA</v>
      </c>
    </row>
    <row r="1149" spans="1:19" x14ac:dyDescent="0.3">
      <c r="A1149" t="s">
        <v>12</v>
      </c>
      <c r="B1149">
        <v>2016110028</v>
      </c>
      <c r="C1149" t="s">
        <v>34</v>
      </c>
      <c r="E1149" t="s">
        <v>262</v>
      </c>
      <c r="F1149" t="s">
        <v>263</v>
      </c>
      <c r="G1149">
        <v>2</v>
      </c>
      <c r="H1149" t="s">
        <v>260</v>
      </c>
      <c r="I1149" s="4">
        <f t="shared" si="160"/>
        <v>4</v>
      </c>
      <c r="J1149">
        <f t="shared" si="161"/>
        <v>8</v>
      </c>
      <c r="K1149">
        <v>68</v>
      </c>
      <c r="L1149">
        <v>24</v>
      </c>
      <c r="M1149" s="2">
        <v>2.83</v>
      </c>
      <c r="N1149" s="2">
        <v>3.14</v>
      </c>
      <c r="O1149">
        <v>0</v>
      </c>
      <c r="P1149">
        <v>6</v>
      </c>
      <c r="Q1149" t="s">
        <v>567</v>
      </c>
      <c r="R1149" t="s">
        <v>260</v>
      </c>
      <c r="S1149" t="str">
        <f t="shared" si="159"/>
        <v>PA</v>
      </c>
    </row>
    <row r="1150" spans="1:19" x14ac:dyDescent="0.3">
      <c r="A1150" t="s">
        <v>12</v>
      </c>
      <c r="B1150">
        <v>2016110028</v>
      </c>
      <c r="C1150" t="s">
        <v>34</v>
      </c>
      <c r="E1150" t="s">
        <v>306</v>
      </c>
      <c r="F1150" t="s">
        <v>307</v>
      </c>
      <c r="G1150">
        <v>2</v>
      </c>
      <c r="H1150" t="s">
        <v>260</v>
      </c>
      <c r="I1150" s="4">
        <f t="shared" si="160"/>
        <v>4</v>
      </c>
      <c r="J1150">
        <f t="shared" si="161"/>
        <v>8</v>
      </c>
      <c r="K1150">
        <v>58</v>
      </c>
      <c r="L1150">
        <v>18</v>
      </c>
      <c r="M1150" s="2">
        <v>3.22</v>
      </c>
      <c r="N1150" s="2">
        <v>3.14</v>
      </c>
      <c r="O1150">
        <v>0</v>
      </c>
      <c r="P1150">
        <v>5</v>
      </c>
      <c r="Q1150" t="s">
        <v>566</v>
      </c>
      <c r="R1150" t="s">
        <v>260</v>
      </c>
      <c r="S1150" t="str">
        <f t="shared" si="159"/>
        <v>PA</v>
      </c>
    </row>
    <row r="1151" spans="1:19" x14ac:dyDescent="0.3">
      <c r="A1151" t="s">
        <v>12</v>
      </c>
      <c r="B1151">
        <v>2016110028</v>
      </c>
      <c r="C1151" t="s">
        <v>34</v>
      </c>
      <c r="E1151" t="s">
        <v>236</v>
      </c>
      <c r="F1151" t="s">
        <v>237</v>
      </c>
      <c r="G1151">
        <v>2</v>
      </c>
      <c r="H1151" t="s">
        <v>260</v>
      </c>
      <c r="I1151" s="4">
        <f t="shared" si="160"/>
        <v>4</v>
      </c>
      <c r="J1151">
        <f t="shared" si="161"/>
        <v>8</v>
      </c>
      <c r="K1151">
        <v>48</v>
      </c>
      <c r="L1151">
        <v>18</v>
      </c>
      <c r="M1151" s="2">
        <v>2.67</v>
      </c>
      <c r="N1151" s="2">
        <v>3.14</v>
      </c>
      <c r="O1151">
        <v>0</v>
      </c>
      <c r="P1151">
        <v>7</v>
      </c>
      <c r="Q1151" t="s">
        <v>568</v>
      </c>
      <c r="R1151" t="s">
        <v>260</v>
      </c>
      <c r="S1151" t="str">
        <f t="shared" si="159"/>
        <v>PA</v>
      </c>
    </row>
    <row r="1152" spans="1:19" x14ac:dyDescent="0.3">
      <c r="A1152" t="s">
        <v>12</v>
      </c>
      <c r="B1152">
        <v>2016110028</v>
      </c>
      <c r="C1152" t="s">
        <v>34</v>
      </c>
      <c r="E1152" t="s">
        <v>170</v>
      </c>
      <c r="F1152" t="s">
        <v>171</v>
      </c>
      <c r="G1152">
        <v>4</v>
      </c>
      <c r="H1152" t="s">
        <v>260</v>
      </c>
      <c r="I1152" s="4">
        <f t="shared" si="160"/>
        <v>4</v>
      </c>
      <c r="J1152">
        <f t="shared" si="161"/>
        <v>16</v>
      </c>
      <c r="K1152">
        <v>56</v>
      </c>
      <c r="L1152">
        <v>18</v>
      </c>
      <c r="M1152" s="2">
        <v>3.11</v>
      </c>
      <c r="N1152" s="2">
        <v>3.14</v>
      </c>
      <c r="O1152">
        <v>0</v>
      </c>
      <c r="P1152">
        <v>3</v>
      </c>
      <c r="Q1152" t="s">
        <v>563</v>
      </c>
      <c r="R1152" t="s">
        <v>260</v>
      </c>
      <c r="S1152" t="str">
        <f t="shared" si="159"/>
        <v>PA</v>
      </c>
    </row>
    <row r="1153" spans="1:19" x14ac:dyDescent="0.3">
      <c r="A1153" t="s">
        <v>12</v>
      </c>
      <c r="B1153">
        <v>2016110028</v>
      </c>
      <c r="C1153" t="s">
        <v>34</v>
      </c>
      <c r="E1153" t="s">
        <v>39</v>
      </c>
      <c r="F1153" t="s">
        <v>11</v>
      </c>
      <c r="G1153">
        <v>2</v>
      </c>
      <c r="H1153" t="s">
        <v>260</v>
      </c>
      <c r="I1153" s="4">
        <f t="shared" si="160"/>
        <v>4</v>
      </c>
      <c r="J1153">
        <f t="shared" si="161"/>
        <v>8</v>
      </c>
      <c r="K1153">
        <v>68</v>
      </c>
      <c r="L1153">
        <v>24</v>
      </c>
      <c r="M1153" s="2">
        <v>2.83</v>
      </c>
      <c r="N1153" s="2">
        <v>3.14</v>
      </c>
      <c r="O1153">
        <v>0</v>
      </c>
      <c r="P1153">
        <v>6</v>
      </c>
      <c r="Q1153" t="s">
        <v>567</v>
      </c>
      <c r="R1153" t="s">
        <v>260</v>
      </c>
      <c r="S1153" t="str">
        <f t="shared" si="159"/>
        <v>PA</v>
      </c>
    </row>
    <row r="1154" spans="1:19" x14ac:dyDescent="0.3">
      <c r="A1154" t="s">
        <v>12</v>
      </c>
      <c r="B1154">
        <v>2016110028</v>
      </c>
      <c r="C1154" t="s">
        <v>34</v>
      </c>
      <c r="E1154" t="s">
        <v>279</v>
      </c>
      <c r="F1154" t="s">
        <v>280</v>
      </c>
      <c r="G1154">
        <v>2</v>
      </c>
      <c r="H1154" t="s">
        <v>438</v>
      </c>
      <c r="I1154" s="4">
        <f t="shared" si="160"/>
        <v>3</v>
      </c>
      <c r="J1154">
        <f t="shared" si="161"/>
        <v>6</v>
      </c>
      <c r="K1154">
        <v>42</v>
      </c>
      <c r="L1154">
        <v>20</v>
      </c>
      <c r="M1154" s="2">
        <v>2.1</v>
      </c>
      <c r="N1154" s="2">
        <v>3.14</v>
      </c>
      <c r="O1154">
        <v>0</v>
      </c>
      <c r="P1154">
        <v>2</v>
      </c>
      <c r="Q1154" t="s">
        <v>559</v>
      </c>
      <c r="R1154" t="s">
        <v>260</v>
      </c>
      <c r="S1154" t="str">
        <f t="shared" si="159"/>
        <v>PA</v>
      </c>
    </row>
    <row r="1155" spans="1:19" x14ac:dyDescent="0.3">
      <c r="A1155" t="s">
        <v>12</v>
      </c>
      <c r="B1155">
        <v>2016110028</v>
      </c>
      <c r="C1155" t="s">
        <v>34</v>
      </c>
      <c r="E1155" t="s">
        <v>344</v>
      </c>
      <c r="F1155" t="s">
        <v>345</v>
      </c>
      <c r="G1155">
        <v>2</v>
      </c>
      <c r="H1155" t="s">
        <v>438</v>
      </c>
      <c r="I1155" s="4">
        <f t="shared" si="160"/>
        <v>3</v>
      </c>
      <c r="J1155">
        <f t="shared" si="161"/>
        <v>6</v>
      </c>
      <c r="K1155">
        <v>48</v>
      </c>
      <c r="L1155">
        <v>18</v>
      </c>
      <c r="M1155" s="2">
        <v>2.67</v>
      </c>
      <c r="N1155" s="2">
        <v>3.14</v>
      </c>
      <c r="O1155">
        <v>0</v>
      </c>
      <c r="P1155">
        <v>7</v>
      </c>
      <c r="Q1155" t="s">
        <v>568</v>
      </c>
      <c r="R1155" t="s">
        <v>260</v>
      </c>
      <c r="S1155" t="str">
        <f t="shared" si="159"/>
        <v>PA</v>
      </c>
    </row>
    <row r="1156" spans="1:19" x14ac:dyDescent="0.3">
      <c r="A1156" t="s">
        <v>12</v>
      </c>
      <c r="B1156">
        <v>2016110028</v>
      </c>
      <c r="C1156" t="s">
        <v>34</v>
      </c>
      <c r="E1156" t="s">
        <v>211</v>
      </c>
      <c r="F1156" t="s">
        <v>186</v>
      </c>
      <c r="G1156">
        <v>4</v>
      </c>
      <c r="H1156" t="s">
        <v>438</v>
      </c>
      <c r="I1156" s="4">
        <f t="shared" si="160"/>
        <v>3</v>
      </c>
      <c r="J1156">
        <f t="shared" si="161"/>
        <v>12</v>
      </c>
      <c r="K1156">
        <v>58</v>
      </c>
      <c r="L1156">
        <v>18</v>
      </c>
      <c r="M1156" s="2">
        <v>3.22</v>
      </c>
      <c r="N1156" s="2">
        <v>3.14</v>
      </c>
      <c r="O1156">
        <v>0</v>
      </c>
      <c r="P1156">
        <v>5</v>
      </c>
      <c r="Q1156" t="s">
        <v>566</v>
      </c>
      <c r="R1156" t="s">
        <v>260</v>
      </c>
      <c r="S1156" t="str">
        <f t="shared" si="159"/>
        <v>PA</v>
      </c>
    </row>
    <row r="1157" spans="1:19" x14ac:dyDescent="0.3">
      <c r="A1157" t="s">
        <v>12</v>
      </c>
      <c r="B1157">
        <v>2016110028</v>
      </c>
      <c r="C1157" t="s">
        <v>34</v>
      </c>
      <c r="E1157" t="s">
        <v>234</v>
      </c>
      <c r="F1157" t="s">
        <v>235</v>
      </c>
      <c r="G1157">
        <v>4</v>
      </c>
      <c r="H1157" t="s">
        <v>438</v>
      </c>
      <c r="I1157" s="4">
        <f t="shared" si="160"/>
        <v>3</v>
      </c>
      <c r="J1157">
        <f t="shared" si="161"/>
        <v>12</v>
      </c>
      <c r="K1157">
        <v>56</v>
      </c>
      <c r="L1157">
        <v>18</v>
      </c>
      <c r="M1157" s="2">
        <v>3.11</v>
      </c>
      <c r="N1157" s="2">
        <v>3.14</v>
      </c>
      <c r="O1157">
        <v>0</v>
      </c>
      <c r="P1157">
        <v>3</v>
      </c>
      <c r="Q1157" t="s">
        <v>563</v>
      </c>
      <c r="R1157" t="s">
        <v>260</v>
      </c>
      <c r="S1157" t="str">
        <f t="shared" si="159"/>
        <v>PA</v>
      </c>
    </row>
    <row r="1158" spans="1:19" x14ac:dyDescent="0.3">
      <c r="A1158" t="s">
        <v>12</v>
      </c>
      <c r="B1158">
        <v>2016110028</v>
      </c>
      <c r="C1158" t="s">
        <v>34</v>
      </c>
      <c r="E1158" t="s">
        <v>173</v>
      </c>
      <c r="F1158" t="s">
        <v>8</v>
      </c>
      <c r="G1158">
        <v>2</v>
      </c>
      <c r="H1158" t="s">
        <v>438</v>
      </c>
      <c r="I1158" s="4">
        <f t="shared" si="160"/>
        <v>3</v>
      </c>
      <c r="J1158">
        <f t="shared" si="161"/>
        <v>6</v>
      </c>
      <c r="K1158">
        <v>56</v>
      </c>
      <c r="L1158">
        <v>18</v>
      </c>
      <c r="M1158" s="2">
        <v>3.11</v>
      </c>
      <c r="N1158" s="2">
        <v>3.14</v>
      </c>
      <c r="O1158">
        <v>0</v>
      </c>
      <c r="P1158">
        <v>3</v>
      </c>
      <c r="Q1158" t="s">
        <v>563</v>
      </c>
      <c r="R1158" t="s">
        <v>260</v>
      </c>
      <c r="S1158" t="str">
        <f t="shared" si="159"/>
        <v>PA</v>
      </c>
    </row>
    <row r="1159" spans="1:19" x14ac:dyDescent="0.3">
      <c r="A1159" t="s">
        <v>12</v>
      </c>
      <c r="B1159">
        <v>2016110028</v>
      </c>
      <c r="C1159" t="s">
        <v>34</v>
      </c>
      <c r="E1159" t="s">
        <v>264</v>
      </c>
      <c r="F1159" t="s">
        <v>265</v>
      </c>
      <c r="G1159">
        <v>2</v>
      </c>
      <c r="H1159" t="s">
        <v>438</v>
      </c>
      <c r="I1159" s="4">
        <f t="shared" si="160"/>
        <v>3</v>
      </c>
      <c r="J1159">
        <f t="shared" si="161"/>
        <v>6</v>
      </c>
      <c r="K1159">
        <v>48</v>
      </c>
      <c r="L1159">
        <v>18</v>
      </c>
      <c r="M1159" s="2">
        <v>2.67</v>
      </c>
      <c r="N1159" s="2">
        <v>3.14</v>
      </c>
      <c r="O1159">
        <v>0</v>
      </c>
      <c r="P1159">
        <v>7</v>
      </c>
      <c r="Q1159" t="s">
        <v>568</v>
      </c>
      <c r="R1159" t="s">
        <v>260</v>
      </c>
      <c r="S1159" t="str">
        <f t="shared" si="159"/>
        <v>PA</v>
      </c>
    </row>
    <row r="1160" spans="1:19" x14ac:dyDescent="0.3">
      <c r="A1160" t="s">
        <v>12</v>
      </c>
      <c r="B1160">
        <v>2016110028</v>
      </c>
      <c r="C1160" t="s">
        <v>34</v>
      </c>
      <c r="E1160" t="s">
        <v>151</v>
      </c>
      <c r="F1160" t="s">
        <v>152</v>
      </c>
      <c r="G1160">
        <v>2</v>
      </c>
      <c r="H1160" t="s">
        <v>438</v>
      </c>
      <c r="I1160" s="4">
        <f t="shared" si="160"/>
        <v>3</v>
      </c>
      <c r="J1160">
        <f t="shared" si="161"/>
        <v>6</v>
      </c>
      <c r="K1160">
        <v>52</v>
      </c>
      <c r="L1160">
        <v>20</v>
      </c>
      <c r="M1160" s="2">
        <v>2.6</v>
      </c>
      <c r="N1160" s="2">
        <v>3.14</v>
      </c>
      <c r="O1160">
        <v>0</v>
      </c>
      <c r="P1160">
        <v>1</v>
      </c>
      <c r="Q1160" t="s">
        <v>558</v>
      </c>
      <c r="R1160" t="s">
        <v>260</v>
      </c>
      <c r="S1160" t="str">
        <f t="shared" si="159"/>
        <v>PA</v>
      </c>
    </row>
    <row r="1161" spans="1:19" x14ac:dyDescent="0.3">
      <c r="A1161" t="s">
        <v>12</v>
      </c>
      <c r="B1161">
        <v>2016110028</v>
      </c>
      <c r="C1161" t="s">
        <v>34</v>
      </c>
      <c r="E1161" t="s">
        <v>427</v>
      </c>
      <c r="F1161" t="s">
        <v>428</v>
      </c>
      <c r="G1161">
        <v>2</v>
      </c>
      <c r="H1161" t="s">
        <v>438</v>
      </c>
      <c r="I1161" s="4">
        <f t="shared" si="160"/>
        <v>3</v>
      </c>
      <c r="J1161">
        <f t="shared" si="161"/>
        <v>6</v>
      </c>
      <c r="K1161">
        <v>68</v>
      </c>
      <c r="L1161">
        <v>24</v>
      </c>
      <c r="M1161" s="2">
        <v>2.83</v>
      </c>
      <c r="N1161" s="2">
        <v>3.14</v>
      </c>
      <c r="O1161">
        <v>0</v>
      </c>
      <c r="P1161">
        <v>6</v>
      </c>
      <c r="Q1161" t="s">
        <v>567</v>
      </c>
      <c r="R1161" t="s">
        <v>260</v>
      </c>
      <c r="S1161" t="str">
        <f t="shared" si="159"/>
        <v>PA</v>
      </c>
    </row>
    <row r="1162" spans="1:19" x14ac:dyDescent="0.3">
      <c r="A1162" t="s">
        <v>12</v>
      </c>
      <c r="B1162">
        <v>2016110028</v>
      </c>
      <c r="C1162" t="s">
        <v>34</v>
      </c>
      <c r="E1162" t="s">
        <v>192</v>
      </c>
      <c r="F1162" t="s">
        <v>106</v>
      </c>
      <c r="G1162">
        <v>2</v>
      </c>
      <c r="H1162" t="s">
        <v>438</v>
      </c>
      <c r="I1162" s="4">
        <f t="shared" si="160"/>
        <v>3</v>
      </c>
      <c r="J1162">
        <f t="shared" si="161"/>
        <v>6</v>
      </c>
      <c r="K1162">
        <v>56</v>
      </c>
      <c r="L1162">
        <v>18</v>
      </c>
      <c r="M1162" s="2">
        <v>3.11</v>
      </c>
      <c r="N1162" s="2">
        <v>3.14</v>
      </c>
      <c r="O1162">
        <v>0</v>
      </c>
      <c r="P1162">
        <v>3</v>
      </c>
      <c r="Q1162" t="s">
        <v>563</v>
      </c>
      <c r="R1162" t="s">
        <v>260</v>
      </c>
      <c r="S1162" t="str">
        <f t="shared" si="159"/>
        <v>PA</v>
      </c>
    </row>
    <row r="1163" spans="1:19" x14ac:dyDescent="0.3">
      <c r="A1163" t="s">
        <v>12</v>
      </c>
      <c r="B1163">
        <v>2016110028</v>
      </c>
      <c r="C1163" t="s">
        <v>34</v>
      </c>
      <c r="E1163" t="s">
        <v>446</v>
      </c>
      <c r="F1163" t="s">
        <v>447</v>
      </c>
      <c r="G1163">
        <v>2</v>
      </c>
      <c r="H1163" t="s">
        <v>438</v>
      </c>
      <c r="I1163" s="4">
        <f t="shared" si="160"/>
        <v>3</v>
      </c>
      <c r="J1163">
        <f t="shared" si="161"/>
        <v>6</v>
      </c>
      <c r="K1163">
        <v>68</v>
      </c>
      <c r="L1163">
        <v>24</v>
      </c>
      <c r="M1163" s="2">
        <v>2.83</v>
      </c>
      <c r="N1163" s="2">
        <v>3.14</v>
      </c>
      <c r="O1163">
        <v>0</v>
      </c>
      <c r="P1163">
        <v>6</v>
      </c>
      <c r="Q1163" t="s">
        <v>567</v>
      </c>
      <c r="R1163" t="s">
        <v>260</v>
      </c>
      <c r="S1163" t="str">
        <f t="shared" si="159"/>
        <v>PA</v>
      </c>
    </row>
    <row r="1164" spans="1:19" x14ac:dyDescent="0.3">
      <c r="A1164" t="s">
        <v>12</v>
      </c>
      <c r="B1164">
        <v>2016110028</v>
      </c>
      <c r="C1164" t="s">
        <v>34</v>
      </c>
      <c r="E1164" t="s">
        <v>437</v>
      </c>
      <c r="F1164" t="s">
        <v>169</v>
      </c>
      <c r="G1164">
        <v>4</v>
      </c>
      <c r="H1164" t="s">
        <v>438</v>
      </c>
      <c r="I1164" s="4">
        <f t="shared" si="160"/>
        <v>3</v>
      </c>
      <c r="J1164">
        <f t="shared" si="161"/>
        <v>12</v>
      </c>
      <c r="K1164">
        <v>52</v>
      </c>
      <c r="L1164">
        <v>20</v>
      </c>
      <c r="M1164" s="2">
        <v>2.6</v>
      </c>
      <c r="N1164" s="2">
        <v>3.14</v>
      </c>
      <c r="O1164">
        <v>0</v>
      </c>
      <c r="P1164">
        <v>1</v>
      </c>
      <c r="Q1164" t="s">
        <v>558</v>
      </c>
      <c r="R1164" t="s">
        <v>260</v>
      </c>
      <c r="S1164" t="str">
        <f t="shared" si="159"/>
        <v>PA</v>
      </c>
    </row>
    <row r="1165" spans="1:19" x14ac:dyDescent="0.3">
      <c r="A1165" t="s">
        <v>12</v>
      </c>
      <c r="B1165">
        <v>2016110028</v>
      </c>
      <c r="C1165" t="s">
        <v>34</v>
      </c>
      <c r="E1165" t="s">
        <v>432</v>
      </c>
      <c r="F1165" t="s">
        <v>433</v>
      </c>
      <c r="G1165">
        <v>4</v>
      </c>
      <c r="H1165" t="s">
        <v>438</v>
      </c>
      <c r="I1165" s="4">
        <f t="shared" si="160"/>
        <v>3</v>
      </c>
      <c r="J1165">
        <f t="shared" si="161"/>
        <v>12</v>
      </c>
      <c r="K1165">
        <v>58</v>
      </c>
      <c r="L1165">
        <v>24</v>
      </c>
      <c r="M1165" s="2">
        <v>2.42</v>
      </c>
      <c r="N1165" s="2">
        <v>3.14</v>
      </c>
      <c r="O1165">
        <v>0</v>
      </c>
      <c r="P1165">
        <v>4</v>
      </c>
      <c r="Q1165" t="s">
        <v>565</v>
      </c>
      <c r="R1165" t="s">
        <v>260</v>
      </c>
      <c r="S1165" t="str">
        <f t="shared" si="159"/>
        <v>PA</v>
      </c>
    </row>
    <row r="1166" spans="1:19" x14ac:dyDescent="0.3">
      <c r="A1166" t="s">
        <v>12</v>
      </c>
      <c r="B1166">
        <v>2016110028</v>
      </c>
      <c r="C1166" t="s">
        <v>34</v>
      </c>
      <c r="E1166" t="s">
        <v>97</v>
      </c>
      <c r="F1166" t="s">
        <v>98</v>
      </c>
      <c r="G1166">
        <v>4</v>
      </c>
      <c r="H1166" t="s">
        <v>438</v>
      </c>
      <c r="I1166" s="4">
        <f t="shared" si="160"/>
        <v>3</v>
      </c>
      <c r="J1166">
        <f t="shared" si="161"/>
        <v>12</v>
      </c>
      <c r="K1166">
        <v>42</v>
      </c>
      <c r="L1166">
        <v>20</v>
      </c>
      <c r="M1166" s="2">
        <v>2.1</v>
      </c>
      <c r="N1166" s="2">
        <v>3.14</v>
      </c>
      <c r="O1166">
        <v>0</v>
      </c>
      <c r="P1166">
        <v>2</v>
      </c>
      <c r="Q1166" t="s">
        <v>559</v>
      </c>
      <c r="R1166" t="s">
        <v>260</v>
      </c>
      <c r="S1166" t="str">
        <f t="shared" si="159"/>
        <v>PA</v>
      </c>
    </row>
    <row r="1167" spans="1:19" x14ac:dyDescent="0.3">
      <c r="A1167" t="s">
        <v>12</v>
      </c>
      <c r="B1167">
        <v>2016110028</v>
      </c>
      <c r="C1167" t="s">
        <v>34</v>
      </c>
      <c r="E1167" t="s">
        <v>248</v>
      </c>
      <c r="F1167" t="s">
        <v>249</v>
      </c>
      <c r="G1167">
        <v>2</v>
      </c>
      <c r="H1167" t="s">
        <v>438</v>
      </c>
      <c r="I1167" s="4">
        <f t="shared" si="160"/>
        <v>3</v>
      </c>
      <c r="J1167">
        <f t="shared" si="161"/>
        <v>6</v>
      </c>
      <c r="K1167">
        <v>58</v>
      </c>
      <c r="L1167">
        <v>24</v>
      </c>
      <c r="M1167" s="2">
        <v>2.42</v>
      </c>
      <c r="N1167" s="2">
        <v>3.14</v>
      </c>
      <c r="O1167">
        <v>0</v>
      </c>
      <c r="P1167">
        <v>6</v>
      </c>
      <c r="Q1167" t="s">
        <v>567</v>
      </c>
      <c r="R1167" t="s">
        <v>260</v>
      </c>
      <c r="S1167" t="str">
        <f t="shared" si="159"/>
        <v>PA</v>
      </c>
    </row>
    <row r="1168" spans="1:19" x14ac:dyDescent="0.3">
      <c r="A1168" t="s">
        <v>12</v>
      </c>
      <c r="B1168">
        <v>2016110028</v>
      </c>
      <c r="C1168" t="s">
        <v>34</v>
      </c>
      <c r="E1168" t="s">
        <v>387</v>
      </c>
      <c r="F1168" t="s">
        <v>388</v>
      </c>
      <c r="G1168">
        <v>2</v>
      </c>
      <c r="H1168" t="s">
        <v>438</v>
      </c>
      <c r="I1168" s="4">
        <f t="shared" si="160"/>
        <v>3</v>
      </c>
      <c r="J1168">
        <f t="shared" si="161"/>
        <v>6</v>
      </c>
      <c r="K1168">
        <v>68</v>
      </c>
      <c r="L1168">
        <v>24</v>
      </c>
      <c r="M1168" s="2">
        <v>2.83</v>
      </c>
      <c r="N1168" s="2">
        <v>3.14</v>
      </c>
      <c r="O1168">
        <v>0</v>
      </c>
      <c r="P1168">
        <v>6</v>
      </c>
      <c r="Q1168" t="s">
        <v>567</v>
      </c>
      <c r="R1168" t="s">
        <v>260</v>
      </c>
      <c r="S1168" t="str">
        <f t="shared" si="159"/>
        <v>PA</v>
      </c>
    </row>
    <row r="1169" spans="1:19" x14ac:dyDescent="0.3">
      <c r="A1169" t="s">
        <v>12</v>
      </c>
      <c r="B1169">
        <v>2016110028</v>
      </c>
      <c r="C1169" t="s">
        <v>34</v>
      </c>
      <c r="E1169" t="s">
        <v>283</v>
      </c>
      <c r="F1169" t="s">
        <v>284</v>
      </c>
      <c r="G1169">
        <v>2</v>
      </c>
      <c r="H1169" t="s">
        <v>438</v>
      </c>
      <c r="I1169" s="4">
        <f t="shared" si="160"/>
        <v>3</v>
      </c>
      <c r="J1169">
        <f t="shared" si="161"/>
        <v>6</v>
      </c>
      <c r="K1169">
        <v>48</v>
      </c>
      <c r="L1169">
        <v>18</v>
      </c>
      <c r="M1169" s="2">
        <v>2.67</v>
      </c>
      <c r="N1169" s="2">
        <v>3.14</v>
      </c>
      <c r="O1169">
        <v>0</v>
      </c>
      <c r="P1169">
        <v>7</v>
      </c>
      <c r="Q1169" t="s">
        <v>568</v>
      </c>
      <c r="R1169" t="s">
        <v>260</v>
      </c>
      <c r="S1169" t="str">
        <f t="shared" si="159"/>
        <v>PA</v>
      </c>
    </row>
    <row r="1170" spans="1:19" x14ac:dyDescent="0.3">
      <c r="A1170" t="s">
        <v>12</v>
      </c>
      <c r="B1170">
        <v>2016110028</v>
      </c>
      <c r="C1170" t="s">
        <v>34</v>
      </c>
      <c r="E1170" t="s">
        <v>357</v>
      </c>
      <c r="F1170" t="s">
        <v>358</v>
      </c>
      <c r="G1170">
        <v>4</v>
      </c>
      <c r="H1170" t="s">
        <v>438</v>
      </c>
      <c r="I1170" s="4">
        <f t="shared" si="160"/>
        <v>3</v>
      </c>
      <c r="J1170">
        <f t="shared" si="161"/>
        <v>12</v>
      </c>
      <c r="K1170">
        <v>58</v>
      </c>
      <c r="L1170">
        <v>18</v>
      </c>
      <c r="M1170" s="2">
        <v>3.22</v>
      </c>
      <c r="N1170" s="2">
        <v>3.14</v>
      </c>
      <c r="O1170">
        <v>0</v>
      </c>
      <c r="P1170">
        <v>5</v>
      </c>
      <c r="Q1170" t="s">
        <v>566</v>
      </c>
      <c r="R1170" t="s">
        <v>260</v>
      </c>
      <c r="S1170" t="str">
        <f t="shared" si="159"/>
        <v>PA</v>
      </c>
    </row>
    <row r="1171" spans="1:19" x14ac:dyDescent="0.3">
      <c r="A1171" t="s">
        <v>12</v>
      </c>
      <c r="B1171">
        <v>2016110028</v>
      </c>
      <c r="C1171" t="s">
        <v>34</v>
      </c>
      <c r="E1171" t="s">
        <v>330</v>
      </c>
      <c r="F1171" t="s">
        <v>108</v>
      </c>
      <c r="G1171">
        <v>2</v>
      </c>
      <c r="H1171" t="s">
        <v>438</v>
      </c>
      <c r="I1171" s="4">
        <f t="shared" si="160"/>
        <v>3</v>
      </c>
      <c r="J1171">
        <f t="shared" si="161"/>
        <v>6</v>
      </c>
      <c r="K1171">
        <v>48</v>
      </c>
      <c r="L1171">
        <v>18</v>
      </c>
      <c r="M1171" s="2">
        <v>2.67</v>
      </c>
      <c r="N1171" s="2">
        <v>3.14</v>
      </c>
      <c r="O1171">
        <v>0</v>
      </c>
      <c r="P1171">
        <v>7</v>
      </c>
      <c r="Q1171" t="s">
        <v>568</v>
      </c>
      <c r="R1171" t="s">
        <v>260</v>
      </c>
      <c r="S1171" t="str">
        <f t="shared" si="159"/>
        <v>PA</v>
      </c>
    </row>
    <row r="1172" spans="1:19" x14ac:dyDescent="0.3">
      <c r="A1172" t="s">
        <v>12</v>
      </c>
      <c r="B1172">
        <v>2016110028</v>
      </c>
      <c r="C1172" t="s">
        <v>34</v>
      </c>
      <c r="E1172" t="s">
        <v>205</v>
      </c>
      <c r="F1172" t="s">
        <v>116</v>
      </c>
      <c r="G1172">
        <v>4</v>
      </c>
      <c r="H1172" t="s">
        <v>438</v>
      </c>
      <c r="I1172" s="4">
        <f t="shared" si="160"/>
        <v>3</v>
      </c>
      <c r="J1172">
        <f t="shared" si="161"/>
        <v>12</v>
      </c>
      <c r="K1172">
        <v>56</v>
      </c>
      <c r="L1172">
        <v>18</v>
      </c>
      <c r="M1172" s="2">
        <v>3.11</v>
      </c>
      <c r="N1172" s="2">
        <v>3.14</v>
      </c>
      <c r="O1172">
        <v>0</v>
      </c>
      <c r="P1172">
        <v>3</v>
      </c>
      <c r="Q1172" t="s">
        <v>563</v>
      </c>
      <c r="R1172" t="s">
        <v>260</v>
      </c>
      <c r="S1172" t="str">
        <f t="shared" si="159"/>
        <v>PA</v>
      </c>
    </row>
    <row r="1173" spans="1:19" x14ac:dyDescent="0.3">
      <c r="A1173" t="s">
        <v>12</v>
      </c>
      <c r="B1173">
        <v>2016110028</v>
      </c>
      <c r="C1173" t="s">
        <v>34</v>
      </c>
      <c r="E1173" t="s">
        <v>142</v>
      </c>
      <c r="F1173" t="s">
        <v>143</v>
      </c>
      <c r="G1173">
        <v>2</v>
      </c>
      <c r="H1173" t="s">
        <v>438</v>
      </c>
      <c r="I1173" s="4">
        <f t="shared" si="160"/>
        <v>3</v>
      </c>
      <c r="J1173">
        <f t="shared" si="161"/>
        <v>6</v>
      </c>
      <c r="K1173">
        <v>52</v>
      </c>
      <c r="L1173">
        <v>20</v>
      </c>
      <c r="M1173" s="2">
        <v>2.6</v>
      </c>
      <c r="N1173" s="2">
        <v>3.14</v>
      </c>
      <c r="O1173">
        <v>0</v>
      </c>
      <c r="P1173">
        <v>1</v>
      </c>
      <c r="Q1173" t="s">
        <v>558</v>
      </c>
      <c r="R1173" t="s">
        <v>260</v>
      </c>
      <c r="S1173" t="str">
        <f t="shared" si="159"/>
        <v>PA</v>
      </c>
    </row>
    <row r="1174" spans="1:19" x14ac:dyDescent="0.3">
      <c r="A1174" t="s">
        <v>12</v>
      </c>
      <c r="B1174">
        <v>2016110028</v>
      </c>
      <c r="C1174" t="s">
        <v>34</v>
      </c>
      <c r="E1174" t="s">
        <v>208</v>
      </c>
      <c r="F1174" t="s">
        <v>209</v>
      </c>
      <c r="G1174">
        <v>2</v>
      </c>
      <c r="H1174" t="s">
        <v>438</v>
      </c>
      <c r="I1174" s="4">
        <f t="shared" si="160"/>
        <v>3</v>
      </c>
      <c r="J1174">
        <f t="shared" si="161"/>
        <v>6</v>
      </c>
      <c r="K1174">
        <v>58</v>
      </c>
      <c r="L1174">
        <v>18</v>
      </c>
      <c r="M1174" s="2">
        <v>3.22</v>
      </c>
      <c r="N1174" s="2">
        <v>3.14</v>
      </c>
      <c r="O1174">
        <v>0</v>
      </c>
      <c r="P1174">
        <v>5</v>
      </c>
      <c r="Q1174" t="s">
        <v>566</v>
      </c>
      <c r="R1174" t="s">
        <v>260</v>
      </c>
      <c r="S1174" t="str">
        <f t="shared" si="159"/>
        <v>PA</v>
      </c>
    </row>
    <row r="1175" spans="1:19" x14ac:dyDescent="0.3">
      <c r="A1175" t="s">
        <v>12</v>
      </c>
      <c r="B1175">
        <v>2016110028</v>
      </c>
      <c r="C1175" t="s">
        <v>34</v>
      </c>
      <c r="E1175" t="s">
        <v>370</v>
      </c>
      <c r="F1175" t="s">
        <v>371</v>
      </c>
      <c r="G1175">
        <v>2</v>
      </c>
      <c r="H1175" t="s">
        <v>438</v>
      </c>
      <c r="I1175" s="4">
        <f t="shared" si="160"/>
        <v>3</v>
      </c>
      <c r="J1175">
        <f t="shared" si="161"/>
        <v>6</v>
      </c>
      <c r="K1175">
        <v>48</v>
      </c>
      <c r="L1175">
        <v>18</v>
      </c>
      <c r="M1175" s="2">
        <v>2.67</v>
      </c>
      <c r="N1175" s="2">
        <v>3.14</v>
      </c>
      <c r="O1175">
        <v>0</v>
      </c>
      <c r="P1175">
        <v>7</v>
      </c>
      <c r="Q1175" t="s">
        <v>568</v>
      </c>
      <c r="R1175" t="s">
        <v>260</v>
      </c>
      <c r="S1175" t="str">
        <f t="shared" si="159"/>
        <v>PA</v>
      </c>
    </row>
    <row r="1176" spans="1:19" x14ac:dyDescent="0.3">
      <c r="A1176" t="s">
        <v>12</v>
      </c>
      <c r="B1176">
        <v>2016110028</v>
      </c>
      <c r="C1176" t="s">
        <v>34</v>
      </c>
      <c r="E1176" t="s">
        <v>165</v>
      </c>
      <c r="F1176" t="s">
        <v>166</v>
      </c>
      <c r="G1176">
        <v>2</v>
      </c>
      <c r="H1176" t="s">
        <v>438</v>
      </c>
      <c r="I1176" s="4">
        <f t="shared" si="160"/>
        <v>3</v>
      </c>
      <c r="J1176">
        <f t="shared" si="161"/>
        <v>6</v>
      </c>
      <c r="K1176">
        <v>52</v>
      </c>
      <c r="L1176">
        <v>20</v>
      </c>
      <c r="M1176" s="2">
        <v>2.6</v>
      </c>
      <c r="N1176" s="2">
        <v>3.14</v>
      </c>
      <c r="O1176">
        <v>0</v>
      </c>
      <c r="P1176">
        <v>1</v>
      </c>
      <c r="Q1176" t="s">
        <v>558</v>
      </c>
      <c r="R1176" t="s">
        <v>260</v>
      </c>
      <c r="S1176" t="str">
        <f t="shared" si="159"/>
        <v>PA</v>
      </c>
    </row>
    <row r="1177" spans="1:19" x14ac:dyDescent="0.3">
      <c r="A1177" t="s">
        <v>12</v>
      </c>
      <c r="B1177">
        <v>2016110028</v>
      </c>
      <c r="C1177" t="s">
        <v>34</v>
      </c>
      <c r="E1177" t="s">
        <v>372</v>
      </c>
      <c r="F1177" t="s">
        <v>373</v>
      </c>
      <c r="G1177">
        <v>2</v>
      </c>
      <c r="H1177" t="s">
        <v>438</v>
      </c>
      <c r="I1177" s="4">
        <f t="shared" si="160"/>
        <v>3</v>
      </c>
      <c r="J1177">
        <f t="shared" si="161"/>
        <v>6</v>
      </c>
      <c r="K1177">
        <v>68</v>
      </c>
      <c r="L1177">
        <v>24</v>
      </c>
      <c r="M1177" s="2">
        <v>2.83</v>
      </c>
      <c r="N1177" s="2">
        <v>3.14</v>
      </c>
      <c r="O1177">
        <v>0</v>
      </c>
      <c r="P1177">
        <v>6</v>
      </c>
      <c r="Q1177" t="s">
        <v>567</v>
      </c>
      <c r="R1177" t="s">
        <v>260</v>
      </c>
      <c r="S1177" t="str">
        <f t="shared" si="159"/>
        <v>PA</v>
      </c>
    </row>
    <row r="1178" spans="1:19" x14ac:dyDescent="0.3">
      <c r="A1178" t="s">
        <v>12</v>
      </c>
      <c r="B1178">
        <v>2016110028</v>
      </c>
      <c r="C1178" t="s">
        <v>34</v>
      </c>
      <c r="E1178" t="s">
        <v>14</v>
      </c>
      <c r="F1178" t="s">
        <v>15</v>
      </c>
      <c r="G1178">
        <v>2</v>
      </c>
      <c r="H1178" t="s">
        <v>438</v>
      </c>
      <c r="I1178" s="4">
        <f t="shared" si="160"/>
        <v>3</v>
      </c>
      <c r="J1178">
        <f t="shared" si="161"/>
        <v>6</v>
      </c>
      <c r="K1178">
        <v>26</v>
      </c>
      <c r="L1178">
        <v>10</v>
      </c>
      <c r="M1178" s="2">
        <v>2.6</v>
      </c>
      <c r="N1178" s="2">
        <v>3.14</v>
      </c>
      <c r="O1178">
        <v>0</v>
      </c>
      <c r="P1178">
        <v>9</v>
      </c>
      <c r="Q1178" t="s">
        <v>570</v>
      </c>
      <c r="R1178" t="s">
        <v>260</v>
      </c>
      <c r="S1178" t="str">
        <f t="shared" si="159"/>
        <v>PA</v>
      </c>
    </row>
    <row r="1179" spans="1:19" x14ac:dyDescent="0.3">
      <c r="A1179" t="s">
        <v>12</v>
      </c>
      <c r="B1179">
        <v>2016110028</v>
      </c>
      <c r="C1179" t="s">
        <v>34</v>
      </c>
      <c r="E1179" t="s">
        <v>131</v>
      </c>
      <c r="F1179" t="s">
        <v>132</v>
      </c>
      <c r="G1179">
        <v>2</v>
      </c>
      <c r="H1179" t="s">
        <v>438</v>
      </c>
      <c r="I1179" s="4">
        <f t="shared" si="160"/>
        <v>3</v>
      </c>
      <c r="J1179">
        <f t="shared" si="161"/>
        <v>6</v>
      </c>
      <c r="K1179">
        <v>52</v>
      </c>
      <c r="L1179">
        <v>20</v>
      </c>
      <c r="M1179" s="2">
        <v>2.6</v>
      </c>
      <c r="N1179" s="2">
        <v>3.14</v>
      </c>
      <c r="O1179">
        <v>0</v>
      </c>
      <c r="P1179">
        <v>1</v>
      </c>
      <c r="Q1179" t="s">
        <v>558</v>
      </c>
      <c r="R1179" t="s">
        <v>260</v>
      </c>
      <c r="S1179" t="str">
        <f t="shared" si="159"/>
        <v>PA</v>
      </c>
    </row>
    <row r="1180" spans="1:19" x14ac:dyDescent="0.3">
      <c r="A1180" t="s">
        <v>12</v>
      </c>
      <c r="B1180">
        <v>2016110028</v>
      </c>
      <c r="C1180" t="s">
        <v>34</v>
      </c>
      <c r="E1180" t="s">
        <v>374</v>
      </c>
      <c r="F1180" t="s">
        <v>375</v>
      </c>
      <c r="G1180">
        <v>2</v>
      </c>
      <c r="H1180" t="s">
        <v>438</v>
      </c>
      <c r="I1180" s="4">
        <f t="shared" si="160"/>
        <v>3</v>
      </c>
      <c r="J1180">
        <f t="shared" si="161"/>
        <v>6</v>
      </c>
      <c r="K1180">
        <v>58</v>
      </c>
      <c r="L1180">
        <v>24</v>
      </c>
      <c r="M1180" s="2">
        <v>2.42</v>
      </c>
      <c r="N1180" s="2">
        <v>3.14</v>
      </c>
      <c r="O1180">
        <v>0</v>
      </c>
      <c r="P1180">
        <v>4</v>
      </c>
      <c r="Q1180" t="s">
        <v>565</v>
      </c>
      <c r="R1180" t="s">
        <v>260</v>
      </c>
      <c r="S1180" t="str">
        <f t="shared" si="159"/>
        <v>PA</v>
      </c>
    </row>
    <row r="1181" spans="1:19" x14ac:dyDescent="0.3">
      <c r="A1181" t="s">
        <v>12</v>
      </c>
      <c r="B1181">
        <v>2016110028</v>
      </c>
      <c r="C1181" t="s">
        <v>34</v>
      </c>
      <c r="E1181" t="s">
        <v>244</v>
      </c>
      <c r="F1181" t="s">
        <v>228</v>
      </c>
      <c r="G1181">
        <v>2</v>
      </c>
      <c r="H1181" t="s">
        <v>438</v>
      </c>
      <c r="I1181" s="4">
        <f t="shared" si="160"/>
        <v>3</v>
      </c>
      <c r="J1181">
        <f t="shared" si="161"/>
        <v>6</v>
      </c>
      <c r="K1181">
        <v>58</v>
      </c>
      <c r="L1181">
        <v>24</v>
      </c>
      <c r="M1181" s="2">
        <v>2.42</v>
      </c>
      <c r="N1181" s="2">
        <v>3.14</v>
      </c>
      <c r="O1181">
        <v>0</v>
      </c>
      <c r="P1181">
        <v>4</v>
      </c>
      <c r="Q1181" t="s">
        <v>565</v>
      </c>
      <c r="R1181" t="s">
        <v>260</v>
      </c>
      <c r="S1181" t="str">
        <f t="shared" si="159"/>
        <v>PA</v>
      </c>
    </row>
    <row r="1182" spans="1:19" x14ac:dyDescent="0.3">
      <c r="A1182" t="s">
        <v>12</v>
      </c>
      <c r="B1182">
        <v>2016110028</v>
      </c>
      <c r="C1182" t="s">
        <v>34</v>
      </c>
      <c r="E1182" t="s">
        <v>302</v>
      </c>
      <c r="F1182" t="s">
        <v>303</v>
      </c>
      <c r="G1182">
        <v>2</v>
      </c>
      <c r="H1182" t="s">
        <v>438</v>
      </c>
      <c r="I1182" s="4">
        <f t="shared" si="160"/>
        <v>3</v>
      </c>
      <c r="J1182">
        <f t="shared" si="161"/>
        <v>6</v>
      </c>
      <c r="K1182">
        <v>68</v>
      </c>
      <c r="L1182">
        <v>24</v>
      </c>
      <c r="M1182" s="2">
        <v>2.83</v>
      </c>
      <c r="N1182" s="2">
        <v>3.14</v>
      </c>
      <c r="O1182">
        <v>0</v>
      </c>
      <c r="P1182">
        <v>6</v>
      </c>
      <c r="Q1182" t="s">
        <v>567</v>
      </c>
      <c r="R1182" t="s">
        <v>260</v>
      </c>
      <c r="S1182" t="str">
        <f t="shared" si="159"/>
        <v>PA</v>
      </c>
    </row>
    <row r="1183" spans="1:19" x14ac:dyDescent="0.3">
      <c r="A1183" t="s">
        <v>12</v>
      </c>
      <c r="B1183">
        <v>2016110028</v>
      </c>
      <c r="C1183" t="s">
        <v>34</v>
      </c>
      <c r="E1183" t="s">
        <v>276</v>
      </c>
      <c r="F1183" t="s">
        <v>137</v>
      </c>
      <c r="G1183">
        <v>4</v>
      </c>
      <c r="H1183" t="s">
        <v>438</v>
      </c>
      <c r="I1183" s="4">
        <f t="shared" si="160"/>
        <v>3</v>
      </c>
      <c r="J1183">
        <f t="shared" si="161"/>
        <v>12</v>
      </c>
      <c r="K1183">
        <v>58</v>
      </c>
      <c r="L1183">
        <v>24</v>
      </c>
      <c r="M1183" s="2">
        <v>2.42</v>
      </c>
      <c r="N1183" s="2">
        <v>3.14</v>
      </c>
      <c r="O1183">
        <v>0</v>
      </c>
      <c r="P1183">
        <v>4</v>
      </c>
      <c r="Q1183" t="s">
        <v>565</v>
      </c>
      <c r="R1183" t="s">
        <v>260</v>
      </c>
      <c r="S1183" t="str">
        <f t="shared" si="159"/>
        <v>PA</v>
      </c>
    </row>
    <row r="1184" spans="1:19" x14ac:dyDescent="0.3">
      <c r="A1184" t="s">
        <v>12</v>
      </c>
      <c r="B1184">
        <v>2016110028</v>
      </c>
      <c r="C1184" t="s">
        <v>34</v>
      </c>
      <c r="E1184" t="s">
        <v>316</v>
      </c>
      <c r="F1184" t="s">
        <v>317</v>
      </c>
      <c r="G1184">
        <v>2</v>
      </c>
      <c r="H1184" t="s">
        <v>438</v>
      </c>
      <c r="I1184" s="4">
        <f t="shared" si="160"/>
        <v>3</v>
      </c>
      <c r="J1184">
        <f t="shared" si="161"/>
        <v>6</v>
      </c>
      <c r="K1184">
        <v>48</v>
      </c>
      <c r="L1184">
        <v>18</v>
      </c>
      <c r="M1184" s="2">
        <v>2.67</v>
      </c>
      <c r="N1184" s="2">
        <v>3.14</v>
      </c>
      <c r="O1184">
        <v>0</v>
      </c>
      <c r="P1184">
        <v>7</v>
      </c>
      <c r="Q1184" t="s">
        <v>568</v>
      </c>
      <c r="R1184" t="s">
        <v>260</v>
      </c>
      <c r="S1184" t="str">
        <f t="shared" si="159"/>
        <v>PA</v>
      </c>
    </row>
    <row r="1185" spans="1:19" x14ac:dyDescent="0.3">
      <c r="A1185" t="s">
        <v>12</v>
      </c>
      <c r="B1185">
        <v>2016110028</v>
      </c>
      <c r="C1185" t="s">
        <v>34</v>
      </c>
      <c r="E1185" t="s">
        <v>190</v>
      </c>
      <c r="F1185" t="s">
        <v>191</v>
      </c>
      <c r="G1185">
        <v>4</v>
      </c>
      <c r="H1185" t="s">
        <v>438</v>
      </c>
      <c r="I1185" s="4">
        <f t="shared" si="160"/>
        <v>3</v>
      </c>
      <c r="J1185">
        <f t="shared" si="161"/>
        <v>12</v>
      </c>
      <c r="K1185">
        <v>58</v>
      </c>
      <c r="L1185">
        <v>18</v>
      </c>
      <c r="M1185" s="2">
        <v>3.22</v>
      </c>
      <c r="N1185" s="2">
        <v>3.14</v>
      </c>
      <c r="O1185">
        <v>0</v>
      </c>
      <c r="P1185">
        <v>5</v>
      </c>
      <c r="Q1185" t="s">
        <v>566</v>
      </c>
      <c r="R1185" t="s">
        <v>260</v>
      </c>
      <c r="S1185" t="str">
        <f t="shared" si="159"/>
        <v>PA</v>
      </c>
    </row>
    <row r="1186" spans="1:19" x14ac:dyDescent="0.3">
      <c r="A1186" t="s">
        <v>12</v>
      </c>
      <c r="B1186">
        <v>2016110028</v>
      </c>
      <c r="C1186" t="s">
        <v>34</v>
      </c>
      <c r="E1186" t="s">
        <v>348</v>
      </c>
      <c r="F1186" t="s">
        <v>402</v>
      </c>
      <c r="G1186">
        <v>4</v>
      </c>
      <c r="H1186" t="s">
        <v>524</v>
      </c>
      <c r="I1186" s="4">
        <f t="shared" si="160"/>
        <v>2</v>
      </c>
      <c r="J1186">
        <f t="shared" si="161"/>
        <v>8</v>
      </c>
      <c r="K1186">
        <v>58</v>
      </c>
      <c r="L1186">
        <v>24</v>
      </c>
      <c r="M1186" s="2">
        <v>2.42</v>
      </c>
      <c r="N1186" s="2">
        <v>3.14</v>
      </c>
      <c r="O1186">
        <v>0</v>
      </c>
      <c r="P1186">
        <v>4</v>
      </c>
      <c r="Q1186" t="s">
        <v>565</v>
      </c>
      <c r="R1186" t="s">
        <v>260</v>
      </c>
      <c r="S1186" t="str">
        <f t="shared" si="159"/>
        <v>PA</v>
      </c>
    </row>
    <row r="1187" spans="1:19" x14ac:dyDescent="0.3">
      <c r="A1187" t="s">
        <v>12</v>
      </c>
      <c r="B1187">
        <v>2016110028</v>
      </c>
      <c r="C1187" t="s">
        <v>34</v>
      </c>
      <c r="E1187" t="s">
        <v>348</v>
      </c>
      <c r="F1187" t="s">
        <v>402</v>
      </c>
      <c r="G1187">
        <v>4</v>
      </c>
      <c r="H1187" t="s">
        <v>438</v>
      </c>
      <c r="I1187" s="4">
        <f t="shared" si="160"/>
        <v>3</v>
      </c>
      <c r="J1187">
        <f t="shared" si="161"/>
        <v>12</v>
      </c>
      <c r="K1187">
        <v>76</v>
      </c>
      <c r="L1187">
        <v>28</v>
      </c>
      <c r="M1187" s="2">
        <v>2.71</v>
      </c>
      <c r="N1187" s="2">
        <v>3.14</v>
      </c>
      <c r="O1187">
        <v>1</v>
      </c>
      <c r="P1187">
        <v>8</v>
      </c>
      <c r="Q1187" t="s">
        <v>571</v>
      </c>
      <c r="R1187" t="s">
        <v>260</v>
      </c>
      <c r="S1187" t="str">
        <f t="shared" si="159"/>
        <v>PA</v>
      </c>
    </row>
    <row r="1188" spans="1:19" x14ac:dyDescent="0.3">
      <c r="A1188" t="s">
        <v>12</v>
      </c>
      <c r="B1188">
        <v>2016110028</v>
      </c>
      <c r="C1188" t="s">
        <v>34</v>
      </c>
      <c r="E1188" t="s">
        <v>257</v>
      </c>
      <c r="F1188" t="s">
        <v>258</v>
      </c>
      <c r="G1188">
        <v>4</v>
      </c>
      <c r="H1188" t="s">
        <v>524</v>
      </c>
      <c r="I1188" s="4">
        <f t="shared" si="160"/>
        <v>2</v>
      </c>
      <c r="J1188">
        <f t="shared" si="161"/>
        <v>8</v>
      </c>
      <c r="K1188">
        <v>68</v>
      </c>
      <c r="L1188">
        <v>24</v>
      </c>
      <c r="M1188" s="2">
        <v>2.83</v>
      </c>
      <c r="N1188" s="2">
        <v>3.14</v>
      </c>
      <c r="O1188">
        <v>0</v>
      </c>
      <c r="P1188">
        <v>6</v>
      </c>
      <c r="Q1188" t="s">
        <v>567</v>
      </c>
      <c r="R1188" t="s">
        <v>260</v>
      </c>
      <c r="S1188" t="str">
        <f t="shared" si="159"/>
        <v>PA</v>
      </c>
    </row>
    <row r="1189" spans="1:19" x14ac:dyDescent="0.3">
      <c r="A1189" t="s">
        <v>12</v>
      </c>
      <c r="B1189">
        <v>2016110028</v>
      </c>
      <c r="C1189" t="s">
        <v>34</v>
      </c>
      <c r="E1189" t="s">
        <v>257</v>
      </c>
      <c r="F1189" t="s">
        <v>258</v>
      </c>
      <c r="G1189">
        <v>4</v>
      </c>
      <c r="H1189" t="s">
        <v>524</v>
      </c>
      <c r="I1189" s="4">
        <f t="shared" si="160"/>
        <v>2</v>
      </c>
      <c r="J1189">
        <f t="shared" si="161"/>
        <v>8</v>
      </c>
      <c r="K1189">
        <v>42</v>
      </c>
      <c r="L1189">
        <v>14</v>
      </c>
      <c r="M1189" s="2">
        <v>3</v>
      </c>
      <c r="N1189" s="2">
        <v>3.14</v>
      </c>
      <c r="O1189">
        <v>1</v>
      </c>
      <c r="P1189">
        <v>8</v>
      </c>
      <c r="Q1189" t="s">
        <v>569</v>
      </c>
      <c r="R1189" t="s">
        <v>260</v>
      </c>
      <c r="S1189" t="str">
        <f t="shared" si="159"/>
        <v>PA</v>
      </c>
    </row>
    <row r="1190" spans="1:19" x14ac:dyDescent="0.3">
      <c r="A1190" t="s">
        <v>12</v>
      </c>
      <c r="B1190">
        <v>2016110028</v>
      </c>
      <c r="C1190" t="s">
        <v>34</v>
      </c>
      <c r="E1190" t="s">
        <v>257</v>
      </c>
      <c r="F1190" t="s">
        <v>258</v>
      </c>
      <c r="G1190">
        <v>4</v>
      </c>
      <c r="H1190" t="s">
        <v>438</v>
      </c>
      <c r="I1190" s="4">
        <f t="shared" si="160"/>
        <v>3</v>
      </c>
      <c r="J1190">
        <f t="shared" si="161"/>
        <v>12</v>
      </c>
      <c r="K1190">
        <v>76</v>
      </c>
      <c r="L1190">
        <v>28</v>
      </c>
      <c r="M1190" s="2">
        <v>2.71</v>
      </c>
      <c r="N1190" s="2">
        <v>3.14</v>
      </c>
      <c r="O1190">
        <v>2</v>
      </c>
      <c r="P1190">
        <v>8</v>
      </c>
      <c r="Q1190" t="s">
        <v>571</v>
      </c>
      <c r="R1190" t="s">
        <v>260</v>
      </c>
      <c r="S1190" t="str">
        <f t="shared" si="159"/>
        <v>PA</v>
      </c>
    </row>
    <row r="1191" spans="1:19" x14ac:dyDescent="0.3">
      <c r="A1191" t="s">
        <v>12</v>
      </c>
      <c r="B1191">
        <v>2016110028</v>
      </c>
      <c r="C1191" t="s">
        <v>34</v>
      </c>
      <c r="E1191" t="s">
        <v>273</v>
      </c>
      <c r="F1191" t="s">
        <v>274</v>
      </c>
      <c r="G1191">
        <v>2</v>
      </c>
      <c r="H1191" t="s">
        <v>524</v>
      </c>
      <c r="I1191" s="4">
        <f t="shared" si="160"/>
        <v>2</v>
      </c>
      <c r="J1191">
        <f t="shared" si="161"/>
        <v>4</v>
      </c>
      <c r="K1191">
        <v>58</v>
      </c>
      <c r="L1191">
        <v>24</v>
      </c>
      <c r="M1191" s="2">
        <v>2.42</v>
      </c>
      <c r="N1191" s="2">
        <v>3.14</v>
      </c>
      <c r="O1191">
        <v>0</v>
      </c>
      <c r="P1191">
        <v>4</v>
      </c>
      <c r="Q1191" t="s">
        <v>565</v>
      </c>
      <c r="R1191" t="s">
        <v>260</v>
      </c>
      <c r="S1191" t="str">
        <f t="shared" si="159"/>
        <v>PA</v>
      </c>
    </row>
    <row r="1192" spans="1:19" x14ac:dyDescent="0.3">
      <c r="A1192" t="s">
        <v>12</v>
      </c>
      <c r="B1192">
        <v>2016110028</v>
      </c>
      <c r="C1192" t="s">
        <v>34</v>
      </c>
      <c r="E1192" t="s">
        <v>273</v>
      </c>
      <c r="F1192" t="s">
        <v>274</v>
      </c>
      <c r="G1192">
        <v>2</v>
      </c>
      <c r="H1192" t="s">
        <v>438</v>
      </c>
      <c r="I1192" s="4">
        <f t="shared" si="160"/>
        <v>3</v>
      </c>
      <c r="J1192">
        <f t="shared" si="161"/>
        <v>6</v>
      </c>
      <c r="K1192">
        <v>68</v>
      </c>
      <c r="L1192">
        <v>24</v>
      </c>
      <c r="M1192" s="2">
        <v>2.83</v>
      </c>
      <c r="N1192" s="2">
        <v>3.14</v>
      </c>
      <c r="O1192">
        <v>1</v>
      </c>
      <c r="P1192">
        <v>6</v>
      </c>
      <c r="Q1192" t="s">
        <v>567</v>
      </c>
      <c r="R1192" t="s">
        <v>260</v>
      </c>
      <c r="S1192" t="str">
        <f t="shared" si="159"/>
        <v>PA</v>
      </c>
    </row>
    <row r="1193" spans="1:19" x14ac:dyDescent="0.3">
      <c r="A1193" t="s">
        <v>12</v>
      </c>
      <c r="B1193">
        <v>2016110028</v>
      </c>
      <c r="C1193" t="s">
        <v>34</v>
      </c>
      <c r="E1193" t="s">
        <v>103</v>
      </c>
      <c r="F1193" t="s">
        <v>104</v>
      </c>
      <c r="G1193">
        <v>4</v>
      </c>
      <c r="H1193" t="s">
        <v>524</v>
      </c>
      <c r="I1193" s="4">
        <f t="shared" si="160"/>
        <v>2</v>
      </c>
      <c r="J1193">
        <f t="shared" si="161"/>
        <v>8</v>
      </c>
      <c r="K1193">
        <v>42</v>
      </c>
      <c r="L1193">
        <v>20</v>
      </c>
      <c r="M1193" s="2">
        <v>2.1</v>
      </c>
      <c r="N1193" s="2">
        <v>3.14</v>
      </c>
      <c r="O1193">
        <v>0</v>
      </c>
      <c r="P1193">
        <v>2</v>
      </c>
      <c r="Q1193" t="s">
        <v>559</v>
      </c>
      <c r="R1193" t="s">
        <v>260</v>
      </c>
      <c r="S1193" t="str">
        <f t="shared" si="159"/>
        <v>PA</v>
      </c>
    </row>
    <row r="1194" spans="1:19" x14ac:dyDescent="0.3">
      <c r="A1194" t="s">
        <v>12</v>
      </c>
      <c r="B1194">
        <v>2016110028</v>
      </c>
      <c r="C1194" t="s">
        <v>34</v>
      </c>
      <c r="E1194" t="s">
        <v>103</v>
      </c>
      <c r="F1194" t="s">
        <v>104</v>
      </c>
      <c r="G1194">
        <v>4</v>
      </c>
      <c r="H1194" t="s">
        <v>438</v>
      </c>
      <c r="I1194" s="4">
        <f t="shared" si="160"/>
        <v>3</v>
      </c>
      <c r="J1194">
        <f t="shared" si="161"/>
        <v>12</v>
      </c>
      <c r="K1194">
        <v>76</v>
      </c>
      <c r="L1194">
        <v>28</v>
      </c>
      <c r="M1194" s="2">
        <v>2.71</v>
      </c>
      <c r="N1194" s="2">
        <v>3.14</v>
      </c>
      <c r="O1194">
        <v>1</v>
      </c>
      <c r="P1194">
        <v>8</v>
      </c>
      <c r="Q1194" t="s">
        <v>571</v>
      </c>
      <c r="R1194" t="s">
        <v>260</v>
      </c>
      <c r="S1194" t="str">
        <f t="shared" si="159"/>
        <v>PA</v>
      </c>
    </row>
    <row r="1195" spans="1:19" x14ac:dyDescent="0.3">
      <c r="A1195" t="s">
        <v>12</v>
      </c>
      <c r="B1195">
        <v>2016110028</v>
      </c>
      <c r="C1195" t="s">
        <v>34</v>
      </c>
      <c r="E1195" t="s">
        <v>241</v>
      </c>
      <c r="F1195" t="s">
        <v>45</v>
      </c>
      <c r="G1195">
        <v>2</v>
      </c>
      <c r="H1195" t="s">
        <v>524</v>
      </c>
      <c r="I1195" s="4">
        <f t="shared" si="160"/>
        <v>2</v>
      </c>
      <c r="J1195">
        <f t="shared" si="161"/>
        <v>4</v>
      </c>
      <c r="K1195">
        <v>56</v>
      </c>
      <c r="L1195">
        <v>18</v>
      </c>
      <c r="M1195" s="2">
        <v>3.11</v>
      </c>
      <c r="N1195" s="2">
        <v>3.14</v>
      </c>
      <c r="O1195">
        <v>0</v>
      </c>
      <c r="P1195">
        <v>3</v>
      </c>
      <c r="Q1195" t="s">
        <v>563</v>
      </c>
      <c r="R1195" t="s">
        <v>260</v>
      </c>
      <c r="S1195" t="str">
        <f t="shared" si="159"/>
        <v>PA</v>
      </c>
    </row>
    <row r="1196" spans="1:19" x14ac:dyDescent="0.3">
      <c r="A1196" t="s">
        <v>12</v>
      </c>
      <c r="B1196">
        <v>2016110028</v>
      </c>
      <c r="C1196" t="s">
        <v>34</v>
      </c>
      <c r="E1196" t="s">
        <v>241</v>
      </c>
      <c r="F1196" t="s">
        <v>45</v>
      </c>
      <c r="G1196">
        <v>2</v>
      </c>
      <c r="H1196" t="s">
        <v>524</v>
      </c>
      <c r="I1196" s="4">
        <f t="shared" si="160"/>
        <v>2</v>
      </c>
      <c r="J1196">
        <f t="shared" si="161"/>
        <v>4</v>
      </c>
      <c r="K1196">
        <v>26</v>
      </c>
      <c r="L1196">
        <v>10</v>
      </c>
      <c r="M1196" s="2">
        <v>2.6</v>
      </c>
      <c r="N1196" s="2">
        <v>3.14</v>
      </c>
      <c r="O1196">
        <v>1</v>
      </c>
      <c r="P1196">
        <v>9</v>
      </c>
      <c r="Q1196" t="s">
        <v>570</v>
      </c>
      <c r="R1196" t="s">
        <v>260</v>
      </c>
      <c r="S1196" t="str">
        <f t="shared" si="159"/>
        <v>PA</v>
      </c>
    </row>
    <row r="1197" spans="1:19" x14ac:dyDescent="0.3">
      <c r="A1197" t="s">
        <v>12</v>
      </c>
      <c r="B1197">
        <v>2016110028</v>
      </c>
      <c r="C1197" t="s">
        <v>34</v>
      </c>
      <c r="E1197" t="s">
        <v>297</v>
      </c>
      <c r="F1197" t="s">
        <v>342</v>
      </c>
      <c r="G1197">
        <v>4</v>
      </c>
      <c r="H1197" t="s">
        <v>524</v>
      </c>
      <c r="I1197" s="4">
        <f t="shared" si="160"/>
        <v>2</v>
      </c>
      <c r="J1197">
        <f t="shared" si="161"/>
        <v>8</v>
      </c>
      <c r="K1197">
        <v>68</v>
      </c>
      <c r="L1197">
        <v>24</v>
      </c>
      <c r="M1197" s="2">
        <v>2.83</v>
      </c>
      <c r="N1197" s="2">
        <v>3.14</v>
      </c>
      <c r="O1197">
        <v>0</v>
      </c>
      <c r="P1197">
        <v>6</v>
      </c>
      <c r="Q1197" t="s">
        <v>567</v>
      </c>
      <c r="R1197" t="s">
        <v>260</v>
      </c>
      <c r="S1197" t="str">
        <f t="shared" si="159"/>
        <v>PA</v>
      </c>
    </row>
    <row r="1198" spans="1:19" x14ac:dyDescent="0.3">
      <c r="A1198" t="s">
        <v>12</v>
      </c>
      <c r="B1198">
        <v>2016110028</v>
      </c>
      <c r="C1198" t="s">
        <v>34</v>
      </c>
      <c r="E1198" t="s">
        <v>297</v>
      </c>
      <c r="F1198" t="s">
        <v>342</v>
      </c>
      <c r="G1198">
        <v>4</v>
      </c>
      <c r="H1198" t="s">
        <v>260</v>
      </c>
      <c r="I1198" s="4">
        <f t="shared" si="160"/>
        <v>4</v>
      </c>
      <c r="J1198">
        <f t="shared" si="161"/>
        <v>16</v>
      </c>
      <c r="K1198">
        <v>42</v>
      </c>
      <c r="L1198">
        <v>14</v>
      </c>
      <c r="M1198" s="2">
        <v>3</v>
      </c>
      <c r="N1198" s="2">
        <v>3.14</v>
      </c>
      <c r="O1198">
        <v>1</v>
      </c>
      <c r="P1198">
        <v>8</v>
      </c>
      <c r="Q1198" t="s">
        <v>569</v>
      </c>
      <c r="R1198" t="s">
        <v>260</v>
      </c>
      <c r="S1198" t="str">
        <f t="shared" si="159"/>
        <v>PA</v>
      </c>
    </row>
    <row r="1199" spans="1:19" x14ac:dyDescent="0.3">
      <c r="A1199" t="s">
        <v>12</v>
      </c>
      <c r="B1199">
        <v>2016110028</v>
      </c>
      <c r="C1199" t="s">
        <v>34</v>
      </c>
      <c r="E1199" t="s">
        <v>90</v>
      </c>
      <c r="F1199" t="s">
        <v>91</v>
      </c>
      <c r="G1199">
        <v>2</v>
      </c>
      <c r="H1199" t="s">
        <v>524</v>
      </c>
      <c r="I1199" s="4">
        <f t="shared" si="160"/>
        <v>2</v>
      </c>
      <c r="J1199">
        <f t="shared" si="161"/>
        <v>4</v>
      </c>
      <c r="K1199">
        <v>52</v>
      </c>
      <c r="L1199">
        <v>20</v>
      </c>
      <c r="M1199" s="2">
        <v>2.6</v>
      </c>
      <c r="N1199" s="2">
        <v>3.14</v>
      </c>
      <c r="O1199">
        <v>0</v>
      </c>
      <c r="P1199">
        <v>1</v>
      </c>
      <c r="Q1199" t="s">
        <v>558</v>
      </c>
      <c r="R1199" t="s">
        <v>260</v>
      </c>
      <c r="S1199" t="str">
        <f t="shared" si="159"/>
        <v>PA</v>
      </c>
    </row>
    <row r="1200" spans="1:19" x14ac:dyDescent="0.3">
      <c r="A1200" t="s">
        <v>12</v>
      </c>
      <c r="B1200">
        <v>2016110028</v>
      </c>
      <c r="C1200" t="s">
        <v>34</v>
      </c>
      <c r="E1200" t="s">
        <v>90</v>
      </c>
      <c r="F1200" t="s">
        <v>91</v>
      </c>
      <c r="G1200">
        <v>2</v>
      </c>
      <c r="H1200" t="s">
        <v>260</v>
      </c>
      <c r="I1200" s="4">
        <f t="shared" si="160"/>
        <v>4</v>
      </c>
      <c r="J1200">
        <f t="shared" si="161"/>
        <v>8</v>
      </c>
      <c r="K1200">
        <v>26</v>
      </c>
      <c r="L1200">
        <v>10</v>
      </c>
      <c r="M1200" s="2">
        <v>2.6</v>
      </c>
      <c r="N1200" s="2">
        <v>3.14</v>
      </c>
      <c r="O1200">
        <v>1</v>
      </c>
      <c r="P1200">
        <v>9</v>
      </c>
      <c r="Q1200" t="s">
        <v>570</v>
      </c>
      <c r="R1200" t="s">
        <v>260</v>
      </c>
      <c r="S1200" t="str">
        <f t="shared" si="159"/>
        <v>PA</v>
      </c>
    </row>
    <row r="1201" spans="1:19" x14ac:dyDescent="0.3">
      <c r="A1201" t="s">
        <v>12</v>
      </c>
      <c r="B1201">
        <v>2016110028</v>
      </c>
      <c r="C1201" t="s">
        <v>34</v>
      </c>
      <c r="E1201" t="s">
        <v>139</v>
      </c>
      <c r="F1201" t="s">
        <v>140</v>
      </c>
      <c r="G1201">
        <v>2</v>
      </c>
      <c r="H1201" t="s">
        <v>524</v>
      </c>
      <c r="I1201" s="4">
        <f t="shared" si="160"/>
        <v>2</v>
      </c>
      <c r="J1201">
        <f t="shared" si="161"/>
        <v>4</v>
      </c>
      <c r="K1201">
        <v>42</v>
      </c>
      <c r="L1201">
        <v>20</v>
      </c>
      <c r="M1201" s="2">
        <v>2.1</v>
      </c>
      <c r="N1201" s="2">
        <v>3.14</v>
      </c>
      <c r="O1201">
        <v>0</v>
      </c>
      <c r="P1201">
        <v>2</v>
      </c>
      <c r="Q1201" t="s">
        <v>559</v>
      </c>
      <c r="R1201" t="s">
        <v>260</v>
      </c>
      <c r="S1201" t="str">
        <f t="shared" si="159"/>
        <v>PA</v>
      </c>
    </row>
    <row r="1202" spans="1:19" x14ac:dyDescent="0.3">
      <c r="A1202" t="s">
        <v>12</v>
      </c>
      <c r="B1202">
        <v>2016110028</v>
      </c>
      <c r="C1202" t="s">
        <v>34</v>
      </c>
      <c r="E1202" t="s">
        <v>139</v>
      </c>
      <c r="F1202" t="s">
        <v>140</v>
      </c>
      <c r="G1202">
        <v>2</v>
      </c>
      <c r="H1202" t="s">
        <v>438</v>
      </c>
      <c r="I1202" s="4">
        <f t="shared" si="160"/>
        <v>3</v>
      </c>
      <c r="J1202">
        <f t="shared" si="161"/>
        <v>6</v>
      </c>
      <c r="K1202">
        <v>42</v>
      </c>
      <c r="L1202">
        <v>14</v>
      </c>
      <c r="M1202" s="2">
        <v>3</v>
      </c>
      <c r="N1202" s="2">
        <v>3.14</v>
      </c>
      <c r="O1202">
        <v>1</v>
      </c>
      <c r="P1202">
        <v>8</v>
      </c>
      <c r="Q1202" t="s">
        <v>569</v>
      </c>
      <c r="R1202" t="s">
        <v>260</v>
      </c>
      <c r="S1202" t="str">
        <f t="shared" si="159"/>
        <v>PA</v>
      </c>
    </row>
    <row r="1203" spans="1:19" x14ac:dyDescent="0.3">
      <c r="A1203" t="s">
        <v>12</v>
      </c>
      <c r="B1203">
        <v>2016110028</v>
      </c>
      <c r="C1203" t="s">
        <v>34</v>
      </c>
      <c r="E1203" t="s">
        <v>100</v>
      </c>
      <c r="F1203" t="s">
        <v>101</v>
      </c>
      <c r="G1203">
        <v>4</v>
      </c>
      <c r="H1203" t="s">
        <v>524</v>
      </c>
      <c r="I1203" s="4">
        <f t="shared" si="160"/>
        <v>2</v>
      </c>
      <c r="J1203">
        <f t="shared" si="161"/>
        <v>8</v>
      </c>
      <c r="K1203">
        <v>42</v>
      </c>
      <c r="L1203">
        <v>20</v>
      </c>
      <c r="M1203" s="2">
        <v>2.1</v>
      </c>
      <c r="N1203" s="2">
        <v>3.14</v>
      </c>
      <c r="O1203">
        <v>0</v>
      </c>
      <c r="P1203">
        <v>2</v>
      </c>
      <c r="Q1203" t="s">
        <v>559</v>
      </c>
      <c r="R1203" t="s">
        <v>260</v>
      </c>
      <c r="S1203" t="str">
        <f t="shared" si="159"/>
        <v>PA</v>
      </c>
    </row>
    <row r="1204" spans="1:19" x14ac:dyDescent="0.3">
      <c r="A1204" t="s">
        <v>12</v>
      </c>
      <c r="B1204">
        <v>2016110028</v>
      </c>
      <c r="C1204" t="s">
        <v>34</v>
      </c>
      <c r="E1204" t="s">
        <v>100</v>
      </c>
      <c r="F1204" t="s">
        <v>101</v>
      </c>
      <c r="G1204">
        <v>4</v>
      </c>
      <c r="H1204" t="s">
        <v>438</v>
      </c>
      <c r="I1204" s="4">
        <f t="shared" si="160"/>
        <v>3</v>
      </c>
      <c r="J1204">
        <f t="shared" si="161"/>
        <v>12</v>
      </c>
      <c r="K1204">
        <v>42</v>
      </c>
      <c r="L1204">
        <v>14</v>
      </c>
      <c r="M1204" s="2">
        <v>3</v>
      </c>
      <c r="N1204" s="2">
        <v>3.14</v>
      </c>
      <c r="O1204">
        <v>1</v>
      </c>
      <c r="P1204">
        <v>8</v>
      </c>
      <c r="Q1204" t="s">
        <v>569</v>
      </c>
      <c r="R1204" t="s">
        <v>260</v>
      </c>
      <c r="S1204" t="str">
        <f t="shared" si="159"/>
        <v>PA</v>
      </c>
    </row>
    <row r="1205" spans="1:19" x14ac:dyDescent="0.3">
      <c r="A1205" t="s">
        <v>12</v>
      </c>
      <c r="B1205">
        <v>2016110028</v>
      </c>
      <c r="C1205" t="s">
        <v>34</v>
      </c>
      <c r="E1205" t="s">
        <v>382</v>
      </c>
      <c r="F1205" t="s">
        <v>383</v>
      </c>
      <c r="G1205">
        <v>4</v>
      </c>
      <c r="H1205" t="s">
        <v>535</v>
      </c>
      <c r="I1205" s="4">
        <f t="shared" si="160"/>
        <v>1</v>
      </c>
      <c r="J1205">
        <f t="shared" si="161"/>
        <v>4</v>
      </c>
      <c r="K1205">
        <v>48</v>
      </c>
      <c r="L1205">
        <v>18</v>
      </c>
      <c r="M1205" s="2">
        <v>2.67</v>
      </c>
      <c r="N1205" s="2">
        <v>3.14</v>
      </c>
      <c r="O1205">
        <v>0</v>
      </c>
      <c r="P1205">
        <v>7</v>
      </c>
      <c r="Q1205" t="s">
        <v>568</v>
      </c>
      <c r="R1205" t="s">
        <v>260</v>
      </c>
      <c r="S1205" t="str">
        <f t="shared" si="159"/>
        <v>FA</v>
      </c>
    </row>
    <row r="1206" spans="1:19" x14ac:dyDescent="0.3">
      <c r="A1206" t="s">
        <v>12</v>
      </c>
      <c r="B1206">
        <v>2016110028</v>
      </c>
      <c r="C1206" t="s">
        <v>34</v>
      </c>
      <c r="E1206" t="s">
        <v>382</v>
      </c>
      <c r="F1206" t="s">
        <v>383</v>
      </c>
      <c r="G1206">
        <v>4</v>
      </c>
      <c r="H1206" t="s">
        <v>524</v>
      </c>
      <c r="I1206" s="4">
        <f t="shared" si="160"/>
        <v>2</v>
      </c>
      <c r="J1206">
        <f t="shared" si="161"/>
        <v>8</v>
      </c>
      <c r="K1206">
        <v>26</v>
      </c>
      <c r="L1206">
        <v>10</v>
      </c>
      <c r="M1206" s="2">
        <v>2.6</v>
      </c>
      <c r="N1206" s="2">
        <v>3.14</v>
      </c>
      <c r="O1206">
        <v>1</v>
      </c>
      <c r="P1206">
        <v>9</v>
      </c>
      <c r="Q1206" t="s">
        <v>570</v>
      </c>
      <c r="R1206" t="s">
        <v>260</v>
      </c>
      <c r="S1206" t="str">
        <f t="shared" si="159"/>
        <v>PA</v>
      </c>
    </row>
    <row r="1207" spans="1:19" x14ac:dyDescent="0.3">
      <c r="A1207" t="s">
        <v>12</v>
      </c>
      <c r="B1207">
        <v>2016110028</v>
      </c>
      <c r="C1207" t="s">
        <v>34</v>
      </c>
      <c r="E1207" t="s">
        <v>382</v>
      </c>
      <c r="F1207" t="s">
        <v>383</v>
      </c>
      <c r="G1207">
        <v>4</v>
      </c>
      <c r="H1207" t="s">
        <v>524</v>
      </c>
      <c r="I1207" s="4">
        <f t="shared" si="160"/>
        <v>2</v>
      </c>
      <c r="J1207">
        <f t="shared" si="161"/>
        <v>8</v>
      </c>
      <c r="K1207">
        <v>76</v>
      </c>
      <c r="L1207">
        <v>28</v>
      </c>
      <c r="M1207" s="2">
        <v>2.71</v>
      </c>
      <c r="N1207" s="2">
        <v>3.14</v>
      </c>
      <c r="O1207">
        <v>2</v>
      </c>
      <c r="P1207">
        <v>8</v>
      </c>
      <c r="Q1207" t="s">
        <v>571</v>
      </c>
      <c r="R1207" t="s">
        <v>260</v>
      </c>
      <c r="S1207" t="str">
        <f t="shared" si="159"/>
        <v>PA</v>
      </c>
    </row>
    <row r="1208" spans="1:19" x14ac:dyDescent="0.3">
      <c r="A1208" t="s">
        <v>12</v>
      </c>
      <c r="B1208">
        <v>2016110028</v>
      </c>
      <c r="C1208" t="s">
        <v>34</v>
      </c>
      <c r="E1208" t="s">
        <v>122</v>
      </c>
      <c r="F1208" t="s">
        <v>123</v>
      </c>
      <c r="G1208">
        <v>4</v>
      </c>
      <c r="H1208" t="s">
        <v>535</v>
      </c>
      <c r="I1208" s="4">
        <f t="shared" si="160"/>
        <v>1</v>
      </c>
      <c r="J1208">
        <f t="shared" si="161"/>
        <v>4</v>
      </c>
      <c r="K1208">
        <v>52</v>
      </c>
      <c r="L1208">
        <v>20</v>
      </c>
      <c r="M1208" s="2">
        <v>2.6</v>
      </c>
      <c r="N1208" s="2">
        <v>3.14</v>
      </c>
      <c r="O1208">
        <v>0</v>
      </c>
      <c r="P1208">
        <v>1</v>
      </c>
      <c r="Q1208" t="s">
        <v>558</v>
      </c>
      <c r="R1208" t="s">
        <v>260</v>
      </c>
      <c r="S1208" t="str">
        <f t="shared" si="159"/>
        <v>FA</v>
      </c>
    </row>
    <row r="1209" spans="1:19" x14ac:dyDescent="0.3">
      <c r="A1209" t="s">
        <v>12</v>
      </c>
      <c r="B1209">
        <v>2016110028</v>
      </c>
      <c r="C1209" t="s">
        <v>34</v>
      </c>
      <c r="E1209" t="s">
        <v>290</v>
      </c>
      <c r="F1209" t="s">
        <v>327</v>
      </c>
      <c r="G1209">
        <v>4</v>
      </c>
      <c r="H1209" t="s">
        <v>535</v>
      </c>
      <c r="I1209" s="4">
        <f t="shared" si="160"/>
        <v>1</v>
      </c>
      <c r="J1209">
        <f t="shared" si="161"/>
        <v>4</v>
      </c>
      <c r="K1209">
        <v>42</v>
      </c>
      <c r="L1209">
        <v>20</v>
      </c>
      <c r="M1209" s="2">
        <v>2.1</v>
      </c>
      <c r="N1209" s="2">
        <v>3.14</v>
      </c>
      <c r="O1209">
        <v>0</v>
      </c>
      <c r="P1209">
        <v>2</v>
      </c>
      <c r="Q1209" t="s">
        <v>559</v>
      </c>
      <c r="R1209" t="s">
        <v>260</v>
      </c>
      <c r="S1209" t="str">
        <f t="shared" si="159"/>
        <v>FA</v>
      </c>
    </row>
    <row r="1210" spans="1:19" x14ac:dyDescent="0.3">
      <c r="A1210" t="s">
        <v>12</v>
      </c>
      <c r="B1210">
        <v>2016110028</v>
      </c>
      <c r="C1210" t="s">
        <v>34</v>
      </c>
      <c r="E1210" t="s">
        <v>309</v>
      </c>
      <c r="F1210" t="s">
        <v>310</v>
      </c>
      <c r="G1210">
        <v>4</v>
      </c>
      <c r="H1210" t="s">
        <v>535</v>
      </c>
      <c r="I1210" s="4">
        <f t="shared" si="160"/>
        <v>1</v>
      </c>
      <c r="J1210">
        <f t="shared" si="161"/>
        <v>4</v>
      </c>
      <c r="K1210">
        <v>58</v>
      </c>
      <c r="L1210">
        <v>24</v>
      </c>
      <c r="M1210" s="2">
        <v>2.42</v>
      </c>
      <c r="N1210" s="2">
        <v>3.14</v>
      </c>
      <c r="O1210">
        <v>0</v>
      </c>
      <c r="P1210">
        <v>4</v>
      </c>
      <c r="Q1210" t="s">
        <v>565</v>
      </c>
      <c r="R1210" t="s">
        <v>260</v>
      </c>
      <c r="S1210" t="str">
        <f t="shared" ref="S1210:S1273" si="162">IF(OR(H1210="A",H1210="B",H1210="C"),"PA","FA")</f>
        <v>FA</v>
      </c>
    </row>
    <row r="1211" spans="1:19" x14ac:dyDescent="0.3">
      <c r="A1211" t="s">
        <v>12</v>
      </c>
      <c r="B1211">
        <v>2016110028</v>
      </c>
      <c r="C1211" t="s">
        <v>34</v>
      </c>
      <c r="E1211" t="s">
        <v>122</v>
      </c>
      <c r="F1211" t="s">
        <v>123</v>
      </c>
      <c r="G1211">
        <v>4</v>
      </c>
      <c r="H1211" t="s">
        <v>524</v>
      </c>
      <c r="I1211" s="4">
        <f t="shared" ref="I1211:I1274" si="163">IF(H1211="A",4,IF(H1211="B",3,IF(H1211="C",2,IF(H1211="D",1,0))))</f>
        <v>2</v>
      </c>
      <c r="J1211">
        <f t="shared" ref="J1211:J1274" si="164">G1211*I1211</f>
        <v>8</v>
      </c>
      <c r="K1211">
        <v>76</v>
      </c>
      <c r="L1211">
        <v>28</v>
      </c>
      <c r="M1211" s="2">
        <v>2.71</v>
      </c>
      <c r="N1211" s="2">
        <v>3.14</v>
      </c>
      <c r="O1211">
        <v>1</v>
      </c>
      <c r="P1211">
        <v>8</v>
      </c>
      <c r="Q1211" t="s">
        <v>571</v>
      </c>
      <c r="R1211" t="s">
        <v>260</v>
      </c>
      <c r="S1211" t="str">
        <f t="shared" si="162"/>
        <v>PA</v>
      </c>
    </row>
    <row r="1212" spans="1:19" x14ac:dyDescent="0.3">
      <c r="A1212" t="s">
        <v>12</v>
      </c>
      <c r="B1212">
        <v>2016110028</v>
      </c>
      <c r="C1212" t="s">
        <v>34</v>
      </c>
      <c r="E1212" t="s">
        <v>290</v>
      </c>
      <c r="F1212" t="s">
        <v>327</v>
      </c>
      <c r="G1212">
        <v>4</v>
      </c>
      <c r="H1212" t="s">
        <v>438</v>
      </c>
      <c r="I1212" s="4">
        <f t="shared" si="163"/>
        <v>3</v>
      </c>
      <c r="J1212">
        <f t="shared" si="164"/>
        <v>12</v>
      </c>
      <c r="K1212">
        <v>76</v>
      </c>
      <c r="L1212">
        <v>28</v>
      </c>
      <c r="M1212" s="2">
        <v>2.71</v>
      </c>
      <c r="N1212" s="2">
        <v>3.14</v>
      </c>
      <c r="O1212">
        <v>1</v>
      </c>
      <c r="P1212">
        <v>8</v>
      </c>
      <c r="Q1212" t="s">
        <v>571</v>
      </c>
      <c r="R1212" t="s">
        <v>260</v>
      </c>
      <c r="S1212" t="str">
        <f t="shared" si="162"/>
        <v>PA</v>
      </c>
    </row>
    <row r="1213" spans="1:19" x14ac:dyDescent="0.3">
      <c r="A1213" t="s">
        <v>12</v>
      </c>
      <c r="B1213">
        <v>2016110028</v>
      </c>
      <c r="C1213" t="s">
        <v>34</v>
      </c>
      <c r="E1213" t="s">
        <v>309</v>
      </c>
      <c r="F1213" t="s">
        <v>310</v>
      </c>
      <c r="G1213">
        <v>4</v>
      </c>
      <c r="H1213" t="s">
        <v>438</v>
      </c>
      <c r="I1213" s="4">
        <f t="shared" si="163"/>
        <v>3</v>
      </c>
      <c r="J1213">
        <f t="shared" si="164"/>
        <v>12</v>
      </c>
      <c r="K1213">
        <v>76</v>
      </c>
      <c r="L1213">
        <v>28</v>
      </c>
      <c r="M1213" s="2">
        <v>2.71</v>
      </c>
      <c r="N1213" s="2">
        <v>3.14</v>
      </c>
      <c r="O1213">
        <v>1</v>
      </c>
      <c r="P1213">
        <v>8</v>
      </c>
      <c r="Q1213" t="s">
        <v>571</v>
      </c>
      <c r="R1213" t="s">
        <v>260</v>
      </c>
      <c r="S1213" t="str">
        <f t="shared" si="162"/>
        <v>PA</v>
      </c>
    </row>
    <row r="1214" spans="1:19" x14ac:dyDescent="0.3">
      <c r="A1214" t="s">
        <v>12</v>
      </c>
      <c r="B1214">
        <v>2016110029</v>
      </c>
      <c r="C1214" t="s">
        <v>412</v>
      </c>
      <c r="E1214" t="s">
        <v>77</v>
      </c>
      <c r="F1214" t="s">
        <v>78</v>
      </c>
      <c r="G1214">
        <v>2</v>
      </c>
      <c r="H1214" t="s">
        <v>260</v>
      </c>
      <c r="I1214" s="4">
        <f t="shared" si="163"/>
        <v>4</v>
      </c>
      <c r="J1214">
        <f t="shared" si="164"/>
        <v>8</v>
      </c>
      <c r="K1214">
        <v>58</v>
      </c>
      <c r="L1214">
        <v>20</v>
      </c>
      <c r="M1214" s="2">
        <v>2.9</v>
      </c>
      <c r="N1214" s="2">
        <v>2.6</v>
      </c>
      <c r="O1214">
        <v>0</v>
      </c>
      <c r="P1214">
        <v>1</v>
      </c>
      <c r="Q1214" t="s">
        <v>558</v>
      </c>
      <c r="R1214" t="s">
        <v>260</v>
      </c>
      <c r="S1214" t="str">
        <f t="shared" si="162"/>
        <v>PA</v>
      </c>
    </row>
    <row r="1215" spans="1:19" x14ac:dyDescent="0.3">
      <c r="A1215" t="s">
        <v>12</v>
      </c>
      <c r="B1215">
        <v>2016110029</v>
      </c>
      <c r="C1215" t="s">
        <v>412</v>
      </c>
      <c r="E1215" t="s">
        <v>290</v>
      </c>
      <c r="F1215" t="s">
        <v>327</v>
      </c>
      <c r="G1215">
        <v>4</v>
      </c>
      <c r="H1215" t="s">
        <v>260</v>
      </c>
      <c r="I1215" s="4">
        <f t="shared" si="163"/>
        <v>4</v>
      </c>
      <c r="J1215">
        <f t="shared" si="164"/>
        <v>16</v>
      </c>
      <c r="K1215">
        <v>46</v>
      </c>
      <c r="L1215">
        <v>20</v>
      </c>
      <c r="M1215" s="2">
        <v>2.2999999999999998</v>
      </c>
      <c r="N1215" s="2">
        <v>2.6</v>
      </c>
      <c r="O1215">
        <v>0</v>
      </c>
      <c r="P1215">
        <v>2</v>
      </c>
      <c r="Q1215" t="s">
        <v>559</v>
      </c>
      <c r="R1215" t="s">
        <v>535</v>
      </c>
      <c r="S1215" t="str">
        <f t="shared" si="162"/>
        <v>PA</v>
      </c>
    </row>
    <row r="1216" spans="1:19" x14ac:dyDescent="0.3">
      <c r="A1216" t="s">
        <v>12</v>
      </c>
      <c r="B1216">
        <v>2016110029</v>
      </c>
      <c r="C1216" t="s">
        <v>412</v>
      </c>
      <c r="E1216" t="s">
        <v>131</v>
      </c>
      <c r="F1216" t="s">
        <v>132</v>
      </c>
      <c r="G1216">
        <v>2</v>
      </c>
      <c r="H1216" t="s">
        <v>260</v>
      </c>
      <c r="I1216" s="4">
        <f t="shared" si="163"/>
        <v>4</v>
      </c>
      <c r="J1216">
        <f t="shared" si="164"/>
        <v>8</v>
      </c>
      <c r="K1216">
        <v>58</v>
      </c>
      <c r="L1216">
        <v>20</v>
      </c>
      <c r="M1216" s="2">
        <v>2.9</v>
      </c>
      <c r="N1216" s="2">
        <v>2.6</v>
      </c>
      <c r="O1216">
        <v>0</v>
      </c>
      <c r="P1216">
        <v>1</v>
      </c>
      <c r="Q1216" t="s">
        <v>558</v>
      </c>
      <c r="R1216" t="s">
        <v>260</v>
      </c>
      <c r="S1216" t="str">
        <f t="shared" si="162"/>
        <v>PA</v>
      </c>
    </row>
    <row r="1217" spans="1:19" x14ac:dyDescent="0.3">
      <c r="A1217" t="s">
        <v>12</v>
      </c>
      <c r="B1217">
        <v>2016110029</v>
      </c>
      <c r="C1217" t="s">
        <v>412</v>
      </c>
      <c r="E1217" t="s">
        <v>279</v>
      </c>
      <c r="F1217" t="s">
        <v>280</v>
      </c>
      <c r="G1217">
        <v>2</v>
      </c>
      <c r="H1217" t="s">
        <v>438</v>
      </c>
      <c r="I1217" s="4">
        <f t="shared" si="163"/>
        <v>3</v>
      </c>
      <c r="J1217">
        <f t="shared" si="164"/>
        <v>6</v>
      </c>
      <c r="K1217">
        <v>46</v>
      </c>
      <c r="L1217">
        <v>20</v>
      </c>
      <c r="M1217" s="2">
        <v>2.2999999999999998</v>
      </c>
      <c r="N1217" s="2">
        <v>2.6</v>
      </c>
      <c r="O1217">
        <v>0</v>
      </c>
      <c r="P1217">
        <v>2</v>
      </c>
      <c r="Q1217" t="s">
        <v>559</v>
      </c>
      <c r="R1217" t="s">
        <v>535</v>
      </c>
      <c r="S1217" t="str">
        <f t="shared" si="162"/>
        <v>PA</v>
      </c>
    </row>
    <row r="1218" spans="1:19" x14ac:dyDescent="0.3">
      <c r="A1218" t="s">
        <v>12</v>
      </c>
      <c r="B1218">
        <v>2016110029</v>
      </c>
      <c r="C1218" t="s">
        <v>412</v>
      </c>
      <c r="E1218" t="s">
        <v>142</v>
      </c>
      <c r="F1218" t="s">
        <v>143</v>
      </c>
      <c r="G1218">
        <v>2</v>
      </c>
      <c r="H1218" t="s">
        <v>438</v>
      </c>
      <c r="I1218" s="4">
        <f t="shared" si="163"/>
        <v>3</v>
      </c>
      <c r="J1218">
        <f t="shared" si="164"/>
        <v>6</v>
      </c>
      <c r="K1218">
        <v>58</v>
      </c>
      <c r="L1218">
        <v>20</v>
      </c>
      <c r="M1218" s="2">
        <v>2.9</v>
      </c>
      <c r="N1218" s="2">
        <v>2.6</v>
      </c>
      <c r="O1218">
        <v>0</v>
      </c>
      <c r="P1218">
        <v>1</v>
      </c>
      <c r="Q1218" t="s">
        <v>558</v>
      </c>
      <c r="R1218" t="s">
        <v>260</v>
      </c>
      <c r="S1218" t="str">
        <f t="shared" si="162"/>
        <v>PA</v>
      </c>
    </row>
    <row r="1219" spans="1:19" x14ac:dyDescent="0.3">
      <c r="A1219" t="s">
        <v>12</v>
      </c>
      <c r="B1219">
        <v>2016110029</v>
      </c>
      <c r="C1219" t="s">
        <v>412</v>
      </c>
      <c r="E1219" t="s">
        <v>165</v>
      </c>
      <c r="F1219" t="s">
        <v>166</v>
      </c>
      <c r="G1219">
        <v>2</v>
      </c>
      <c r="H1219" t="s">
        <v>438</v>
      </c>
      <c r="I1219" s="4">
        <f t="shared" si="163"/>
        <v>3</v>
      </c>
      <c r="J1219">
        <f t="shared" si="164"/>
        <v>6</v>
      </c>
      <c r="K1219">
        <v>58</v>
      </c>
      <c r="L1219">
        <v>20</v>
      </c>
      <c r="M1219" s="2">
        <v>2.9</v>
      </c>
      <c r="N1219" s="2">
        <v>2.6</v>
      </c>
      <c r="O1219">
        <v>0</v>
      </c>
      <c r="P1219">
        <v>1</v>
      </c>
      <c r="Q1219" t="s">
        <v>558</v>
      </c>
      <c r="R1219" t="s">
        <v>260</v>
      </c>
      <c r="S1219" t="str">
        <f t="shared" si="162"/>
        <v>PA</v>
      </c>
    </row>
    <row r="1220" spans="1:19" x14ac:dyDescent="0.3">
      <c r="A1220" t="s">
        <v>12</v>
      </c>
      <c r="B1220">
        <v>2016110029</v>
      </c>
      <c r="C1220" t="s">
        <v>412</v>
      </c>
      <c r="E1220" t="s">
        <v>437</v>
      </c>
      <c r="F1220" t="s">
        <v>169</v>
      </c>
      <c r="G1220">
        <v>4</v>
      </c>
      <c r="H1220" t="s">
        <v>438</v>
      </c>
      <c r="I1220" s="4">
        <f t="shared" si="163"/>
        <v>3</v>
      </c>
      <c r="J1220">
        <f t="shared" si="164"/>
        <v>12</v>
      </c>
      <c r="K1220">
        <v>58</v>
      </c>
      <c r="L1220">
        <v>20</v>
      </c>
      <c r="M1220" s="2">
        <v>2.9</v>
      </c>
      <c r="N1220" s="2">
        <v>2.6</v>
      </c>
      <c r="O1220">
        <v>0</v>
      </c>
      <c r="P1220">
        <v>1</v>
      </c>
      <c r="Q1220" t="s">
        <v>558</v>
      </c>
      <c r="R1220" t="s">
        <v>260</v>
      </c>
      <c r="S1220" t="str">
        <f t="shared" si="162"/>
        <v>PA</v>
      </c>
    </row>
    <row r="1221" spans="1:19" x14ac:dyDescent="0.3">
      <c r="A1221" t="s">
        <v>12</v>
      </c>
      <c r="B1221">
        <v>2016110029</v>
      </c>
      <c r="C1221" t="s">
        <v>412</v>
      </c>
      <c r="E1221" t="s">
        <v>151</v>
      </c>
      <c r="F1221" t="s">
        <v>152</v>
      </c>
      <c r="G1221">
        <v>2</v>
      </c>
      <c r="H1221" t="s">
        <v>438</v>
      </c>
      <c r="I1221" s="4">
        <f t="shared" si="163"/>
        <v>3</v>
      </c>
      <c r="J1221">
        <f t="shared" si="164"/>
        <v>6</v>
      </c>
      <c r="K1221">
        <v>58</v>
      </c>
      <c r="L1221">
        <v>20</v>
      </c>
      <c r="M1221" s="2">
        <v>2.9</v>
      </c>
      <c r="N1221" s="2">
        <v>2.6</v>
      </c>
      <c r="O1221">
        <v>0</v>
      </c>
      <c r="P1221">
        <v>1</v>
      </c>
      <c r="Q1221" t="s">
        <v>558</v>
      </c>
      <c r="R1221" t="s">
        <v>260</v>
      </c>
      <c r="S1221" t="str">
        <f t="shared" si="162"/>
        <v>PA</v>
      </c>
    </row>
    <row r="1222" spans="1:19" x14ac:dyDescent="0.3">
      <c r="A1222" t="s">
        <v>12</v>
      </c>
      <c r="B1222">
        <v>2016110029</v>
      </c>
      <c r="C1222" t="s">
        <v>412</v>
      </c>
      <c r="E1222" t="s">
        <v>100</v>
      </c>
      <c r="F1222" t="s">
        <v>101</v>
      </c>
      <c r="G1222">
        <v>4</v>
      </c>
      <c r="H1222" t="s">
        <v>524</v>
      </c>
      <c r="I1222" s="4">
        <f t="shared" si="163"/>
        <v>2</v>
      </c>
      <c r="J1222">
        <f t="shared" si="164"/>
        <v>8</v>
      </c>
      <c r="K1222">
        <v>46</v>
      </c>
      <c r="L1222">
        <v>20</v>
      </c>
      <c r="M1222" s="2">
        <v>2.2999999999999998</v>
      </c>
      <c r="N1222" s="2">
        <v>2.6</v>
      </c>
      <c r="O1222">
        <v>0</v>
      </c>
      <c r="P1222">
        <v>2</v>
      </c>
      <c r="Q1222" t="s">
        <v>559</v>
      </c>
      <c r="R1222" t="s">
        <v>535</v>
      </c>
      <c r="S1222" t="str">
        <f t="shared" si="162"/>
        <v>PA</v>
      </c>
    </row>
    <row r="1223" spans="1:19" x14ac:dyDescent="0.3">
      <c r="A1223" t="s">
        <v>12</v>
      </c>
      <c r="B1223">
        <v>2016110029</v>
      </c>
      <c r="C1223" t="s">
        <v>412</v>
      </c>
      <c r="E1223" t="s">
        <v>97</v>
      </c>
      <c r="F1223" t="s">
        <v>98</v>
      </c>
      <c r="G1223">
        <v>4</v>
      </c>
      <c r="H1223" t="s">
        <v>524</v>
      </c>
      <c r="I1223" s="4">
        <f t="shared" si="163"/>
        <v>2</v>
      </c>
      <c r="J1223">
        <f t="shared" si="164"/>
        <v>8</v>
      </c>
      <c r="K1223">
        <v>46</v>
      </c>
      <c r="L1223">
        <v>20</v>
      </c>
      <c r="M1223" s="2">
        <v>2.2999999999999998</v>
      </c>
      <c r="N1223" s="2">
        <v>2.6</v>
      </c>
      <c r="O1223">
        <v>0</v>
      </c>
      <c r="P1223">
        <v>2</v>
      </c>
      <c r="Q1223" t="s">
        <v>559</v>
      </c>
      <c r="R1223" t="s">
        <v>535</v>
      </c>
      <c r="S1223" t="str">
        <f t="shared" si="162"/>
        <v>PA</v>
      </c>
    </row>
    <row r="1224" spans="1:19" x14ac:dyDescent="0.3">
      <c r="A1224" t="s">
        <v>12</v>
      </c>
      <c r="B1224">
        <v>2016110029</v>
      </c>
      <c r="C1224" t="s">
        <v>412</v>
      </c>
      <c r="E1224" t="s">
        <v>122</v>
      </c>
      <c r="F1224" t="s">
        <v>123</v>
      </c>
      <c r="G1224">
        <v>4</v>
      </c>
      <c r="H1224" t="s">
        <v>524</v>
      </c>
      <c r="I1224" s="4">
        <f t="shared" si="163"/>
        <v>2</v>
      </c>
      <c r="J1224">
        <f t="shared" si="164"/>
        <v>8</v>
      </c>
      <c r="K1224">
        <v>58</v>
      </c>
      <c r="L1224">
        <v>20</v>
      </c>
      <c r="M1224" s="2">
        <v>2.9</v>
      </c>
      <c r="N1224" s="2">
        <v>2.6</v>
      </c>
      <c r="O1224">
        <v>0</v>
      </c>
      <c r="P1224">
        <v>1</v>
      </c>
      <c r="Q1224" t="s">
        <v>558</v>
      </c>
      <c r="R1224" t="s">
        <v>260</v>
      </c>
      <c r="S1224" t="str">
        <f t="shared" si="162"/>
        <v>PA</v>
      </c>
    </row>
    <row r="1225" spans="1:19" x14ac:dyDescent="0.3">
      <c r="A1225" t="s">
        <v>12</v>
      </c>
      <c r="B1225">
        <v>2016110029</v>
      </c>
      <c r="C1225" t="s">
        <v>412</v>
      </c>
      <c r="E1225" t="s">
        <v>139</v>
      </c>
      <c r="F1225" t="s">
        <v>140</v>
      </c>
      <c r="G1225">
        <v>2</v>
      </c>
      <c r="H1225" t="s">
        <v>524</v>
      </c>
      <c r="I1225" s="4">
        <f t="shared" si="163"/>
        <v>2</v>
      </c>
      <c r="J1225">
        <f t="shared" si="164"/>
        <v>4</v>
      </c>
      <c r="K1225">
        <v>46</v>
      </c>
      <c r="L1225">
        <v>20</v>
      </c>
      <c r="M1225" s="2">
        <v>2.2999999999999998</v>
      </c>
      <c r="N1225" s="2">
        <v>2.6</v>
      </c>
      <c r="O1225">
        <v>0</v>
      </c>
      <c r="P1225">
        <v>2</v>
      </c>
      <c r="Q1225" t="s">
        <v>559</v>
      </c>
      <c r="R1225" t="s">
        <v>535</v>
      </c>
      <c r="S1225" t="str">
        <f t="shared" si="162"/>
        <v>PA</v>
      </c>
    </row>
    <row r="1226" spans="1:19" x14ac:dyDescent="0.3">
      <c r="A1226" t="s">
        <v>12</v>
      </c>
      <c r="B1226">
        <v>2016110029</v>
      </c>
      <c r="C1226" t="s">
        <v>412</v>
      </c>
      <c r="E1226" t="s">
        <v>90</v>
      </c>
      <c r="F1226" t="s">
        <v>91</v>
      </c>
      <c r="G1226">
        <v>2</v>
      </c>
      <c r="H1226" t="s">
        <v>524</v>
      </c>
      <c r="I1226" s="4">
        <f t="shared" si="163"/>
        <v>2</v>
      </c>
      <c r="J1226">
        <f t="shared" si="164"/>
        <v>4</v>
      </c>
      <c r="K1226">
        <v>58</v>
      </c>
      <c r="L1226">
        <v>20</v>
      </c>
      <c r="M1226" s="2">
        <v>2.9</v>
      </c>
      <c r="N1226" s="2">
        <v>2.6</v>
      </c>
      <c r="O1226">
        <v>0</v>
      </c>
      <c r="P1226">
        <v>1</v>
      </c>
      <c r="Q1226" t="s">
        <v>558</v>
      </c>
      <c r="R1226" t="s">
        <v>260</v>
      </c>
      <c r="S1226" t="str">
        <f t="shared" si="162"/>
        <v>PA</v>
      </c>
    </row>
    <row r="1227" spans="1:19" x14ac:dyDescent="0.3">
      <c r="A1227" t="s">
        <v>12</v>
      </c>
      <c r="B1227">
        <v>2016110029</v>
      </c>
      <c r="C1227" t="s">
        <v>412</v>
      </c>
      <c r="E1227" t="s">
        <v>103</v>
      </c>
      <c r="F1227" t="s">
        <v>104</v>
      </c>
      <c r="G1227">
        <v>4</v>
      </c>
      <c r="H1227" t="s">
        <v>535</v>
      </c>
      <c r="I1227" s="4">
        <f t="shared" si="163"/>
        <v>1</v>
      </c>
      <c r="J1227">
        <f t="shared" si="164"/>
        <v>4</v>
      </c>
      <c r="K1227">
        <v>46</v>
      </c>
      <c r="L1227">
        <v>20</v>
      </c>
      <c r="M1227" s="2">
        <v>2.2999999999999998</v>
      </c>
      <c r="N1227" s="2">
        <v>2.6</v>
      </c>
      <c r="O1227">
        <v>0</v>
      </c>
      <c r="P1227">
        <v>2</v>
      </c>
      <c r="Q1227" t="s">
        <v>559</v>
      </c>
      <c r="R1227" t="s">
        <v>535</v>
      </c>
      <c r="S1227" t="str">
        <f t="shared" si="162"/>
        <v>FA</v>
      </c>
    </row>
    <row r="1228" spans="1:19" x14ac:dyDescent="0.3">
      <c r="A1228" t="s">
        <v>12</v>
      </c>
      <c r="B1228">
        <v>2016110030</v>
      </c>
      <c r="C1228" t="s">
        <v>301</v>
      </c>
      <c r="E1228" t="s">
        <v>302</v>
      </c>
      <c r="F1228" t="s">
        <v>303</v>
      </c>
      <c r="G1228">
        <v>2</v>
      </c>
      <c r="H1228" t="s">
        <v>260</v>
      </c>
      <c r="I1228" s="4">
        <f t="shared" si="163"/>
        <v>4</v>
      </c>
      <c r="J1228">
        <f t="shared" si="164"/>
        <v>8</v>
      </c>
      <c r="K1228">
        <v>78</v>
      </c>
      <c r="L1228">
        <v>22</v>
      </c>
      <c r="M1228" s="2">
        <v>3.55</v>
      </c>
      <c r="N1228" s="2">
        <v>3.32</v>
      </c>
      <c r="O1228">
        <v>0</v>
      </c>
      <c r="P1228">
        <v>6</v>
      </c>
      <c r="Q1228" t="s">
        <v>567</v>
      </c>
      <c r="R1228" t="s">
        <v>260</v>
      </c>
      <c r="S1228" t="str">
        <f t="shared" si="162"/>
        <v>PA</v>
      </c>
    </row>
    <row r="1229" spans="1:19" x14ac:dyDescent="0.3">
      <c r="A1229" t="s">
        <v>12</v>
      </c>
      <c r="B1229">
        <v>2016110030</v>
      </c>
      <c r="C1229" t="s">
        <v>301</v>
      </c>
      <c r="E1229" t="s">
        <v>257</v>
      </c>
      <c r="F1229" t="s">
        <v>258</v>
      </c>
      <c r="G1229">
        <v>4</v>
      </c>
      <c r="H1229" t="s">
        <v>260</v>
      </c>
      <c r="I1229" s="4">
        <f t="shared" si="163"/>
        <v>4</v>
      </c>
      <c r="J1229">
        <f t="shared" si="164"/>
        <v>16</v>
      </c>
      <c r="K1229">
        <v>78</v>
      </c>
      <c r="L1229">
        <v>22</v>
      </c>
      <c r="M1229" s="2">
        <v>3.55</v>
      </c>
      <c r="N1229" s="2">
        <v>3.32</v>
      </c>
      <c r="O1229">
        <v>0</v>
      </c>
      <c r="P1229">
        <v>6</v>
      </c>
      <c r="Q1229" t="s">
        <v>567</v>
      </c>
      <c r="R1229" t="s">
        <v>260</v>
      </c>
      <c r="S1229" t="str">
        <f t="shared" si="162"/>
        <v>PA</v>
      </c>
    </row>
    <row r="1230" spans="1:19" x14ac:dyDescent="0.3">
      <c r="A1230" t="s">
        <v>12</v>
      </c>
      <c r="B1230">
        <v>2016110030</v>
      </c>
      <c r="C1230" t="s">
        <v>301</v>
      </c>
      <c r="E1230" t="s">
        <v>190</v>
      </c>
      <c r="F1230" t="s">
        <v>191</v>
      </c>
      <c r="G1230">
        <v>4</v>
      </c>
      <c r="H1230" t="s">
        <v>260</v>
      </c>
      <c r="I1230" s="4">
        <f t="shared" si="163"/>
        <v>4</v>
      </c>
      <c r="J1230">
        <f t="shared" si="164"/>
        <v>16</v>
      </c>
      <c r="K1230">
        <v>86</v>
      </c>
      <c r="L1230">
        <v>24</v>
      </c>
      <c r="M1230" s="2">
        <v>3.58</v>
      </c>
      <c r="N1230" s="2">
        <v>3.32</v>
      </c>
      <c r="O1230">
        <v>0</v>
      </c>
      <c r="P1230">
        <v>3</v>
      </c>
      <c r="Q1230" t="s">
        <v>563</v>
      </c>
      <c r="R1230" t="s">
        <v>260</v>
      </c>
      <c r="S1230" t="str">
        <f t="shared" si="162"/>
        <v>PA</v>
      </c>
    </row>
    <row r="1231" spans="1:19" x14ac:dyDescent="0.3">
      <c r="A1231" t="s">
        <v>12</v>
      </c>
      <c r="B1231">
        <v>2016110030</v>
      </c>
      <c r="C1231" t="s">
        <v>301</v>
      </c>
      <c r="E1231" t="s">
        <v>208</v>
      </c>
      <c r="F1231" t="s">
        <v>209</v>
      </c>
      <c r="G1231">
        <v>2</v>
      </c>
      <c r="H1231" t="s">
        <v>260</v>
      </c>
      <c r="I1231" s="4">
        <f t="shared" si="163"/>
        <v>4</v>
      </c>
      <c r="J1231">
        <f t="shared" si="164"/>
        <v>8</v>
      </c>
      <c r="K1231">
        <v>78</v>
      </c>
      <c r="L1231">
        <v>24</v>
      </c>
      <c r="M1231" s="2">
        <v>3.25</v>
      </c>
      <c r="N1231" s="2">
        <v>3.32</v>
      </c>
      <c r="O1231">
        <v>0</v>
      </c>
      <c r="P1231">
        <v>5</v>
      </c>
      <c r="Q1231" t="s">
        <v>566</v>
      </c>
      <c r="R1231" t="s">
        <v>260</v>
      </c>
      <c r="S1231" t="str">
        <f t="shared" si="162"/>
        <v>PA</v>
      </c>
    </row>
    <row r="1232" spans="1:19" x14ac:dyDescent="0.3">
      <c r="A1232" t="s">
        <v>12</v>
      </c>
      <c r="B1232">
        <v>2016110030</v>
      </c>
      <c r="C1232" t="s">
        <v>301</v>
      </c>
      <c r="E1232" t="s">
        <v>337</v>
      </c>
      <c r="F1232" t="s">
        <v>338</v>
      </c>
      <c r="G1232">
        <v>2</v>
      </c>
      <c r="H1232" t="s">
        <v>260</v>
      </c>
      <c r="I1232" s="4">
        <f t="shared" si="163"/>
        <v>4</v>
      </c>
      <c r="J1232">
        <f t="shared" si="164"/>
        <v>8</v>
      </c>
      <c r="K1232">
        <v>78</v>
      </c>
      <c r="L1232">
        <v>24</v>
      </c>
      <c r="M1232" s="2">
        <v>3.25</v>
      </c>
      <c r="N1232" s="2">
        <v>3.32</v>
      </c>
      <c r="O1232">
        <v>0</v>
      </c>
      <c r="P1232">
        <v>5</v>
      </c>
      <c r="Q1232" t="s">
        <v>566</v>
      </c>
      <c r="R1232" t="s">
        <v>260</v>
      </c>
      <c r="S1232" t="str">
        <f t="shared" si="162"/>
        <v>PA</v>
      </c>
    </row>
    <row r="1233" spans="1:19" x14ac:dyDescent="0.3">
      <c r="A1233" t="s">
        <v>12</v>
      </c>
      <c r="B1233">
        <v>2016110030</v>
      </c>
      <c r="C1233" t="s">
        <v>301</v>
      </c>
      <c r="E1233" t="s">
        <v>170</v>
      </c>
      <c r="F1233" t="s">
        <v>171</v>
      </c>
      <c r="G1233">
        <v>4</v>
      </c>
      <c r="H1233" t="s">
        <v>260</v>
      </c>
      <c r="I1233" s="4">
        <f t="shared" si="163"/>
        <v>4</v>
      </c>
      <c r="J1233">
        <f t="shared" si="164"/>
        <v>16</v>
      </c>
      <c r="K1233">
        <v>86</v>
      </c>
      <c r="L1233">
        <v>24</v>
      </c>
      <c r="M1233" s="2">
        <v>3.58</v>
      </c>
      <c r="N1233" s="2">
        <v>3.32</v>
      </c>
      <c r="O1233">
        <v>0</v>
      </c>
      <c r="P1233">
        <v>3</v>
      </c>
      <c r="Q1233" t="s">
        <v>563</v>
      </c>
      <c r="R1233" t="s">
        <v>260</v>
      </c>
      <c r="S1233" t="str">
        <f t="shared" si="162"/>
        <v>PA</v>
      </c>
    </row>
    <row r="1234" spans="1:19" x14ac:dyDescent="0.3">
      <c r="A1234" t="s">
        <v>12</v>
      </c>
      <c r="B1234">
        <v>2016110030</v>
      </c>
      <c r="C1234" t="s">
        <v>301</v>
      </c>
      <c r="E1234" t="s">
        <v>262</v>
      </c>
      <c r="F1234" t="s">
        <v>263</v>
      </c>
      <c r="G1234">
        <v>2</v>
      </c>
      <c r="H1234" t="s">
        <v>260</v>
      </c>
      <c r="I1234" s="4">
        <f t="shared" si="163"/>
        <v>4</v>
      </c>
      <c r="J1234">
        <f t="shared" si="164"/>
        <v>8</v>
      </c>
      <c r="K1234">
        <v>78</v>
      </c>
      <c r="L1234">
        <v>22</v>
      </c>
      <c r="M1234" s="2">
        <v>3.55</v>
      </c>
      <c r="N1234" s="2">
        <v>3.32</v>
      </c>
      <c r="O1234">
        <v>0</v>
      </c>
      <c r="P1234">
        <v>6</v>
      </c>
      <c r="Q1234" t="s">
        <v>567</v>
      </c>
      <c r="R1234" t="s">
        <v>260</v>
      </c>
      <c r="S1234" t="str">
        <f t="shared" si="162"/>
        <v>PA</v>
      </c>
    </row>
    <row r="1235" spans="1:19" x14ac:dyDescent="0.3">
      <c r="A1235" t="s">
        <v>12</v>
      </c>
      <c r="B1235">
        <v>2016110030</v>
      </c>
      <c r="C1235" t="s">
        <v>301</v>
      </c>
      <c r="E1235" t="s">
        <v>276</v>
      </c>
      <c r="F1235" t="s">
        <v>137</v>
      </c>
      <c r="G1235">
        <v>4</v>
      </c>
      <c r="H1235" t="s">
        <v>260</v>
      </c>
      <c r="I1235" s="4">
        <f t="shared" si="163"/>
        <v>4</v>
      </c>
      <c r="J1235">
        <f t="shared" si="164"/>
        <v>16</v>
      </c>
      <c r="K1235">
        <v>72</v>
      </c>
      <c r="L1235">
        <v>24</v>
      </c>
      <c r="M1235" s="2">
        <v>3</v>
      </c>
      <c r="N1235" s="2">
        <v>3.32</v>
      </c>
      <c r="O1235">
        <v>0</v>
      </c>
      <c r="P1235">
        <v>4</v>
      </c>
      <c r="Q1235" t="s">
        <v>565</v>
      </c>
      <c r="R1235" t="s">
        <v>260</v>
      </c>
      <c r="S1235" t="str">
        <f t="shared" si="162"/>
        <v>PA</v>
      </c>
    </row>
    <row r="1236" spans="1:19" x14ac:dyDescent="0.3">
      <c r="A1236" t="s">
        <v>12</v>
      </c>
      <c r="B1236">
        <v>2016110030</v>
      </c>
      <c r="C1236" t="s">
        <v>301</v>
      </c>
      <c r="E1236" t="s">
        <v>297</v>
      </c>
      <c r="F1236" t="s">
        <v>342</v>
      </c>
      <c r="G1236">
        <v>4</v>
      </c>
      <c r="H1236" t="s">
        <v>260</v>
      </c>
      <c r="I1236" s="4">
        <f t="shared" si="163"/>
        <v>4</v>
      </c>
      <c r="J1236">
        <f t="shared" si="164"/>
        <v>16</v>
      </c>
      <c r="K1236">
        <v>78</v>
      </c>
      <c r="L1236">
        <v>22</v>
      </c>
      <c r="M1236" s="2">
        <v>3.55</v>
      </c>
      <c r="N1236" s="2">
        <v>3.32</v>
      </c>
      <c r="O1236">
        <v>0</v>
      </c>
      <c r="P1236">
        <v>6</v>
      </c>
      <c r="Q1236" t="s">
        <v>567</v>
      </c>
      <c r="R1236" t="s">
        <v>260</v>
      </c>
      <c r="S1236" t="str">
        <f t="shared" si="162"/>
        <v>PA</v>
      </c>
    </row>
    <row r="1237" spans="1:19" x14ac:dyDescent="0.3">
      <c r="A1237" t="s">
        <v>12</v>
      </c>
      <c r="B1237">
        <v>2016110030</v>
      </c>
      <c r="C1237" t="s">
        <v>301</v>
      </c>
      <c r="E1237" t="s">
        <v>241</v>
      </c>
      <c r="F1237" t="s">
        <v>45</v>
      </c>
      <c r="G1237">
        <v>2</v>
      </c>
      <c r="H1237" t="s">
        <v>260</v>
      </c>
      <c r="I1237" s="4">
        <f t="shared" si="163"/>
        <v>4</v>
      </c>
      <c r="J1237">
        <f t="shared" si="164"/>
        <v>8</v>
      </c>
      <c r="K1237">
        <v>86</v>
      </c>
      <c r="L1237">
        <v>24</v>
      </c>
      <c r="M1237" s="2">
        <v>3.58</v>
      </c>
      <c r="N1237" s="2">
        <v>3.32</v>
      </c>
      <c r="O1237">
        <v>0</v>
      </c>
      <c r="P1237">
        <v>3</v>
      </c>
      <c r="Q1237" t="s">
        <v>563</v>
      </c>
      <c r="R1237" t="s">
        <v>260</v>
      </c>
      <c r="S1237" t="str">
        <f t="shared" si="162"/>
        <v>PA</v>
      </c>
    </row>
    <row r="1238" spans="1:19" x14ac:dyDescent="0.3">
      <c r="A1238" t="s">
        <v>12</v>
      </c>
      <c r="B1238">
        <v>2016110030</v>
      </c>
      <c r="C1238" t="s">
        <v>301</v>
      </c>
      <c r="E1238" t="s">
        <v>205</v>
      </c>
      <c r="F1238" t="s">
        <v>116</v>
      </c>
      <c r="G1238">
        <v>4</v>
      </c>
      <c r="H1238" t="s">
        <v>260</v>
      </c>
      <c r="I1238" s="4">
        <f t="shared" si="163"/>
        <v>4</v>
      </c>
      <c r="J1238">
        <f t="shared" si="164"/>
        <v>16</v>
      </c>
      <c r="K1238">
        <v>86</v>
      </c>
      <c r="L1238">
        <v>24</v>
      </c>
      <c r="M1238" s="2">
        <v>3.58</v>
      </c>
      <c r="N1238" s="2">
        <v>3.32</v>
      </c>
      <c r="O1238">
        <v>0</v>
      </c>
      <c r="P1238">
        <v>3</v>
      </c>
      <c r="Q1238" t="s">
        <v>563</v>
      </c>
      <c r="R1238" t="s">
        <v>260</v>
      </c>
      <c r="S1238" t="str">
        <f t="shared" si="162"/>
        <v>PA</v>
      </c>
    </row>
    <row r="1239" spans="1:19" x14ac:dyDescent="0.3">
      <c r="A1239" t="s">
        <v>12</v>
      </c>
      <c r="B1239">
        <v>2016110030</v>
      </c>
      <c r="C1239" t="s">
        <v>301</v>
      </c>
      <c r="E1239" t="s">
        <v>192</v>
      </c>
      <c r="F1239" t="s">
        <v>106</v>
      </c>
      <c r="G1239">
        <v>2</v>
      </c>
      <c r="H1239" t="s">
        <v>260</v>
      </c>
      <c r="I1239" s="4">
        <f t="shared" si="163"/>
        <v>4</v>
      </c>
      <c r="J1239">
        <f t="shared" si="164"/>
        <v>8</v>
      </c>
      <c r="K1239">
        <v>86</v>
      </c>
      <c r="L1239">
        <v>24</v>
      </c>
      <c r="M1239" s="2">
        <v>3.58</v>
      </c>
      <c r="N1239" s="2">
        <v>3.32</v>
      </c>
      <c r="O1239">
        <v>0</v>
      </c>
      <c r="P1239">
        <v>3</v>
      </c>
      <c r="Q1239" t="s">
        <v>563</v>
      </c>
      <c r="R1239" t="s">
        <v>260</v>
      </c>
      <c r="S1239" t="str">
        <f t="shared" si="162"/>
        <v>PA</v>
      </c>
    </row>
    <row r="1240" spans="1:19" x14ac:dyDescent="0.3">
      <c r="A1240" t="s">
        <v>12</v>
      </c>
      <c r="B1240">
        <v>2016110030</v>
      </c>
      <c r="C1240" t="s">
        <v>301</v>
      </c>
      <c r="E1240" t="s">
        <v>77</v>
      </c>
      <c r="F1240" t="s">
        <v>78</v>
      </c>
      <c r="G1240">
        <v>2</v>
      </c>
      <c r="H1240" t="s">
        <v>260</v>
      </c>
      <c r="I1240" s="4">
        <f t="shared" si="163"/>
        <v>4</v>
      </c>
      <c r="J1240">
        <f t="shared" si="164"/>
        <v>8</v>
      </c>
      <c r="K1240">
        <v>62</v>
      </c>
      <c r="L1240">
        <v>20</v>
      </c>
      <c r="M1240" s="2">
        <v>3.1</v>
      </c>
      <c r="N1240" s="2">
        <v>3.32</v>
      </c>
      <c r="O1240">
        <v>0</v>
      </c>
      <c r="P1240">
        <v>1</v>
      </c>
      <c r="Q1240" t="s">
        <v>558</v>
      </c>
      <c r="R1240" t="s">
        <v>260</v>
      </c>
      <c r="S1240" t="str">
        <f t="shared" si="162"/>
        <v>PA</v>
      </c>
    </row>
    <row r="1241" spans="1:19" x14ac:dyDescent="0.3">
      <c r="A1241" t="s">
        <v>12</v>
      </c>
      <c r="B1241">
        <v>2016110030</v>
      </c>
      <c r="C1241" t="s">
        <v>301</v>
      </c>
      <c r="E1241" t="s">
        <v>306</v>
      </c>
      <c r="F1241" t="s">
        <v>307</v>
      </c>
      <c r="G1241">
        <v>2</v>
      </c>
      <c r="H1241" t="s">
        <v>260</v>
      </c>
      <c r="I1241" s="4">
        <f t="shared" si="163"/>
        <v>4</v>
      </c>
      <c r="J1241">
        <f t="shared" si="164"/>
        <v>8</v>
      </c>
      <c r="K1241">
        <v>78</v>
      </c>
      <c r="L1241">
        <v>24</v>
      </c>
      <c r="M1241" s="2">
        <v>3.25</v>
      </c>
      <c r="N1241" s="2">
        <v>3.32</v>
      </c>
      <c r="O1241">
        <v>0</v>
      </c>
      <c r="P1241">
        <v>5</v>
      </c>
      <c r="Q1241" t="s">
        <v>566</v>
      </c>
      <c r="R1241" t="s">
        <v>260</v>
      </c>
      <c r="S1241" t="str">
        <f t="shared" si="162"/>
        <v>PA</v>
      </c>
    </row>
    <row r="1242" spans="1:19" x14ac:dyDescent="0.3">
      <c r="A1242" t="s">
        <v>12</v>
      </c>
      <c r="B1242">
        <v>2016110030</v>
      </c>
      <c r="C1242" t="s">
        <v>301</v>
      </c>
      <c r="E1242" t="s">
        <v>372</v>
      </c>
      <c r="F1242" t="s">
        <v>373</v>
      </c>
      <c r="G1242">
        <v>2</v>
      </c>
      <c r="H1242" t="s">
        <v>260</v>
      </c>
      <c r="I1242" s="4">
        <f t="shared" si="163"/>
        <v>4</v>
      </c>
      <c r="J1242">
        <f t="shared" si="164"/>
        <v>8</v>
      </c>
      <c r="K1242">
        <v>78</v>
      </c>
      <c r="L1242">
        <v>22</v>
      </c>
      <c r="M1242" s="2">
        <v>3.55</v>
      </c>
      <c r="N1242" s="2">
        <v>3.32</v>
      </c>
      <c r="O1242">
        <v>0</v>
      </c>
      <c r="P1242">
        <v>6</v>
      </c>
      <c r="Q1242" t="s">
        <v>567</v>
      </c>
      <c r="R1242" t="s">
        <v>260</v>
      </c>
      <c r="S1242" t="str">
        <f t="shared" si="162"/>
        <v>PA</v>
      </c>
    </row>
    <row r="1243" spans="1:19" x14ac:dyDescent="0.3">
      <c r="A1243" t="s">
        <v>12</v>
      </c>
      <c r="B1243">
        <v>2016110030</v>
      </c>
      <c r="C1243" t="s">
        <v>301</v>
      </c>
      <c r="E1243" t="s">
        <v>432</v>
      </c>
      <c r="F1243" t="s">
        <v>433</v>
      </c>
      <c r="G1243">
        <v>4</v>
      </c>
      <c r="H1243" t="s">
        <v>260</v>
      </c>
      <c r="I1243" s="4">
        <f t="shared" si="163"/>
        <v>4</v>
      </c>
      <c r="J1243">
        <f t="shared" si="164"/>
        <v>16</v>
      </c>
      <c r="K1243">
        <v>72</v>
      </c>
      <c r="L1243">
        <v>24</v>
      </c>
      <c r="M1243" s="2">
        <v>3</v>
      </c>
      <c r="N1243" s="2">
        <v>3.32</v>
      </c>
      <c r="O1243">
        <v>0</v>
      </c>
      <c r="P1243">
        <v>4</v>
      </c>
      <c r="Q1243" t="s">
        <v>565</v>
      </c>
      <c r="R1243" t="s">
        <v>260</v>
      </c>
      <c r="S1243" t="str">
        <f t="shared" si="162"/>
        <v>PA</v>
      </c>
    </row>
    <row r="1244" spans="1:19" x14ac:dyDescent="0.3">
      <c r="A1244" t="s">
        <v>12</v>
      </c>
      <c r="B1244">
        <v>2016110030</v>
      </c>
      <c r="C1244" t="s">
        <v>301</v>
      </c>
      <c r="E1244" t="s">
        <v>290</v>
      </c>
      <c r="F1244" t="s">
        <v>327</v>
      </c>
      <c r="G1244">
        <v>4</v>
      </c>
      <c r="H1244" t="s">
        <v>438</v>
      </c>
      <c r="I1244" s="4">
        <f t="shared" si="163"/>
        <v>3</v>
      </c>
      <c r="J1244">
        <f t="shared" si="164"/>
        <v>12</v>
      </c>
      <c r="K1244">
        <v>60</v>
      </c>
      <c r="L1244">
        <v>20</v>
      </c>
      <c r="M1244" s="2">
        <v>3</v>
      </c>
      <c r="N1244" s="2">
        <v>3.32</v>
      </c>
      <c r="O1244">
        <v>0</v>
      </c>
      <c r="P1244">
        <v>2</v>
      </c>
      <c r="Q1244" t="s">
        <v>559</v>
      </c>
      <c r="R1244" t="s">
        <v>260</v>
      </c>
      <c r="S1244" t="str">
        <f t="shared" si="162"/>
        <v>PA</v>
      </c>
    </row>
    <row r="1245" spans="1:19" x14ac:dyDescent="0.3">
      <c r="A1245" t="s">
        <v>12</v>
      </c>
      <c r="B1245">
        <v>2016110030</v>
      </c>
      <c r="C1245" t="s">
        <v>301</v>
      </c>
      <c r="E1245" t="s">
        <v>244</v>
      </c>
      <c r="F1245" t="s">
        <v>228</v>
      </c>
      <c r="G1245">
        <v>2</v>
      </c>
      <c r="H1245" t="s">
        <v>438</v>
      </c>
      <c r="I1245" s="4">
        <f t="shared" si="163"/>
        <v>3</v>
      </c>
      <c r="J1245">
        <f t="shared" si="164"/>
        <v>6</v>
      </c>
      <c r="K1245">
        <v>72</v>
      </c>
      <c r="L1245">
        <v>24</v>
      </c>
      <c r="M1245" s="2">
        <v>3</v>
      </c>
      <c r="N1245" s="2">
        <v>3.32</v>
      </c>
      <c r="O1245">
        <v>0</v>
      </c>
      <c r="P1245">
        <v>4</v>
      </c>
      <c r="Q1245" t="s">
        <v>565</v>
      </c>
      <c r="R1245" t="s">
        <v>260</v>
      </c>
      <c r="S1245" t="str">
        <f t="shared" si="162"/>
        <v>PA</v>
      </c>
    </row>
    <row r="1246" spans="1:19" x14ac:dyDescent="0.3">
      <c r="A1246" t="s">
        <v>12</v>
      </c>
      <c r="B1246">
        <v>2016110030</v>
      </c>
      <c r="C1246" t="s">
        <v>301</v>
      </c>
      <c r="E1246" t="s">
        <v>103</v>
      </c>
      <c r="F1246" t="s">
        <v>104</v>
      </c>
      <c r="G1246">
        <v>4</v>
      </c>
      <c r="H1246" t="s">
        <v>438</v>
      </c>
      <c r="I1246" s="4">
        <f t="shared" si="163"/>
        <v>3</v>
      </c>
      <c r="J1246">
        <f t="shared" si="164"/>
        <v>12</v>
      </c>
      <c r="K1246">
        <v>60</v>
      </c>
      <c r="L1246">
        <v>20</v>
      </c>
      <c r="M1246" s="2">
        <v>3</v>
      </c>
      <c r="N1246" s="2">
        <v>3.32</v>
      </c>
      <c r="O1246">
        <v>0</v>
      </c>
      <c r="P1246">
        <v>2</v>
      </c>
      <c r="Q1246" t="s">
        <v>559</v>
      </c>
      <c r="R1246" t="s">
        <v>260</v>
      </c>
      <c r="S1246" t="str">
        <f t="shared" si="162"/>
        <v>PA</v>
      </c>
    </row>
    <row r="1247" spans="1:19" x14ac:dyDescent="0.3">
      <c r="A1247" t="s">
        <v>12</v>
      </c>
      <c r="B1247">
        <v>2016110030</v>
      </c>
      <c r="C1247" t="s">
        <v>301</v>
      </c>
      <c r="E1247" t="s">
        <v>39</v>
      </c>
      <c r="F1247" t="s">
        <v>11</v>
      </c>
      <c r="G1247">
        <v>2</v>
      </c>
      <c r="H1247" t="s">
        <v>438</v>
      </c>
      <c r="I1247" s="4">
        <f t="shared" si="163"/>
        <v>3</v>
      </c>
      <c r="J1247">
        <f t="shared" si="164"/>
        <v>6</v>
      </c>
      <c r="K1247">
        <v>78</v>
      </c>
      <c r="L1247">
        <v>22</v>
      </c>
      <c r="M1247" s="2">
        <v>3.55</v>
      </c>
      <c r="N1247" s="2">
        <v>3.32</v>
      </c>
      <c r="O1247">
        <v>0</v>
      </c>
      <c r="P1247">
        <v>6</v>
      </c>
      <c r="Q1247" t="s">
        <v>567</v>
      </c>
      <c r="R1247" t="s">
        <v>260</v>
      </c>
      <c r="S1247" t="str">
        <f t="shared" si="162"/>
        <v>PA</v>
      </c>
    </row>
    <row r="1248" spans="1:19" x14ac:dyDescent="0.3">
      <c r="A1248" t="s">
        <v>12</v>
      </c>
      <c r="B1248">
        <v>2016110030</v>
      </c>
      <c r="C1248" t="s">
        <v>301</v>
      </c>
      <c r="E1248" t="s">
        <v>234</v>
      </c>
      <c r="F1248" t="s">
        <v>235</v>
      </c>
      <c r="G1248">
        <v>4</v>
      </c>
      <c r="H1248" t="s">
        <v>438</v>
      </c>
      <c r="I1248" s="4">
        <f t="shared" si="163"/>
        <v>3</v>
      </c>
      <c r="J1248">
        <f t="shared" si="164"/>
        <v>12</v>
      </c>
      <c r="K1248">
        <v>86</v>
      </c>
      <c r="L1248">
        <v>24</v>
      </c>
      <c r="M1248" s="2">
        <v>3.58</v>
      </c>
      <c r="N1248" s="2">
        <v>3.32</v>
      </c>
      <c r="O1248">
        <v>0</v>
      </c>
      <c r="P1248">
        <v>3</v>
      </c>
      <c r="Q1248" t="s">
        <v>563</v>
      </c>
      <c r="R1248" t="s">
        <v>260</v>
      </c>
      <c r="S1248" t="str">
        <f t="shared" si="162"/>
        <v>PA</v>
      </c>
    </row>
    <row r="1249" spans="1:19" x14ac:dyDescent="0.3">
      <c r="A1249" t="s">
        <v>12</v>
      </c>
      <c r="B1249">
        <v>2016110030</v>
      </c>
      <c r="C1249" t="s">
        <v>301</v>
      </c>
      <c r="E1249" t="s">
        <v>344</v>
      </c>
      <c r="F1249" t="s">
        <v>345</v>
      </c>
      <c r="G1249">
        <v>2</v>
      </c>
      <c r="H1249" t="s">
        <v>438</v>
      </c>
      <c r="I1249" s="4">
        <f t="shared" si="163"/>
        <v>3</v>
      </c>
      <c r="J1249">
        <f t="shared" si="164"/>
        <v>6</v>
      </c>
      <c r="K1249">
        <v>34</v>
      </c>
      <c r="L1249">
        <v>12</v>
      </c>
      <c r="M1249" s="2">
        <v>2.83</v>
      </c>
      <c r="N1249" s="2">
        <v>3.32</v>
      </c>
      <c r="O1249">
        <v>0</v>
      </c>
      <c r="P1249">
        <v>7</v>
      </c>
      <c r="Q1249" t="s">
        <v>568</v>
      </c>
      <c r="R1249" t="s">
        <v>596</v>
      </c>
      <c r="S1249" t="str">
        <f t="shared" si="162"/>
        <v>PA</v>
      </c>
    </row>
    <row r="1250" spans="1:19" x14ac:dyDescent="0.3">
      <c r="A1250" t="s">
        <v>12</v>
      </c>
      <c r="B1250">
        <v>2016110030</v>
      </c>
      <c r="C1250" t="s">
        <v>301</v>
      </c>
      <c r="E1250" t="s">
        <v>142</v>
      </c>
      <c r="F1250" t="s">
        <v>143</v>
      </c>
      <c r="G1250">
        <v>2</v>
      </c>
      <c r="H1250" t="s">
        <v>438</v>
      </c>
      <c r="I1250" s="4">
        <f t="shared" si="163"/>
        <v>3</v>
      </c>
      <c r="J1250">
        <f t="shared" si="164"/>
        <v>6</v>
      </c>
      <c r="K1250">
        <v>62</v>
      </c>
      <c r="L1250">
        <v>20</v>
      </c>
      <c r="M1250" s="2">
        <v>3.1</v>
      </c>
      <c r="N1250" s="2">
        <v>3.32</v>
      </c>
      <c r="O1250">
        <v>0</v>
      </c>
      <c r="P1250">
        <v>1</v>
      </c>
      <c r="Q1250" t="s">
        <v>558</v>
      </c>
      <c r="R1250" t="s">
        <v>260</v>
      </c>
      <c r="S1250" t="str">
        <f t="shared" si="162"/>
        <v>PA</v>
      </c>
    </row>
    <row r="1251" spans="1:19" x14ac:dyDescent="0.3">
      <c r="A1251" t="s">
        <v>12</v>
      </c>
      <c r="B1251">
        <v>2016110030</v>
      </c>
      <c r="C1251" t="s">
        <v>301</v>
      </c>
      <c r="E1251" t="s">
        <v>357</v>
      </c>
      <c r="F1251" t="s">
        <v>358</v>
      </c>
      <c r="G1251">
        <v>4</v>
      </c>
      <c r="H1251" t="s">
        <v>438</v>
      </c>
      <c r="I1251" s="4">
        <f t="shared" si="163"/>
        <v>3</v>
      </c>
      <c r="J1251">
        <f t="shared" si="164"/>
        <v>12</v>
      </c>
      <c r="K1251">
        <v>78</v>
      </c>
      <c r="L1251">
        <v>24</v>
      </c>
      <c r="M1251" s="2">
        <v>3.25</v>
      </c>
      <c r="N1251" s="2">
        <v>3.32</v>
      </c>
      <c r="O1251">
        <v>0</v>
      </c>
      <c r="P1251">
        <v>5</v>
      </c>
      <c r="Q1251" t="s">
        <v>566</v>
      </c>
      <c r="R1251" t="s">
        <v>260</v>
      </c>
      <c r="S1251" t="str">
        <f t="shared" si="162"/>
        <v>PA</v>
      </c>
    </row>
    <row r="1252" spans="1:19" x14ac:dyDescent="0.3">
      <c r="A1252" t="s">
        <v>12</v>
      </c>
      <c r="B1252">
        <v>2016110030</v>
      </c>
      <c r="C1252" t="s">
        <v>301</v>
      </c>
      <c r="E1252" t="s">
        <v>31</v>
      </c>
      <c r="F1252" t="s">
        <v>20</v>
      </c>
      <c r="G1252">
        <v>4</v>
      </c>
      <c r="H1252" t="s">
        <v>438</v>
      </c>
      <c r="I1252" s="4">
        <f t="shared" si="163"/>
        <v>3</v>
      </c>
      <c r="J1252">
        <f t="shared" si="164"/>
        <v>12</v>
      </c>
      <c r="K1252">
        <v>34</v>
      </c>
      <c r="L1252">
        <v>12</v>
      </c>
      <c r="M1252" s="2">
        <v>2.83</v>
      </c>
      <c r="N1252" s="2">
        <v>3.32</v>
      </c>
      <c r="O1252">
        <v>0</v>
      </c>
      <c r="P1252">
        <v>7</v>
      </c>
      <c r="Q1252" t="s">
        <v>568</v>
      </c>
      <c r="R1252" t="s">
        <v>596</v>
      </c>
      <c r="S1252" t="str">
        <f t="shared" si="162"/>
        <v>PA</v>
      </c>
    </row>
    <row r="1253" spans="1:19" x14ac:dyDescent="0.3">
      <c r="A1253" t="s">
        <v>12</v>
      </c>
      <c r="B1253">
        <v>2016110030</v>
      </c>
      <c r="C1253" t="s">
        <v>301</v>
      </c>
      <c r="E1253" t="s">
        <v>165</v>
      </c>
      <c r="F1253" t="s">
        <v>166</v>
      </c>
      <c r="G1253">
        <v>2</v>
      </c>
      <c r="H1253" t="s">
        <v>438</v>
      </c>
      <c r="I1253" s="4">
        <f t="shared" si="163"/>
        <v>3</v>
      </c>
      <c r="J1253">
        <f t="shared" si="164"/>
        <v>6</v>
      </c>
      <c r="K1253">
        <v>62</v>
      </c>
      <c r="L1253">
        <v>20</v>
      </c>
      <c r="M1253" s="2">
        <v>3.1</v>
      </c>
      <c r="N1253" s="2">
        <v>3.32</v>
      </c>
      <c r="O1253">
        <v>0</v>
      </c>
      <c r="P1253">
        <v>1</v>
      </c>
      <c r="Q1253" t="s">
        <v>558</v>
      </c>
      <c r="R1253" t="s">
        <v>260</v>
      </c>
      <c r="S1253" t="str">
        <f t="shared" si="162"/>
        <v>PA</v>
      </c>
    </row>
    <row r="1254" spans="1:19" x14ac:dyDescent="0.3">
      <c r="A1254" t="s">
        <v>12</v>
      </c>
      <c r="B1254">
        <v>2016110030</v>
      </c>
      <c r="C1254" t="s">
        <v>301</v>
      </c>
      <c r="E1254" t="s">
        <v>131</v>
      </c>
      <c r="F1254" t="s">
        <v>132</v>
      </c>
      <c r="G1254">
        <v>2</v>
      </c>
      <c r="H1254" t="s">
        <v>438</v>
      </c>
      <c r="I1254" s="4">
        <f t="shared" si="163"/>
        <v>3</v>
      </c>
      <c r="J1254">
        <f t="shared" si="164"/>
        <v>6</v>
      </c>
      <c r="K1254">
        <v>62</v>
      </c>
      <c r="L1254">
        <v>20</v>
      </c>
      <c r="M1254" s="2">
        <v>3.1</v>
      </c>
      <c r="N1254" s="2">
        <v>3.32</v>
      </c>
      <c r="O1254">
        <v>0</v>
      </c>
      <c r="P1254">
        <v>1</v>
      </c>
      <c r="Q1254" t="s">
        <v>558</v>
      </c>
      <c r="R1254" t="s">
        <v>260</v>
      </c>
      <c r="S1254" t="str">
        <f t="shared" si="162"/>
        <v>PA</v>
      </c>
    </row>
    <row r="1255" spans="1:19" x14ac:dyDescent="0.3">
      <c r="A1255" t="s">
        <v>12</v>
      </c>
      <c r="B1255">
        <v>2016110030</v>
      </c>
      <c r="C1255" t="s">
        <v>301</v>
      </c>
      <c r="E1255" t="s">
        <v>264</v>
      </c>
      <c r="F1255" t="s">
        <v>265</v>
      </c>
      <c r="G1255">
        <v>2</v>
      </c>
      <c r="H1255" t="s">
        <v>438</v>
      </c>
      <c r="I1255" s="4">
        <f t="shared" si="163"/>
        <v>3</v>
      </c>
      <c r="J1255">
        <f t="shared" si="164"/>
        <v>6</v>
      </c>
      <c r="K1255">
        <v>78</v>
      </c>
      <c r="L1255">
        <v>24</v>
      </c>
      <c r="M1255" s="2">
        <v>3.25</v>
      </c>
      <c r="N1255" s="2">
        <v>3.32</v>
      </c>
      <c r="O1255">
        <v>0</v>
      </c>
      <c r="P1255">
        <v>5</v>
      </c>
      <c r="Q1255" t="s">
        <v>566</v>
      </c>
      <c r="R1255" t="s">
        <v>260</v>
      </c>
      <c r="S1255" t="str">
        <f t="shared" si="162"/>
        <v>PA</v>
      </c>
    </row>
    <row r="1256" spans="1:19" x14ac:dyDescent="0.3">
      <c r="A1256" t="s">
        <v>12</v>
      </c>
      <c r="B1256">
        <v>2016110030</v>
      </c>
      <c r="C1256" t="s">
        <v>301</v>
      </c>
      <c r="E1256" t="s">
        <v>90</v>
      </c>
      <c r="F1256" t="s">
        <v>91</v>
      </c>
      <c r="G1256">
        <v>2</v>
      </c>
      <c r="H1256" t="s">
        <v>438</v>
      </c>
      <c r="I1256" s="4">
        <f t="shared" si="163"/>
        <v>3</v>
      </c>
      <c r="J1256">
        <f t="shared" si="164"/>
        <v>6</v>
      </c>
      <c r="K1256">
        <v>62</v>
      </c>
      <c r="L1256">
        <v>20</v>
      </c>
      <c r="M1256" s="2">
        <v>3.1</v>
      </c>
      <c r="N1256" s="2">
        <v>3.32</v>
      </c>
      <c r="O1256">
        <v>0</v>
      </c>
      <c r="P1256">
        <v>1</v>
      </c>
      <c r="Q1256" t="s">
        <v>558</v>
      </c>
      <c r="R1256" t="s">
        <v>260</v>
      </c>
      <c r="S1256" t="str">
        <f t="shared" si="162"/>
        <v>PA</v>
      </c>
    </row>
    <row r="1257" spans="1:19" x14ac:dyDescent="0.3">
      <c r="A1257" t="s">
        <v>12</v>
      </c>
      <c r="B1257">
        <v>2016110030</v>
      </c>
      <c r="C1257" t="s">
        <v>301</v>
      </c>
      <c r="E1257" t="s">
        <v>427</v>
      </c>
      <c r="F1257" t="s">
        <v>428</v>
      </c>
      <c r="G1257">
        <v>2</v>
      </c>
      <c r="H1257" t="s">
        <v>438</v>
      </c>
      <c r="I1257" s="4">
        <f t="shared" si="163"/>
        <v>3</v>
      </c>
      <c r="J1257">
        <f t="shared" si="164"/>
        <v>6</v>
      </c>
      <c r="K1257">
        <v>78</v>
      </c>
      <c r="L1257">
        <v>22</v>
      </c>
      <c r="M1257" s="2">
        <v>3.55</v>
      </c>
      <c r="N1257" s="2">
        <v>3.32</v>
      </c>
      <c r="O1257">
        <v>0</v>
      </c>
      <c r="P1257">
        <v>6</v>
      </c>
      <c r="Q1257" t="s">
        <v>567</v>
      </c>
      <c r="R1257" t="s">
        <v>260</v>
      </c>
      <c r="S1257" t="str">
        <f t="shared" si="162"/>
        <v>PA</v>
      </c>
    </row>
    <row r="1258" spans="1:19" x14ac:dyDescent="0.3">
      <c r="A1258" t="s">
        <v>12</v>
      </c>
      <c r="B1258">
        <v>2016110030</v>
      </c>
      <c r="C1258" t="s">
        <v>301</v>
      </c>
      <c r="E1258" t="s">
        <v>139</v>
      </c>
      <c r="F1258" t="s">
        <v>140</v>
      </c>
      <c r="G1258">
        <v>2</v>
      </c>
      <c r="H1258" t="s">
        <v>438</v>
      </c>
      <c r="I1258" s="4">
        <f t="shared" si="163"/>
        <v>3</v>
      </c>
      <c r="J1258">
        <f t="shared" si="164"/>
        <v>6</v>
      </c>
      <c r="K1258">
        <v>60</v>
      </c>
      <c r="L1258">
        <v>20</v>
      </c>
      <c r="M1258" s="2">
        <v>3</v>
      </c>
      <c r="N1258" s="2">
        <v>3.32</v>
      </c>
      <c r="O1258">
        <v>0</v>
      </c>
      <c r="P1258">
        <v>2</v>
      </c>
      <c r="Q1258" t="s">
        <v>559</v>
      </c>
      <c r="R1258" t="s">
        <v>260</v>
      </c>
      <c r="S1258" t="str">
        <f t="shared" si="162"/>
        <v>PA</v>
      </c>
    </row>
    <row r="1259" spans="1:19" x14ac:dyDescent="0.3">
      <c r="A1259" t="s">
        <v>12</v>
      </c>
      <c r="B1259">
        <v>2016110030</v>
      </c>
      <c r="C1259" t="s">
        <v>301</v>
      </c>
      <c r="E1259" t="s">
        <v>446</v>
      </c>
      <c r="F1259" t="s">
        <v>447</v>
      </c>
      <c r="G1259">
        <v>2</v>
      </c>
      <c r="H1259" t="s">
        <v>438</v>
      </c>
      <c r="I1259" s="4">
        <f t="shared" si="163"/>
        <v>3</v>
      </c>
      <c r="J1259">
        <f t="shared" si="164"/>
        <v>6</v>
      </c>
      <c r="K1259">
        <v>78</v>
      </c>
      <c r="L1259">
        <v>22</v>
      </c>
      <c r="M1259" s="2">
        <v>3.55</v>
      </c>
      <c r="N1259" s="2">
        <v>3.32</v>
      </c>
      <c r="O1259">
        <v>0</v>
      </c>
      <c r="P1259">
        <v>6</v>
      </c>
      <c r="Q1259" t="s">
        <v>567</v>
      </c>
      <c r="R1259" t="s">
        <v>260</v>
      </c>
      <c r="S1259" t="str">
        <f t="shared" si="162"/>
        <v>PA</v>
      </c>
    </row>
    <row r="1260" spans="1:19" x14ac:dyDescent="0.3">
      <c r="A1260" t="s">
        <v>12</v>
      </c>
      <c r="B1260">
        <v>2016110030</v>
      </c>
      <c r="C1260" t="s">
        <v>301</v>
      </c>
      <c r="E1260" t="s">
        <v>248</v>
      </c>
      <c r="F1260" t="s">
        <v>249</v>
      </c>
      <c r="G1260">
        <v>2</v>
      </c>
      <c r="H1260" t="s">
        <v>438</v>
      </c>
      <c r="I1260" s="4">
        <f t="shared" si="163"/>
        <v>3</v>
      </c>
      <c r="J1260">
        <f t="shared" si="164"/>
        <v>6</v>
      </c>
      <c r="K1260">
        <v>72</v>
      </c>
      <c r="L1260">
        <v>24</v>
      </c>
      <c r="M1260" s="2">
        <v>3</v>
      </c>
      <c r="N1260" s="2">
        <v>3.32</v>
      </c>
      <c r="O1260">
        <v>0</v>
      </c>
      <c r="P1260">
        <v>4</v>
      </c>
      <c r="Q1260" t="s">
        <v>565</v>
      </c>
      <c r="R1260" t="s">
        <v>260</v>
      </c>
      <c r="S1260" t="str">
        <f t="shared" si="162"/>
        <v>PA</v>
      </c>
    </row>
    <row r="1261" spans="1:19" x14ac:dyDescent="0.3">
      <c r="A1261" t="s">
        <v>12</v>
      </c>
      <c r="B1261">
        <v>2016110030</v>
      </c>
      <c r="C1261" t="s">
        <v>301</v>
      </c>
      <c r="E1261" t="s">
        <v>100</v>
      </c>
      <c r="F1261" t="s">
        <v>101</v>
      </c>
      <c r="G1261">
        <v>4</v>
      </c>
      <c r="H1261" t="s">
        <v>438</v>
      </c>
      <c r="I1261" s="4">
        <f t="shared" si="163"/>
        <v>3</v>
      </c>
      <c r="J1261">
        <f t="shared" si="164"/>
        <v>12</v>
      </c>
      <c r="K1261">
        <v>60</v>
      </c>
      <c r="L1261">
        <v>20</v>
      </c>
      <c r="M1261" s="2">
        <v>3</v>
      </c>
      <c r="N1261" s="2">
        <v>3.32</v>
      </c>
      <c r="O1261">
        <v>0</v>
      </c>
      <c r="P1261">
        <v>2</v>
      </c>
      <c r="Q1261" t="s">
        <v>559</v>
      </c>
      <c r="R1261" t="s">
        <v>260</v>
      </c>
      <c r="S1261" t="str">
        <f t="shared" si="162"/>
        <v>PA</v>
      </c>
    </row>
    <row r="1262" spans="1:19" x14ac:dyDescent="0.3">
      <c r="A1262" t="s">
        <v>12</v>
      </c>
      <c r="B1262">
        <v>2016110030</v>
      </c>
      <c r="C1262" t="s">
        <v>301</v>
      </c>
      <c r="E1262" t="s">
        <v>279</v>
      </c>
      <c r="F1262" t="s">
        <v>280</v>
      </c>
      <c r="G1262">
        <v>2</v>
      </c>
      <c r="H1262" t="s">
        <v>438</v>
      </c>
      <c r="I1262" s="4">
        <f t="shared" si="163"/>
        <v>3</v>
      </c>
      <c r="J1262">
        <f t="shared" si="164"/>
        <v>6</v>
      </c>
      <c r="K1262">
        <v>60</v>
      </c>
      <c r="L1262">
        <v>20</v>
      </c>
      <c r="M1262" s="2">
        <v>3</v>
      </c>
      <c r="N1262" s="2">
        <v>3.32</v>
      </c>
      <c r="O1262">
        <v>0</v>
      </c>
      <c r="P1262">
        <v>2</v>
      </c>
      <c r="Q1262" t="s">
        <v>559</v>
      </c>
      <c r="R1262" t="s">
        <v>260</v>
      </c>
      <c r="S1262" t="str">
        <f t="shared" si="162"/>
        <v>PA</v>
      </c>
    </row>
    <row r="1263" spans="1:19" x14ac:dyDescent="0.3">
      <c r="A1263" t="s">
        <v>12</v>
      </c>
      <c r="B1263">
        <v>2016110030</v>
      </c>
      <c r="C1263" t="s">
        <v>301</v>
      </c>
      <c r="E1263" t="s">
        <v>236</v>
      </c>
      <c r="F1263" t="s">
        <v>237</v>
      </c>
      <c r="G1263">
        <v>2</v>
      </c>
      <c r="H1263" t="s">
        <v>438</v>
      </c>
      <c r="I1263" s="4">
        <f t="shared" si="163"/>
        <v>3</v>
      </c>
      <c r="J1263">
        <f t="shared" si="164"/>
        <v>6</v>
      </c>
      <c r="K1263">
        <v>78</v>
      </c>
      <c r="L1263">
        <v>24</v>
      </c>
      <c r="M1263" s="2">
        <v>3.25</v>
      </c>
      <c r="N1263" s="2">
        <v>3.32</v>
      </c>
      <c r="O1263">
        <v>0</v>
      </c>
      <c r="P1263">
        <v>5</v>
      </c>
      <c r="Q1263" t="s">
        <v>566</v>
      </c>
      <c r="R1263" t="s">
        <v>260</v>
      </c>
      <c r="S1263" t="str">
        <f t="shared" si="162"/>
        <v>PA</v>
      </c>
    </row>
    <row r="1264" spans="1:19" x14ac:dyDescent="0.3">
      <c r="A1264" t="s">
        <v>12</v>
      </c>
      <c r="B1264">
        <v>2016110030</v>
      </c>
      <c r="C1264" t="s">
        <v>301</v>
      </c>
      <c r="E1264" t="s">
        <v>316</v>
      </c>
      <c r="F1264" t="s">
        <v>317</v>
      </c>
      <c r="G1264">
        <v>2</v>
      </c>
      <c r="H1264" t="s">
        <v>438</v>
      </c>
      <c r="I1264" s="4">
        <f t="shared" si="163"/>
        <v>3</v>
      </c>
      <c r="J1264">
        <f t="shared" si="164"/>
        <v>6</v>
      </c>
      <c r="K1264">
        <v>34</v>
      </c>
      <c r="L1264">
        <v>12</v>
      </c>
      <c r="M1264" s="2">
        <v>2.83</v>
      </c>
      <c r="N1264" s="2">
        <v>3.32</v>
      </c>
      <c r="O1264">
        <v>0</v>
      </c>
      <c r="P1264">
        <v>7</v>
      </c>
      <c r="Q1264" t="s">
        <v>568</v>
      </c>
      <c r="R1264" t="s">
        <v>596</v>
      </c>
      <c r="S1264" t="str">
        <f t="shared" si="162"/>
        <v>PA</v>
      </c>
    </row>
    <row r="1265" spans="1:19" x14ac:dyDescent="0.3">
      <c r="A1265" t="s">
        <v>12</v>
      </c>
      <c r="B1265">
        <v>2016110030</v>
      </c>
      <c r="C1265" t="s">
        <v>301</v>
      </c>
      <c r="E1265" t="s">
        <v>122</v>
      </c>
      <c r="F1265" t="s">
        <v>123</v>
      </c>
      <c r="G1265">
        <v>4</v>
      </c>
      <c r="H1265" t="s">
        <v>438</v>
      </c>
      <c r="I1265" s="4">
        <f t="shared" si="163"/>
        <v>3</v>
      </c>
      <c r="J1265">
        <f t="shared" si="164"/>
        <v>12</v>
      </c>
      <c r="K1265">
        <v>62</v>
      </c>
      <c r="L1265">
        <v>20</v>
      </c>
      <c r="M1265" s="2">
        <v>3.1</v>
      </c>
      <c r="N1265" s="2">
        <v>3.32</v>
      </c>
      <c r="O1265">
        <v>0</v>
      </c>
      <c r="P1265">
        <v>1</v>
      </c>
      <c r="Q1265" t="s">
        <v>558</v>
      </c>
      <c r="R1265" t="s">
        <v>260</v>
      </c>
      <c r="S1265" t="str">
        <f t="shared" si="162"/>
        <v>PA</v>
      </c>
    </row>
    <row r="1266" spans="1:19" x14ac:dyDescent="0.3">
      <c r="A1266" t="s">
        <v>12</v>
      </c>
      <c r="B1266">
        <v>2016110030</v>
      </c>
      <c r="C1266" t="s">
        <v>301</v>
      </c>
      <c r="E1266" t="s">
        <v>370</v>
      </c>
      <c r="F1266" t="s">
        <v>371</v>
      </c>
      <c r="G1266">
        <v>2</v>
      </c>
      <c r="H1266" t="s">
        <v>438</v>
      </c>
      <c r="I1266" s="4">
        <f t="shared" si="163"/>
        <v>3</v>
      </c>
      <c r="J1266">
        <f t="shared" si="164"/>
        <v>6</v>
      </c>
      <c r="K1266">
        <v>78</v>
      </c>
      <c r="L1266">
        <v>24</v>
      </c>
      <c r="M1266" s="2">
        <v>3.25</v>
      </c>
      <c r="N1266" s="2">
        <v>3.32</v>
      </c>
      <c r="O1266">
        <v>0</v>
      </c>
      <c r="P1266">
        <v>5</v>
      </c>
      <c r="Q1266" t="s">
        <v>566</v>
      </c>
      <c r="R1266" t="s">
        <v>260</v>
      </c>
      <c r="S1266" t="str">
        <f t="shared" si="162"/>
        <v>PA</v>
      </c>
    </row>
    <row r="1267" spans="1:19" x14ac:dyDescent="0.3">
      <c r="A1267" t="s">
        <v>12</v>
      </c>
      <c r="B1267">
        <v>2016110030</v>
      </c>
      <c r="C1267" t="s">
        <v>301</v>
      </c>
      <c r="E1267" t="s">
        <v>330</v>
      </c>
      <c r="F1267" t="s">
        <v>108</v>
      </c>
      <c r="G1267">
        <v>2</v>
      </c>
      <c r="H1267" t="s">
        <v>438</v>
      </c>
      <c r="I1267" s="4">
        <f t="shared" si="163"/>
        <v>3</v>
      </c>
      <c r="J1267">
        <f t="shared" si="164"/>
        <v>6</v>
      </c>
      <c r="K1267">
        <v>34</v>
      </c>
      <c r="L1267">
        <v>12</v>
      </c>
      <c r="M1267" s="2">
        <v>2.83</v>
      </c>
      <c r="N1267" s="2">
        <v>3.32</v>
      </c>
      <c r="O1267">
        <v>0</v>
      </c>
      <c r="P1267">
        <v>7</v>
      </c>
      <c r="Q1267" t="s">
        <v>568</v>
      </c>
      <c r="R1267" t="s">
        <v>596</v>
      </c>
      <c r="S1267" t="str">
        <f t="shared" si="162"/>
        <v>PA</v>
      </c>
    </row>
    <row r="1268" spans="1:19" x14ac:dyDescent="0.3">
      <c r="A1268" t="s">
        <v>12</v>
      </c>
      <c r="B1268">
        <v>2016110030</v>
      </c>
      <c r="C1268" t="s">
        <v>301</v>
      </c>
      <c r="E1268" t="s">
        <v>151</v>
      </c>
      <c r="F1268" t="s">
        <v>152</v>
      </c>
      <c r="G1268">
        <v>2</v>
      </c>
      <c r="H1268" t="s">
        <v>438</v>
      </c>
      <c r="I1268" s="4">
        <f t="shared" si="163"/>
        <v>3</v>
      </c>
      <c r="J1268">
        <f t="shared" si="164"/>
        <v>6</v>
      </c>
      <c r="K1268">
        <v>62</v>
      </c>
      <c r="L1268">
        <v>20</v>
      </c>
      <c r="M1268" s="2">
        <v>3.1</v>
      </c>
      <c r="N1268" s="2">
        <v>3.32</v>
      </c>
      <c r="O1268">
        <v>0</v>
      </c>
      <c r="P1268">
        <v>1</v>
      </c>
      <c r="Q1268" t="s">
        <v>558</v>
      </c>
      <c r="R1268" t="s">
        <v>260</v>
      </c>
      <c r="S1268" t="str">
        <f t="shared" si="162"/>
        <v>PA</v>
      </c>
    </row>
    <row r="1269" spans="1:19" x14ac:dyDescent="0.3">
      <c r="A1269" t="s">
        <v>12</v>
      </c>
      <c r="B1269">
        <v>2016110030</v>
      </c>
      <c r="C1269" t="s">
        <v>301</v>
      </c>
      <c r="E1269" t="s">
        <v>211</v>
      </c>
      <c r="F1269" t="s">
        <v>186</v>
      </c>
      <c r="G1269">
        <v>4</v>
      </c>
      <c r="H1269" t="s">
        <v>438</v>
      </c>
      <c r="I1269" s="4">
        <f t="shared" si="163"/>
        <v>3</v>
      </c>
      <c r="J1269">
        <f t="shared" si="164"/>
        <v>12</v>
      </c>
      <c r="K1269">
        <v>78</v>
      </c>
      <c r="L1269">
        <v>24</v>
      </c>
      <c r="M1269" s="2">
        <v>3.25</v>
      </c>
      <c r="N1269" s="2">
        <v>3.32</v>
      </c>
      <c r="O1269">
        <v>0</v>
      </c>
      <c r="P1269">
        <v>5</v>
      </c>
      <c r="Q1269" t="s">
        <v>566</v>
      </c>
      <c r="R1269" t="s">
        <v>260</v>
      </c>
      <c r="S1269" t="str">
        <f t="shared" si="162"/>
        <v>PA</v>
      </c>
    </row>
    <row r="1270" spans="1:19" x14ac:dyDescent="0.3">
      <c r="A1270" t="s">
        <v>12</v>
      </c>
      <c r="B1270">
        <v>2016110030</v>
      </c>
      <c r="C1270" t="s">
        <v>301</v>
      </c>
      <c r="E1270" t="s">
        <v>382</v>
      </c>
      <c r="F1270" t="s">
        <v>383</v>
      </c>
      <c r="G1270">
        <v>4</v>
      </c>
      <c r="H1270" t="s">
        <v>438</v>
      </c>
      <c r="I1270" s="4">
        <f t="shared" si="163"/>
        <v>3</v>
      </c>
      <c r="J1270">
        <f t="shared" si="164"/>
        <v>12</v>
      </c>
      <c r="K1270">
        <v>78</v>
      </c>
      <c r="L1270">
        <v>24</v>
      </c>
      <c r="M1270" s="2">
        <v>3.25</v>
      </c>
      <c r="N1270" s="2">
        <v>3.32</v>
      </c>
      <c r="O1270">
        <v>0</v>
      </c>
      <c r="P1270">
        <v>5</v>
      </c>
      <c r="Q1270" t="s">
        <v>566</v>
      </c>
      <c r="R1270" t="s">
        <v>260</v>
      </c>
      <c r="S1270" t="str">
        <f t="shared" si="162"/>
        <v>PA</v>
      </c>
    </row>
    <row r="1271" spans="1:19" x14ac:dyDescent="0.3">
      <c r="A1271" t="s">
        <v>12</v>
      </c>
      <c r="B1271">
        <v>2016110030</v>
      </c>
      <c r="C1271" t="s">
        <v>301</v>
      </c>
      <c r="E1271" t="s">
        <v>283</v>
      </c>
      <c r="F1271" t="s">
        <v>284</v>
      </c>
      <c r="G1271">
        <v>2</v>
      </c>
      <c r="H1271" t="s">
        <v>438</v>
      </c>
      <c r="I1271" s="4">
        <f t="shared" si="163"/>
        <v>3</v>
      </c>
      <c r="J1271">
        <f t="shared" si="164"/>
        <v>6</v>
      </c>
      <c r="K1271">
        <v>86</v>
      </c>
      <c r="L1271">
        <v>24</v>
      </c>
      <c r="M1271" s="2">
        <v>3.58</v>
      </c>
      <c r="N1271" s="2">
        <v>3.32</v>
      </c>
      <c r="O1271">
        <v>0</v>
      </c>
      <c r="P1271">
        <v>3</v>
      </c>
      <c r="Q1271" t="s">
        <v>563</v>
      </c>
      <c r="R1271" t="s">
        <v>260</v>
      </c>
      <c r="S1271" t="str">
        <f t="shared" si="162"/>
        <v>PA</v>
      </c>
    </row>
    <row r="1272" spans="1:19" x14ac:dyDescent="0.3">
      <c r="A1272" t="s">
        <v>12</v>
      </c>
      <c r="B1272">
        <v>2016110030</v>
      </c>
      <c r="C1272" t="s">
        <v>301</v>
      </c>
      <c r="E1272" t="s">
        <v>437</v>
      </c>
      <c r="F1272" t="s">
        <v>169</v>
      </c>
      <c r="G1272">
        <v>4</v>
      </c>
      <c r="H1272" t="s">
        <v>438</v>
      </c>
      <c r="I1272" s="4">
        <f t="shared" si="163"/>
        <v>3</v>
      </c>
      <c r="J1272">
        <f t="shared" si="164"/>
        <v>12</v>
      </c>
      <c r="K1272">
        <v>62</v>
      </c>
      <c r="L1272">
        <v>20</v>
      </c>
      <c r="M1272" s="2">
        <v>3.1</v>
      </c>
      <c r="N1272" s="2">
        <v>3.32</v>
      </c>
      <c r="O1272">
        <v>0</v>
      </c>
      <c r="P1272">
        <v>1</v>
      </c>
      <c r="Q1272" t="s">
        <v>558</v>
      </c>
      <c r="R1272" t="s">
        <v>260</v>
      </c>
      <c r="S1272" t="str">
        <f t="shared" si="162"/>
        <v>PA</v>
      </c>
    </row>
    <row r="1273" spans="1:19" x14ac:dyDescent="0.3">
      <c r="A1273" t="s">
        <v>12</v>
      </c>
      <c r="B1273">
        <v>2016110030</v>
      </c>
      <c r="C1273" t="s">
        <v>301</v>
      </c>
      <c r="E1273" t="s">
        <v>348</v>
      </c>
      <c r="F1273" t="s">
        <v>402</v>
      </c>
      <c r="G1273">
        <v>4</v>
      </c>
      <c r="H1273" t="s">
        <v>438</v>
      </c>
      <c r="I1273" s="4">
        <f t="shared" si="163"/>
        <v>3</v>
      </c>
      <c r="J1273">
        <f t="shared" si="164"/>
        <v>12</v>
      </c>
      <c r="K1273">
        <v>72</v>
      </c>
      <c r="L1273">
        <v>24</v>
      </c>
      <c r="M1273" s="2">
        <v>3</v>
      </c>
      <c r="N1273" s="2">
        <v>3.32</v>
      </c>
      <c r="O1273">
        <v>0</v>
      </c>
      <c r="P1273">
        <v>4</v>
      </c>
      <c r="Q1273" t="s">
        <v>565</v>
      </c>
      <c r="R1273" t="s">
        <v>260</v>
      </c>
      <c r="S1273" t="str">
        <f t="shared" si="162"/>
        <v>PA</v>
      </c>
    </row>
    <row r="1274" spans="1:19" x14ac:dyDescent="0.3">
      <c r="A1274" t="s">
        <v>12</v>
      </c>
      <c r="B1274">
        <v>2016110030</v>
      </c>
      <c r="C1274" t="s">
        <v>301</v>
      </c>
      <c r="E1274" t="s">
        <v>97</v>
      </c>
      <c r="F1274" t="s">
        <v>98</v>
      </c>
      <c r="G1274">
        <v>4</v>
      </c>
      <c r="H1274" t="s">
        <v>438</v>
      </c>
      <c r="I1274" s="4">
        <f t="shared" si="163"/>
        <v>3</v>
      </c>
      <c r="J1274">
        <f t="shared" si="164"/>
        <v>12</v>
      </c>
      <c r="K1274">
        <v>60</v>
      </c>
      <c r="L1274">
        <v>20</v>
      </c>
      <c r="M1274" s="2">
        <v>3</v>
      </c>
      <c r="N1274" s="2">
        <v>3.32</v>
      </c>
      <c r="O1274">
        <v>0</v>
      </c>
      <c r="P1274">
        <v>2</v>
      </c>
      <c r="Q1274" t="s">
        <v>559</v>
      </c>
      <c r="R1274" t="s">
        <v>260</v>
      </c>
      <c r="S1274" t="str">
        <f t="shared" ref="S1274:S1291" si="165">IF(OR(H1274="A",H1274="B",H1274="C"),"PA","FA")</f>
        <v>PA</v>
      </c>
    </row>
    <row r="1275" spans="1:19" x14ac:dyDescent="0.3">
      <c r="A1275" t="s">
        <v>12</v>
      </c>
      <c r="B1275">
        <v>2016110030</v>
      </c>
      <c r="C1275" t="s">
        <v>301</v>
      </c>
      <c r="E1275" t="s">
        <v>273</v>
      </c>
      <c r="F1275" t="s">
        <v>274</v>
      </c>
      <c r="G1275">
        <v>2</v>
      </c>
      <c r="H1275" t="s">
        <v>524</v>
      </c>
      <c r="I1275" s="4">
        <f t="shared" ref="I1275:I1291" si="166">IF(H1275="A",4,IF(H1275="B",3,IF(H1275="C",2,IF(H1275="D",1,0))))</f>
        <v>2</v>
      </c>
      <c r="J1275">
        <f t="shared" ref="J1275:J1291" si="167">G1275*I1275</f>
        <v>4</v>
      </c>
      <c r="K1275">
        <v>72</v>
      </c>
      <c r="L1275">
        <v>24</v>
      </c>
      <c r="M1275" s="2">
        <v>3</v>
      </c>
      <c r="N1275" s="2">
        <v>3.32</v>
      </c>
      <c r="O1275">
        <v>0</v>
      </c>
      <c r="P1275">
        <v>4</v>
      </c>
      <c r="Q1275" t="s">
        <v>565</v>
      </c>
      <c r="R1275" t="s">
        <v>260</v>
      </c>
      <c r="S1275" t="str">
        <f t="shared" si="165"/>
        <v>PA</v>
      </c>
    </row>
    <row r="1276" spans="1:19" x14ac:dyDescent="0.3">
      <c r="A1276" t="s">
        <v>12</v>
      </c>
      <c r="B1276">
        <v>2016110030</v>
      </c>
      <c r="C1276" t="s">
        <v>301</v>
      </c>
      <c r="E1276" t="s">
        <v>273</v>
      </c>
      <c r="F1276" t="s">
        <v>274</v>
      </c>
      <c r="G1276">
        <v>2</v>
      </c>
      <c r="H1276" t="s">
        <v>438</v>
      </c>
      <c r="I1276" s="4">
        <f t="shared" si="166"/>
        <v>3</v>
      </c>
      <c r="J1276">
        <f t="shared" si="167"/>
        <v>6</v>
      </c>
      <c r="K1276">
        <v>28</v>
      </c>
      <c r="L1276">
        <v>8</v>
      </c>
      <c r="M1276" s="2">
        <v>3.5</v>
      </c>
      <c r="N1276" s="2">
        <v>3.32</v>
      </c>
      <c r="O1276">
        <v>1</v>
      </c>
      <c r="P1276">
        <v>6</v>
      </c>
      <c r="Q1276" s="4" t="s">
        <v>572</v>
      </c>
      <c r="R1276" t="s">
        <v>260</v>
      </c>
      <c r="S1276" t="str">
        <f t="shared" si="165"/>
        <v>PA</v>
      </c>
    </row>
    <row r="1277" spans="1:19" x14ac:dyDescent="0.3">
      <c r="A1277" t="s">
        <v>12</v>
      </c>
      <c r="B1277">
        <v>2016110030</v>
      </c>
      <c r="C1277" t="s">
        <v>301</v>
      </c>
      <c r="E1277" t="s">
        <v>173</v>
      </c>
      <c r="F1277" t="s">
        <v>8</v>
      </c>
      <c r="G1277">
        <v>2</v>
      </c>
      <c r="H1277" t="s">
        <v>524</v>
      </c>
      <c r="I1277" s="4">
        <f t="shared" si="166"/>
        <v>2</v>
      </c>
      <c r="J1277">
        <f t="shared" si="167"/>
        <v>4</v>
      </c>
      <c r="K1277">
        <v>86</v>
      </c>
      <c r="L1277">
        <v>24</v>
      </c>
      <c r="M1277" s="2">
        <v>3.58</v>
      </c>
      <c r="N1277" s="2">
        <v>3.32</v>
      </c>
      <c r="O1277">
        <v>0</v>
      </c>
      <c r="P1277">
        <v>3</v>
      </c>
      <c r="Q1277" t="s">
        <v>563</v>
      </c>
      <c r="R1277" t="s">
        <v>260</v>
      </c>
      <c r="S1277" t="str">
        <f t="shared" si="165"/>
        <v>PA</v>
      </c>
    </row>
    <row r="1278" spans="1:19" x14ac:dyDescent="0.3">
      <c r="A1278" t="s">
        <v>12</v>
      </c>
      <c r="B1278">
        <v>2016110030</v>
      </c>
      <c r="C1278" t="s">
        <v>301</v>
      </c>
      <c r="E1278" t="s">
        <v>309</v>
      </c>
      <c r="F1278" t="s">
        <v>310</v>
      </c>
      <c r="G1278">
        <v>4</v>
      </c>
      <c r="H1278" t="s">
        <v>524</v>
      </c>
      <c r="I1278" s="4">
        <f t="shared" si="166"/>
        <v>2</v>
      </c>
      <c r="J1278">
        <f t="shared" si="167"/>
        <v>8</v>
      </c>
      <c r="K1278">
        <v>72</v>
      </c>
      <c r="L1278">
        <v>24</v>
      </c>
      <c r="M1278" s="2">
        <v>3</v>
      </c>
      <c r="N1278" s="2">
        <v>3.32</v>
      </c>
      <c r="O1278">
        <v>0</v>
      </c>
      <c r="P1278">
        <v>4</v>
      </c>
      <c r="Q1278" t="s">
        <v>565</v>
      </c>
      <c r="R1278" t="s">
        <v>260</v>
      </c>
      <c r="S1278" t="str">
        <f t="shared" si="165"/>
        <v>PA</v>
      </c>
    </row>
    <row r="1279" spans="1:19" x14ac:dyDescent="0.3">
      <c r="A1279" t="s">
        <v>12</v>
      </c>
      <c r="B1279">
        <v>2016110030</v>
      </c>
      <c r="C1279" t="s">
        <v>301</v>
      </c>
      <c r="E1279" t="s">
        <v>173</v>
      </c>
      <c r="F1279" t="s">
        <v>8</v>
      </c>
      <c r="G1279">
        <v>2</v>
      </c>
      <c r="H1279" t="s">
        <v>438</v>
      </c>
      <c r="I1279" s="4">
        <f t="shared" si="166"/>
        <v>3</v>
      </c>
      <c r="J1279">
        <f t="shared" si="167"/>
        <v>6</v>
      </c>
      <c r="K1279">
        <v>28</v>
      </c>
      <c r="L1279">
        <v>8</v>
      </c>
      <c r="M1279" s="2">
        <v>3.5</v>
      </c>
      <c r="N1279" s="2">
        <v>3.32</v>
      </c>
      <c r="O1279">
        <v>1</v>
      </c>
      <c r="P1279">
        <v>6</v>
      </c>
      <c r="Q1279" s="4" t="s">
        <v>572</v>
      </c>
      <c r="R1279" t="s">
        <v>260</v>
      </c>
      <c r="S1279" t="str">
        <f t="shared" si="165"/>
        <v>PA</v>
      </c>
    </row>
    <row r="1280" spans="1:19" x14ac:dyDescent="0.3">
      <c r="A1280" t="s">
        <v>12</v>
      </c>
      <c r="B1280">
        <v>2016110030</v>
      </c>
      <c r="C1280" t="s">
        <v>301</v>
      </c>
      <c r="E1280" t="s">
        <v>309</v>
      </c>
      <c r="F1280" t="s">
        <v>310</v>
      </c>
      <c r="G1280">
        <v>4</v>
      </c>
      <c r="H1280" t="s">
        <v>260</v>
      </c>
      <c r="I1280" s="4">
        <f t="shared" si="166"/>
        <v>4</v>
      </c>
      <c r="J1280">
        <f t="shared" si="167"/>
        <v>16</v>
      </c>
      <c r="K1280">
        <v>28</v>
      </c>
      <c r="L1280">
        <v>8</v>
      </c>
      <c r="M1280" s="2">
        <v>3.5</v>
      </c>
      <c r="N1280" s="2">
        <v>3.32</v>
      </c>
      <c r="O1280">
        <v>1</v>
      </c>
      <c r="P1280">
        <v>6</v>
      </c>
      <c r="Q1280" s="4" t="s">
        <v>572</v>
      </c>
      <c r="R1280" t="s">
        <v>260</v>
      </c>
      <c r="S1280" t="str">
        <f t="shared" si="165"/>
        <v>PA</v>
      </c>
    </row>
    <row r="1281" spans="1:19" x14ac:dyDescent="0.3">
      <c r="A1281" t="s">
        <v>12</v>
      </c>
      <c r="B1281">
        <v>2016110030</v>
      </c>
      <c r="C1281" t="s">
        <v>301</v>
      </c>
      <c r="E1281" t="s">
        <v>374</v>
      </c>
      <c r="F1281" t="s">
        <v>375</v>
      </c>
      <c r="G1281">
        <v>2</v>
      </c>
      <c r="H1281" t="s">
        <v>524</v>
      </c>
      <c r="I1281" s="4">
        <f t="shared" si="166"/>
        <v>2</v>
      </c>
      <c r="J1281">
        <f t="shared" si="167"/>
        <v>4</v>
      </c>
      <c r="K1281">
        <v>72</v>
      </c>
      <c r="L1281">
        <v>24</v>
      </c>
      <c r="M1281" s="2">
        <v>3</v>
      </c>
      <c r="N1281" s="2">
        <v>3.32</v>
      </c>
      <c r="O1281">
        <v>0</v>
      </c>
      <c r="P1281">
        <v>4</v>
      </c>
      <c r="Q1281" t="s">
        <v>565</v>
      </c>
      <c r="R1281" t="s">
        <v>260</v>
      </c>
      <c r="S1281" t="str">
        <f t="shared" si="165"/>
        <v>PA</v>
      </c>
    </row>
    <row r="1282" spans="1:19" x14ac:dyDescent="0.3">
      <c r="A1282" t="s">
        <v>12</v>
      </c>
      <c r="B1282">
        <v>2016110030</v>
      </c>
      <c r="C1282" t="s">
        <v>301</v>
      </c>
      <c r="E1282" t="s">
        <v>374</v>
      </c>
      <c r="F1282" t="s">
        <v>375</v>
      </c>
      <c r="G1282">
        <v>2</v>
      </c>
      <c r="H1282" t="s">
        <v>524</v>
      </c>
      <c r="I1282" s="4">
        <f t="shared" si="166"/>
        <v>2</v>
      </c>
      <c r="J1282">
        <f t="shared" si="167"/>
        <v>4</v>
      </c>
      <c r="K1282">
        <v>78</v>
      </c>
      <c r="L1282">
        <v>22</v>
      </c>
      <c r="M1282" s="2">
        <v>3.55</v>
      </c>
      <c r="N1282" s="2">
        <v>3.32</v>
      </c>
      <c r="O1282">
        <v>1</v>
      </c>
      <c r="P1282">
        <v>6</v>
      </c>
      <c r="Q1282" t="s">
        <v>567</v>
      </c>
      <c r="R1282" t="s">
        <v>260</v>
      </c>
      <c r="S1282" t="str">
        <f t="shared" si="165"/>
        <v>PA</v>
      </c>
    </row>
    <row r="1283" spans="1:19" x14ac:dyDescent="0.3">
      <c r="A1283" t="s">
        <v>12</v>
      </c>
      <c r="B1283">
        <v>2016110030</v>
      </c>
      <c r="C1283" t="s">
        <v>301</v>
      </c>
      <c r="E1283" t="s">
        <v>14</v>
      </c>
      <c r="F1283" t="s">
        <v>15</v>
      </c>
      <c r="G1283">
        <v>2</v>
      </c>
      <c r="H1283" t="s">
        <v>524</v>
      </c>
      <c r="I1283" s="4">
        <f t="shared" si="166"/>
        <v>2</v>
      </c>
      <c r="J1283">
        <f t="shared" si="167"/>
        <v>4</v>
      </c>
      <c r="K1283">
        <v>34</v>
      </c>
      <c r="L1283">
        <v>12</v>
      </c>
      <c r="M1283" s="2">
        <v>2.83</v>
      </c>
      <c r="N1283" s="2">
        <v>3.32</v>
      </c>
      <c r="O1283">
        <v>0</v>
      </c>
      <c r="P1283">
        <v>7</v>
      </c>
      <c r="Q1283" t="s">
        <v>568</v>
      </c>
      <c r="R1283" t="s">
        <v>596</v>
      </c>
      <c r="S1283" t="str">
        <f t="shared" si="165"/>
        <v>PA</v>
      </c>
    </row>
    <row r="1284" spans="1:19" x14ac:dyDescent="0.3">
      <c r="A1284" t="s">
        <v>12</v>
      </c>
      <c r="B1284">
        <v>2016110031</v>
      </c>
      <c r="C1284" t="s">
        <v>415</v>
      </c>
      <c r="E1284" t="s">
        <v>77</v>
      </c>
      <c r="F1284" t="s">
        <v>78</v>
      </c>
      <c r="G1284">
        <v>2</v>
      </c>
      <c r="H1284" t="s">
        <v>260</v>
      </c>
      <c r="I1284" s="4">
        <f t="shared" si="166"/>
        <v>4</v>
      </c>
      <c r="J1284">
        <f t="shared" si="167"/>
        <v>8</v>
      </c>
      <c r="K1284">
        <v>50</v>
      </c>
      <c r="L1284">
        <v>20</v>
      </c>
      <c r="M1284" s="2">
        <v>2.5</v>
      </c>
      <c r="N1284" s="2">
        <v>2.5</v>
      </c>
      <c r="O1284">
        <v>0</v>
      </c>
      <c r="P1284">
        <v>1</v>
      </c>
      <c r="Q1284" t="s">
        <v>558</v>
      </c>
      <c r="R1284" t="s">
        <v>535</v>
      </c>
      <c r="S1284" t="str">
        <f t="shared" si="165"/>
        <v>PA</v>
      </c>
    </row>
    <row r="1285" spans="1:19" x14ac:dyDescent="0.3">
      <c r="A1285" t="s">
        <v>12</v>
      </c>
      <c r="B1285">
        <v>2016110031</v>
      </c>
      <c r="C1285" t="s">
        <v>415</v>
      </c>
      <c r="E1285" t="s">
        <v>151</v>
      </c>
      <c r="F1285" t="s">
        <v>152</v>
      </c>
      <c r="G1285">
        <v>2</v>
      </c>
      <c r="H1285" t="s">
        <v>438</v>
      </c>
      <c r="I1285" s="4">
        <f t="shared" si="166"/>
        <v>3</v>
      </c>
      <c r="J1285">
        <f t="shared" si="167"/>
        <v>6</v>
      </c>
      <c r="K1285">
        <v>50</v>
      </c>
      <c r="L1285">
        <v>20</v>
      </c>
      <c r="M1285" s="2">
        <v>2.5</v>
      </c>
      <c r="N1285" s="2">
        <v>2.5</v>
      </c>
      <c r="O1285">
        <v>0</v>
      </c>
      <c r="P1285">
        <v>1</v>
      </c>
      <c r="Q1285" t="s">
        <v>558</v>
      </c>
      <c r="R1285" t="s">
        <v>535</v>
      </c>
      <c r="S1285" t="str">
        <f t="shared" si="165"/>
        <v>PA</v>
      </c>
    </row>
    <row r="1286" spans="1:19" x14ac:dyDescent="0.3">
      <c r="A1286" t="s">
        <v>12</v>
      </c>
      <c r="B1286">
        <v>2016110031</v>
      </c>
      <c r="C1286" t="s">
        <v>415</v>
      </c>
      <c r="E1286" t="s">
        <v>437</v>
      </c>
      <c r="F1286" t="s">
        <v>169</v>
      </c>
      <c r="G1286">
        <v>4</v>
      </c>
      <c r="H1286" t="s">
        <v>438</v>
      </c>
      <c r="I1286" s="4">
        <f t="shared" si="166"/>
        <v>3</v>
      </c>
      <c r="J1286">
        <f t="shared" si="167"/>
        <v>12</v>
      </c>
      <c r="K1286">
        <v>50</v>
      </c>
      <c r="L1286">
        <v>20</v>
      </c>
      <c r="M1286" s="2">
        <v>2.5</v>
      </c>
      <c r="N1286" s="2">
        <v>2.5</v>
      </c>
      <c r="O1286">
        <v>0</v>
      </c>
      <c r="P1286">
        <v>1</v>
      </c>
      <c r="Q1286" t="s">
        <v>558</v>
      </c>
      <c r="R1286" t="s">
        <v>535</v>
      </c>
      <c r="S1286" t="str">
        <f t="shared" si="165"/>
        <v>PA</v>
      </c>
    </row>
    <row r="1287" spans="1:19" x14ac:dyDescent="0.3">
      <c r="A1287" t="s">
        <v>12</v>
      </c>
      <c r="B1287">
        <v>2016110031</v>
      </c>
      <c r="C1287" t="s">
        <v>415</v>
      </c>
      <c r="E1287" t="s">
        <v>165</v>
      </c>
      <c r="F1287" t="s">
        <v>166</v>
      </c>
      <c r="G1287">
        <v>2</v>
      </c>
      <c r="H1287" t="s">
        <v>438</v>
      </c>
      <c r="I1287" s="4">
        <f t="shared" si="166"/>
        <v>3</v>
      </c>
      <c r="J1287">
        <f t="shared" si="167"/>
        <v>6</v>
      </c>
      <c r="K1287">
        <v>50</v>
      </c>
      <c r="L1287">
        <v>20</v>
      </c>
      <c r="M1287" s="2">
        <v>2.5</v>
      </c>
      <c r="N1287" s="2">
        <v>2.5</v>
      </c>
      <c r="O1287">
        <v>0</v>
      </c>
      <c r="P1287">
        <v>1</v>
      </c>
      <c r="Q1287" t="s">
        <v>558</v>
      </c>
      <c r="R1287" t="s">
        <v>535</v>
      </c>
      <c r="S1287" t="str">
        <f t="shared" si="165"/>
        <v>PA</v>
      </c>
    </row>
    <row r="1288" spans="1:19" x14ac:dyDescent="0.3">
      <c r="A1288" t="s">
        <v>12</v>
      </c>
      <c r="B1288">
        <v>2016110031</v>
      </c>
      <c r="C1288" t="s">
        <v>415</v>
      </c>
      <c r="E1288" t="s">
        <v>131</v>
      </c>
      <c r="F1288" t="s">
        <v>132</v>
      </c>
      <c r="G1288">
        <v>2</v>
      </c>
      <c r="H1288" t="s">
        <v>438</v>
      </c>
      <c r="I1288" s="4">
        <f t="shared" si="166"/>
        <v>3</v>
      </c>
      <c r="J1288">
        <f t="shared" si="167"/>
        <v>6</v>
      </c>
      <c r="K1288">
        <v>50</v>
      </c>
      <c r="L1288">
        <v>20</v>
      </c>
      <c r="M1288" s="2">
        <v>2.5</v>
      </c>
      <c r="N1288" s="2">
        <v>2.5</v>
      </c>
      <c r="O1288">
        <v>0</v>
      </c>
      <c r="P1288">
        <v>1</v>
      </c>
      <c r="Q1288" t="s">
        <v>558</v>
      </c>
      <c r="R1288" t="s">
        <v>535</v>
      </c>
      <c r="S1288" t="str">
        <f t="shared" si="165"/>
        <v>PA</v>
      </c>
    </row>
    <row r="1289" spans="1:19" x14ac:dyDescent="0.3">
      <c r="A1289" t="s">
        <v>12</v>
      </c>
      <c r="B1289">
        <v>2016110031</v>
      </c>
      <c r="C1289" t="s">
        <v>415</v>
      </c>
      <c r="E1289" t="s">
        <v>90</v>
      </c>
      <c r="F1289" t="s">
        <v>91</v>
      </c>
      <c r="G1289">
        <v>2</v>
      </c>
      <c r="H1289" t="s">
        <v>524</v>
      </c>
      <c r="I1289" s="4">
        <f t="shared" si="166"/>
        <v>2</v>
      </c>
      <c r="J1289">
        <f t="shared" si="167"/>
        <v>4</v>
      </c>
      <c r="K1289">
        <v>50</v>
      </c>
      <c r="L1289">
        <v>20</v>
      </c>
      <c r="M1289" s="2">
        <v>2.5</v>
      </c>
      <c r="N1289" s="2">
        <v>2.5</v>
      </c>
      <c r="O1289">
        <v>0</v>
      </c>
      <c r="P1289">
        <v>1</v>
      </c>
      <c r="Q1289" t="s">
        <v>558</v>
      </c>
      <c r="R1289" t="s">
        <v>535</v>
      </c>
      <c r="S1289" t="str">
        <f t="shared" si="165"/>
        <v>PA</v>
      </c>
    </row>
    <row r="1290" spans="1:19" x14ac:dyDescent="0.3">
      <c r="A1290" t="s">
        <v>12</v>
      </c>
      <c r="B1290">
        <v>2016110031</v>
      </c>
      <c r="C1290" t="s">
        <v>415</v>
      </c>
      <c r="E1290" t="s">
        <v>142</v>
      </c>
      <c r="F1290" t="s">
        <v>143</v>
      </c>
      <c r="G1290">
        <v>2</v>
      </c>
      <c r="H1290" t="s">
        <v>524</v>
      </c>
      <c r="I1290" s="4">
        <f t="shared" si="166"/>
        <v>2</v>
      </c>
      <c r="J1290">
        <f t="shared" si="167"/>
        <v>4</v>
      </c>
      <c r="K1290">
        <v>50</v>
      </c>
      <c r="L1290">
        <v>20</v>
      </c>
      <c r="M1290" s="2">
        <v>2.5</v>
      </c>
      <c r="N1290" s="2">
        <v>2.5</v>
      </c>
      <c r="O1290">
        <v>0</v>
      </c>
      <c r="P1290">
        <v>1</v>
      </c>
      <c r="Q1290" t="s">
        <v>558</v>
      </c>
      <c r="R1290" t="s">
        <v>535</v>
      </c>
      <c r="S1290" t="str">
        <f t="shared" si="165"/>
        <v>PA</v>
      </c>
    </row>
    <row r="1291" spans="1:19" x14ac:dyDescent="0.3">
      <c r="A1291" t="s">
        <v>12</v>
      </c>
      <c r="B1291">
        <v>2016110031</v>
      </c>
      <c r="C1291" t="s">
        <v>415</v>
      </c>
      <c r="E1291" t="s">
        <v>122</v>
      </c>
      <c r="F1291" t="s">
        <v>123</v>
      </c>
      <c r="G1291">
        <v>4</v>
      </c>
      <c r="H1291" t="s">
        <v>535</v>
      </c>
      <c r="I1291" s="4">
        <f t="shared" si="166"/>
        <v>1</v>
      </c>
      <c r="J1291">
        <f t="shared" si="167"/>
        <v>4</v>
      </c>
      <c r="K1291">
        <v>50</v>
      </c>
      <c r="L1291">
        <v>20</v>
      </c>
      <c r="M1291" s="2">
        <v>2.5</v>
      </c>
      <c r="N1291" s="2">
        <v>2.5</v>
      </c>
      <c r="O1291">
        <v>0</v>
      </c>
      <c r="P1291">
        <v>1</v>
      </c>
      <c r="Q1291" t="s">
        <v>558</v>
      </c>
      <c r="R1291" t="s">
        <v>535</v>
      </c>
      <c r="S1291" t="str">
        <f t="shared" si="165"/>
        <v>FA</v>
      </c>
    </row>
    <row r="1292" spans="1:19" x14ac:dyDescent="0.3">
      <c r="A1292" t="s">
        <v>12</v>
      </c>
      <c r="B1292">
        <v>2016110033</v>
      </c>
      <c r="C1292" t="s">
        <v>172</v>
      </c>
      <c r="E1292" t="s">
        <v>100</v>
      </c>
      <c r="F1292" t="s">
        <v>101</v>
      </c>
      <c r="G1292">
        <v>4</v>
      </c>
      <c r="I1292" s="4"/>
      <c r="J1292">
        <f>G1292*I1292</f>
        <v>0</v>
      </c>
      <c r="K1292">
        <v>14</v>
      </c>
      <c r="L1292">
        <v>6</v>
      </c>
      <c r="M1292" s="2">
        <v>2.33</v>
      </c>
      <c r="N1292" s="2">
        <v>2.62</v>
      </c>
      <c r="O1292">
        <v>0</v>
      </c>
      <c r="P1292">
        <v>2</v>
      </c>
      <c r="Q1292" t="s">
        <v>559</v>
      </c>
      <c r="R1292" t="s">
        <v>535</v>
      </c>
      <c r="S1292" t="s">
        <v>595</v>
      </c>
    </row>
    <row r="1293" spans="1:19" x14ac:dyDescent="0.3">
      <c r="A1293" t="s">
        <v>12</v>
      </c>
      <c r="B1293">
        <v>2016110033</v>
      </c>
      <c r="C1293" t="s">
        <v>172</v>
      </c>
      <c r="E1293" t="s">
        <v>97</v>
      </c>
      <c r="F1293" t="s">
        <v>98</v>
      </c>
      <c r="G1293">
        <v>4</v>
      </c>
      <c r="I1293" s="4"/>
      <c r="J1293">
        <f t="shared" ref="J1293:J1294" si="168">G1293*I1293</f>
        <v>0</v>
      </c>
      <c r="K1293">
        <v>14</v>
      </c>
      <c r="L1293">
        <v>6</v>
      </c>
      <c r="M1293" s="2">
        <v>2.33</v>
      </c>
      <c r="N1293" s="2">
        <v>2.62</v>
      </c>
      <c r="O1293">
        <v>0</v>
      </c>
      <c r="P1293">
        <v>2</v>
      </c>
      <c r="Q1293" t="s">
        <v>559</v>
      </c>
      <c r="R1293" t="s">
        <v>535</v>
      </c>
      <c r="S1293" t="s">
        <v>595</v>
      </c>
    </row>
    <row r="1294" spans="1:19" x14ac:dyDescent="0.3">
      <c r="A1294" t="s">
        <v>12</v>
      </c>
      <c r="B1294">
        <v>2016110033</v>
      </c>
      <c r="C1294" t="s">
        <v>172</v>
      </c>
      <c r="E1294" t="s">
        <v>103</v>
      </c>
      <c r="F1294" t="s">
        <v>104</v>
      </c>
      <c r="G1294">
        <v>4</v>
      </c>
      <c r="I1294" s="4"/>
      <c r="J1294">
        <f t="shared" si="168"/>
        <v>0</v>
      </c>
      <c r="K1294">
        <v>14</v>
      </c>
      <c r="L1294">
        <v>6</v>
      </c>
      <c r="M1294" s="2">
        <v>2.33</v>
      </c>
      <c r="N1294" s="2">
        <v>2.62</v>
      </c>
      <c r="O1294">
        <v>0</v>
      </c>
      <c r="P1294">
        <v>2</v>
      </c>
      <c r="Q1294" t="s">
        <v>559</v>
      </c>
      <c r="R1294" t="s">
        <v>535</v>
      </c>
      <c r="S1294" t="s">
        <v>595</v>
      </c>
    </row>
    <row r="1295" spans="1:19" x14ac:dyDescent="0.3">
      <c r="A1295" t="s">
        <v>12</v>
      </c>
      <c r="B1295">
        <v>2016110033</v>
      </c>
      <c r="C1295" t="s">
        <v>172</v>
      </c>
      <c r="E1295" t="s">
        <v>77</v>
      </c>
      <c r="F1295" t="s">
        <v>78</v>
      </c>
      <c r="G1295">
        <v>2</v>
      </c>
      <c r="H1295" t="s">
        <v>260</v>
      </c>
      <c r="I1295" s="4">
        <f>IF(H1295="A",4,IF(H1295="B",3,IF(H1295="C",2,IF(H1295="D",1,0))))</f>
        <v>4</v>
      </c>
      <c r="J1295">
        <f>G1295*I1295</f>
        <v>8</v>
      </c>
      <c r="K1295">
        <v>54</v>
      </c>
      <c r="L1295">
        <v>20</v>
      </c>
      <c r="M1295" s="2">
        <v>2.7</v>
      </c>
      <c r="N1295" s="2">
        <v>2.62</v>
      </c>
      <c r="O1295">
        <v>0</v>
      </c>
      <c r="P1295">
        <v>1</v>
      </c>
      <c r="Q1295" t="s">
        <v>558</v>
      </c>
      <c r="R1295" t="s">
        <v>260</v>
      </c>
      <c r="S1295" t="str">
        <f t="shared" ref="S1295:S1304" si="169">IF(OR(H1295="A",H1295="B",H1295="C"),"PA","FA")</f>
        <v>PA</v>
      </c>
    </row>
    <row r="1296" spans="1:19" x14ac:dyDescent="0.3">
      <c r="A1296" t="s">
        <v>12</v>
      </c>
      <c r="B1296">
        <v>2016110033</v>
      </c>
      <c r="C1296" t="s">
        <v>172</v>
      </c>
      <c r="E1296" t="s">
        <v>131</v>
      </c>
      <c r="F1296" t="s">
        <v>132</v>
      </c>
      <c r="G1296">
        <v>2</v>
      </c>
      <c r="H1296" t="s">
        <v>260</v>
      </c>
      <c r="I1296" s="4">
        <f t="shared" ref="I1296:I1304" si="170">IF(H1296="A",4,IF(H1296="B",3,IF(H1296="C",2,IF(H1296="D",1,0))))</f>
        <v>4</v>
      </c>
      <c r="J1296">
        <f t="shared" ref="J1296:J1304" si="171">G1296*I1296</f>
        <v>8</v>
      </c>
      <c r="K1296">
        <v>54</v>
      </c>
      <c r="L1296">
        <v>20</v>
      </c>
      <c r="M1296" s="2">
        <v>2.7</v>
      </c>
      <c r="N1296" s="2">
        <v>2.62</v>
      </c>
      <c r="O1296">
        <v>0</v>
      </c>
      <c r="P1296">
        <v>1</v>
      </c>
      <c r="Q1296" t="s">
        <v>558</v>
      </c>
      <c r="R1296" t="s">
        <v>260</v>
      </c>
      <c r="S1296" t="str">
        <f t="shared" si="169"/>
        <v>PA</v>
      </c>
    </row>
    <row r="1297" spans="1:19" x14ac:dyDescent="0.3">
      <c r="A1297" t="s">
        <v>12</v>
      </c>
      <c r="B1297">
        <v>2016110033</v>
      </c>
      <c r="C1297" t="s">
        <v>172</v>
      </c>
      <c r="E1297" t="s">
        <v>151</v>
      </c>
      <c r="F1297" t="s">
        <v>152</v>
      </c>
      <c r="G1297">
        <v>2</v>
      </c>
      <c r="H1297" t="s">
        <v>438</v>
      </c>
      <c r="I1297" s="4">
        <f t="shared" si="170"/>
        <v>3</v>
      </c>
      <c r="J1297">
        <f t="shared" si="171"/>
        <v>6</v>
      </c>
      <c r="K1297">
        <v>54</v>
      </c>
      <c r="L1297">
        <v>20</v>
      </c>
      <c r="M1297" s="2">
        <v>2.7</v>
      </c>
      <c r="N1297" s="2">
        <v>2.62</v>
      </c>
      <c r="O1297">
        <v>0</v>
      </c>
      <c r="P1297">
        <v>1</v>
      </c>
      <c r="Q1297" t="s">
        <v>558</v>
      </c>
      <c r="R1297" t="s">
        <v>260</v>
      </c>
      <c r="S1297" t="str">
        <f t="shared" si="169"/>
        <v>PA</v>
      </c>
    </row>
    <row r="1298" spans="1:19" x14ac:dyDescent="0.3">
      <c r="A1298" t="s">
        <v>12</v>
      </c>
      <c r="B1298">
        <v>2016110033</v>
      </c>
      <c r="C1298" t="s">
        <v>172</v>
      </c>
      <c r="E1298" t="s">
        <v>290</v>
      </c>
      <c r="F1298" t="s">
        <v>327</v>
      </c>
      <c r="G1298">
        <v>4</v>
      </c>
      <c r="H1298" t="s">
        <v>438</v>
      </c>
      <c r="I1298" s="4">
        <f t="shared" si="170"/>
        <v>3</v>
      </c>
      <c r="J1298">
        <f t="shared" si="171"/>
        <v>12</v>
      </c>
      <c r="K1298">
        <v>14</v>
      </c>
      <c r="L1298">
        <v>6</v>
      </c>
      <c r="M1298" s="2">
        <v>2.33</v>
      </c>
      <c r="N1298" s="2">
        <v>2.62</v>
      </c>
      <c r="O1298">
        <v>0</v>
      </c>
      <c r="P1298">
        <v>2</v>
      </c>
      <c r="Q1298" t="s">
        <v>559</v>
      </c>
      <c r="R1298" t="s">
        <v>535</v>
      </c>
      <c r="S1298" t="str">
        <f t="shared" si="169"/>
        <v>PA</v>
      </c>
    </row>
    <row r="1299" spans="1:19" x14ac:dyDescent="0.3">
      <c r="A1299" t="s">
        <v>12</v>
      </c>
      <c r="B1299">
        <v>2016110033</v>
      </c>
      <c r="C1299" t="s">
        <v>172</v>
      </c>
      <c r="E1299" t="s">
        <v>142</v>
      </c>
      <c r="F1299" t="s">
        <v>143</v>
      </c>
      <c r="G1299">
        <v>2</v>
      </c>
      <c r="H1299" t="s">
        <v>438</v>
      </c>
      <c r="I1299" s="4">
        <f t="shared" si="170"/>
        <v>3</v>
      </c>
      <c r="J1299">
        <f t="shared" si="171"/>
        <v>6</v>
      </c>
      <c r="K1299">
        <v>54</v>
      </c>
      <c r="L1299">
        <v>20</v>
      </c>
      <c r="M1299" s="2">
        <v>2.7</v>
      </c>
      <c r="N1299" s="2">
        <v>2.62</v>
      </c>
      <c r="O1299">
        <v>0</v>
      </c>
      <c r="P1299">
        <v>1</v>
      </c>
      <c r="Q1299" t="s">
        <v>558</v>
      </c>
      <c r="R1299" t="s">
        <v>260</v>
      </c>
      <c r="S1299" t="str">
        <f t="shared" si="169"/>
        <v>PA</v>
      </c>
    </row>
    <row r="1300" spans="1:19" x14ac:dyDescent="0.3">
      <c r="A1300" t="s">
        <v>12</v>
      </c>
      <c r="B1300">
        <v>2016110033</v>
      </c>
      <c r="C1300" t="s">
        <v>172</v>
      </c>
      <c r="E1300" t="s">
        <v>165</v>
      </c>
      <c r="F1300" t="s">
        <v>166</v>
      </c>
      <c r="G1300">
        <v>2</v>
      </c>
      <c r="H1300" t="s">
        <v>438</v>
      </c>
      <c r="I1300" s="4">
        <f t="shared" si="170"/>
        <v>3</v>
      </c>
      <c r="J1300">
        <f t="shared" si="171"/>
        <v>6</v>
      </c>
      <c r="K1300">
        <v>54</v>
      </c>
      <c r="L1300">
        <v>20</v>
      </c>
      <c r="M1300" s="2">
        <v>2.7</v>
      </c>
      <c r="N1300" s="2">
        <v>2.62</v>
      </c>
      <c r="O1300">
        <v>0</v>
      </c>
      <c r="P1300">
        <v>1</v>
      </c>
      <c r="Q1300" t="s">
        <v>558</v>
      </c>
      <c r="R1300" t="s">
        <v>260</v>
      </c>
      <c r="S1300" t="str">
        <f t="shared" si="169"/>
        <v>PA</v>
      </c>
    </row>
    <row r="1301" spans="1:19" x14ac:dyDescent="0.3">
      <c r="A1301" t="s">
        <v>12</v>
      </c>
      <c r="B1301">
        <v>2016110033</v>
      </c>
      <c r="C1301" t="s">
        <v>172</v>
      </c>
      <c r="E1301" t="s">
        <v>122</v>
      </c>
      <c r="F1301" t="s">
        <v>123</v>
      </c>
      <c r="G1301">
        <v>4</v>
      </c>
      <c r="H1301" t="s">
        <v>524</v>
      </c>
      <c r="I1301" s="4">
        <f t="shared" si="170"/>
        <v>2</v>
      </c>
      <c r="J1301">
        <f t="shared" si="171"/>
        <v>8</v>
      </c>
      <c r="K1301">
        <v>54</v>
      </c>
      <c r="L1301">
        <v>20</v>
      </c>
      <c r="M1301" s="2">
        <v>2.7</v>
      </c>
      <c r="N1301" s="2">
        <v>2.62</v>
      </c>
      <c r="O1301">
        <v>0</v>
      </c>
      <c r="P1301">
        <v>1</v>
      </c>
      <c r="Q1301" t="s">
        <v>558</v>
      </c>
      <c r="R1301" t="s">
        <v>260</v>
      </c>
      <c r="S1301" t="str">
        <f t="shared" si="169"/>
        <v>PA</v>
      </c>
    </row>
    <row r="1302" spans="1:19" x14ac:dyDescent="0.3">
      <c r="A1302" t="s">
        <v>12</v>
      </c>
      <c r="B1302">
        <v>2016110033</v>
      </c>
      <c r="C1302" t="s">
        <v>172</v>
      </c>
      <c r="E1302" t="s">
        <v>437</v>
      </c>
      <c r="F1302" t="s">
        <v>169</v>
      </c>
      <c r="G1302">
        <v>4</v>
      </c>
      <c r="H1302" t="s">
        <v>524</v>
      </c>
      <c r="I1302" s="4">
        <f t="shared" si="170"/>
        <v>2</v>
      </c>
      <c r="J1302">
        <f t="shared" si="171"/>
        <v>8</v>
      </c>
      <c r="K1302">
        <v>54</v>
      </c>
      <c r="L1302">
        <v>20</v>
      </c>
      <c r="M1302" s="2">
        <v>2.7</v>
      </c>
      <c r="N1302" s="2">
        <v>2.62</v>
      </c>
      <c r="O1302">
        <v>0</v>
      </c>
      <c r="P1302">
        <v>1</v>
      </c>
      <c r="Q1302" t="s">
        <v>558</v>
      </c>
      <c r="R1302" t="s">
        <v>260</v>
      </c>
      <c r="S1302" t="str">
        <f t="shared" si="169"/>
        <v>PA</v>
      </c>
    </row>
    <row r="1303" spans="1:19" x14ac:dyDescent="0.3">
      <c r="A1303" t="s">
        <v>12</v>
      </c>
      <c r="B1303">
        <v>2016110033</v>
      </c>
      <c r="C1303" t="s">
        <v>172</v>
      </c>
      <c r="E1303" t="s">
        <v>90</v>
      </c>
      <c r="F1303" t="s">
        <v>91</v>
      </c>
      <c r="G1303">
        <v>2</v>
      </c>
      <c r="H1303" t="s">
        <v>524</v>
      </c>
      <c r="I1303" s="4">
        <f t="shared" si="170"/>
        <v>2</v>
      </c>
      <c r="J1303">
        <f t="shared" si="171"/>
        <v>4</v>
      </c>
      <c r="K1303">
        <v>54</v>
      </c>
      <c r="L1303">
        <v>20</v>
      </c>
      <c r="M1303" s="2">
        <v>2.7</v>
      </c>
      <c r="N1303" s="2">
        <v>2.62</v>
      </c>
      <c r="O1303">
        <v>0</v>
      </c>
      <c r="P1303">
        <v>1</v>
      </c>
      <c r="Q1303" t="s">
        <v>558</v>
      </c>
      <c r="R1303" t="s">
        <v>260</v>
      </c>
      <c r="S1303" t="str">
        <f t="shared" si="169"/>
        <v>PA</v>
      </c>
    </row>
    <row r="1304" spans="1:19" x14ac:dyDescent="0.3">
      <c r="A1304" t="s">
        <v>12</v>
      </c>
      <c r="B1304">
        <v>2016110033</v>
      </c>
      <c r="C1304" t="s">
        <v>172</v>
      </c>
      <c r="E1304" t="s">
        <v>279</v>
      </c>
      <c r="F1304" t="s">
        <v>280</v>
      </c>
      <c r="G1304">
        <v>2</v>
      </c>
      <c r="H1304" t="s">
        <v>535</v>
      </c>
      <c r="I1304" s="4">
        <f t="shared" si="170"/>
        <v>1</v>
      </c>
      <c r="J1304">
        <f t="shared" si="171"/>
        <v>2</v>
      </c>
      <c r="K1304">
        <v>14</v>
      </c>
      <c r="L1304">
        <v>6</v>
      </c>
      <c r="M1304" s="2">
        <v>2.33</v>
      </c>
      <c r="N1304" s="2">
        <v>2.62</v>
      </c>
      <c r="O1304">
        <v>0</v>
      </c>
      <c r="P1304">
        <v>2</v>
      </c>
      <c r="Q1304" t="s">
        <v>559</v>
      </c>
      <c r="R1304" t="s">
        <v>535</v>
      </c>
      <c r="S1304" t="str">
        <f t="shared" si="169"/>
        <v>FA</v>
      </c>
    </row>
    <row r="1305" spans="1:19" x14ac:dyDescent="0.3">
      <c r="A1305" t="s">
        <v>12</v>
      </c>
      <c r="B1305">
        <v>2016110033</v>
      </c>
      <c r="C1305" t="s">
        <v>172</v>
      </c>
      <c r="E1305" t="s">
        <v>139</v>
      </c>
      <c r="F1305" t="s">
        <v>140</v>
      </c>
      <c r="G1305">
        <v>2</v>
      </c>
      <c r="I1305" s="4"/>
      <c r="J1305">
        <f t="shared" ref="J1305" si="172">G1305*I1305</f>
        <v>0</v>
      </c>
      <c r="K1305">
        <v>14</v>
      </c>
      <c r="L1305">
        <v>6</v>
      </c>
      <c r="M1305" s="2">
        <v>2.33</v>
      </c>
      <c r="N1305" s="2">
        <v>2.62</v>
      </c>
      <c r="O1305">
        <v>0</v>
      </c>
      <c r="P1305">
        <v>2</v>
      </c>
      <c r="Q1305" t="s">
        <v>559</v>
      </c>
      <c r="R1305" t="s">
        <v>535</v>
      </c>
      <c r="S1305" t="s">
        <v>595</v>
      </c>
    </row>
    <row r="1306" spans="1:19" x14ac:dyDescent="0.3">
      <c r="A1306" t="s">
        <v>12</v>
      </c>
      <c r="B1306">
        <v>2016110034</v>
      </c>
      <c r="C1306" t="s">
        <v>204</v>
      </c>
      <c r="E1306" t="s">
        <v>142</v>
      </c>
      <c r="F1306" t="s">
        <v>143</v>
      </c>
      <c r="G1306">
        <v>2</v>
      </c>
      <c r="I1306" s="4"/>
      <c r="J1306">
        <f>G1306*I1306</f>
        <v>0</v>
      </c>
      <c r="K1306">
        <v>0</v>
      </c>
      <c r="L1306">
        <v>10</v>
      </c>
      <c r="M1306" s="2">
        <v>0</v>
      </c>
      <c r="N1306" s="2">
        <v>0</v>
      </c>
      <c r="O1306">
        <v>0</v>
      </c>
      <c r="P1306">
        <v>1</v>
      </c>
      <c r="Q1306" t="s">
        <v>558</v>
      </c>
      <c r="R1306" t="s">
        <v>535</v>
      </c>
      <c r="S1306" t="s">
        <v>595</v>
      </c>
    </row>
    <row r="1307" spans="1:19" x14ac:dyDescent="0.3">
      <c r="A1307" t="s">
        <v>12</v>
      </c>
      <c r="B1307">
        <v>2016110034</v>
      </c>
      <c r="C1307" t="s">
        <v>204</v>
      </c>
      <c r="E1307" t="s">
        <v>165</v>
      </c>
      <c r="F1307" t="s">
        <v>166</v>
      </c>
      <c r="G1307">
        <v>2</v>
      </c>
      <c r="I1307" s="4"/>
      <c r="J1307">
        <f t="shared" ref="J1307:J1313" si="173">G1307*I1307</f>
        <v>0</v>
      </c>
      <c r="K1307">
        <v>0</v>
      </c>
      <c r="L1307">
        <v>10</v>
      </c>
      <c r="M1307" s="2">
        <v>0</v>
      </c>
      <c r="N1307" s="2">
        <v>0</v>
      </c>
      <c r="O1307">
        <v>0</v>
      </c>
      <c r="P1307">
        <v>1</v>
      </c>
      <c r="Q1307" t="s">
        <v>558</v>
      </c>
      <c r="R1307" t="s">
        <v>535</v>
      </c>
      <c r="S1307" t="s">
        <v>595</v>
      </c>
    </row>
    <row r="1308" spans="1:19" x14ac:dyDescent="0.3">
      <c r="A1308" t="s">
        <v>12</v>
      </c>
      <c r="B1308">
        <v>2016110034</v>
      </c>
      <c r="C1308" t="s">
        <v>204</v>
      </c>
      <c r="E1308" t="s">
        <v>122</v>
      </c>
      <c r="F1308" t="s">
        <v>123</v>
      </c>
      <c r="G1308">
        <v>4</v>
      </c>
      <c r="I1308" s="4"/>
      <c r="J1308">
        <f t="shared" si="173"/>
        <v>0</v>
      </c>
      <c r="K1308">
        <v>0</v>
      </c>
      <c r="L1308">
        <v>10</v>
      </c>
      <c r="M1308" s="2">
        <v>0</v>
      </c>
      <c r="N1308" s="2">
        <v>0</v>
      </c>
      <c r="O1308">
        <v>0</v>
      </c>
      <c r="P1308">
        <v>1</v>
      </c>
      <c r="Q1308" t="s">
        <v>558</v>
      </c>
      <c r="R1308" t="s">
        <v>535</v>
      </c>
      <c r="S1308" t="s">
        <v>595</v>
      </c>
    </row>
    <row r="1309" spans="1:19" x14ac:dyDescent="0.3">
      <c r="A1309" t="s">
        <v>12</v>
      </c>
      <c r="B1309">
        <v>2016110034</v>
      </c>
      <c r="C1309" t="s">
        <v>204</v>
      </c>
      <c r="E1309" t="s">
        <v>151</v>
      </c>
      <c r="F1309" t="s">
        <v>152</v>
      </c>
      <c r="G1309">
        <v>2</v>
      </c>
      <c r="I1309" s="4"/>
      <c r="J1309">
        <f t="shared" si="173"/>
        <v>0</v>
      </c>
      <c r="K1309">
        <v>0</v>
      </c>
      <c r="L1309">
        <v>10</v>
      </c>
      <c r="M1309" s="2">
        <v>0</v>
      </c>
      <c r="N1309" s="2">
        <v>0</v>
      </c>
      <c r="O1309">
        <v>0</v>
      </c>
      <c r="P1309">
        <v>1</v>
      </c>
      <c r="Q1309" t="s">
        <v>558</v>
      </c>
      <c r="R1309" t="s">
        <v>535</v>
      </c>
      <c r="S1309" t="s">
        <v>595</v>
      </c>
    </row>
    <row r="1310" spans="1:19" x14ac:dyDescent="0.3">
      <c r="A1310" t="s">
        <v>12</v>
      </c>
      <c r="B1310">
        <v>2016110034</v>
      </c>
      <c r="C1310" t="s">
        <v>204</v>
      </c>
      <c r="E1310" t="s">
        <v>437</v>
      </c>
      <c r="F1310" t="s">
        <v>169</v>
      </c>
      <c r="G1310">
        <v>4</v>
      </c>
      <c r="H1310" t="s">
        <v>539</v>
      </c>
      <c r="I1310" s="4">
        <f t="shared" ref="I1310:I1313" si="174">IF(H1310="A",4,IF(H1310="B",3,IF(H1310="C",2,IF(H1310="D",1,0))))</f>
        <v>0</v>
      </c>
      <c r="J1310">
        <f t="shared" si="173"/>
        <v>0</v>
      </c>
      <c r="K1310">
        <v>0</v>
      </c>
      <c r="L1310">
        <v>10</v>
      </c>
      <c r="M1310" s="2">
        <v>0</v>
      </c>
      <c r="N1310" s="2">
        <v>0</v>
      </c>
      <c r="O1310">
        <v>0</v>
      </c>
      <c r="P1310">
        <v>1</v>
      </c>
      <c r="Q1310" t="s">
        <v>558</v>
      </c>
      <c r="R1310" t="s">
        <v>535</v>
      </c>
      <c r="S1310" t="str">
        <f t="shared" ref="S1310:S1366" si="175">IF(OR(H1310="A",H1310="B",H1310="C"),"PA","FA")</f>
        <v>FA</v>
      </c>
    </row>
    <row r="1311" spans="1:19" x14ac:dyDescent="0.3">
      <c r="A1311" t="s">
        <v>12</v>
      </c>
      <c r="B1311">
        <v>2016110034</v>
      </c>
      <c r="C1311" t="s">
        <v>204</v>
      </c>
      <c r="E1311" t="s">
        <v>131</v>
      </c>
      <c r="F1311" t="s">
        <v>132</v>
      </c>
      <c r="G1311">
        <v>2</v>
      </c>
      <c r="H1311" t="s">
        <v>539</v>
      </c>
      <c r="I1311" s="4">
        <f t="shared" si="174"/>
        <v>0</v>
      </c>
      <c r="J1311">
        <f t="shared" si="173"/>
        <v>0</v>
      </c>
      <c r="K1311">
        <v>0</v>
      </c>
      <c r="L1311">
        <v>10</v>
      </c>
      <c r="M1311" s="2">
        <v>0</v>
      </c>
      <c r="N1311" s="2">
        <v>0</v>
      </c>
      <c r="O1311">
        <v>0</v>
      </c>
      <c r="P1311">
        <v>1</v>
      </c>
      <c r="Q1311" t="s">
        <v>558</v>
      </c>
      <c r="R1311" t="s">
        <v>535</v>
      </c>
      <c r="S1311" t="str">
        <f t="shared" si="175"/>
        <v>FA</v>
      </c>
    </row>
    <row r="1312" spans="1:19" x14ac:dyDescent="0.3">
      <c r="A1312" t="s">
        <v>12</v>
      </c>
      <c r="B1312">
        <v>2016110034</v>
      </c>
      <c r="C1312" t="s">
        <v>204</v>
      </c>
      <c r="E1312" t="s">
        <v>90</v>
      </c>
      <c r="F1312" t="s">
        <v>91</v>
      </c>
      <c r="G1312">
        <v>2</v>
      </c>
      <c r="H1312" t="s">
        <v>539</v>
      </c>
      <c r="I1312" s="4">
        <f t="shared" si="174"/>
        <v>0</v>
      </c>
      <c r="J1312">
        <f t="shared" si="173"/>
        <v>0</v>
      </c>
      <c r="K1312">
        <v>0</v>
      </c>
      <c r="L1312">
        <v>10</v>
      </c>
      <c r="M1312" s="2">
        <v>0</v>
      </c>
      <c r="N1312" s="2">
        <v>0</v>
      </c>
      <c r="O1312">
        <v>0</v>
      </c>
      <c r="P1312">
        <v>1</v>
      </c>
      <c r="Q1312" t="s">
        <v>558</v>
      </c>
      <c r="R1312" t="s">
        <v>535</v>
      </c>
      <c r="S1312" t="str">
        <f t="shared" si="175"/>
        <v>FA</v>
      </c>
    </row>
    <row r="1313" spans="1:19" x14ac:dyDescent="0.3">
      <c r="A1313" t="s">
        <v>12</v>
      </c>
      <c r="B1313">
        <v>2016110034</v>
      </c>
      <c r="C1313" t="s">
        <v>204</v>
      </c>
      <c r="E1313" t="s">
        <v>77</v>
      </c>
      <c r="F1313" t="s">
        <v>78</v>
      </c>
      <c r="G1313">
        <v>2</v>
      </c>
      <c r="H1313" t="s">
        <v>539</v>
      </c>
      <c r="I1313" s="4">
        <f t="shared" si="174"/>
        <v>0</v>
      </c>
      <c r="J1313">
        <f t="shared" si="173"/>
        <v>0</v>
      </c>
      <c r="K1313">
        <v>0</v>
      </c>
      <c r="L1313">
        <v>10</v>
      </c>
      <c r="M1313" s="2">
        <v>0</v>
      </c>
      <c r="N1313" s="2">
        <v>0</v>
      </c>
      <c r="O1313">
        <v>0</v>
      </c>
      <c r="P1313">
        <v>1</v>
      </c>
      <c r="Q1313" t="s">
        <v>558</v>
      </c>
      <c r="R1313" t="s">
        <v>535</v>
      </c>
      <c r="S1313" t="str">
        <f t="shared" si="175"/>
        <v>FA</v>
      </c>
    </row>
    <row r="1314" spans="1:19" x14ac:dyDescent="0.3">
      <c r="A1314" t="s">
        <v>12</v>
      </c>
      <c r="B1314">
        <v>2016110036</v>
      </c>
      <c r="C1314" t="s">
        <v>292</v>
      </c>
      <c r="E1314" t="s">
        <v>293</v>
      </c>
      <c r="F1314" t="s">
        <v>294</v>
      </c>
      <c r="G1314">
        <v>2</v>
      </c>
      <c r="H1314" t="s">
        <v>260</v>
      </c>
      <c r="I1314" s="4">
        <f t="shared" ref="I1314" si="176">IF(H1314="A",4,IF(H1314="B",3,IF(H1314="C",2,IF(H1314="D",1,0))))</f>
        <v>4</v>
      </c>
      <c r="J1314">
        <f t="shared" ref="J1314" si="177">G1314*I1314</f>
        <v>8</v>
      </c>
      <c r="K1314">
        <v>86</v>
      </c>
      <c r="L1314">
        <v>24</v>
      </c>
      <c r="M1314" s="2">
        <v>3.58</v>
      </c>
      <c r="N1314" s="2">
        <v>3.44</v>
      </c>
      <c r="O1314">
        <v>0</v>
      </c>
      <c r="P1314">
        <v>5</v>
      </c>
      <c r="Q1314" t="s">
        <v>566</v>
      </c>
      <c r="R1314" t="s">
        <v>260</v>
      </c>
      <c r="S1314" t="str">
        <f t="shared" si="175"/>
        <v>PA</v>
      </c>
    </row>
    <row r="1315" spans="1:19" x14ac:dyDescent="0.3">
      <c r="A1315" t="s">
        <v>12</v>
      </c>
      <c r="B1315">
        <v>2016110036</v>
      </c>
      <c r="C1315" t="s">
        <v>292</v>
      </c>
      <c r="E1315" t="s">
        <v>170</v>
      </c>
      <c r="F1315" t="s">
        <v>171</v>
      </c>
      <c r="G1315">
        <v>4</v>
      </c>
      <c r="H1315" t="s">
        <v>260</v>
      </c>
      <c r="I1315" s="4">
        <f t="shared" ref="I1315:I1366" si="178">IF(H1315="A",4,IF(H1315="B",3,IF(H1315="C",2,IF(H1315="D",1,0))))</f>
        <v>4</v>
      </c>
      <c r="J1315">
        <f t="shared" ref="J1315:J1366" si="179">G1315*I1315</f>
        <v>16</v>
      </c>
      <c r="K1315">
        <v>78</v>
      </c>
      <c r="L1315">
        <v>22</v>
      </c>
      <c r="M1315" s="2">
        <v>3.55</v>
      </c>
      <c r="N1315" s="2">
        <v>3.44</v>
      </c>
      <c r="O1315">
        <v>0</v>
      </c>
      <c r="P1315">
        <v>3</v>
      </c>
      <c r="Q1315" t="s">
        <v>563</v>
      </c>
      <c r="R1315" t="s">
        <v>260</v>
      </c>
      <c r="S1315" t="str">
        <f t="shared" si="175"/>
        <v>PA</v>
      </c>
    </row>
    <row r="1316" spans="1:19" x14ac:dyDescent="0.3">
      <c r="A1316" t="s">
        <v>12</v>
      </c>
      <c r="B1316">
        <v>2016110036</v>
      </c>
      <c r="C1316" t="s">
        <v>292</v>
      </c>
      <c r="E1316" t="s">
        <v>316</v>
      </c>
      <c r="F1316" t="s">
        <v>317</v>
      </c>
      <c r="G1316">
        <v>2</v>
      </c>
      <c r="H1316" t="s">
        <v>260</v>
      </c>
      <c r="I1316" s="4">
        <f t="shared" si="178"/>
        <v>4</v>
      </c>
      <c r="J1316">
        <f t="shared" si="179"/>
        <v>8</v>
      </c>
      <c r="K1316">
        <v>56</v>
      </c>
      <c r="L1316">
        <v>16</v>
      </c>
      <c r="M1316" s="2">
        <v>3.5</v>
      </c>
      <c r="N1316" s="2">
        <v>3.44</v>
      </c>
      <c r="O1316">
        <v>0</v>
      </c>
      <c r="P1316">
        <v>7</v>
      </c>
      <c r="Q1316" t="s">
        <v>568</v>
      </c>
      <c r="R1316" t="s">
        <v>596</v>
      </c>
      <c r="S1316" t="str">
        <f t="shared" si="175"/>
        <v>PA</v>
      </c>
    </row>
    <row r="1317" spans="1:19" x14ac:dyDescent="0.3">
      <c r="A1317" t="s">
        <v>12</v>
      </c>
      <c r="B1317">
        <v>2016110036</v>
      </c>
      <c r="C1317" t="s">
        <v>292</v>
      </c>
      <c r="E1317" t="s">
        <v>234</v>
      </c>
      <c r="F1317" t="s">
        <v>235</v>
      </c>
      <c r="G1317">
        <v>4</v>
      </c>
      <c r="H1317" t="s">
        <v>260</v>
      </c>
      <c r="I1317" s="4">
        <f t="shared" si="178"/>
        <v>4</v>
      </c>
      <c r="J1317">
        <f t="shared" si="179"/>
        <v>16</v>
      </c>
      <c r="K1317">
        <v>78</v>
      </c>
      <c r="L1317">
        <v>22</v>
      </c>
      <c r="M1317" s="2">
        <v>3.55</v>
      </c>
      <c r="N1317" s="2">
        <v>3.44</v>
      </c>
      <c r="O1317">
        <v>0</v>
      </c>
      <c r="P1317">
        <v>3</v>
      </c>
      <c r="Q1317" t="s">
        <v>563</v>
      </c>
      <c r="R1317" t="s">
        <v>260</v>
      </c>
      <c r="S1317" t="str">
        <f t="shared" si="175"/>
        <v>PA</v>
      </c>
    </row>
    <row r="1318" spans="1:19" x14ac:dyDescent="0.3">
      <c r="A1318" t="s">
        <v>12</v>
      </c>
      <c r="B1318">
        <v>2016110036</v>
      </c>
      <c r="C1318" t="s">
        <v>292</v>
      </c>
      <c r="E1318" t="s">
        <v>344</v>
      </c>
      <c r="F1318" t="s">
        <v>345</v>
      </c>
      <c r="G1318">
        <v>2</v>
      </c>
      <c r="H1318" t="s">
        <v>260</v>
      </c>
      <c r="I1318" s="4">
        <f t="shared" si="178"/>
        <v>4</v>
      </c>
      <c r="J1318">
        <f t="shared" si="179"/>
        <v>8</v>
      </c>
      <c r="K1318">
        <v>56</v>
      </c>
      <c r="L1318">
        <v>16</v>
      </c>
      <c r="M1318" s="2">
        <v>3.5</v>
      </c>
      <c r="N1318" s="2">
        <v>3.44</v>
      </c>
      <c r="O1318">
        <v>0</v>
      </c>
      <c r="P1318">
        <v>7</v>
      </c>
      <c r="Q1318" t="s">
        <v>568</v>
      </c>
      <c r="R1318" t="s">
        <v>596</v>
      </c>
      <c r="S1318" t="str">
        <f t="shared" si="175"/>
        <v>PA</v>
      </c>
    </row>
    <row r="1319" spans="1:19" x14ac:dyDescent="0.3">
      <c r="A1319" t="s">
        <v>12</v>
      </c>
      <c r="B1319">
        <v>2016110036</v>
      </c>
      <c r="C1319" t="s">
        <v>292</v>
      </c>
      <c r="E1319" t="s">
        <v>142</v>
      </c>
      <c r="F1319" t="s">
        <v>143</v>
      </c>
      <c r="G1319">
        <v>2</v>
      </c>
      <c r="H1319" t="s">
        <v>260</v>
      </c>
      <c r="I1319" s="4">
        <f t="shared" si="178"/>
        <v>4</v>
      </c>
      <c r="J1319">
        <f t="shared" si="179"/>
        <v>8</v>
      </c>
      <c r="K1319">
        <v>66</v>
      </c>
      <c r="L1319">
        <v>20</v>
      </c>
      <c r="M1319" s="2">
        <v>3.3</v>
      </c>
      <c r="N1319" s="2">
        <v>3.44</v>
      </c>
      <c r="O1319">
        <v>0</v>
      </c>
      <c r="P1319">
        <v>1</v>
      </c>
      <c r="Q1319" t="s">
        <v>558</v>
      </c>
      <c r="R1319" t="s">
        <v>260</v>
      </c>
      <c r="S1319" t="str">
        <f t="shared" si="175"/>
        <v>PA</v>
      </c>
    </row>
    <row r="1320" spans="1:19" x14ac:dyDescent="0.3">
      <c r="A1320" t="s">
        <v>12</v>
      </c>
      <c r="B1320">
        <v>2016110036</v>
      </c>
      <c r="C1320" t="s">
        <v>292</v>
      </c>
      <c r="E1320" t="s">
        <v>236</v>
      </c>
      <c r="F1320" t="s">
        <v>237</v>
      </c>
      <c r="G1320">
        <v>2</v>
      </c>
      <c r="H1320" t="s">
        <v>260</v>
      </c>
      <c r="I1320" s="4">
        <f t="shared" si="178"/>
        <v>4</v>
      </c>
      <c r="J1320">
        <f t="shared" si="179"/>
        <v>8</v>
      </c>
      <c r="K1320">
        <v>86</v>
      </c>
      <c r="L1320">
        <v>24</v>
      </c>
      <c r="M1320" s="2">
        <v>3.58</v>
      </c>
      <c r="N1320" s="2">
        <v>3.44</v>
      </c>
      <c r="O1320">
        <v>0</v>
      </c>
      <c r="P1320">
        <v>5</v>
      </c>
      <c r="Q1320" t="s">
        <v>566</v>
      </c>
      <c r="R1320" t="s">
        <v>260</v>
      </c>
      <c r="S1320" t="str">
        <f t="shared" si="175"/>
        <v>PA</v>
      </c>
    </row>
    <row r="1321" spans="1:19" x14ac:dyDescent="0.3">
      <c r="A1321" t="s">
        <v>12</v>
      </c>
      <c r="B1321">
        <v>2016110036</v>
      </c>
      <c r="C1321" t="s">
        <v>292</v>
      </c>
      <c r="E1321" t="s">
        <v>77</v>
      </c>
      <c r="F1321" t="s">
        <v>78</v>
      </c>
      <c r="G1321">
        <v>2</v>
      </c>
      <c r="H1321" t="s">
        <v>260</v>
      </c>
      <c r="I1321" s="4">
        <f t="shared" si="178"/>
        <v>4</v>
      </c>
      <c r="J1321">
        <f t="shared" si="179"/>
        <v>8</v>
      </c>
      <c r="K1321">
        <v>66</v>
      </c>
      <c r="L1321">
        <v>20</v>
      </c>
      <c r="M1321" s="2">
        <v>3.3</v>
      </c>
      <c r="N1321" s="2">
        <v>3.44</v>
      </c>
      <c r="O1321">
        <v>0</v>
      </c>
      <c r="P1321">
        <v>1</v>
      </c>
      <c r="Q1321" t="s">
        <v>558</v>
      </c>
      <c r="R1321" t="s">
        <v>260</v>
      </c>
      <c r="S1321" t="str">
        <f t="shared" si="175"/>
        <v>PA</v>
      </c>
    </row>
    <row r="1322" spans="1:19" x14ac:dyDescent="0.3">
      <c r="A1322" t="s">
        <v>12</v>
      </c>
      <c r="B1322">
        <v>2016110036</v>
      </c>
      <c r="C1322" t="s">
        <v>292</v>
      </c>
      <c r="E1322" t="s">
        <v>103</v>
      </c>
      <c r="F1322" t="s">
        <v>104</v>
      </c>
      <c r="G1322">
        <v>4</v>
      </c>
      <c r="H1322" t="s">
        <v>260</v>
      </c>
      <c r="I1322" s="4">
        <f t="shared" si="178"/>
        <v>4</v>
      </c>
      <c r="J1322">
        <f t="shared" si="179"/>
        <v>16</v>
      </c>
      <c r="K1322">
        <v>68</v>
      </c>
      <c r="L1322">
        <v>20</v>
      </c>
      <c r="M1322" s="2">
        <v>3.4</v>
      </c>
      <c r="N1322" s="2">
        <v>3.44</v>
      </c>
      <c r="O1322">
        <v>0</v>
      </c>
      <c r="P1322">
        <v>2</v>
      </c>
      <c r="Q1322" t="s">
        <v>559</v>
      </c>
      <c r="R1322" t="s">
        <v>260</v>
      </c>
      <c r="S1322" t="str">
        <f t="shared" si="175"/>
        <v>PA</v>
      </c>
    </row>
    <row r="1323" spans="1:19" x14ac:dyDescent="0.3">
      <c r="A1323" t="s">
        <v>12</v>
      </c>
      <c r="B1323">
        <v>2016110036</v>
      </c>
      <c r="C1323" t="s">
        <v>292</v>
      </c>
      <c r="E1323" t="s">
        <v>348</v>
      </c>
      <c r="F1323" t="s">
        <v>402</v>
      </c>
      <c r="G1323">
        <v>4</v>
      </c>
      <c r="H1323" t="s">
        <v>260</v>
      </c>
      <c r="I1323" s="4">
        <f t="shared" si="178"/>
        <v>4</v>
      </c>
      <c r="J1323">
        <f t="shared" si="179"/>
        <v>16</v>
      </c>
      <c r="K1323">
        <v>82</v>
      </c>
      <c r="L1323">
        <v>24</v>
      </c>
      <c r="M1323" s="2">
        <v>3.42</v>
      </c>
      <c r="N1323" s="2">
        <v>3.44</v>
      </c>
      <c r="O1323">
        <v>0</v>
      </c>
      <c r="P1323">
        <v>4</v>
      </c>
      <c r="Q1323" t="s">
        <v>565</v>
      </c>
      <c r="R1323" t="s">
        <v>260</v>
      </c>
      <c r="S1323" t="str">
        <f t="shared" si="175"/>
        <v>PA</v>
      </c>
    </row>
    <row r="1324" spans="1:19" x14ac:dyDescent="0.3">
      <c r="A1324" t="s">
        <v>12</v>
      </c>
      <c r="B1324">
        <v>2016110036</v>
      </c>
      <c r="C1324" t="s">
        <v>292</v>
      </c>
      <c r="E1324" t="s">
        <v>276</v>
      </c>
      <c r="F1324" t="s">
        <v>137</v>
      </c>
      <c r="G1324">
        <v>4</v>
      </c>
      <c r="H1324" t="s">
        <v>260</v>
      </c>
      <c r="I1324" s="4">
        <f t="shared" si="178"/>
        <v>4</v>
      </c>
      <c r="J1324">
        <f t="shared" si="179"/>
        <v>16</v>
      </c>
      <c r="K1324">
        <v>82</v>
      </c>
      <c r="L1324">
        <v>24</v>
      </c>
      <c r="M1324" s="2">
        <v>3.42</v>
      </c>
      <c r="N1324" s="2">
        <v>3.44</v>
      </c>
      <c r="O1324">
        <v>0</v>
      </c>
      <c r="P1324">
        <v>4</v>
      </c>
      <c r="Q1324" t="s">
        <v>565</v>
      </c>
      <c r="R1324" t="s">
        <v>260</v>
      </c>
      <c r="S1324" t="str">
        <f t="shared" si="175"/>
        <v>PA</v>
      </c>
    </row>
    <row r="1325" spans="1:19" x14ac:dyDescent="0.3">
      <c r="A1325" t="s">
        <v>12</v>
      </c>
      <c r="B1325">
        <v>2016110036</v>
      </c>
      <c r="C1325" t="s">
        <v>292</v>
      </c>
      <c r="E1325" t="s">
        <v>334</v>
      </c>
      <c r="F1325" t="s">
        <v>335</v>
      </c>
      <c r="G1325">
        <v>2</v>
      </c>
      <c r="H1325" t="s">
        <v>260</v>
      </c>
      <c r="I1325" s="4">
        <f t="shared" si="178"/>
        <v>4</v>
      </c>
      <c r="J1325">
        <f t="shared" si="179"/>
        <v>8</v>
      </c>
      <c r="K1325">
        <v>86</v>
      </c>
      <c r="L1325">
        <v>24</v>
      </c>
      <c r="M1325" s="2">
        <v>3.58</v>
      </c>
      <c r="N1325" s="2">
        <v>3.44</v>
      </c>
      <c r="O1325">
        <v>0</v>
      </c>
      <c r="P1325">
        <v>5</v>
      </c>
      <c r="Q1325" t="s">
        <v>566</v>
      </c>
      <c r="R1325" t="s">
        <v>260</v>
      </c>
      <c r="S1325" t="str">
        <f t="shared" si="175"/>
        <v>PA</v>
      </c>
    </row>
    <row r="1326" spans="1:19" x14ac:dyDescent="0.3">
      <c r="A1326" t="s">
        <v>12</v>
      </c>
      <c r="B1326">
        <v>2016110036</v>
      </c>
      <c r="C1326" t="s">
        <v>292</v>
      </c>
      <c r="E1326" t="s">
        <v>283</v>
      </c>
      <c r="F1326" t="s">
        <v>284</v>
      </c>
      <c r="G1326">
        <v>2</v>
      </c>
      <c r="H1326" t="s">
        <v>260</v>
      </c>
      <c r="I1326" s="4">
        <f t="shared" si="178"/>
        <v>4</v>
      </c>
      <c r="J1326">
        <f t="shared" si="179"/>
        <v>8</v>
      </c>
      <c r="K1326">
        <v>56</v>
      </c>
      <c r="L1326">
        <v>16</v>
      </c>
      <c r="M1326" s="2">
        <v>3.5</v>
      </c>
      <c r="N1326" s="2">
        <v>3.44</v>
      </c>
      <c r="O1326">
        <v>0</v>
      </c>
      <c r="P1326">
        <v>7</v>
      </c>
      <c r="Q1326" t="s">
        <v>568</v>
      </c>
      <c r="R1326" t="s">
        <v>596</v>
      </c>
      <c r="S1326" t="str">
        <f t="shared" si="175"/>
        <v>PA</v>
      </c>
    </row>
    <row r="1327" spans="1:19" x14ac:dyDescent="0.3">
      <c r="A1327" t="s">
        <v>12</v>
      </c>
      <c r="B1327">
        <v>2016110036</v>
      </c>
      <c r="C1327" t="s">
        <v>292</v>
      </c>
      <c r="E1327" t="s">
        <v>357</v>
      </c>
      <c r="F1327" t="s">
        <v>358</v>
      </c>
      <c r="G1327">
        <v>4</v>
      </c>
      <c r="H1327" t="s">
        <v>260</v>
      </c>
      <c r="I1327" s="4">
        <f t="shared" si="178"/>
        <v>4</v>
      </c>
      <c r="J1327">
        <f t="shared" si="179"/>
        <v>16</v>
      </c>
      <c r="K1327">
        <v>86</v>
      </c>
      <c r="L1327">
        <v>24</v>
      </c>
      <c r="M1327" s="2">
        <v>3.58</v>
      </c>
      <c r="N1327" s="2">
        <v>3.44</v>
      </c>
      <c r="O1327">
        <v>0</v>
      </c>
      <c r="P1327">
        <v>5</v>
      </c>
      <c r="Q1327" t="s">
        <v>566</v>
      </c>
      <c r="R1327" t="s">
        <v>260</v>
      </c>
      <c r="S1327" t="str">
        <f t="shared" si="175"/>
        <v>PA</v>
      </c>
    </row>
    <row r="1328" spans="1:19" x14ac:dyDescent="0.3">
      <c r="A1328" t="s">
        <v>12</v>
      </c>
      <c r="B1328">
        <v>2016110036</v>
      </c>
      <c r="C1328" t="s">
        <v>292</v>
      </c>
      <c r="E1328" t="s">
        <v>241</v>
      </c>
      <c r="F1328" t="s">
        <v>45</v>
      </c>
      <c r="G1328">
        <v>2</v>
      </c>
      <c r="H1328" t="s">
        <v>260</v>
      </c>
      <c r="I1328" s="4">
        <f t="shared" si="178"/>
        <v>4</v>
      </c>
      <c r="J1328">
        <f t="shared" si="179"/>
        <v>8</v>
      </c>
      <c r="K1328">
        <v>78</v>
      </c>
      <c r="L1328">
        <v>22</v>
      </c>
      <c r="M1328" s="2">
        <v>3.55</v>
      </c>
      <c r="N1328" s="2">
        <v>3.44</v>
      </c>
      <c r="O1328">
        <v>0</v>
      </c>
      <c r="P1328">
        <v>3</v>
      </c>
      <c r="Q1328" t="s">
        <v>563</v>
      </c>
      <c r="R1328" t="s">
        <v>260</v>
      </c>
      <c r="S1328" t="str">
        <f t="shared" si="175"/>
        <v>PA</v>
      </c>
    </row>
    <row r="1329" spans="1:19" x14ac:dyDescent="0.3">
      <c r="A1329" t="s">
        <v>12</v>
      </c>
      <c r="B1329">
        <v>2016110036</v>
      </c>
      <c r="C1329" t="s">
        <v>292</v>
      </c>
      <c r="E1329" t="s">
        <v>192</v>
      </c>
      <c r="F1329" t="s">
        <v>106</v>
      </c>
      <c r="G1329">
        <v>2</v>
      </c>
      <c r="H1329" t="s">
        <v>260</v>
      </c>
      <c r="I1329" s="4">
        <f t="shared" si="178"/>
        <v>4</v>
      </c>
      <c r="J1329">
        <f t="shared" si="179"/>
        <v>8</v>
      </c>
      <c r="K1329">
        <v>66</v>
      </c>
      <c r="L1329">
        <v>20</v>
      </c>
      <c r="M1329" s="2">
        <v>3.3</v>
      </c>
      <c r="N1329" s="2">
        <v>3.44</v>
      </c>
      <c r="O1329">
        <v>0</v>
      </c>
      <c r="P1329">
        <v>1</v>
      </c>
      <c r="Q1329" t="s">
        <v>558</v>
      </c>
      <c r="R1329" t="s">
        <v>260</v>
      </c>
      <c r="S1329" t="str">
        <f t="shared" si="175"/>
        <v>PA</v>
      </c>
    </row>
    <row r="1330" spans="1:19" x14ac:dyDescent="0.3">
      <c r="A1330" t="s">
        <v>12</v>
      </c>
      <c r="B1330">
        <v>2016110036</v>
      </c>
      <c r="C1330" t="s">
        <v>292</v>
      </c>
      <c r="E1330" t="s">
        <v>151</v>
      </c>
      <c r="F1330" t="s">
        <v>152</v>
      </c>
      <c r="G1330">
        <v>2</v>
      </c>
      <c r="H1330" t="s">
        <v>260</v>
      </c>
      <c r="I1330" s="4">
        <f t="shared" si="178"/>
        <v>4</v>
      </c>
      <c r="J1330">
        <f t="shared" si="179"/>
        <v>8</v>
      </c>
      <c r="K1330">
        <v>66</v>
      </c>
      <c r="L1330">
        <v>20</v>
      </c>
      <c r="M1330" s="2">
        <v>3.3</v>
      </c>
      <c r="N1330" s="2">
        <v>3.44</v>
      </c>
      <c r="O1330">
        <v>0</v>
      </c>
      <c r="P1330">
        <v>1</v>
      </c>
      <c r="Q1330" t="s">
        <v>558</v>
      </c>
      <c r="R1330" t="s">
        <v>260</v>
      </c>
      <c r="S1330" t="str">
        <f t="shared" si="175"/>
        <v>PA</v>
      </c>
    </row>
    <row r="1331" spans="1:19" x14ac:dyDescent="0.3">
      <c r="A1331" t="s">
        <v>12</v>
      </c>
      <c r="B1331">
        <v>2016110036</v>
      </c>
      <c r="C1331" t="s">
        <v>292</v>
      </c>
      <c r="E1331" t="s">
        <v>382</v>
      </c>
      <c r="F1331" t="s">
        <v>383</v>
      </c>
      <c r="G1331">
        <v>4</v>
      </c>
      <c r="H1331" t="s">
        <v>260</v>
      </c>
      <c r="I1331" s="4">
        <f t="shared" si="178"/>
        <v>4</v>
      </c>
      <c r="J1331">
        <f t="shared" si="179"/>
        <v>16</v>
      </c>
      <c r="K1331">
        <v>86</v>
      </c>
      <c r="L1331">
        <v>24</v>
      </c>
      <c r="M1331" s="2">
        <v>3.58</v>
      </c>
      <c r="N1331" s="2">
        <v>3.44</v>
      </c>
      <c r="O1331">
        <v>0</v>
      </c>
      <c r="P1331">
        <v>5</v>
      </c>
      <c r="Q1331" t="s">
        <v>566</v>
      </c>
      <c r="R1331" t="s">
        <v>260</v>
      </c>
      <c r="S1331" t="str">
        <f t="shared" si="175"/>
        <v>PA</v>
      </c>
    </row>
    <row r="1332" spans="1:19" x14ac:dyDescent="0.3">
      <c r="A1332" t="s">
        <v>12</v>
      </c>
      <c r="B1332">
        <v>2016110036</v>
      </c>
      <c r="C1332" t="s">
        <v>292</v>
      </c>
      <c r="E1332" t="s">
        <v>131</v>
      </c>
      <c r="F1332" t="s">
        <v>132</v>
      </c>
      <c r="G1332">
        <v>2</v>
      </c>
      <c r="H1332" t="s">
        <v>260</v>
      </c>
      <c r="I1332" s="4">
        <f t="shared" si="178"/>
        <v>4</v>
      </c>
      <c r="J1332">
        <f t="shared" si="179"/>
        <v>8</v>
      </c>
      <c r="K1332">
        <v>66</v>
      </c>
      <c r="L1332">
        <v>20</v>
      </c>
      <c r="M1332" s="2">
        <v>3.3</v>
      </c>
      <c r="N1332" s="2">
        <v>3.44</v>
      </c>
      <c r="O1332">
        <v>0</v>
      </c>
      <c r="P1332">
        <v>1</v>
      </c>
      <c r="Q1332" t="s">
        <v>558</v>
      </c>
      <c r="R1332" t="s">
        <v>260</v>
      </c>
      <c r="S1332" t="str">
        <f t="shared" si="175"/>
        <v>PA</v>
      </c>
    </row>
    <row r="1333" spans="1:19" x14ac:dyDescent="0.3">
      <c r="A1333" t="s">
        <v>12</v>
      </c>
      <c r="B1333">
        <v>2016110036</v>
      </c>
      <c r="C1333" t="s">
        <v>292</v>
      </c>
      <c r="E1333" t="s">
        <v>39</v>
      </c>
      <c r="F1333" t="s">
        <v>11</v>
      </c>
      <c r="G1333">
        <v>2</v>
      </c>
      <c r="H1333" t="s">
        <v>260</v>
      </c>
      <c r="I1333" s="4">
        <f t="shared" si="178"/>
        <v>4</v>
      </c>
      <c r="J1333">
        <f t="shared" si="179"/>
        <v>8</v>
      </c>
      <c r="K1333">
        <v>64</v>
      </c>
      <c r="L1333">
        <v>20</v>
      </c>
      <c r="M1333" s="2">
        <v>3.2</v>
      </c>
      <c r="N1333" s="2">
        <v>3.44</v>
      </c>
      <c r="O1333">
        <v>0</v>
      </c>
      <c r="P1333">
        <v>6</v>
      </c>
      <c r="Q1333" t="s">
        <v>567</v>
      </c>
      <c r="R1333" t="s">
        <v>260</v>
      </c>
      <c r="S1333" t="str">
        <f t="shared" si="175"/>
        <v>PA</v>
      </c>
    </row>
    <row r="1334" spans="1:19" x14ac:dyDescent="0.3">
      <c r="A1334" t="s">
        <v>12</v>
      </c>
      <c r="B1334">
        <v>2016110036</v>
      </c>
      <c r="C1334" t="s">
        <v>292</v>
      </c>
      <c r="E1334" t="s">
        <v>273</v>
      </c>
      <c r="F1334" t="s">
        <v>274</v>
      </c>
      <c r="G1334">
        <v>2</v>
      </c>
      <c r="H1334" t="s">
        <v>260</v>
      </c>
      <c r="I1334" s="4">
        <f t="shared" si="178"/>
        <v>4</v>
      </c>
      <c r="J1334">
        <f t="shared" si="179"/>
        <v>8</v>
      </c>
      <c r="K1334">
        <v>82</v>
      </c>
      <c r="L1334">
        <v>24</v>
      </c>
      <c r="M1334" s="2">
        <v>3.42</v>
      </c>
      <c r="N1334" s="2">
        <v>3.44</v>
      </c>
      <c r="O1334">
        <v>0</v>
      </c>
      <c r="P1334">
        <v>4</v>
      </c>
      <c r="Q1334" t="s">
        <v>565</v>
      </c>
      <c r="R1334" t="s">
        <v>260</v>
      </c>
      <c r="S1334" t="str">
        <f t="shared" si="175"/>
        <v>PA</v>
      </c>
    </row>
    <row r="1335" spans="1:19" x14ac:dyDescent="0.3">
      <c r="A1335" t="s">
        <v>12</v>
      </c>
      <c r="B1335">
        <v>2016110036</v>
      </c>
      <c r="C1335" t="s">
        <v>292</v>
      </c>
      <c r="E1335" t="s">
        <v>290</v>
      </c>
      <c r="F1335" t="s">
        <v>327</v>
      </c>
      <c r="G1335">
        <v>4</v>
      </c>
      <c r="H1335" t="s">
        <v>260</v>
      </c>
      <c r="I1335" s="4">
        <f t="shared" si="178"/>
        <v>4</v>
      </c>
      <c r="J1335">
        <f t="shared" si="179"/>
        <v>16</v>
      </c>
      <c r="K1335">
        <v>68</v>
      </c>
      <c r="L1335">
        <v>20</v>
      </c>
      <c r="M1335" s="2">
        <v>3.4</v>
      </c>
      <c r="N1335" s="2">
        <v>3.44</v>
      </c>
      <c r="O1335">
        <v>0</v>
      </c>
      <c r="P1335">
        <v>2</v>
      </c>
      <c r="Q1335" t="s">
        <v>559</v>
      </c>
      <c r="R1335" t="s">
        <v>260</v>
      </c>
      <c r="S1335" t="str">
        <f t="shared" si="175"/>
        <v>PA</v>
      </c>
    </row>
    <row r="1336" spans="1:19" x14ac:dyDescent="0.3">
      <c r="A1336" t="s">
        <v>12</v>
      </c>
      <c r="B1336">
        <v>2016110036</v>
      </c>
      <c r="C1336" t="s">
        <v>292</v>
      </c>
      <c r="E1336" t="s">
        <v>387</v>
      </c>
      <c r="F1336" t="s">
        <v>388</v>
      </c>
      <c r="G1336">
        <v>2</v>
      </c>
      <c r="H1336" t="s">
        <v>260</v>
      </c>
      <c r="I1336" s="4">
        <f t="shared" si="178"/>
        <v>4</v>
      </c>
      <c r="J1336">
        <f t="shared" si="179"/>
        <v>8</v>
      </c>
      <c r="K1336">
        <v>64</v>
      </c>
      <c r="L1336">
        <v>20</v>
      </c>
      <c r="M1336" s="2">
        <v>3.2</v>
      </c>
      <c r="N1336" s="2">
        <v>3.44</v>
      </c>
      <c r="O1336">
        <v>0</v>
      </c>
      <c r="P1336">
        <v>6</v>
      </c>
      <c r="Q1336" t="s">
        <v>567</v>
      </c>
      <c r="R1336" t="s">
        <v>260</v>
      </c>
      <c r="S1336" t="str">
        <f t="shared" si="175"/>
        <v>PA</v>
      </c>
    </row>
    <row r="1337" spans="1:19" x14ac:dyDescent="0.3">
      <c r="A1337" t="s">
        <v>12</v>
      </c>
      <c r="B1337">
        <v>2016110036</v>
      </c>
      <c r="C1337" t="s">
        <v>292</v>
      </c>
      <c r="E1337" t="s">
        <v>122</v>
      </c>
      <c r="F1337" t="s">
        <v>123</v>
      </c>
      <c r="G1337">
        <v>4</v>
      </c>
      <c r="H1337" t="s">
        <v>438</v>
      </c>
      <c r="I1337" s="4">
        <f t="shared" si="178"/>
        <v>3</v>
      </c>
      <c r="J1337">
        <f t="shared" si="179"/>
        <v>12</v>
      </c>
      <c r="K1337">
        <v>66</v>
      </c>
      <c r="L1337">
        <v>20</v>
      </c>
      <c r="M1337" s="2">
        <v>3.3</v>
      </c>
      <c r="N1337" s="2">
        <v>3.44</v>
      </c>
      <c r="O1337">
        <v>0</v>
      </c>
      <c r="P1337">
        <v>1</v>
      </c>
      <c r="Q1337" t="s">
        <v>558</v>
      </c>
      <c r="R1337" t="s">
        <v>260</v>
      </c>
      <c r="S1337" t="str">
        <f t="shared" si="175"/>
        <v>PA</v>
      </c>
    </row>
    <row r="1338" spans="1:19" x14ac:dyDescent="0.3">
      <c r="A1338" t="s">
        <v>12</v>
      </c>
      <c r="B1338">
        <v>2016110036</v>
      </c>
      <c r="C1338" t="s">
        <v>292</v>
      </c>
      <c r="E1338" t="s">
        <v>211</v>
      </c>
      <c r="F1338" t="s">
        <v>186</v>
      </c>
      <c r="G1338">
        <v>4</v>
      </c>
      <c r="H1338" t="s">
        <v>438</v>
      </c>
      <c r="I1338" s="4">
        <f t="shared" si="178"/>
        <v>3</v>
      </c>
      <c r="J1338">
        <f t="shared" si="179"/>
        <v>12</v>
      </c>
      <c r="K1338">
        <v>86</v>
      </c>
      <c r="L1338">
        <v>24</v>
      </c>
      <c r="M1338" s="2">
        <v>3.58</v>
      </c>
      <c r="N1338" s="2">
        <v>3.44</v>
      </c>
      <c r="O1338">
        <v>0</v>
      </c>
      <c r="P1338">
        <v>5</v>
      </c>
      <c r="Q1338" t="s">
        <v>566</v>
      </c>
      <c r="R1338" t="s">
        <v>260</v>
      </c>
      <c r="S1338" t="str">
        <f t="shared" si="175"/>
        <v>PA</v>
      </c>
    </row>
    <row r="1339" spans="1:19" x14ac:dyDescent="0.3">
      <c r="A1339" t="s">
        <v>12</v>
      </c>
      <c r="B1339">
        <v>2016110036</v>
      </c>
      <c r="C1339" t="s">
        <v>292</v>
      </c>
      <c r="E1339" t="s">
        <v>264</v>
      </c>
      <c r="F1339" t="s">
        <v>265</v>
      </c>
      <c r="G1339">
        <v>2</v>
      </c>
      <c r="H1339" t="s">
        <v>438</v>
      </c>
      <c r="I1339" s="4">
        <f t="shared" si="178"/>
        <v>3</v>
      </c>
      <c r="J1339">
        <f t="shared" si="179"/>
        <v>6</v>
      </c>
      <c r="K1339">
        <v>86</v>
      </c>
      <c r="L1339">
        <v>24</v>
      </c>
      <c r="M1339" s="2">
        <v>3.58</v>
      </c>
      <c r="N1339" s="2">
        <v>3.44</v>
      </c>
      <c r="O1339">
        <v>0</v>
      </c>
      <c r="P1339">
        <v>5</v>
      </c>
      <c r="Q1339" t="s">
        <v>566</v>
      </c>
      <c r="R1339" t="s">
        <v>260</v>
      </c>
      <c r="S1339" t="str">
        <f t="shared" si="175"/>
        <v>PA</v>
      </c>
    </row>
    <row r="1340" spans="1:19" x14ac:dyDescent="0.3">
      <c r="A1340" t="s">
        <v>12</v>
      </c>
      <c r="B1340">
        <v>2016110036</v>
      </c>
      <c r="C1340" t="s">
        <v>292</v>
      </c>
      <c r="E1340" t="s">
        <v>173</v>
      </c>
      <c r="F1340" t="s">
        <v>8</v>
      </c>
      <c r="G1340">
        <v>2</v>
      </c>
      <c r="H1340" t="s">
        <v>438</v>
      </c>
      <c r="I1340" s="4">
        <f t="shared" si="178"/>
        <v>3</v>
      </c>
      <c r="J1340">
        <f t="shared" si="179"/>
        <v>6</v>
      </c>
      <c r="K1340">
        <v>78</v>
      </c>
      <c r="L1340">
        <v>22</v>
      </c>
      <c r="M1340" s="2">
        <v>3.55</v>
      </c>
      <c r="N1340" s="2">
        <v>3.44</v>
      </c>
      <c r="O1340">
        <v>0</v>
      </c>
      <c r="P1340">
        <v>3</v>
      </c>
      <c r="Q1340" t="s">
        <v>563</v>
      </c>
      <c r="R1340" t="s">
        <v>260</v>
      </c>
      <c r="S1340" t="str">
        <f t="shared" si="175"/>
        <v>PA</v>
      </c>
    </row>
    <row r="1341" spans="1:19" x14ac:dyDescent="0.3">
      <c r="A1341" t="s">
        <v>12</v>
      </c>
      <c r="B1341">
        <v>2016110036</v>
      </c>
      <c r="C1341" t="s">
        <v>292</v>
      </c>
      <c r="E1341" t="s">
        <v>31</v>
      </c>
      <c r="F1341" t="s">
        <v>20</v>
      </c>
      <c r="G1341">
        <v>4</v>
      </c>
      <c r="H1341" t="s">
        <v>438</v>
      </c>
      <c r="I1341" s="4">
        <f t="shared" si="178"/>
        <v>3</v>
      </c>
      <c r="J1341">
        <f t="shared" si="179"/>
        <v>12</v>
      </c>
      <c r="K1341">
        <v>56</v>
      </c>
      <c r="L1341">
        <v>16</v>
      </c>
      <c r="M1341" s="2">
        <v>3.5</v>
      </c>
      <c r="N1341" s="2">
        <v>3.44</v>
      </c>
      <c r="O1341">
        <v>0</v>
      </c>
      <c r="P1341">
        <v>7</v>
      </c>
      <c r="Q1341" t="s">
        <v>568</v>
      </c>
      <c r="R1341" t="s">
        <v>596</v>
      </c>
      <c r="S1341" t="str">
        <f t="shared" si="175"/>
        <v>PA</v>
      </c>
    </row>
    <row r="1342" spans="1:19" x14ac:dyDescent="0.3">
      <c r="A1342" t="s">
        <v>12</v>
      </c>
      <c r="B1342">
        <v>2016110036</v>
      </c>
      <c r="C1342" t="s">
        <v>292</v>
      </c>
      <c r="E1342" t="s">
        <v>165</v>
      </c>
      <c r="F1342" t="s">
        <v>166</v>
      </c>
      <c r="G1342">
        <v>2</v>
      </c>
      <c r="H1342" t="s">
        <v>438</v>
      </c>
      <c r="I1342" s="4">
        <f t="shared" si="178"/>
        <v>3</v>
      </c>
      <c r="J1342">
        <f t="shared" si="179"/>
        <v>6</v>
      </c>
      <c r="K1342">
        <v>66</v>
      </c>
      <c r="L1342">
        <v>20</v>
      </c>
      <c r="M1342" s="2">
        <v>3.3</v>
      </c>
      <c r="N1342" s="2">
        <v>3.44</v>
      </c>
      <c r="O1342">
        <v>0</v>
      </c>
      <c r="P1342">
        <v>1</v>
      </c>
      <c r="Q1342" t="s">
        <v>558</v>
      </c>
      <c r="R1342" t="s">
        <v>260</v>
      </c>
      <c r="S1342" t="str">
        <f t="shared" si="175"/>
        <v>PA</v>
      </c>
    </row>
    <row r="1343" spans="1:19" x14ac:dyDescent="0.3">
      <c r="A1343" t="s">
        <v>12</v>
      </c>
      <c r="B1343">
        <v>2016110036</v>
      </c>
      <c r="C1343" t="s">
        <v>292</v>
      </c>
      <c r="E1343" t="s">
        <v>248</v>
      </c>
      <c r="F1343" t="s">
        <v>249</v>
      </c>
      <c r="G1343">
        <v>2</v>
      </c>
      <c r="H1343" t="s">
        <v>438</v>
      </c>
      <c r="I1343" s="4">
        <f t="shared" si="178"/>
        <v>3</v>
      </c>
      <c r="J1343">
        <f t="shared" si="179"/>
        <v>6</v>
      </c>
      <c r="K1343">
        <v>82</v>
      </c>
      <c r="L1343">
        <v>24</v>
      </c>
      <c r="M1343" s="2">
        <v>3.42</v>
      </c>
      <c r="N1343" s="2">
        <v>3.44</v>
      </c>
      <c r="O1343">
        <v>0</v>
      </c>
      <c r="P1343">
        <v>4</v>
      </c>
      <c r="Q1343" t="s">
        <v>565</v>
      </c>
      <c r="R1343" t="s">
        <v>260</v>
      </c>
      <c r="S1343" t="str">
        <f t="shared" si="175"/>
        <v>PA</v>
      </c>
    </row>
    <row r="1344" spans="1:19" x14ac:dyDescent="0.3">
      <c r="A1344" t="s">
        <v>12</v>
      </c>
      <c r="B1344">
        <v>2016110036</v>
      </c>
      <c r="C1344" t="s">
        <v>292</v>
      </c>
      <c r="E1344" t="s">
        <v>427</v>
      </c>
      <c r="F1344" t="s">
        <v>428</v>
      </c>
      <c r="G1344">
        <v>2</v>
      </c>
      <c r="H1344" t="s">
        <v>438</v>
      </c>
      <c r="I1344" s="4">
        <f t="shared" si="178"/>
        <v>3</v>
      </c>
      <c r="J1344">
        <f t="shared" si="179"/>
        <v>6</v>
      </c>
      <c r="K1344">
        <v>64</v>
      </c>
      <c r="L1344">
        <v>20</v>
      </c>
      <c r="M1344" s="2">
        <v>3.2</v>
      </c>
      <c r="N1344" s="2">
        <v>3.44</v>
      </c>
      <c r="O1344">
        <v>0</v>
      </c>
      <c r="P1344">
        <v>6</v>
      </c>
      <c r="Q1344" t="s">
        <v>567</v>
      </c>
      <c r="R1344" t="s">
        <v>260</v>
      </c>
      <c r="S1344" t="str">
        <f t="shared" si="175"/>
        <v>PA</v>
      </c>
    </row>
    <row r="1345" spans="1:19" x14ac:dyDescent="0.3">
      <c r="A1345" t="s">
        <v>12</v>
      </c>
      <c r="B1345">
        <v>2016110036</v>
      </c>
      <c r="C1345" t="s">
        <v>292</v>
      </c>
      <c r="E1345" t="s">
        <v>244</v>
      </c>
      <c r="F1345" t="s">
        <v>228</v>
      </c>
      <c r="G1345">
        <v>2</v>
      </c>
      <c r="H1345" t="s">
        <v>438</v>
      </c>
      <c r="I1345" s="4">
        <f t="shared" si="178"/>
        <v>3</v>
      </c>
      <c r="J1345">
        <f t="shared" si="179"/>
        <v>6</v>
      </c>
      <c r="K1345">
        <v>82</v>
      </c>
      <c r="L1345">
        <v>24</v>
      </c>
      <c r="M1345" s="2">
        <v>3.42</v>
      </c>
      <c r="N1345" s="2">
        <v>3.44</v>
      </c>
      <c r="O1345">
        <v>0</v>
      </c>
      <c r="P1345">
        <v>4</v>
      </c>
      <c r="Q1345" t="s">
        <v>565</v>
      </c>
      <c r="R1345" t="s">
        <v>260</v>
      </c>
      <c r="S1345" t="str">
        <f t="shared" si="175"/>
        <v>PA</v>
      </c>
    </row>
    <row r="1346" spans="1:19" x14ac:dyDescent="0.3">
      <c r="A1346" t="s">
        <v>12</v>
      </c>
      <c r="B1346">
        <v>2016110036</v>
      </c>
      <c r="C1346" t="s">
        <v>292</v>
      </c>
      <c r="E1346" t="s">
        <v>257</v>
      </c>
      <c r="F1346" t="s">
        <v>258</v>
      </c>
      <c r="G1346">
        <v>4</v>
      </c>
      <c r="H1346" t="s">
        <v>438</v>
      </c>
      <c r="I1346" s="4">
        <f t="shared" si="178"/>
        <v>3</v>
      </c>
      <c r="J1346">
        <f t="shared" si="179"/>
        <v>12</v>
      </c>
      <c r="K1346">
        <v>64</v>
      </c>
      <c r="L1346">
        <v>20</v>
      </c>
      <c r="M1346" s="2">
        <v>3.2</v>
      </c>
      <c r="N1346" s="2">
        <v>3.44</v>
      </c>
      <c r="O1346">
        <v>0</v>
      </c>
      <c r="P1346">
        <v>6</v>
      </c>
      <c r="Q1346" t="s">
        <v>567</v>
      </c>
      <c r="R1346" t="s">
        <v>260</v>
      </c>
      <c r="S1346" t="str">
        <f t="shared" si="175"/>
        <v>PA</v>
      </c>
    </row>
    <row r="1347" spans="1:19" x14ac:dyDescent="0.3">
      <c r="A1347" t="s">
        <v>12</v>
      </c>
      <c r="B1347">
        <v>2016110036</v>
      </c>
      <c r="C1347" t="s">
        <v>292</v>
      </c>
      <c r="E1347" t="s">
        <v>97</v>
      </c>
      <c r="F1347" t="s">
        <v>98</v>
      </c>
      <c r="G1347">
        <v>4</v>
      </c>
      <c r="H1347" t="s">
        <v>438</v>
      </c>
      <c r="I1347" s="4">
        <f t="shared" si="178"/>
        <v>3</v>
      </c>
      <c r="J1347">
        <f t="shared" si="179"/>
        <v>12</v>
      </c>
      <c r="K1347">
        <v>68</v>
      </c>
      <c r="L1347">
        <v>20</v>
      </c>
      <c r="M1347" s="2">
        <v>3.4</v>
      </c>
      <c r="N1347" s="2">
        <v>3.44</v>
      </c>
      <c r="O1347">
        <v>0</v>
      </c>
      <c r="P1347">
        <v>2</v>
      </c>
      <c r="Q1347" t="s">
        <v>559</v>
      </c>
      <c r="R1347" t="s">
        <v>260</v>
      </c>
      <c r="S1347" t="str">
        <f t="shared" si="175"/>
        <v>PA</v>
      </c>
    </row>
    <row r="1348" spans="1:19" x14ac:dyDescent="0.3">
      <c r="A1348" t="s">
        <v>12</v>
      </c>
      <c r="B1348">
        <v>2016110036</v>
      </c>
      <c r="C1348" t="s">
        <v>292</v>
      </c>
      <c r="E1348" t="s">
        <v>297</v>
      </c>
      <c r="F1348" t="s">
        <v>342</v>
      </c>
      <c r="G1348">
        <v>4</v>
      </c>
      <c r="H1348" t="s">
        <v>438</v>
      </c>
      <c r="I1348" s="4">
        <f t="shared" si="178"/>
        <v>3</v>
      </c>
      <c r="J1348">
        <f t="shared" si="179"/>
        <v>12</v>
      </c>
      <c r="K1348">
        <v>64</v>
      </c>
      <c r="L1348">
        <v>20</v>
      </c>
      <c r="M1348" s="2">
        <v>3.2</v>
      </c>
      <c r="N1348" s="2">
        <v>3.44</v>
      </c>
      <c r="O1348">
        <v>0</v>
      </c>
      <c r="P1348">
        <v>6</v>
      </c>
      <c r="Q1348" t="s">
        <v>567</v>
      </c>
      <c r="R1348" t="s">
        <v>260</v>
      </c>
      <c r="S1348" t="str">
        <f t="shared" si="175"/>
        <v>PA</v>
      </c>
    </row>
    <row r="1349" spans="1:19" x14ac:dyDescent="0.3">
      <c r="A1349" t="s">
        <v>12</v>
      </c>
      <c r="B1349">
        <v>2016110036</v>
      </c>
      <c r="C1349" t="s">
        <v>292</v>
      </c>
      <c r="E1349" t="s">
        <v>139</v>
      </c>
      <c r="F1349" t="s">
        <v>140</v>
      </c>
      <c r="G1349">
        <v>2</v>
      </c>
      <c r="H1349" t="s">
        <v>438</v>
      </c>
      <c r="I1349" s="4">
        <f t="shared" si="178"/>
        <v>3</v>
      </c>
      <c r="J1349">
        <f t="shared" si="179"/>
        <v>6</v>
      </c>
      <c r="K1349">
        <v>68</v>
      </c>
      <c r="L1349">
        <v>20</v>
      </c>
      <c r="M1349" s="2">
        <v>3.4</v>
      </c>
      <c r="N1349" s="2">
        <v>3.44</v>
      </c>
      <c r="O1349">
        <v>0</v>
      </c>
      <c r="P1349">
        <v>2</v>
      </c>
      <c r="Q1349" t="s">
        <v>559</v>
      </c>
      <c r="R1349" t="s">
        <v>260</v>
      </c>
      <c r="S1349" t="str">
        <f t="shared" si="175"/>
        <v>PA</v>
      </c>
    </row>
    <row r="1350" spans="1:19" x14ac:dyDescent="0.3">
      <c r="A1350" t="s">
        <v>12</v>
      </c>
      <c r="B1350">
        <v>2016110036</v>
      </c>
      <c r="C1350" t="s">
        <v>292</v>
      </c>
      <c r="E1350" t="s">
        <v>262</v>
      </c>
      <c r="F1350" t="s">
        <v>263</v>
      </c>
      <c r="G1350">
        <v>2</v>
      </c>
      <c r="H1350" t="s">
        <v>438</v>
      </c>
      <c r="I1350" s="4">
        <f t="shared" si="178"/>
        <v>3</v>
      </c>
      <c r="J1350">
        <f t="shared" si="179"/>
        <v>6</v>
      </c>
      <c r="K1350">
        <v>64</v>
      </c>
      <c r="L1350">
        <v>20</v>
      </c>
      <c r="M1350" s="2">
        <v>3.2</v>
      </c>
      <c r="N1350" s="2">
        <v>3.44</v>
      </c>
      <c r="O1350">
        <v>0</v>
      </c>
      <c r="P1350">
        <v>6</v>
      </c>
      <c r="Q1350" t="s">
        <v>567</v>
      </c>
      <c r="R1350" t="s">
        <v>260</v>
      </c>
      <c r="S1350" t="str">
        <f t="shared" si="175"/>
        <v>PA</v>
      </c>
    </row>
    <row r="1351" spans="1:19" x14ac:dyDescent="0.3">
      <c r="A1351" t="s">
        <v>12</v>
      </c>
      <c r="B1351">
        <v>2016110036</v>
      </c>
      <c r="C1351" t="s">
        <v>292</v>
      </c>
      <c r="E1351" t="s">
        <v>205</v>
      </c>
      <c r="F1351" t="s">
        <v>116</v>
      </c>
      <c r="G1351">
        <v>4</v>
      </c>
      <c r="H1351" t="s">
        <v>438</v>
      </c>
      <c r="I1351" s="4">
        <f t="shared" si="178"/>
        <v>3</v>
      </c>
      <c r="J1351">
        <f t="shared" si="179"/>
        <v>12</v>
      </c>
      <c r="K1351">
        <v>78</v>
      </c>
      <c r="L1351">
        <v>22</v>
      </c>
      <c r="M1351" s="2">
        <v>3.55</v>
      </c>
      <c r="N1351" s="2">
        <v>3.44</v>
      </c>
      <c r="O1351">
        <v>0</v>
      </c>
      <c r="P1351">
        <v>3</v>
      </c>
      <c r="Q1351" t="s">
        <v>563</v>
      </c>
      <c r="R1351" t="s">
        <v>260</v>
      </c>
      <c r="S1351" t="str">
        <f t="shared" si="175"/>
        <v>PA</v>
      </c>
    </row>
    <row r="1352" spans="1:19" x14ac:dyDescent="0.3">
      <c r="A1352" t="s">
        <v>12</v>
      </c>
      <c r="B1352">
        <v>2016110036</v>
      </c>
      <c r="C1352" t="s">
        <v>292</v>
      </c>
      <c r="E1352" t="s">
        <v>330</v>
      </c>
      <c r="F1352" t="s">
        <v>108</v>
      </c>
      <c r="G1352">
        <v>2</v>
      </c>
      <c r="H1352" t="s">
        <v>438</v>
      </c>
      <c r="I1352" s="4">
        <f t="shared" si="178"/>
        <v>3</v>
      </c>
      <c r="J1352">
        <f t="shared" si="179"/>
        <v>6</v>
      </c>
      <c r="K1352">
        <v>56</v>
      </c>
      <c r="L1352">
        <v>16</v>
      </c>
      <c r="M1352" s="2">
        <v>3.5</v>
      </c>
      <c r="N1352" s="2">
        <v>3.44</v>
      </c>
      <c r="O1352">
        <v>0</v>
      </c>
      <c r="P1352">
        <v>7</v>
      </c>
      <c r="Q1352" t="s">
        <v>568</v>
      </c>
      <c r="R1352" t="s">
        <v>596</v>
      </c>
      <c r="S1352" t="str">
        <f t="shared" si="175"/>
        <v>PA</v>
      </c>
    </row>
    <row r="1353" spans="1:19" x14ac:dyDescent="0.3">
      <c r="A1353" t="s">
        <v>12</v>
      </c>
      <c r="B1353">
        <v>2016110036</v>
      </c>
      <c r="C1353" t="s">
        <v>292</v>
      </c>
      <c r="E1353" t="s">
        <v>437</v>
      </c>
      <c r="F1353" t="s">
        <v>169</v>
      </c>
      <c r="G1353">
        <v>4</v>
      </c>
      <c r="H1353" t="s">
        <v>438</v>
      </c>
      <c r="I1353" s="4">
        <f t="shared" si="178"/>
        <v>3</v>
      </c>
      <c r="J1353">
        <f t="shared" si="179"/>
        <v>12</v>
      </c>
      <c r="K1353">
        <v>66</v>
      </c>
      <c r="L1353">
        <v>20</v>
      </c>
      <c r="M1353" s="2">
        <v>3.3</v>
      </c>
      <c r="N1353" s="2">
        <v>3.44</v>
      </c>
      <c r="O1353">
        <v>0</v>
      </c>
      <c r="P1353">
        <v>1</v>
      </c>
      <c r="Q1353" t="s">
        <v>558</v>
      </c>
      <c r="R1353" t="s">
        <v>260</v>
      </c>
      <c r="S1353" t="str">
        <f t="shared" si="175"/>
        <v>PA</v>
      </c>
    </row>
    <row r="1354" spans="1:19" x14ac:dyDescent="0.3">
      <c r="A1354" t="s">
        <v>12</v>
      </c>
      <c r="B1354">
        <v>2016110036</v>
      </c>
      <c r="C1354" t="s">
        <v>292</v>
      </c>
      <c r="E1354" t="s">
        <v>370</v>
      </c>
      <c r="F1354" t="s">
        <v>371</v>
      </c>
      <c r="G1354">
        <v>2</v>
      </c>
      <c r="H1354" t="s">
        <v>438</v>
      </c>
      <c r="I1354" s="4">
        <f t="shared" si="178"/>
        <v>3</v>
      </c>
      <c r="J1354">
        <f t="shared" si="179"/>
        <v>6</v>
      </c>
      <c r="K1354">
        <v>86</v>
      </c>
      <c r="L1354">
        <v>24</v>
      </c>
      <c r="M1354" s="2">
        <v>3.58</v>
      </c>
      <c r="N1354" s="2">
        <v>3.44</v>
      </c>
      <c r="O1354">
        <v>0</v>
      </c>
      <c r="P1354">
        <v>5</v>
      </c>
      <c r="Q1354" t="s">
        <v>566</v>
      </c>
      <c r="R1354" t="s">
        <v>260</v>
      </c>
      <c r="S1354" t="str">
        <f t="shared" si="175"/>
        <v>PA</v>
      </c>
    </row>
    <row r="1355" spans="1:19" x14ac:dyDescent="0.3">
      <c r="A1355" t="s">
        <v>12</v>
      </c>
      <c r="B1355">
        <v>2016110036</v>
      </c>
      <c r="C1355" t="s">
        <v>292</v>
      </c>
      <c r="E1355" t="s">
        <v>14</v>
      </c>
      <c r="F1355" t="s">
        <v>15</v>
      </c>
      <c r="G1355">
        <v>2</v>
      </c>
      <c r="H1355" t="s">
        <v>438</v>
      </c>
      <c r="I1355" s="4">
        <f t="shared" si="178"/>
        <v>3</v>
      </c>
      <c r="J1355">
        <f t="shared" si="179"/>
        <v>6</v>
      </c>
      <c r="K1355">
        <v>56</v>
      </c>
      <c r="L1355">
        <v>16</v>
      </c>
      <c r="M1355" s="2">
        <v>3.5</v>
      </c>
      <c r="N1355" s="2">
        <v>3.44</v>
      </c>
      <c r="O1355">
        <v>0</v>
      </c>
      <c r="P1355">
        <v>7</v>
      </c>
      <c r="Q1355" t="s">
        <v>568</v>
      </c>
      <c r="R1355" t="s">
        <v>596</v>
      </c>
      <c r="S1355" t="str">
        <f t="shared" si="175"/>
        <v>PA</v>
      </c>
    </row>
    <row r="1356" spans="1:19" x14ac:dyDescent="0.3">
      <c r="A1356" t="s">
        <v>12</v>
      </c>
      <c r="B1356">
        <v>2016110036</v>
      </c>
      <c r="C1356" t="s">
        <v>292</v>
      </c>
      <c r="E1356" t="s">
        <v>190</v>
      </c>
      <c r="F1356" t="s">
        <v>191</v>
      </c>
      <c r="G1356">
        <v>4</v>
      </c>
      <c r="H1356" t="s">
        <v>438</v>
      </c>
      <c r="I1356" s="4">
        <f t="shared" si="178"/>
        <v>3</v>
      </c>
      <c r="J1356">
        <f t="shared" si="179"/>
        <v>12</v>
      </c>
      <c r="K1356">
        <v>78</v>
      </c>
      <c r="L1356">
        <v>22</v>
      </c>
      <c r="M1356" s="2">
        <v>3.55</v>
      </c>
      <c r="N1356" s="2">
        <v>3.44</v>
      </c>
      <c r="O1356">
        <v>0</v>
      </c>
      <c r="P1356">
        <v>3</v>
      </c>
      <c r="Q1356" t="s">
        <v>563</v>
      </c>
      <c r="R1356" t="s">
        <v>260</v>
      </c>
      <c r="S1356" t="str">
        <f t="shared" si="175"/>
        <v>PA</v>
      </c>
    </row>
    <row r="1357" spans="1:19" x14ac:dyDescent="0.3">
      <c r="A1357" t="s">
        <v>12</v>
      </c>
      <c r="B1357">
        <v>2016110036</v>
      </c>
      <c r="C1357" t="s">
        <v>292</v>
      </c>
      <c r="E1357" t="s">
        <v>306</v>
      </c>
      <c r="F1357" t="s">
        <v>307</v>
      </c>
      <c r="G1357">
        <v>2</v>
      </c>
      <c r="H1357" t="s">
        <v>438</v>
      </c>
      <c r="I1357" s="4">
        <f t="shared" si="178"/>
        <v>3</v>
      </c>
      <c r="J1357">
        <f t="shared" si="179"/>
        <v>6</v>
      </c>
      <c r="K1357">
        <v>86</v>
      </c>
      <c r="L1357">
        <v>24</v>
      </c>
      <c r="M1357" s="2">
        <v>3.58</v>
      </c>
      <c r="N1357" s="2">
        <v>3.44</v>
      </c>
      <c r="O1357">
        <v>0</v>
      </c>
      <c r="P1357">
        <v>5</v>
      </c>
      <c r="Q1357" t="s">
        <v>566</v>
      </c>
      <c r="R1357" t="s">
        <v>260</v>
      </c>
      <c r="S1357" t="str">
        <f t="shared" si="175"/>
        <v>PA</v>
      </c>
    </row>
    <row r="1358" spans="1:19" x14ac:dyDescent="0.3">
      <c r="A1358" t="s">
        <v>12</v>
      </c>
      <c r="B1358">
        <v>2016110036</v>
      </c>
      <c r="C1358" t="s">
        <v>292</v>
      </c>
      <c r="E1358" t="s">
        <v>432</v>
      </c>
      <c r="F1358" t="s">
        <v>433</v>
      </c>
      <c r="G1358">
        <v>4</v>
      </c>
      <c r="H1358" t="s">
        <v>438</v>
      </c>
      <c r="I1358" s="4">
        <f t="shared" si="178"/>
        <v>3</v>
      </c>
      <c r="J1358">
        <f t="shared" si="179"/>
        <v>12</v>
      </c>
      <c r="K1358">
        <v>82</v>
      </c>
      <c r="L1358">
        <v>24</v>
      </c>
      <c r="M1358" s="2">
        <v>3.42</v>
      </c>
      <c r="N1358" s="2">
        <v>3.44</v>
      </c>
      <c r="O1358">
        <v>0</v>
      </c>
      <c r="P1358">
        <v>4</v>
      </c>
      <c r="Q1358" t="s">
        <v>565</v>
      </c>
      <c r="R1358" t="s">
        <v>260</v>
      </c>
      <c r="S1358" t="str">
        <f t="shared" si="175"/>
        <v>PA</v>
      </c>
    </row>
    <row r="1359" spans="1:19" x14ac:dyDescent="0.3">
      <c r="A1359" t="s">
        <v>12</v>
      </c>
      <c r="B1359">
        <v>2016110036</v>
      </c>
      <c r="C1359" t="s">
        <v>292</v>
      </c>
      <c r="E1359" t="s">
        <v>446</v>
      </c>
      <c r="F1359" t="s">
        <v>447</v>
      </c>
      <c r="G1359">
        <v>2</v>
      </c>
      <c r="H1359" t="s">
        <v>438</v>
      </c>
      <c r="I1359" s="4">
        <f t="shared" si="178"/>
        <v>3</v>
      </c>
      <c r="J1359">
        <f t="shared" si="179"/>
        <v>6</v>
      </c>
      <c r="K1359">
        <v>64</v>
      </c>
      <c r="L1359">
        <v>20</v>
      </c>
      <c r="M1359" s="2">
        <v>3.2</v>
      </c>
      <c r="N1359" s="2">
        <v>3.44</v>
      </c>
      <c r="O1359">
        <v>0</v>
      </c>
      <c r="P1359">
        <v>6</v>
      </c>
      <c r="Q1359" t="s">
        <v>567</v>
      </c>
      <c r="R1359" t="s">
        <v>260</v>
      </c>
      <c r="S1359" t="str">
        <f t="shared" si="175"/>
        <v>PA</v>
      </c>
    </row>
    <row r="1360" spans="1:19" x14ac:dyDescent="0.3">
      <c r="A1360" t="s">
        <v>12</v>
      </c>
      <c r="B1360">
        <v>2016110036</v>
      </c>
      <c r="C1360" t="s">
        <v>292</v>
      </c>
      <c r="E1360" t="s">
        <v>374</v>
      </c>
      <c r="F1360" t="s">
        <v>375</v>
      </c>
      <c r="G1360">
        <v>2</v>
      </c>
      <c r="H1360" t="s">
        <v>438</v>
      </c>
      <c r="I1360" s="4">
        <f t="shared" si="178"/>
        <v>3</v>
      </c>
      <c r="J1360">
        <f t="shared" si="179"/>
        <v>6</v>
      </c>
      <c r="K1360">
        <v>82</v>
      </c>
      <c r="L1360">
        <v>24</v>
      </c>
      <c r="M1360" s="2">
        <v>3.42</v>
      </c>
      <c r="N1360" s="2">
        <v>3.44</v>
      </c>
      <c r="O1360">
        <v>0</v>
      </c>
      <c r="P1360">
        <v>4</v>
      </c>
      <c r="Q1360" t="s">
        <v>565</v>
      </c>
      <c r="R1360" t="s">
        <v>260</v>
      </c>
      <c r="S1360" t="str">
        <f t="shared" si="175"/>
        <v>PA</v>
      </c>
    </row>
    <row r="1361" spans="1:19" x14ac:dyDescent="0.3">
      <c r="A1361" t="s">
        <v>12</v>
      </c>
      <c r="B1361">
        <v>2016110036</v>
      </c>
      <c r="C1361" t="s">
        <v>292</v>
      </c>
      <c r="E1361" t="s">
        <v>100</v>
      </c>
      <c r="F1361" t="s">
        <v>101</v>
      </c>
      <c r="G1361">
        <v>4</v>
      </c>
      <c r="H1361" t="s">
        <v>438</v>
      </c>
      <c r="I1361" s="4">
        <f t="shared" si="178"/>
        <v>3</v>
      </c>
      <c r="J1361">
        <f t="shared" si="179"/>
        <v>12</v>
      </c>
      <c r="K1361">
        <v>68</v>
      </c>
      <c r="L1361">
        <v>20</v>
      </c>
      <c r="M1361" s="2">
        <v>3.4</v>
      </c>
      <c r="N1361" s="2">
        <v>3.44</v>
      </c>
      <c r="O1361">
        <v>0</v>
      </c>
      <c r="P1361">
        <v>2</v>
      </c>
      <c r="Q1361" t="s">
        <v>559</v>
      </c>
      <c r="R1361" t="s">
        <v>260</v>
      </c>
      <c r="S1361" t="str">
        <f t="shared" si="175"/>
        <v>PA</v>
      </c>
    </row>
    <row r="1362" spans="1:19" x14ac:dyDescent="0.3">
      <c r="A1362" t="s">
        <v>12</v>
      </c>
      <c r="B1362">
        <v>2016110036</v>
      </c>
      <c r="C1362" t="s">
        <v>292</v>
      </c>
      <c r="E1362" t="s">
        <v>360</v>
      </c>
      <c r="F1362" t="s">
        <v>361</v>
      </c>
      <c r="G1362">
        <v>2</v>
      </c>
      <c r="H1362" t="s">
        <v>438</v>
      </c>
      <c r="I1362" s="4">
        <f t="shared" si="178"/>
        <v>3</v>
      </c>
      <c r="J1362">
        <f t="shared" si="179"/>
        <v>6</v>
      </c>
      <c r="K1362">
        <v>64</v>
      </c>
      <c r="L1362">
        <v>20</v>
      </c>
      <c r="M1362" s="2">
        <v>3.2</v>
      </c>
      <c r="N1362" s="2">
        <v>3.44</v>
      </c>
      <c r="O1362">
        <v>0</v>
      </c>
      <c r="P1362">
        <v>6</v>
      </c>
      <c r="Q1362" t="s">
        <v>567</v>
      </c>
      <c r="R1362" t="s">
        <v>260</v>
      </c>
      <c r="S1362" t="str">
        <f t="shared" si="175"/>
        <v>PA</v>
      </c>
    </row>
    <row r="1363" spans="1:19" x14ac:dyDescent="0.3">
      <c r="A1363" t="s">
        <v>12</v>
      </c>
      <c r="B1363">
        <v>2016110036</v>
      </c>
      <c r="C1363" t="s">
        <v>292</v>
      </c>
      <c r="E1363" t="s">
        <v>309</v>
      </c>
      <c r="F1363" t="s">
        <v>310</v>
      </c>
      <c r="G1363">
        <v>4</v>
      </c>
      <c r="H1363" t="s">
        <v>438</v>
      </c>
      <c r="I1363" s="4">
        <f t="shared" si="178"/>
        <v>3</v>
      </c>
      <c r="J1363">
        <f t="shared" si="179"/>
        <v>12</v>
      </c>
      <c r="K1363">
        <v>82</v>
      </c>
      <c r="L1363">
        <v>24</v>
      </c>
      <c r="M1363" s="2">
        <v>3.42</v>
      </c>
      <c r="N1363" s="2">
        <v>3.44</v>
      </c>
      <c r="O1363">
        <v>0</v>
      </c>
      <c r="P1363">
        <v>4</v>
      </c>
      <c r="Q1363" t="s">
        <v>565</v>
      </c>
      <c r="R1363" t="s">
        <v>260</v>
      </c>
      <c r="S1363" t="str">
        <f t="shared" si="175"/>
        <v>PA</v>
      </c>
    </row>
    <row r="1364" spans="1:19" x14ac:dyDescent="0.3">
      <c r="A1364" t="s">
        <v>12</v>
      </c>
      <c r="B1364">
        <v>2016110036</v>
      </c>
      <c r="C1364" t="s">
        <v>292</v>
      </c>
      <c r="E1364" t="s">
        <v>279</v>
      </c>
      <c r="F1364" t="s">
        <v>280</v>
      </c>
      <c r="G1364">
        <v>2</v>
      </c>
      <c r="H1364" t="s">
        <v>438</v>
      </c>
      <c r="I1364" s="4">
        <f t="shared" si="178"/>
        <v>3</v>
      </c>
      <c r="J1364">
        <f t="shared" si="179"/>
        <v>6</v>
      </c>
      <c r="K1364">
        <v>68</v>
      </c>
      <c r="L1364">
        <v>20</v>
      </c>
      <c r="M1364" s="2">
        <v>3.4</v>
      </c>
      <c r="N1364" s="2">
        <v>3.44</v>
      </c>
      <c r="O1364">
        <v>0</v>
      </c>
      <c r="P1364">
        <v>2</v>
      </c>
      <c r="Q1364" t="s">
        <v>559</v>
      </c>
      <c r="R1364" t="s">
        <v>260</v>
      </c>
      <c r="S1364" t="str">
        <f t="shared" si="175"/>
        <v>PA</v>
      </c>
    </row>
    <row r="1365" spans="1:19" x14ac:dyDescent="0.3">
      <c r="A1365" t="s">
        <v>12</v>
      </c>
      <c r="B1365">
        <v>2016110036</v>
      </c>
      <c r="C1365" t="s">
        <v>292</v>
      </c>
      <c r="E1365" t="s">
        <v>90</v>
      </c>
      <c r="F1365" t="s">
        <v>91</v>
      </c>
      <c r="G1365">
        <v>2</v>
      </c>
      <c r="H1365" t="s">
        <v>260</v>
      </c>
      <c r="I1365" s="4">
        <f t="shared" si="178"/>
        <v>4</v>
      </c>
      <c r="J1365">
        <f t="shared" si="179"/>
        <v>8</v>
      </c>
      <c r="K1365">
        <v>56</v>
      </c>
      <c r="L1365">
        <v>16</v>
      </c>
      <c r="M1365" s="2">
        <v>3.5</v>
      </c>
      <c r="N1365" s="2">
        <v>3.44</v>
      </c>
      <c r="O1365">
        <v>1</v>
      </c>
      <c r="P1365">
        <v>7</v>
      </c>
      <c r="Q1365" t="s">
        <v>568</v>
      </c>
      <c r="R1365" t="s">
        <v>596</v>
      </c>
      <c r="S1365" t="str">
        <f t="shared" si="175"/>
        <v>PA</v>
      </c>
    </row>
    <row r="1366" spans="1:19" x14ac:dyDescent="0.3">
      <c r="A1366" t="s">
        <v>12</v>
      </c>
      <c r="B1366">
        <v>2016110036</v>
      </c>
      <c r="C1366" t="s">
        <v>292</v>
      </c>
      <c r="E1366" t="s">
        <v>90</v>
      </c>
      <c r="F1366" t="s">
        <v>91</v>
      </c>
      <c r="G1366">
        <v>2</v>
      </c>
      <c r="H1366" t="s">
        <v>524</v>
      </c>
      <c r="I1366" s="4">
        <f t="shared" si="178"/>
        <v>2</v>
      </c>
      <c r="J1366">
        <f t="shared" si="179"/>
        <v>4</v>
      </c>
      <c r="K1366">
        <v>66</v>
      </c>
      <c r="L1366">
        <v>20</v>
      </c>
      <c r="M1366" s="2">
        <v>3.3</v>
      </c>
      <c r="N1366" s="2">
        <v>3.44</v>
      </c>
      <c r="O1366">
        <v>0</v>
      </c>
      <c r="P1366">
        <v>1</v>
      </c>
      <c r="Q1366" t="s">
        <v>558</v>
      </c>
      <c r="R1366" t="s">
        <v>260</v>
      </c>
      <c r="S1366" t="str">
        <f t="shared" si="175"/>
        <v>PA</v>
      </c>
    </row>
    <row r="1367" spans="1:19" x14ac:dyDescent="0.3">
      <c r="A1367" t="s">
        <v>12</v>
      </c>
      <c r="B1367">
        <v>2016110038</v>
      </c>
      <c r="C1367" t="s">
        <v>32</v>
      </c>
      <c r="E1367" t="s">
        <v>165</v>
      </c>
      <c r="F1367" t="s">
        <v>166</v>
      </c>
      <c r="G1367">
        <v>2</v>
      </c>
      <c r="I1367" s="4"/>
      <c r="J1367">
        <f t="shared" ref="J1367" si="180">G1367*I1367</f>
        <v>0</v>
      </c>
      <c r="K1367">
        <v>24</v>
      </c>
      <c r="L1367">
        <v>18</v>
      </c>
      <c r="M1367" s="2">
        <v>1.33</v>
      </c>
      <c r="N1367" s="2">
        <v>1.33</v>
      </c>
      <c r="O1367">
        <v>0</v>
      </c>
      <c r="P1367">
        <v>1</v>
      </c>
      <c r="Q1367" t="s">
        <v>558</v>
      </c>
      <c r="R1367" t="s">
        <v>535</v>
      </c>
      <c r="S1367" t="s">
        <v>595</v>
      </c>
    </row>
    <row r="1368" spans="1:19" x14ac:dyDescent="0.3">
      <c r="A1368" t="s">
        <v>12</v>
      </c>
      <c r="B1368">
        <v>2016110038</v>
      </c>
      <c r="C1368" t="s">
        <v>32</v>
      </c>
      <c r="E1368" t="s">
        <v>90</v>
      </c>
      <c r="F1368" t="s">
        <v>91</v>
      </c>
      <c r="G1368">
        <v>2</v>
      </c>
      <c r="H1368" t="s">
        <v>260</v>
      </c>
      <c r="I1368" s="4">
        <f t="shared" ref="I1368" si="181">IF(H1368="A",4,IF(H1368="B",3,IF(H1368="C",2,IF(H1368="D",1,0))))</f>
        <v>4</v>
      </c>
      <c r="J1368">
        <f t="shared" ref="J1368" si="182">G1368*I1368</f>
        <v>8</v>
      </c>
      <c r="K1368">
        <v>24</v>
      </c>
      <c r="L1368">
        <v>18</v>
      </c>
      <c r="M1368" s="2">
        <v>1.33</v>
      </c>
      <c r="N1368" s="2">
        <v>1.33</v>
      </c>
      <c r="O1368">
        <v>0</v>
      </c>
      <c r="P1368">
        <v>1</v>
      </c>
      <c r="Q1368" t="s">
        <v>558</v>
      </c>
      <c r="R1368" t="s">
        <v>535</v>
      </c>
      <c r="S1368" t="str">
        <f t="shared" ref="S1368:S1374" si="183">IF(OR(H1368="A",H1368="B",H1368="C"),"PA","FA")</f>
        <v>PA</v>
      </c>
    </row>
    <row r="1369" spans="1:19" x14ac:dyDescent="0.3">
      <c r="A1369" t="s">
        <v>12</v>
      </c>
      <c r="B1369">
        <v>2016110038</v>
      </c>
      <c r="C1369" t="s">
        <v>32</v>
      </c>
      <c r="E1369" t="s">
        <v>437</v>
      </c>
      <c r="F1369" t="s">
        <v>169</v>
      </c>
      <c r="G1369">
        <v>4</v>
      </c>
      <c r="H1369" t="s">
        <v>524</v>
      </c>
      <c r="I1369" s="4">
        <f t="shared" ref="I1369:I1374" si="184">IF(H1369="A",4,IF(H1369="B",3,IF(H1369="C",2,IF(H1369="D",1,0))))</f>
        <v>2</v>
      </c>
      <c r="J1369">
        <f t="shared" ref="J1369:J1374" si="185">G1369*I1369</f>
        <v>8</v>
      </c>
      <c r="K1369">
        <v>24</v>
      </c>
      <c r="L1369">
        <v>18</v>
      </c>
      <c r="M1369" s="2">
        <v>1.33</v>
      </c>
      <c r="N1369" s="2">
        <v>1.33</v>
      </c>
      <c r="O1369">
        <v>0</v>
      </c>
      <c r="P1369">
        <v>1</v>
      </c>
      <c r="Q1369" t="s">
        <v>558</v>
      </c>
      <c r="R1369" t="s">
        <v>535</v>
      </c>
      <c r="S1369" t="str">
        <f t="shared" si="183"/>
        <v>PA</v>
      </c>
    </row>
    <row r="1370" spans="1:19" x14ac:dyDescent="0.3">
      <c r="A1370" t="s">
        <v>12</v>
      </c>
      <c r="B1370">
        <v>2016110038</v>
      </c>
      <c r="C1370" t="s">
        <v>32</v>
      </c>
      <c r="E1370" t="s">
        <v>131</v>
      </c>
      <c r="F1370" t="s">
        <v>132</v>
      </c>
      <c r="G1370">
        <v>2</v>
      </c>
      <c r="H1370" t="s">
        <v>524</v>
      </c>
      <c r="I1370" s="4">
        <f t="shared" si="184"/>
        <v>2</v>
      </c>
      <c r="J1370">
        <f t="shared" si="185"/>
        <v>4</v>
      </c>
      <c r="K1370">
        <v>24</v>
      </c>
      <c r="L1370">
        <v>18</v>
      </c>
      <c r="M1370" s="2">
        <v>1.33</v>
      </c>
      <c r="N1370" s="2">
        <v>1.33</v>
      </c>
      <c r="O1370">
        <v>0</v>
      </c>
      <c r="P1370">
        <v>1</v>
      </c>
      <c r="Q1370" t="s">
        <v>558</v>
      </c>
      <c r="R1370" t="s">
        <v>535</v>
      </c>
      <c r="S1370" t="str">
        <f t="shared" si="183"/>
        <v>PA</v>
      </c>
    </row>
    <row r="1371" spans="1:19" x14ac:dyDescent="0.3">
      <c r="A1371" t="s">
        <v>12</v>
      </c>
      <c r="B1371">
        <v>2016110038</v>
      </c>
      <c r="C1371" t="s">
        <v>32</v>
      </c>
      <c r="E1371" t="s">
        <v>151</v>
      </c>
      <c r="F1371" t="s">
        <v>152</v>
      </c>
      <c r="G1371">
        <v>2</v>
      </c>
      <c r="H1371" t="s">
        <v>535</v>
      </c>
      <c r="I1371" s="4">
        <f t="shared" si="184"/>
        <v>1</v>
      </c>
      <c r="J1371">
        <f t="shared" si="185"/>
        <v>2</v>
      </c>
      <c r="K1371">
        <v>24</v>
      </c>
      <c r="L1371">
        <v>18</v>
      </c>
      <c r="M1371" s="2">
        <v>1.33</v>
      </c>
      <c r="N1371" s="2">
        <v>1.33</v>
      </c>
      <c r="O1371">
        <v>0</v>
      </c>
      <c r="P1371">
        <v>1</v>
      </c>
      <c r="Q1371" t="s">
        <v>558</v>
      </c>
      <c r="R1371" t="s">
        <v>535</v>
      </c>
      <c r="S1371" t="str">
        <f t="shared" si="183"/>
        <v>FA</v>
      </c>
    </row>
    <row r="1372" spans="1:19" x14ac:dyDescent="0.3">
      <c r="A1372" t="s">
        <v>12</v>
      </c>
      <c r="B1372">
        <v>2016110038</v>
      </c>
      <c r="C1372" t="s">
        <v>32</v>
      </c>
      <c r="E1372" t="s">
        <v>77</v>
      </c>
      <c r="F1372" t="s">
        <v>78</v>
      </c>
      <c r="G1372">
        <v>2</v>
      </c>
      <c r="H1372" t="s">
        <v>535</v>
      </c>
      <c r="I1372" s="4">
        <f t="shared" si="184"/>
        <v>1</v>
      </c>
      <c r="J1372">
        <f t="shared" si="185"/>
        <v>2</v>
      </c>
      <c r="K1372">
        <v>24</v>
      </c>
      <c r="L1372">
        <v>18</v>
      </c>
      <c r="M1372" s="2">
        <v>1.33</v>
      </c>
      <c r="N1372" s="2">
        <v>1.33</v>
      </c>
      <c r="O1372">
        <v>0</v>
      </c>
      <c r="P1372">
        <v>1</v>
      </c>
      <c r="Q1372" t="s">
        <v>558</v>
      </c>
      <c r="R1372" t="s">
        <v>535</v>
      </c>
      <c r="S1372" t="str">
        <f t="shared" si="183"/>
        <v>FA</v>
      </c>
    </row>
    <row r="1373" spans="1:19" x14ac:dyDescent="0.3">
      <c r="A1373" t="s">
        <v>12</v>
      </c>
      <c r="B1373">
        <v>2016110038</v>
      </c>
      <c r="C1373" t="s">
        <v>32</v>
      </c>
      <c r="E1373" t="s">
        <v>142</v>
      </c>
      <c r="F1373" t="s">
        <v>143</v>
      </c>
      <c r="G1373">
        <v>2</v>
      </c>
      <c r="H1373" t="s">
        <v>539</v>
      </c>
      <c r="I1373" s="4">
        <f t="shared" si="184"/>
        <v>0</v>
      </c>
      <c r="J1373">
        <f t="shared" si="185"/>
        <v>0</v>
      </c>
      <c r="K1373">
        <v>24</v>
      </c>
      <c r="L1373">
        <v>18</v>
      </c>
      <c r="M1373" s="2">
        <v>1.33</v>
      </c>
      <c r="N1373" s="2">
        <v>1.33</v>
      </c>
      <c r="O1373">
        <v>0</v>
      </c>
      <c r="P1373">
        <v>1</v>
      </c>
      <c r="Q1373" t="s">
        <v>558</v>
      </c>
      <c r="R1373" t="s">
        <v>535</v>
      </c>
      <c r="S1373" t="str">
        <f t="shared" si="183"/>
        <v>FA</v>
      </c>
    </row>
    <row r="1374" spans="1:19" x14ac:dyDescent="0.3">
      <c r="A1374" t="s">
        <v>12</v>
      </c>
      <c r="B1374">
        <v>2016110038</v>
      </c>
      <c r="C1374" t="s">
        <v>32</v>
      </c>
      <c r="E1374" t="s">
        <v>122</v>
      </c>
      <c r="F1374" t="s">
        <v>123</v>
      </c>
      <c r="G1374">
        <v>4</v>
      </c>
      <c r="H1374" t="s">
        <v>539</v>
      </c>
      <c r="I1374" s="4">
        <f t="shared" si="184"/>
        <v>0</v>
      </c>
      <c r="J1374">
        <f t="shared" si="185"/>
        <v>0</v>
      </c>
      <c r="K1374">
        <v>24</v>
      </c>
      <c r="L1374">
        <v>18</v>
      </c>
      <c r="M1374" s="2">
        <v>1.33</v>
      </c>
      <c r="N1374" s="2">
        <v>1.33</v>
      </c>
      <c r="O1374">
        <v>0</v>
      </c>
      <c r="P1374">
        <v>1</v>
      </c>
      <c r="Q1374" t="s">
        <v>558</v>
      </c>
      <c r="R1374" t="s">
        <v>535</v>
      </c>
      <c r="S1374" t="str">
        <f t="shared" si="183"/>
        <v>FA</v>
      </c>
    </row>
    <row r="1375" spans="1:19" x14ac:dyDescent="0.3">
      <c r="A1375" t="s">
        <v>12</v>
      </c>
      <c r="B1375">
        <v>2016110039</v>
      </c>
      <c r="C1375" t="s">
        <v>33</v>
      </c>
      <c r="E1375" t="s">
        <v>31</v>
      </c>
      <c r="F1375" t="s">
        <v>20</v>
      </c>
      <c r="G1375">
        <v>4</v>
      </c>
      <c r="I1375" s="4"/>
      <c r="J1375">
        <f t="shared" ref="J1375:J1381" si="186">G1375*I1375</f>
        <v>0</v>
      </c>
      <c r="K1375">
        <v>8</v>
      </c>
      <c r="L1375">
        <v>2</v>
      </c>
      <c r="M1375" s="2">
        <v>4</v>
      </c>
      <c r="N1375" s="2">
        <v>3.51</v>
      </c>
      <c r="O1375">
        <v>2</v>
      </c>
      <c r="P1375">
        <v>9</v>
      </c>
      <c r="Q1375" t="s">
        <v>570</v>
      </c>
      <c r="R1375" t="s">
        <v>260</v>
      </c>
      <c r="S1375" t="s">
        <v>595</v>
      </c>
    </row>
    <row r="1376" spans="1:19" x14ac:dyDescent="0.3">
      <c r="A1376" t="s">
        <v>12</v>
      </c>
      <c r="B1376">
        <v>2016110039</v>
      </c>
      <c r="C1376" t="s">
        <v>33</v>
      </c>
      <c r="E1376" t="s">
        <v>31</v>
      </c>
      <c r="F1376" t="s">
        <v>20</v>
      </c>
      <c r="G1376">
        <v>4</v>
      </c>
      <c r="I1376" s="4"/>
      <c r="J1376">
        <f t="shared" si="186"/>
        <v>0</v>
      </c>
      <c r="K1376">
        <v>14</v>
      </c>
      <c r="L1376">
        <v>6</v>
      </c>
      <c r="M1376" s="2">
        <v>2.33</v>
      </c>
      <c r="N1376" s="2">
        <v>3.51</v>
      </c>
      <c r="O1376">
        <v>0</v>
      </c>
      <c r="P1376">
        <v>7</v>
      </c>
      <c r="Q1376" t="s">
        <v>568</v>
      </c>
      <c r="R1376" t="s">
        <v>260</v>
      </c>
      <c r="S1376" t="s">
        <v>595</v>
      </c>
    </row>
    <row r="1377" spans="1:19" x14ac:dyDescent="0.3">
      <c r="A1377" t="s">
        <v>12</v>
      </c>
      <c r="B1377">
        <v>2016110039</v>
      </c>
      <c r="C1377" t="s">
        <v>33</v>
      </c>
      <c r="E1377" t="s">
        <v>31</v>
      </c>
      <c r="F1377" t="s">
        <v>20</v>
      </c>
      <c r="G1377">
        <v>4</v>
      </c>
      <c r="H1377" t="s">
        <v>438</v>
      </c>
      <c r="I1377" s="4">
        <f t="shared" ref="I1377:I1381" si="187">IF(H1377="A",4,IF(H1377="B",3,IF(H1377="C",2,IF(H1377="D",1,0))))</f>
        <v>3</v>
      </c>
      <c r="J1377">
        <f t="shared" si="186"/>
        <v>12</v>
      </c>
      <c r="K1377">
        <v>12</v>
      </c>
      <c r="L1377">
        <v>4</v>
      </c>
      <c r="M1377" s="2">
        <v>3</v>
      </c>
      <c r="N1377" s="2">
        <v>3.51</v>
      </c>
      <c r="O1377">
        <v>3</v>
      </c>
      <c r="P1377">
        <v>10</v>
      </c>
      <c r="Q1377" t="s">
        <v>560</v>
      </c>
      <c r="R1377" t="s">
        <v>596</v>
      </c>
      <c r="S1377" t="str">
        <f>IF(OR(H1377="A",H1377="B",H1377="C"),"PA","FA")</f>
        <v>PA</v>
      </c>
    </row>
    <row r="1378" spans="1:19" x14ac:dyDescent="0.3">
      <c r="A1378" t="s">
        <v>12</v>
      </c>
      <c r="B1378">
        <v>2016110039</v>
      </c>
      <c r="C1378" t="s">
        <v>33</v>
      </c>
      <c r="E1378" t="s">
        <v>14</v>
      </c>
      <c r="F1378" t="s">
        <v>15</v>
      </c>
      <c r="G1378">
        <v>2</v>
      </c>
      <c r="I1378" s="4"/>
      <c r="J1378">
        <f t="shared" si="186"/>
        <v>0</v>
      </c>
      <c r="K1378">
        <v>14</v>
      </c>
      <c r="L1378">
        <v>6</v>
      </c>
      <c r="M1378" s="2">
        <v>2.33</v>
      </c>
      <c r="N1378" s="2">
        <v>3.51</v>
      </c>
      <c r="O1378">
        <v>0</v>
      </c>
      <c r="P1378">
        <v>7</v>
      </c>
      <c r="Q1378" t="s">
        <v>568</v>
      </c>
      <c r="R1378" t="s">
        <v>260</v>
      </c>
      <c r="S1378" t="s">
        <v>595</v>
      </c>
    </row>
    <row r="1379" spans="1:19" x14ac:dyDescent="0.3">
      <c r="A1379" t="s">
        <v>12</v>
      </c>
      <c r="B1379">
        <v>2016110039</v>
      </c>
      <c r="C1379" t="s">
        <v>33</v>
      </c>
      <c r="E1379" t="s">
        <v>31</v>
      </c>
      <c r="F1379" t="s">
        <v>20</v>
      </c>
      <c r="G1379">
        <v>4</v>
      </c>
      <c r="I1379" s="4"/>
      <c r="J1379">
        <f t="shared" si="186"/>
        <v>0</v>
      </c>
      <c r="K1379">
        <v>0</v>
      </c>
      <c r="L1379">
        <v>0</v>
      </c>
      <c r="M1379" s="2" t="s">
        <v>574</v>
      </c>
      <c r="N1379" s="2">
        <v>3.51</v>
      </c>
      <c r="O1379">
        <v>1</v>
      </c>
      <c r="P1379">
        <v>8</v>
      </c>
      <c r="Q1379" t="s">
        <v>569</v>
      </c>
      <c r="R1379" t="s">
        <v>260</v>
      </c>
      <c r="S1379" t="s">
        <v>595</v>
      </c>
    </row>
    <row r="1380" spans="1:19" x14ac:dyDescent="0.3">
      <c r="A1380" t="s">
        <v>12</v>
      </c>
      <c r="B1380">
        <v>2016110039</v>
      </c>
      <c r="C1380" t="s">
        <v>33</v>
      </c>
      <c r="E1380" t="s">
        <v>14</v>
      </c>
      <c r="F1380" t="s">
        <v>15</v>
      </c>
      <c r="G1380">
        <v>2</v>
      </c>
      <c r="I1380" s="4"/>
      <c r="J1380">
        <f t="shared" si="186"/>
        <v>0</v>
      </c>
      <c r="K1380">
        <v>0</v>
      </c>
      <c r="L1380">
        <v>0</v>
      </c>
      <c r="M1380" s="2" t="s">
        <v>574</v>
      </c>
      <c r="N1380" s="2">
        <v>3.51</v>
      </c>
      <c r="O1380">
        <v>1</v>
      </c>
      <c r="P1380">
        <v>8</v>
      </c>
      <c r="Q1380" t="s">
        <v>569</v>
      </c>
      <c r="R1380" t="s">
        <v>260</v>
      </c>
      <c r="S1380" t="s">
        <v>595</v>
      </c>
    </row>
    <row r="1381" spans="1:19" x14ac:dyDescent="0.3">
      <c r="A1381" t="s">
        <v>12</v>
      </c>
      <c r="B1381">
        <v>2016110039</v>
      </c>
      <c r="C1381" t="s">
        <v>33</v>
      </c>
      <c r="E1381" t="s">
        <v>14</v>
      </c>
      <c r="F1381" t="s">
        <v>15</v>
      </c>
      <c r="G1381">
        <v>2</v>
      </c>
      <c r="H1381" t="s">
        <v>260</v>
      </c>
      <c r="I1381" s="4">
        <f t="shared" si="187"/>
        <v>4</v>
      </c>
      <c r="J1381">
        <f t="shared" si="186"/>
        <v>8</v>
      </c>
      <c r="K1381">
        <v>8</v>
      </c>
      <c r="L1381">
        <v>2</v>
      </c>
      <c r="M1381" s="2">
        <v>4</v>
      </c>
      <c r="N1381" s="2">
        <v>3.51</v>
      </c>
      <c r="O1381">
        <v>2</v>
      </c>
      <c r="P1381">
        <v>9</v>
      </c>
      <c r="Q1381" t="s">
        <v>570</v>
      </c>
      <c r="R1381" t="s">
        <v>260</v>
      </c>
      <c r="S1381" t="str">
        <f t="shared" ref="S1381:S1427" si="188">IF(OR(H1381="A",H1381="B",H1381="C"),"PA","FA")</f>
        <v>PA</v>
      </c>
    </row>
    <row r="1382" spans="1:19" x14ac:dyDescent="0.3">
      <c r="A1382" t="s">
        <v>12</v>
      </c>
      <c r="B1382">
        <v>2016110039</v>
      </c>
      <c r="C1382" t="s">
        <v>33</v>
      </c>
      <c r="E1382" t="s">
        <v>262</v>
      </c>
      <c r="F1382" t="s">
        <v>263</v>
      </c>
      <c r="G1382">
        <v>2</v>
      </c>
      <c r="H1382" t="s">
        <v>260</v>
      </c>
      <c r="I1382" s="4">
        <f t="shared" ref="I1382:I1427" si="189">IF(H1382="A",4,IF(H1382="B",3,IF(H1382="C",2,IF(H1382="D",1,0))))</f>
        <v>4</v>
      </c>
      <c r="J1382">
        <f t="shared" ref="J1382:J1427" si="190">G1382*I1382</f>
        <v>8</v>
      </c>
      <c r="K1382">
        <v>82</v>
      </c>
      <c r="L1382">
        <v>22</v>
      </c>
      <c r="M1382" s="2">
        <v>3.73</v>
      </c>
      <c r="N1382" s="2">
        <v>3.51</v>
      </c>
      <c r="O1382">
        <v>0</v>
      </c>
      <c r="P1382">
        <v>6</v>
      </c>
      <c r="Q1382" t="s">
        <v>567</v>
      </c>
      <c r="R1382" t="s">
        <v>260</v>
      </c>
      <c r="S1382" t="str">
        <f t="shared" si="188"/>
        <v>PA</v>
      </c>
    </row>
    <row r="1383" spans="1:19" x14ac:dyDescent="0.3">
      <c r="A1383" t="s">
        <v>12</v>
      </c>
      <c r="B1383">
        <v>2016110039</v>
      </c>
      <c r="C1383" t="s">
        <v>33</v>
      </c>
      <c r="E1383" t="s">
        <v>306</v>
      </c>
      <c r="F1383" t="s">
        <v>307</v>
      </c>
      <c r="G1383">
        <v>2</v>
      </c>
      <c r="H1383" t="s">
        <v>260</v>
      </c>
      <c r="I1383" s="4">
        <f t="shared" si="189"/>
        <v>4</v>
      </c>
      <c r="J1383">
        <f t="shared" si="190"/>
        <v>8</v>
      </c>
      <c r="K1383">
        <v>82</v>
      </c>
      <c r="L1383">
        <v>24</v>
      </c>
      <c r="M1383" s="2">
        <v>3.42</v>
      </c>
      <c r="N1383" s="2">
        <v>3.51</v>
      </c>
      <c r="O1383">
        <v>0</v>
      </c>
      <c r="P1383">
        <v>5</v>
      </c>
      <c r="Q1383" t="s">
        <v>566</v>
      </c>
      <c r="R1383" t="s">
        <v>260</v>
      </c>
      <c r="S1383" t="str">
        <f t="shared" si="188"/>
        <v>PA</v>
      </c>
    </row>
    <row r="1384" spans="1:19" x14ac:dyDescent="0.3">
      <c r="A1384" t="s">
        <v>12</v>
      </c>
      <c r="B1384">
        <v>2016110039</v>
      </c>
      <c r="C1384" t="s">
        <v>33</v>
      </c>
      <c r="E1384" t="s">
        <v>122</v>
      </c>
      <c r="F1384" t="s">
        <v>123</v>
      </c>
      <c r="G1384">
        <v>4</v>
      </c>
      <c r="H1384" t="s">
        <v>260</v>
      </c>
      <c r="I1384" s="4">
        <f t="shared" si="189"/>
        <v>4</v>
      </c>
      <c r="J1384">
        <f t="shared" si="190"/>
        <v>16</v>
      </c>
      <c r="K1384">
        <v>70</v>
      </c>
      <c r="L1384">
        <v>20</v>
      </c>
      <c r="M1384" s="2">
        <v>3.5</v>
      </c>
      <c r="N1384" s="2">
        <v>3.51</v>
      </c>
      <c r="O1384">
        <v>0</v>
      </c>
      <c r="P1384">
        <v>1</v>
      </c>
      <c r="Q1384" t="s">
        <v>558</v>
      </c>
      <c r="R1384" t="s">
        <v>260</v>
      </c>
      <c r="S1384" t="str">
        <f t="shared" si="188"/>
        <v>PA</v>
      </c>
    </row>
    <row r="1385" spans="1:19" x14ac:dyDescent="0.3">
      <c r="A1385" t="s">
        <v>12</v>
      </c>
      <c r="B1385">
        <v>2016110039</v>
      </c>
      <c r="C1385" t="s">
        <v>33</v>
      </c>
      <c r="E1385" t="s">
        <v>337</v>
      </c>
      <c r="F1385" t="s">
        <v>338</v>
      </c>
      <c r="G1385">
        <v>2</v>
      </c>
      <c r="H1385" t="s">
        <v>260</v>
      </c>
      <c r="I1385" s="4">
        <f t="shared" si="189"/>
        <v>4</v>
      </c>
      <c r="J1385">
        <f t="shared" si="190"/>
        <v>8</v>
      </c>
      <c r="K1385">
        <v>82</v>
      </c>
      <c r="L1385">
        <v>24</v>
      </c>
      <c r="M1385" s="2">
        <v>3.42</v>
      </c>
      <c r="N1385" s="2">
        <v>3.51</v>
      </c>
      <c r="O1385">
        <v>0</v>
      </c>
      <c r="P1385">
        <v>5</v>
      </c>
      <c r="Q1385" t="s">
        <v>566</v>
      </c>
      <c r="R1385" t="s">
        <v>260</v>
      </c>
      <c r="S1385" t="str">
        <f t="shared" si="188"/>
        <v>PA</v>
      </c>
    </row>
    <row r="1386" spans="1:19" x14ac:dyDescent="0.3">
      <c r="A1386" t="s">
        <v>12</v>
      </c>
      <c r="B1386">
        <v>2016110039</v>
      </c>
      <c r="C1386" t="s">
        <v>33</v>
      </c>
      <c r="E1386" t="s">
        <v>151</v>
      </c>
      <c r="F1386" t="s">
        <v>152</v>
      </c>
      <c r="G1386">
        <v>2</v>
      </c>
      <c r="H1386" t="s">
        <v>260</v>
      </c>
      <c r="I1386" s="4">
        <f t="shared" si="189"/>
        <v>4</v>
      </c>
      <c r="J1386">
        <f t="shared" si="190"/>
        <v>8</v>
      </c>
      <c r="K1386">
        <v>70</v>
      </c>
      <c r="L1386">
        <v>20</v>
      </c>
      <c r="M1386" s="2">
        <v>3.5</v>
      </c>
      <c r="N1386" s="2">
        <v>3.51</v>
      </c>
      <c r="O1386">
        <v>0</v>
      </c>
      <c r="P1386">
        <v>1</v>
      </c>
      <c r="Q1386" t="s">
        <v>558</v>
      </c>
      <c r="R1386" t="s">
        <v>260</v>
      </c>
      <c r="S1386" t="str">
        <f t="shared" si="188"/>
        <v>PA</v>
      </c>
    </row>
    <row r="1387" spans="1:19" x14ac:dyDescent="0.3">
      <c r="A1387" t="s">
        <v>12</v>
      </c>
      <c r="B1387">
        <v>2016110039</v>
      </c>
      <c r="C1387" t="s">
        <v>33</v>
      </c>
      <c r="E1387" t="s">
        <v>205</v>
      </c>
      <c r="F1387" t="s">
        <v>116</v>
      </c>
      <c r="G1387">
        <v>4</v>
      </c>
      <c r="H1387" t="s">
        <v>260</v>
      </c>
      <c r="I1387" s="4">
        <f t="shared" si="189"/>
        <v>4</v>
      </c>
      <c r="J1387">
        <f t="shared" si="190"/>
        <v>16</v>
      </c>
      <c r="K1387">
        <v>80</v>
      </c>
      <c r="L1387">
        <v>24</v>
      </c>
      <c r="M1387" s="2">
        <v>3.33</v>
      </c>
      <c r="N1387" s="2">
        <v>3.51</v>
      </c>
      <c r="O1387">
        <v>0</v>
      </c>
      <c r="P1387">
        <v>3</v>
      </c>
      <c r="Q1387" t="s">
        <v>563</v>
      </c>
      <c r="R1387" t="s">
        <v>260</v>
      </c>
      <c r="S1387" t="str">
        <f t="shared" si="188"/>
        <v>PA</v>
      </c>
    </row>
    <row r="1388" spans="1:19" x14ac:dyDescent="0.3">
      <c r="A1388" t="s">
        <v>12</v>
      </c>
      <c r="B1388">
        <v>2016110039</v>
      </c>
      <c r="C1388" t="s">
        <v>33</v>
      </c>
      <c r="E1388" t="s">
        <v>77</v>
      </c>
      <c r="F1388" t="s">
        <v>78</v>
      </c>
      <c r="G1388">
        <v>2</v>
      </c>
      <c r="H1388" t="s">
        <v>260</v>
      </c>
      <c r="I1388" s="4">
        <f t="shared" si="189"/>
        <v>4</v>
      </c>
      <c r="J1388">
        <f t="shared" si="190"/>
        <v>8</v>
      </c>
      <c r="K1388">
        <v>70</v>
      </c>
      <c r="L1388">
        <v>20</v>
      </c>
      <c r="M1388" s="2">
        <v>3.5</v>
      </c>
      <c r="N1388" s="2">
        <v>3.51</v>
      </c>
      <c r="O1388">
        <v>0</v>
      </c>
      <c r="P1388">
        <v>1</v>
      </c>
      <c r="Q1388" t="s">
        <v>558</v>
      </c>
      <c r="R1388" t="s">
        <v>260</v>
      </c>
      <c r="S1388" t="str">
        <f t="shared" si="188"/>
        <v>PA</v>
      </c>
    </row>
    <row r="1389" spans="1:19" x14ac:dyDescent="0.3">
      <c r="A1389" t="s">
        <v>12</v>
      </c>
      <c r="B1389">
        <v>2016110039</v>
      </c>
      <c r="C1389" t="s">
        <v>33</v>
      </c>
      <c r="E1389" t="s">
        <v>283</v>
      </c>
      <c r="F1389" t="s">
        <v>284</v>
      </c>
      <c r="G1389">
        <v>2</v>
      </c>
      <c r="H1389" t="s">
        <v>260</v>
      </c>
      <c r="I1389" s="4">
        <f t="shared" si="189"/>
        <v>4</v>
      </c>
      <c r="J1389">
        <f t="shared" si="190"/>
        <v>8</v>
      </c>
      <c r="K1389">
        <v>80</v>
      </c>
      <c r="L1389">
        <v>24</v>
      </c>
      <c r="M1389" s="2">
        <v>3.33</v>
      </c>
      <c r="N1389" s="2">
        <v>3.51</v>
      </c>
      <c r="O1389">
        <v>0</v>
      </c>
      <c r="P1389">
        <v>3</v>
      </c>
      <c r="Q1389" t="s">
        <v>563</v>
      </c>
      <c r="R1389" t="s">
        <v>260</v>
      </c>
      <c r="S1389" t="str">
        <f t="shared" si="188"/>
        <v>PA</v>
      </c>
    </row>
    <row r="1390" spans="1:19" x14ac:dyDescent="0.3">
      <c r="A1390" t="s">
        <v>12</v>
      </c>
      <c r="B1390">
        <v>2016110039</v>
      </c>
      <c r="C1390" t="s">
        <v>33</v>
      </c>
      <c r="E1390" t="s">
        <v>97</v>
      </c>
      <c r="F1390" t="s">
        <v>98</v>
      </c>
      <c r="G1390">
        <v>4</v>
      </c>
      <c r="H1390" t="s">
        <v>260</v>
      </c>
      <c r="I1390" s="4">
        <f t="shared" si="189"/>
        <v>4</v>
      </c>
      <c r="J1390">
        <f t="shared" si="190"/>
        <v>16</v>
      </c>
      <c r="K1390">
        <v>62</v>
      </c>
      <c r="L1390">
        <v>20</v>
      </c>
      <c r="M1390" s="2">
        <v>3.1</v>
      </c>
      <c r="N1390" s="2">
        <v>3.51</v>
      </c>
      <c r="O1390">
        <v>0</v>
      </c>
      <c r="P1390">
        <v>2</v>
      </c>
      <c r="Q1390" t="s">
        <v>559</v>
      </c>
      <c r="R1390" t="s">
        <v>260</v>
      </c>
      <c r="S1390" t="str">
        <f t="shared" si="188"/>
        <v>PA</v>
      </c>
    </row>
    <row r="1391" spans="1:19" x14ac:dyDescent="0.3">
      <c r="A1391" t="s">
        <v>12</v>
      </c>
      <c r="B1391">
        <v>2016110039</v>
      </c>
      <c r="C1391" t="s">
        <v>33</v>
      </c>
      <c r="E1391" t="s">
        <v>372</v>
      </c>
      <c r="F1391" t="s">
        <v>373</v>
      </c>
      <c r="G1391">
        <v>2</v>
      </c>
      <c r="H1391" t="s">
        <v>260</v>
      </c>
      <c r="I1391" s="4">
        <f t="shared" si="189"/>
        <v>4</v>
      </c>
      <c r="J1391">
        <f t="shared" si="190"/>
        <v>8</v>
      </c>
      <c r="K1391">
        <v>82</v>
      </c>
      <c r="L1391">
        <v>22</v>
      </c>
      <c r="M1391" s="2">
        <v>3.73</v>
      </c>
      <c r="N1391" s="2">
        <v>3.51</v>
      </c>
      <c r="O1391">
        <v>0</v>
      </c>
      <c r="P1391">
        <v>6</v>
      </c>
      <c r="Q1391" t="s">
        <v>567</v>
      </c>
      <c r="R1391" t="s">
        <v>260</v>
      </c>
      <c r="S1391" t="str">
        <f t="shared" si="188"/>
        <v>PA</v>
      </c>
    </row>
    <row r="1392" spans="1:19" x14ac:dyDescent="0.3">
      <c r="A1392" t="s">
        <v>12</v>
      </c>
      <c r="B1392">
        <v>2016110039</v>
      </c>
      <c r="C1392" t="s">
        <v>33</v>
      </c>
      <c r="E1392" t="s">
        <v>279</v>
      </c>
      <c r="F1392" t="s">
        <v>280</v>
      </c>
      <c r="G1392">
        <v>2</v>
      </c>
      <c r="H1392" t="s">
        <v>260</v>
      </c>
      <c r="I1392" s="4">
        <f t="shared" si="189"/>
        <v>4</v>
      </c>
      <c r="J1392">
        <f t="shared" si="190"/>
        <v>8</v>
      </c>
      <c r="K1392">
        <v>62</v>
      </c>
      <c r="L1392">
        <v>20</v>
      </c>
      <c r="M1392" s="2">
        <v>3.1</v>
      </c>
      <c r="N1392" s="2">
        <v>3.51</v>
      </c>
      <c r="O1392">
        <v>0</v>
      </c>
      <c r="P1392">
        <v>2</v>
      </c>
      <c r="Q1392" t="s">
        <v>559</v>
      </c>
      <c r="R1392" t="s">
        <v>260</v>
      </c>
      <c r="S1392" t="str">
        <f t="shared" si="188"/>
        <v>PA</v>
      </c>
    </row>
    <row r="1393" spans="1:19" x14ac:dyDescent="0.3">
      <c r="A1393" t="s">
        <v>12</v>
      </c>
      <c r="B1393">
        <v>2016110039</v>
      </c>
      <c r="C1393" t="s">
        <v>33</v>
      </c>
      <c r="E1393" t="s">
        <v>297</v>
      </c>
      <c r="F1393" t="s">
        <v>342</v>
      </c>
      <c r="G1393">
        <v>4</v>
      </c>
      <c r="H1393" t="s">
        <v>260</v>
      </c>
      <c r="I1393" s="4">
        <f t="shared" si="189"/>
        <v>4</v>
      </c>
      <c r="J1393">
        <f t="shared" si="190"/>
        <v>16</v>
      </c>
      <c r="K1393">
        <v>82</v>
      </c>
      <c r="L1393">
        <v>22</v>
      </c>
      <c r="M1393" s="2">
        <v>3.73</v>
      </c>
      <c r="N1393" s="2">
        <v>3.51</v>
      </c>
      <c r="O1393">
        <v>0</v>
      </c>
      <c r="P1393">
        <v>6</v>
      </c>
      <c r="Q1393" t="s">
        <v>567</v>
      </c>
      <c r="R1393" t="s">
        <v>260</v>
      </c>
      <c r="S1393" t="str">
        <f t="shared" si="188"/>
        <v>PA</v>
      </c>
    </row>
    <row r="1394" spans="1:19" x14ac:dyDescent="0.3">
      <c r="A1394" t="s">
        <v>12</v>
      </c>
      <c r="B1394">
        <v>2016110039</v>
      </c>
      <c r="C1394" t="s">
        <v>33</v>
      </c>
      <c r="E1394" t="s">
        <v>248</v>
      </c>
      <c r="F1394" t="s">
        <v>249</v>
      </c>
      <c r="G1394">
        <v>2</v>
      </c>
      <c r="H1394" t="s">
        <v>260</v>
      </c>
      <c r="I1394" s="4">
        <f t="shared" si="189"/>
        <v>4</v>
      </c>
      <c r="J1394">
        <f t="shared" si="190"/>
        <v>8</v>
      </c>
      <c r="K1394">
        <v>74</v>
      </c>
      <c r="L1394">
        <v>24</v>
      </c>
      <c r="M1394" s="2">
        <v>3.08</v>
      </c>
      <c r="N1394" s="2">
        <v>3.51</v>
      </c>
      <c r="O1394">
        <v>0</v>
      </c>
      <c r="P1394">
        <v>4</v>
      </c>
      <c r="Q1394" t="s">
        <v>565</v>
      </c>
      <c r="R1394" t="s">
        <v>260</v>
      </c>
      <c r="S1394" t="str">
        <f t="shared" si="188"/>
        <v>PA</v>
      </c>
    </row>
    <row r="1395" spans="1:19" x14ac:dyDescent="0.3">
      <c r="A1395" t="s">
        <v>12</v>
      </c>
      <c r="B1395">
        <v>2016110039</v>
      </c>
      <c r="C1395" t="s">
        <v>33</v>
      </c>
      <c r="E1395" t="s">
        <v>39</v>
      </c>
      <c r="F1395" t="s">
        <v>11</v>
      </c>
      <c r="G1395">
        <v>2</v>
      </c>
      <c r="H1395" t="s">
        <v>260</v>
      </c>
      <c r="I1395" s="4">
        <f t="shared" si="189"/>
        <v>4</v>
      </c>
      <c r="J1395">
        <f t="shared" si="190"/>
        <v>8</v>
      </c>
      <c r="K1395">
        <v>82</v>
      </c>
      <c r="L1395">
        <v>22</v>
      </c>
      <c r="M1395" s="2">
        <v>3.73</v>
      </c>
      <c r="N1395" s="2">
        <v>3.51</v>
      </c>
      <c r="O1395">
        <v>0</v>
      </c>
      <c r="P1395">
        <v>6</v>
      </c>
      <c r="Q1395" t="s">
        <v>567</v>
      </c>
      <c r="R1395" t="s">
        <v>260</v>
      </c>
      <c r="S1395" t="str">
        <f t="shared" si="188"/>
        <v>PA</v>
      </c>
    </row>
    <row r="1396" spans="1:19" x14ac:dyDescent="0.3">
      <c r="A1396" t="s">
        <v>12</v>
      </c>
      <c r="B1396">
        <v>2016110039</v>
      </c>
      <c r="C1396" t="s">
        <v>33</v>
      </c>
      <c r="E1396" t="s">
        <v>302</v>
      </c>
      <c r="F1396" t="s">
        <v>303</v>
      </c>
      <c r="G1396">
        <v>2</v>
      </c>
      <c r="H1396" t="s">
        <v>260</v>
      </c>
      <c r="I1396" s="4">
        <f t="shared" si="189"/>
        <v>4</v>
      </c>
      <c r="J1396">
        <f t="shared" si="190"/>
        <v>8</v>
      </c>
      <c r="K1396">
        <v>82</v>
      </c>
      <c r="L1396">
        <v>22</v>
      </c>
      <c r="M1396" s="2">
        <v>3.73</v>
      </c>
      <c r="N1396" s="2">
        <v>3.51</v>
      </c>
      <c r="O1396">
        <v>0</v>
      </c>
      <c r="P1396">
        <v>6</v>
      </c>
      <c r="Q1396" t="s">
        <v>567</v>
      </c>
      <c r="R1396" t="s">
        <v>260</v>
      </c>
      <c r="S1396" t="str">
        <f t="shared" si="188"/>
        <v>PA</v>
      </c>
    </row>
    <row r="1397" spans="1:19" x14ac:dyDescent="0.3">
      <c r="A1397" t="s">
        <v>12</v>
      </c>
      <c r="B1397">
        <v>2016110039</v>
      </c>
      <c r="C1397" t="s">
        <v>33</v>
      </c>
      <c r="E1397" t="s">
        <v>208</v>
      </c>
      <c r="F1397" t="s">
        <v>209</v>
      </c>
      <c r="G1397">
        <v>2</v>
      </c>
      <c r="H1397" t="s">
        <v>260</v>
      </c>
      <c r="I1397" s="4">
        <f t="shared" si="189"/>
        <v>4</v>
      </c>
      <c r="J1397">
        <f t="shared" si="190"/>
        <v>8</v>
      </c>
      <c r="K1397">
        <v>82</v>
      </c>
      <c r="L1397">
        <v>24</v>
      </c>
      <c r="M1397" s="2">
        <v>3.42</v>
      </c>
      <c r="N1397" s="2">
        <v>3.51</v>
      </c>
      <c r="O1397">
        <v>0</v>
      </c>
      <c r="P1397">
        <v>5</v>
      </c>
      <c r="Q1397" t="s">
        <v>566</v>
      </c>
      <c r="R1397" t="s">
        <v>260</v>
      </c>
      <c r="S1397" t="str">
        <f t="shared" si="188"/>
        <v>PA</v>
      </c>
    </row>
    <row r="1398" spans="1:19" x14ac:dyDescent="0.3">
      <c r="A1398" t="s">
        <v>12</v>
      </c>
      <c r="B1398">
        <v>2016110039</v>
      </c>
      <c r="C1398" t="s">
        <v>33</v>
      </c>
      <c r="E1398" t="s">
        <v>316</v>
      </c>
      <c r="F1398" t="s">
        <v>317</v>
      </c>
      <c r="G1398">
        <v>2</v>
      </c>
      <c r="H1398" t="s">
        <v>260</v>
      </c>
      <c r="I1398" s="4">
        <f t="shared" si="189"/>
        <v>4</v>
      </c>
      <c r="J1398">
        <f t="shared" si="190"/>
        <v>8</v>
      </c>
      <c r="K1398">
        <v>14</v>
      </c>
      <c r="L1398">
        <v>6</v>
      </c>
      <c r="M1398" s="2">
        <v>2.33</v>
      </c>
      <c r="N1398" s="2">
        <v>3.51</v>
      </c>
      <c r="O1398">
        <v>0</v>
      </c>
      <c r="P1398">
        <v>7</v>
      </c>
      <c r="Q1398" t="s">
        <v>568</v>
      </c>
      <c r="R1398" t="s">
        <v>260</v>
      </c>
      <c r="S1398" t="str">
        <f t="shared" si="188"/>
        <v>PA</v>
      </c>
    </row>
    <row r="1399" spans="1:19" x14ac:dyDescent="0.3">
      <c r="A1399" t="s">
        <v>12</v>
      </c>
      <c r="B1399">
        <v>2016110039</v>
      </c>
      <c r="C1399" t="s">
        <v>33</v>
      </c>
      <c r="E1399" t="s">
        <v>236</v>
      </c>
      <c r="F1399" t="s">
        <v>237</v>
      </c>
      <c r="G1399">
        <v>2</v>
      </c>
      <c r="H1399" t="s">
        <v>260</v>
      </c>
      <c r="I1399" s="4">
        <f t="shared" si="189"/>
        <v>4</v>
      </c>
      <c r="J1399">
        <f t="shared" si="190"/>
        <v>8</v>
      </c>
      <c r="K1399">
        <v>82</v>
      </c>
      <c r="L1399">
        <v>24</v>
      </c>
      <c r="M1399" s="2">
        <v>3.42</v>
      </c>
      <c r="N1399" s="2">
        <v>3.51</v>
      </c>
      <c r="O1399">
        <v>0</v>
      </c>
      <c r="P1399">
        <v>5</v>
      </c>
      <c r="Q1399" t="s">
        <v>566</v>
      </c>
      <c r="R1399" t="s">
        <v>260</v>
      </c>
      <c r="S1399" t="str">
        <f t="shared" si="188"/>
        <v>PA</v>
      </c>
    </row>
    <row r="1400" spans="1:19" x14ac:dyDescent="0.3">
      <c r="A1400" t="s">
        <v>12</v>
      </c>
      <c r="B1400">
        <v>2016110039</v>
      </c>
      <c r="C1400" t="s">
        <v>33</v>
      </c>
      <c r="E1400" t="s">
        <v>170</v>
      </c>
      <c r="F1400" t="s">
        <v>171</v>
      </c>
      <c r="G1400">
        <v>4</v>
      </c>
      <c r="H1400" t="s">
        <v>260</v>
      </c>
      <c r="I1400" s="4">
        <f t="shared" si="189"/>
        <v>4</v>
      </c>
      <c r="J1400">
        <f t="shared" si="190"/>
        <v>16</v>
      </c>
      <c r="K1400">
        <v>80</v>
      </c>
      <c r="L1400">
        <v>24</v>
      </c>
      <c r="M1400" s="2">
        <v>3.33</v>
      </c>
      <c r="N1400" s="2">
        <v>3.51</v>
      </c>
      <c r="O1400">
        <v>0</v>
      </c>
      <c r="P1400">
        <v>3</v>
      </c>
      <c r="Q1400" t="s">
        <v>563</v>
      </c>
      <c r="R1400" t="s">
        <v>260</v>
      </c>
      <c r="S1400" t="str">
        <f t="shared" si="188"/>
        <v>PA</v>
      </c>
    </row>
    <row r="1401" spans="1:19" x14ac:dyDescent="0.3">
      <c r="A1401" t="s">
        <v>12</v>
      </c>
      <c r="B1401">
        <v>2016110039</v>
      </c>
      <c r="C1401" t="s">
        <v>33</v>
      </c>
      <c r="E1401" t="s">
        <v>131</v>
      </c>
      <c r="F1401" t="s">
        <v>132</v>
      </c>
      <c r="G1401">
        <v>2</v>
      </c>
      <c r="H1401" t="s">
        <v>260</v>
      </c>
      <c r="I1401" s="4">
        <f t="shared" si="189"/>
        <v>4</v>
      </c>
      <c r="J1401">
        <f t="shared" si="190"/>
        <v>8</v>
      </c>
      <c r="K1401">
        <v>70</v>
      </c>
      <c r="L1401">
        <v>20</v>
      </c>
      <c r="M1401" s="2">
        <v>3.5</v>
      </c>
      <c r="N1401" s="2">
        <v>3.51</v>
      </c>
      <c r="O1401">
        <v>0</v>
      </c>
      <c r="P1401">
        <v>1</v>
      </c>
      <c r="Q1401" t="s">
        <v>558</v>
      </c>
      <c r="R1401" t="s">
        <v>260</v>
      </c>
      <c r="S1401" t="str">
        <f t="shared" si="188"/>
        <v>PA</v>
      </c>
    </row>
    <row r="1402" spans="1:19" x14ac:dyDescent="0.3">
      <c r="A1402" t="s">
        <v>12</v>
      </c>
      <c r="B1402">
        <v>2016110039</v>
      </c>
      <c r="C1402" t="s">
        <v>33</v>
      </c>
      <c r="E1402" t="s">
        <v>264</v>
      </c>
      <c r="F1402" t="s">
        <v>265</v>
      </c>
      <c r="G1402">
        <v>2</v>
      </c>
      <c r="H1402" t="s">
        <v>260</v>
      </c>
      <c r="I1402" s="4">
        <f t="shared" si="189"/>
        <v>4</v>
      </c>
      <c r="J1402">
        <f t="shared" si="190"/>
        <v>8</v>
      </c>
      <c r="K1402">
        <v>82</v>
      </c>
      <c r="L1402">
        <v>24</v>
      </c>
      <c r="M1402" s="2">
        <v>3.42</v>
      </c>
      <c r="N1402" s="2">
        <v>3.51</v>
      </c>
      <c r="O1402">
        <v>0</v>
      </c>
      <c r="P1402">
        <v>5</v>
      </c>
      <c r="Q1402" t="s">
        <v>566</v>
      </c>
      <c r="R1402" t="s">
        <v>260</v>
      </c>
      <c r="S1402" t="str">
        <f t="shared" si="188"/>
        <v>PA</v>
      </c>
    </row>
    <row r="1403" spans="1:19" x14ac:dyDescent="0.3">
      <c r="A1403" t="s">
        <v>12</v>
      </c>
      <c r="B1403">
        <v>2016110039</v>
      </c>
      <c r="C1403" t="s">
        <v>33</v>
      </c>
      <c r="E1403" t="s">
        <v>244</v>
      </c>
      <c r="F1403" t="s">
        <v>228</v>
      </c>
      <c r="G1403">
        <v>2</v>
      </c>
      <c r="H1403" t="s">
        <v>260</v>
      </c>
      <c r="I1403" s="4">
        <f t="shared" si="189"/>
        <v>4</v>
      </c>
      <c r="J1403">
        <f t="shared" si="190"/>
        <v>8</v>
      </c>
      <c r="K1403">
        <v>74</v>
      </c>
      <c r="L1403">
        <v>24</v>
      </c>
      <c r="M1403" s="2">
        <v>3.08</v>
      </c>
      <c r="N1403" s="2">
        <v>3.51</v>
      </c>
      <c r="O1403">
        <v>0</v>
      </c>
      <c r="P1403">
        <v>4</v>
      </c>
      <c r="Q1403" t="s">
        <v>565</v>
      </c>
      <c r="R1403" t="s">
        <v>260</v>
      </c>
      <c r="S1403" t="str">
        <f t="shared" si="188"/>
        <v>PA</v>
      </c>
    </row>
    <row r="1404" spans="1:19" x14ac:dyDescent="0.3">
      <c r="A1404" t="s">
        <v>12</v>
      </c>
      <c r="B1404">
        <v>2016110039</v>
      </c>
      <c r="C1404" t="s">
        <v>33</v>
      </c>
      <c r="E1404" t="s">
        <v>100</v>
      </c>
      <c r="F1404" t="s">
        <v>101</v>
      </c>
      <c r="G1404">
        <v>4</v>
      </c>
      <c r="H1404" t="s">
        <v>260</v>
      </c>
      <c r="I1404" s="4">
        <f t="shared" si="189"/>
        <v>4</v>
      </c>
      <c r="J1404">
        <f t="shared" si="190"/>
        <v>16</v>
      </c>
      <c r="K1404">
        <v>62</v>
      </c>
      <c r="L1404">
        <v>20</v>
      </c>
      <c r="M1404" s="2">
        <v>3.1</v>
      </c>
      <c r="N1404" s="2">
        <v>3.51</v>
      </c>
      <c r="O1404">
        <v>0</v>
      </c>
      <c r="P1404">
        <v>2</v>
      </c>
      <c r="Q1404" t="s">
        <v>559</v>
      </c>
      <c r="R1404" t="s">
        <v>260</v>
      </c>
      <c r="S1404" t="str">
        <f t="shared" si="188"/>
        <v>PA</v>
      </c>
    </row>
    <row r="1405" spans="1:19" x14ac:dyDescent="0.3">
      <c r="A1405" t="s">
        <v>12</v>
      </c>
      <c r="B1405">
        <v>2016110039</v>
      </c>
      <c r="C1405" t="s">
        <v>33</v>
      </c>
      <c r="E1405" t="s">
        <v>257</v>
      </c>
      <c r="F1405" t="s">
        <v>258</v>
      </c>
      <c r="G1405">
        <v>4</v>
      </c>
      <c r="H1405" t="s">
        <v>260</v>
      </c>
      <c r="I1405" s="4">
        <f t="shared" si="189"/>
        <v>4</v>
      </c>
      <c r="J1405">
        <f t="shared" si="190"/>
        <v>16</v>
      </c>
      <c r="K1405">
        <v>82</v>
      </c>
      <c r="L1405">
        <v>22</v>
      </c>
      <c r="M1405" s="2">
        <v>3.73</v>
      </c>
      <c r="N1405" s="2">
        <v>3.51</v>
      </c>
      <c r="O1405">
        <v>0</v>
      </c>
      <c r="P1405">
        <v>6</v>
      </c>
      <c r="Q1405" t="s">
        <v>567</v>
      </c>
      <c r="R1405" t="s">
        <v>260</v>
      </c>
      <c r="S1405" t="str">
        <f t="shared" si="188"/>
        <v>PA</v>
      </c>
    </row>
    <row r="1406" spans="1:19" x14ac:dyDescent="0.3">
      <c r="A1406" t="s">
        <v>12</v>
      </c>
      <c r="B1406">
        <v>2016110039</v>
      </c>
      <c r="C1406" t="s">
        <v>33</v>
      </c>
      <c r="E1406" t="s">
        <v>276</v>
      </c>
      <c r="F1406" t="s">
        <v>137</v>
      </c>
      <c r="G1406">
        <v>4</v>
      </c>
      <c r="H1406" t="s">
        <v>260</v>
      </c>
      <c r="I1406" s="4">
        <f t="shared" si="189"/>
        <v>4</v>
      </c>
      <c r="J1406">
        <f t="shared" si="190"/>
        <v>16</v>
      </c>
      <c r="K1406">
        <v>74</v>
      </c>
      <c r="L1406">
        <v>24</v>
      </c>
      <c r="M1406" s="2">
        <v>3.08</v>
      </c>
      <c r="N1406" s="2">
        <v>3.51</v>
      </c>
      <c r="O1406">
        <v>0</v>
      </c>
      <c r="P1406">
        <v>4</v>
      </c>
      <c r="Q1406" t="s">
        <v>565</v>
      </c>
      <c r="R1406" t="s">
        <v>260</v>
      </c>
      <c r="S1406" t="str">
        <f t="shared" si="188"/>
        <v>PA</v>
      </c>
    </row>
    <row r="1407" spans="1:19" x14ac:dyDescent="0.3">
      <c r="A1407" t="s">
        <v>12</v>
      </c>
      <c r="B1407">
        <v>2016110039</v>
      </c>
      <c r="C1407" t="s">
        <v>33</v>
      </c>
      <c r="E1407" t="s">
        <v>387</v>
      </c>
      <c r="F1407" t="s">
        <v>388</v>
      </c>
      <c r="G1407">
        <v>2</v>
      </c>
      <c r="H1407" t="s">
        <v>438</v>
      </c>
      <c r="I1407" s="4">
        <f t="shared" si="189"/>
        <v>3</v>
      </c>
      <c r="J1407">
        <f t="shared" si="190"/>
        <v>6</v>
      </c>
      <c r="K1407">
        <v>82</v>
      </c>
      <c r="L1407">
        <v>22</v>
      </c>
      <c r="M1407" s="2">
        <v>3.73</v>
      </c>
      <c r="N1407" s="2">
        <v>3.51</v>
      </c>
      <c r="O1407">
        <v>0</v>
      </c>
      <c r="P1407">
        <v>6</v>
      </c>
      <c r="Q1407" t="s">
        <v>567</v>
      </c>
      <c r="R1407" t="s">
        <v>260</v>
      </c>
      <c r="S1407" t="str">
        <f t="shared" si="188"/>
        <v>PA</v>
      </c>
    </row>
    <row r="1408" spans="1:19" x14ac:dyDescent="0.3">
      <c r="A1408" t="s">
        <v>12</v>
      </c>
      <c r="B1408">
        <v>2016110039</v>
      </c>
      <c r="C1408" t="s">
        <v>33</v>
      </c>
      <c r="E1408" t="s">
        <v>173</v>
      </c>
      <c r="F1408" t="s">
        <v>8</v>
      </c>
      <c r="G1408">
        <v>2</v>
      </c>
      <c r="H1408" t="s">
        <v>438</v>
      </c>
      <c r="I1408" s="4">
        <f t="shared" si="189"/>
        <v>3</v>
      </c>
      <c r="J1408">
        <f t="shared" si="190"/>
        <v>6</v>
      </c>
      <c r="K1408">
        <v>80</v>
      </c>
      <c r="L1408">
        <v>24</v>
      </c>
      <c r="M1408" s="2">
        <v>3.33</v>
      </c>
      <c r="N1408" s="2">
        <v>3.51</v>
      </c>
      <c r="O1408">
        <v>0</v>
      </c>
      <c r="P1408">
        <v>3</v>
      </c>
      <c r="Q1408" t="s">
        <v>563</v>
      </c>
      <c r="R1408" t="s">
        <v>260</v>
      </c>
      <c r="S1408" t="str">
        <f t="shared" si="188"/>
        <v>PA</v>
      </c>
    </row>
    <row r="1409" spans="1:19" x14ac:dyDescent="0.3">
      <c r="A1409" t="s">
        <v>12</v>
      </c>
      <c r="B1409">
        <v>2016110039</v>
      </c>
      <c r="C1409" t="s">
        <v>33</v>
      </c>
      <c r="E1409" t="s">
        <v>344</v>
      </c>
      <c r="F1409" t="s">
        <v>345</v>
      </c>
      <c r="G1409">
        <v>2</v>
      </c>
      <c r="H1409" t="s">
        <v>438</v>
      </c>
      <c r="I1409" s="4">
        <f t="shared" si="189"/>
        <v>3</v>
      </c>
      <c r="J1409">
        <f t="shared" si="190"/>
        <v>6</v>
      </c>
      <c r="K1409">
        <v>14</v>
      </c>
      <c r="L1409">
        <v>6</v>
      </c>
      <c r="M1409" s="2">
        <v>2.33</v>
      </c>
      <c r="N1409" s="2">
        <v>3.51</v>
      </c>
      <c r="O1409">
        <v>0</v>
      </c>
      <c r="P1409">
        <v>7</v>
      </c>
      <c r="Q1409" t="s">
        <v>568</v>
      </c>
      <c r="R1409" t="s">
        <v>260</v>
      </c>
      <c r="S1409" t="str">
        <f t="shared" si="188"/>
        <v>PA</v>
      </c>
    </row>
    <row r="1410" spans="1:19" x14ac:dyDescent="0.3">
      <c r="A1410" t="s">
        <v>12</v>
      </c>
      <c r="B1410">
        <v>2016110039</v>
      </c>
      <c r="C1410" t="s">
        <v>33</v>
      </c>
      <c r="E1410" t="s">
        <v>211</v>
      </c>
      <c r="F1410" t="s">
        <v>186</v>
      </c>
      <c r="G1410">
        <v>4</v>
      </c>
      <c r="H1410" t="s">
        <v>438</v>
      </c>
      <c r="I1410" s="4">
        <f t="shared" si="189"/>
        <v>3</v>
      </c>
      <c r="J1410">
        <f t="shared" si="190"/>
        <v>12</v>
      </c>
      <c r="K1410">
        <v>82</v>
      </c>
      <c r="L1410">
        <v>24</v>
      </c>
      <c r="M1410" s="2">
        <v>3.42</v>
      </c>
      <c r="N1410" s="2">
        <v>3.51</v>
      </c>
      <c r="O1410">
        <v>0</v>
      </c>
      <c r="P1410">
        <v>5</v>
      </c>
      <c r="Q1410" t="s">
        <v>566</v>
      </c>
      <c r="R1410" t="s">
        <v>260</v>
      </c>
      <c r="S1410" t="str">
        <f t="shared" si="188"/>
        <v>PA</v>
      </c>
    </row>
    <row r="1411" spans="1:19" x14ac:dyDescent="0.3">
      <c r="A1411" t="s">
        <v>12</v>
      </c>
      <c r="B1411">
        <v>2016110039</v>
      </c>
      <c r="C1411" t="s">
        <v>33</v>
      </c>
      <c r="E1411" t="s">
        <v>382</v>
      </c>
      <c r="F1411" t="s">
        <v>383</v>
      </c>
      <c r="G1411">
        <v>4</v>
      </c>
      <c r="H1411" t="s">
        <v>438</v>
      </c>
      <c r="I1411" s="4">
        <f t="shared" si="189"/>
        <v>3</v>
      </c>
      <c r="J1411">
        <f t="shared" si="190"/>
        <v>12</v>
      </c>
      <c r="K1411">
        <v>82</v>
      </c>
      <c r="L1411">
        <v>24</v>
      </c>
      <c r="M1411" s="2">
        <v>3.42</v>
      </c>
      <c r="N1411" s="2">
        <v>3.51</v>
      </c>
      <c r="O1411">
        <v>0</v>
      </c>
      <c r="P1411">
        <v>5</v>
      </c>
      <c r="Q1411" t="s">
        <v>566</v>
      </c>
      <c r="R1411" t="s">
        <v>260</v>
      </c>
      <c r="S1411" t="str">
        <f t="shared" si="188"/>
        <v>PA</v>
      </c>
    </row>
    <row r="1412" spans="1:19" x14ac:dyDescent="0.3">
      <c r="A1412" t="s">
        <v>12</v>
      </c>
      <c r="B1412">
        <v>2016110039</v>
      </c>
      <c r="C1412" t="s">
        <v>33</v>
      </c>
      <c r="E1412" t="s">
        <v>437</v>
      </c>
      <c r="F1412" t="s">
        <v>169</v>
      </c>
      <c r="G1412">
        <v>4</v>
      </c>
      <c r="H1412" t="s">
        <v>438</v>
      </c>
      <c r="I1412" s="4">
        <f t="shared" si="189"/>
        <v>3</v>
      </c>
      <c r="J1412">
        <f t="shared" si="190"/>
        <v>12</v>
      </c>
      <c r="K1412">
        <v>70</v>
      </c>
      <c r="L1412">
        <v>20</v>
      </c>
      <c r="M1412" s="2">
        <v>3.5</v>
      </c>
      <c r="N1412" s="2">
        <v>3.51</v>
      </c>
      <c r="O1412">
        <v>0</v>
      </c>
      <c r="P1412">
        <v>1</v>
      </c>
      <c r="Q1412" t="s">
        <v>558</v>
      </c>
      <c r="R1412" t="s">
        <v>260</v>
      </c>
      <c r="S1412" t="str">
        <f t="shared" si="188"/>
        <v>PA</v>
      </c>
    </row>
    <row r="1413" spans="1:19" x14ac:dyDescent="0.3">
      <c r="A1413" t="s">
        <v>12</v>
      </c>
      <c r="B1413">
        <v>2016110039</v>
      </c>
      <c r="C1413" t="s">
        <v>33</v>
      </c>
      <c r="E1413" t="s">
        <v>370</v>
      </c>
      <c r="F1413" t="s">
        <v>371</v>
      </c>
      <c r="G1413">
        <v>2</v>
      </c>
      <c r="H1413" t="s">
        <v>438</v>
      </c>
      <c r="I1413" s="4">
        <f t="shared" si="189"/>
        <v>3</v>
      </c>
      <c r="J1413">
        <f t="shared" si="190"/>
        <v>6</v>
      </c>
      <c r="K1413">
        <v>82</v>
      </c>
      <c r="L1413">
        <v>24</v>
      </c>
      <c r="M1413" s="2">
        <v>3.42</v>
      </c>
      <c r="N1413" s="2">
        <v>3.51</v>
      </c>
      <c r="O1413">
        <v>0</v>
      </c>
      <c r="P1413">
        <v>5</v>
      </c>
      <c r="Q1413" t="s">
        <v>566</v>
      </c>
      <c r="R1413" t="s">
        <v>260</v>
      </c>
      <c r="S1413" t="str">
        <f t="shared" si="188"/>
        <v>PA</v>
      </c>
    </row>
    <row r="1414" spans="1:19" x14ac:dyDescent="0.3">
      <c r="A1414" t="s">
        <v>12</v>
      </c>
      <c r="B1414">
        <v>2016110039</v>
      </c>
      <c r="C1414" t="s">
        <v>33</v>
      </c>
      <c r="E1414" t="s">
        <v>348</v>
      </c>
      <c r="F1414" t="s">
        <v>402</v>
      </c>
      <c r="G1414">
        <v>4</v>
      </c>
      <c r="H1414" t="s">
        <v>438</v>
      </c>
      <c r="I1414" s="4">
        <f t="shared" si="189"/>
        <v>3</v>
      </c>
      <c r="J1414">
        <f t="shared" si="190"/>
        <v>12</v>
      </c>
      <c r="K1414">
        <v>74</v>
      </c>
      <c r="L1414">
        <v>24</v>
      </c>
      <c r="M1414" s="2">
        <v>3.08</v>
      </c>
      <c r="N1414" s="2">
        <v>3.51</v>
      </c>
      <c r="O1414">
        <v>0</v>
      </c>
      <c r="P1414">
        <v>4</v>
      </c>
      <c r="Q1414" t="s">
        <v>565</v>
      </c>
      <c r="R1414" t="s">
        <v>260</v>
      </c>
      <c r="S1414" t="str">
        <f t="shared" si="188"/>
        <v>PA</v>
      </c>
    </row>
    <row r="1415" spans="1:19" x14ac:dyDescent="0.3">
      <c r="A1415" t="s">
        <v>12</v>
      </c>
      <c r="B1415">
        <v>2016110039</v>
      </c>
      <c r="C1415" t="s">
        <v>33</v>
      </c>
      <c r="E1415" t="s">
        <v>432</v>
      </c>
      <c r="F1415" t="s">
        <v>433</v>
      </c>
      <c r="G1415">
        <v>4</v>
      </c>
      <c r="H1415" t="s">
        <v>438</v>
      </c>
      <c r="I1415" s="4">
        <f t="shared" si="189"/>
        <v>3</v>
      </c>
      <c r="J1415">
        <f t="shared" si="190"/>
        <v>12</v>
      </c>
      <c r="K1415">
        <v>74</v>
      </c>
      <c r="L1415">
        <v>24</v>
      </c>
      <c r="M1415" s="2">
        <v>3.08</v>
      </c>
      <c r="N1415" s="2">
        <v>3.51</v>
      </c>
      <c r="O1415">
        <v>0</v>
      </c>
      <c r="P1415">
        <v>4</v>
      </c>
      <c r="Q1415" t="s">
        <v>565</v>
      </c>
      <c r="R1415" t="s">
        <v>260</v>
      </c>
      <c r="S1415" t="str">
        <f t="shared" si="188"/>
        <v>PA</v>
      </c>
    </row>
    <row r="1416" spans="1:19" x14ac:dyDescent="0.3">
      <c r="A1416" t="s">
        <v>12</v>
      </c>
      <c r="B1416">
        <v>2016110039</v>
      </c>
      <c r="C1416" t="s">
        <v>33</v>
      </c>
      <c r="E1416" t="s">
        <v>190</v>
      </c>
      <c r="F1416" t="s">
        <v>191</v>
      </c>
      <c r="G1416">
        <v>4</v>
      </c>
      <c r="H1416" t="s">
        <v>438</v>
      </c>
      <c r="I1416" s="4">
        <f t="shared" si="189"/>
        <v>3</v>
      </c>
      <c r="J1416">
        <f t="shared" si="190"/>
        <v>12</v>
      </c>
      <c r="K1416">
        <v>80</v>
      </c>
      <c r="L1416">
        <v>24</v>
      </c>
      <c r="M1416" s="2">
        <v>3.33</v>
      </c>
      <c r="N1416" s="2">
        <v>3.51</v>
      </c>
      <c r="O1416">
        <v>0</v>
      </c>
      <c r="P1416">
        <v>3</v>
      </c>
      <c r="Q1416" t="s">
        <v>563</v>
      </c>
      <c r="R1416" t="s">
        <v>260</v>
      </c>
      <c r="S1416" t="str">
        <f t="shared" si="188"/>
        <v>PA</v>
      </c>
    </row>
    <row r="1417" spans="1:19" x14ac:dyDescent="0.3">
      <c r="A1417" t="s">
        <v>12</v>
      </c>
      <c r="B1417">
        <v>2016110039</v>
      </c>
      <c r="C1417" t="s">
        <v>33</v>
      </c>
      <c r="E1417" t="s">
        <v>234</v>
      </c>
      <c r="F1417" t="s">
        <v>235</v>
      </c>
      <c r="G1417">
        <v>4</v>
      </c>
      <c r="H1417" t="s">
        <v>438</v>
      </c>
      <c r="I1417" s="4">
        <f t="shared" si="189"/>
        <v>3</v>
      </c>
      <c r="J1417">
        <f t="shared" si="190"/>
        <v>12</v>
      </c>
      <c r="K1417">
        <v>80</v>
      </c>
      <c r="L1417">
        <v>24</v>
      </c>
      <c r="M1417" s="2">
        <v>3.33</v>
      </c>
      <c r="N1417" s="2">
        <v>3.51</v>
      </c>
      <c r="O1417">
        <v>0</v>
      </c>
      <c r="P1417">
        <v>3</v>
      </c>
      <c r="Q1417" t="s">
        <v>563</v>
      </c>
      <c r="R1417" t="s">
        <v>260</v>
      </c>
      <c r="S1417" t="str">
        <f t="shared" si="188"/>
        <v>PA</v>
      </c>
    </row>
    <row r="1418" spans="1:19" x14ac:dyDescent="0.3">
      <c r="A1418" t="s">
        <v>12</v>
      </c>
      <c r="B1418">
        <v>2016110039</v>
      </c>
      <c r="C1418" t="s">
        <v>33</v>
      </c>
      <c r="E1418" t="s">
        <v>142</v>
      </c>
      <c r="F1418" t="s">
        <v>143</v>
      </c>
      <c r="G1418">
        <v>2</v>
      </c>
      <c r="H1418" t="s">
        <v>438</v>
      </c>
      <c r="I1418" s="4">
        <f t="shared" si="189"/>
        <v>3</v>
      </c>
      <c r="J1418">
        <f t="shared" si="190"/>
        <v>6</v>
      </c>
      <c r="K1418">
        <v>70</v>
      </c>
      <c r="L1418">
        <v>20</v>
      </c>
      <c r="M1418" s="2">
        <v>3.5</v>
      </c>
      <c r="N1418" s="2">
        <v>3.51</v>
      </c>
      <c r="O1418">
        <v>0</v>
      </c>
      <c r="P1418">
        <v>1</v>
      </c>
      <c r="Q1418" t="s">
        <v>558</v>
      </c>
      <c r="R1418" t="s">
        <v>260</v>
      </c>
      <c r="S1418" t="str">
        <f t="shared" si="188"/>
        <v>PA</v>
      </c>
    </row>
    <row r="1419" spans="1:19" x14ac:dyDescent="0.3">
      <c r="A1419" t="s">
        <v>12</v>
      </c>
      <c r="B1419">
        <v>2016110039</v>
      </c>
      <c r="C1419" t="s">
        <v>33</v>
      </c>
      <c r="E1419" t="s">
        <v>357</v>
      </c>
      <c r="F1419" t="s">
        <v>358</v>
      </c>
      <c r="G1419">
        <v>4</v>
      </c>
      <c r="H1419" t="s">
        <v>438</v>
      </c>
      <c r="I1419" s="4">
        <f t="shared" si="189"/>
        <v>3</v>
      </c>
      <c r="J1419">
        <f t="shared" si="190"/>
        <v>12</v>
      </c>
      <c r="K1419">
        <v>82</v>
      </c>
      <c r="L1419">
        <v>24</v>
      </c>
      <c r="M1419" s="2">
        <v>3.42</v>
      </c>
      <c r="N1419" s="2">
        <v>3.51</v>
      </c>
      <c r="O1419">
        <v>0</v>
      </c>
      <c r="P1419">
        <v>5</v>
      </c>
      <c r="Q1419" t="s">
        <v>566</v>
      </c>
      <c r="R1419" t="s">
        <v>260</v>
      </c>
      <c r="S1419" t="str">
        <f t="shared" si="188"/>
        <v>PA</v>
      </c>
    </row>
    <row r="1420" spans="1:19" x14ac:dyDescent="0.3">
      <c r="A1420" t="s">
        <v>12</v>
      </c>
      <c r="B1420">
        <v>2016110039</v>
      </c>
      <c r="C1420" t="s">
        <v>33</v>
      </c>
      <c r="E1420" t="s">
        <v>192</v>
      </c>
      <c r="F1420" t="s">
        <v>106</v>
      </c>
      <c r="G1420">
        <v>2</v>
      </c>
      <c r="H1420" t="s">
        <v>438</v>
      </c>
      <c r="I1420" s="4">
        <f t="shared" si="189"/>
        <v>3</v>
      </c>
      <c r="J1420">
        <f t="shared" si="190"/>
        <v>6</v>
      </c>
      <c r="K1420">
        <v>80</v>
      </c>
      <c r="L1420">
        <v>24</v>
      </c>
      <c r="M1420" s="2">
        <v>3.33</v>
      </c>
      <c r="N1420" s="2">
        <v>3.51</v>
      </c>
      <c r="O1420">
        <v>0</v>
      </c>
      <c r="P1420">
        <v>3</v>
      </c>
      <c r="Q1420" t="s">
        <v>563</v>
      </c>
      <c r="R1420" t="s">
        <v>260</v>
      </c>
      <c r="S1420" t="str">
        <f t="shared" si="188"/>
        <v>PA</v>
      </c>
    </row>
    <row r="1421" spans="1:19" x14ac:dyDescent="0.3">
      <c r="A1421" t="s">
        <v>12</v>
      </c>
      <c r="B1421">
        <v>2016110039</v>
      </c>
      <c r="C1421" t="s">
        <v>33</v>
      </c>
      <c r="E1421" t="s">
        <v>165</v>
      </c>
      <c r="F1421" t="s">
        <v>166</v>
      </c>
      <c r="G1421">
        <v>2</v>
      </c>
      <c r="H1421" t="s">
        <v>438</v>
      </c>
      <c r="I1421" s="4">
        <f t="shared" si="189"/>
        <v>3</v>
      </c>
      <c r="J1421">
        <f t="shared" si="190"/>
        <v>6</v>
      </c>
      <c r="K1421">
        <v>70</v>
      </c>
      <c r="L1421">
        <v>20</v>
      </c>
      <c r="M1421" s="2">
        <v>3.5</v>
      </c>
      <c r="N1421" s="2">
        <v>3.51</v>
      </c>
      <c r="O1421">
        <v>0</v>
      </c>
      <c r="P1421">
        <v>1</v>
      </c>
      <c r="Q1421" t="s">
        <v>558</v>
      </c>
      <c r="R1421" t="s">
        <v>260</v>
      </c>
      <c r="S1421" t="str">
        <f t="shared" si="188"/>
        <v>PA</v>
      </c>
    </row>
    <row r="1422" spans="1:19" x14ac:dyDescent="0.3">
      <c r="A1422" t="s">
        <v>12</v>
      </c>
      <c r="B1422">
        <v>2016110039</v>
      </c>
      <c r="C1422" t="s">
        <v>33</v>
      </c>
      <c r="E1422" t="s">
        <v>90</v>
      </c>
      <c r="F1422" t="s">
        <v>91</v>
      </c>
      <c r="G1422">
        <v>2</v>
      </c>
      <c r="H1422" t="s">
        <v>438</v>
      </c>
      <c r="I1422" s="4">
        <f t="shared" si="189"/>
        <v>3</v>
      </c>
      <c r="J1422">
        <f t="shared" si="190"/>
        <v>6</v>
      </c>
      <c r="K1422">
        <v>70</v>
      </c>
      <c r="L1422">
        <v>20</v>
      </c>
      <c r="M1422" s="2">
        <v>3.5</v>
      </c>
      <c r="N1422" s="2">
        <v>3.51</v>
      </c>
      <c r="O1422">
        <v>0</v>
      </c>
      <c r="P1422">
        <v>1</v>
      </c>
      <c r="Q1422" t="s">
        <v>558</v>
      </c>
      <c r="R1422" t="s">
        <v>260</v>
      </c>
      <c r="S1422" t="str">
        <f t="shared" si="188"/>
        <v>PA</v>
      </c>
    </row>
    <row r="1423" spans="1:19" x14ac:dyDescent="0.3">
      <c r="A1423" t="s">
        <v>12</v>
      </c>
      <c r="B1423">
        <v>2016110039</v>
      </c>
      <c r="C1423" t="s">
        <v>33</v>
      </c>
      <c r="E1423" t="s">
        <v>427</v>
      </c>
      <c r="F1423" t="s">
        <v>428</v>
      </c>
      <c r="G1423">
        <v>2</v>
      </c>
      <c r="H1423" t="s">
        <v>438</v>
      </c>
      <c r="I1423" s="4">
        <f t="shared" si="189"/>
        <v>3</v>
      </c>
      <c r="J1423">
        <f t="shared" si="190"/>
        <v>6</v>
      </c>
      <c r="K1423">
        <v>82</v>
      </c>
      <c r="L1423">
        <v>22</v>
      </c>
      <c r="M1423" s="2">
        <v>3.73</v>
      </c>
      <c r="N1423" s="2">
        <v>3.51</v>
      </c>
      <c r="O1423">
        <v>0</v>
      </c>
      <c r="P1423">
        <v>6</v>
      </c>
      <c r="Q1423" t="s">
        <v>567</v>
      </c>
      <c r="R1423" t="s">
        <v>260</v>
      </c>
      <c r="S1423" t="str">
        <f t="shared" si="188"/>
        <v>PA</v>
      </c>
    </row>
    <row r="1424" spans="1:19" x14ac:dyDescent="0.3">
      <c r="A1424" t="s">
        <v>12</v>
      </c>
      <c r="B1424">
        <v>2016110039</v>
      </c>
      <c r="C1424" t="s">
        <v>33</v>
      </c>
      <c r="E1424" t="s">
        <v>374</v>
      </c>
      <c r="F1424" t="s">
        <v>375</v>
      </c>
      <c r="G1424">
        <v>2</v>
      </c>
      <c r="H1424" t="s">
        <v>438</v>
      </c>
      <c r="I1424" s="4">
        <f t="shared" si="189"/>
        <v>3</v>
      </c>
      <c r="J1424">
        <f t="shared" si="190"/>
        <v>6</v>
      </c>
      <c r="K1424">
        <v>74</v>
      </c>
      <c r="L1424">
        <v>24</v>
      </c>
      <c r="M1424" s="2">
        <v>3.08</v>
      </c>
      <c r="N1424" s="2">
        <v>3.51</v>
      </c>
      <c r="O1424">
        <v>0</v>
      </c>
      <c r="P1424">
        <v>4</v>
      </c>
      <c r="Q1424" t="s">
        <v>565</v>
      </c>
      <c r="R1424" t="s">
        <v>260</v>
      </c>
      <c r="S1424" t="str">
        <f t="shared" si="188"/>
        <v>PA</v>
      </c>
    </row>
    <row r="1425" spans="1:19" x14ac:dyDescent="0.3">
      <c r="A1425" t="s">
        <v>12</v>
      </c>
      <c r="B1425">
        <v>2016110039</v>
      </c>
      <c r="C1425" t="s">
        <v>33</v>
      </c>
      <c r="E1425" t="s">
        <v>139</v>
      </c>
      <c r="F1425" t="s">
        <v>140</v>
      </c>
      <c r="G1425">
        <v>2</v>
      </c>
      <c r="H1425" t="s">
        <v>438</v>
      </c>
      <c r="I1425" s="4">
        <f t="shared" si="189"/>
        <v>3</v>
      </c>
      <c r="J1425">
        <f t="shared" si="190"/>
        <v>6</v>
      </c>
      <c r="K1425">
        <v>62</v>
      </c>
      <c r="L1425">
        <v>20</v>
      </c>
      <c r="M1425" s="2">
        <v>3.1</v>
      </c>
      <c r="N1425" s="2">
        <v>3.51</v>
      </c>
      <c r="O1425">
        <v>0</v>
      </c>
      <c r="P1425">
        <v>2</v>
      </c>
      <c r="Q1425" t="s">
        <v>559</v>
      </c>
      <c r="R1425" t="s">
        <v>260</v>
      </c>
      <c r="S1425" t="str">
        <f t="shared" si="188"/>
        <v>PA</v>
      </c>
    </row>
    <row r="1426" spans="1:19" x14ac:dyDescent="0.3">
      <c r="A1426" t="s">
        <v>12</v>
      </c>
      <c r="B1426">
        <v>2016110039</v>
      </c>
      <c r="C1426" t="s">
        <v>33</v>
      </c>
      <c r="E1426" t="s">
        <v>446</v>
      </c>
      <c r="F1426" t="s">
        <v>447</v>
      </c>
      <c r="G1426">
        <v>2</v>
      </c>
      <c r="H1426" t="s">
        <v>438</v>
      </c>
      <c r="I1426" s="4">
        <f t="shared" si="189"/>
        <v>3</v>
      </c>
      <c r="J1426">
        <f t="shared" si="190"/>
        <v>6</v>
      </c>
      <c r="K1426">
        <v>82</v>
      </c>
      <c r="L1426">
        <v>22</v>
      </c>
      <c r="M1426" s="2">
        <v>3.73</v>
      </c>
      <c r="N1426" s="2">
        <v>3.51</v>
      </c>
      <c r="O1426">
        <v>0</v>
      </c>
      <c r="P1426">
        <v>6</v>
      </c>
      <c r="Q1426" t="s">
        <v>567</v>
      </c>
      <c r="R1426" t="s">
        <v>260</v>
      </c>
      <c r="S1426" t="str">
        <f t="shared" si="188"/>
        <v>PA</v>
      </c>
    </row>
    <row r="1427" spans="1:19" x14ac:dyDescent="0.3">
      <c r="A1427" t="s">
        <v>12</v>
      </c>
      <c r="B1427">
        <v>2016110039</v>
      </c>
      <c r="C1427" t="s">
        <v>33</v>
      </c>
      <c r="E1427" t="s">
        <v>103</v>
      </c>
      <c r="F1427" t="s">
        <v>104</v>
      </c>
      <c r="G1427">
        <v>4</v>
      </c>
      <c r="H1427" t="s">
        <v>524</v>
      </c>
      <c r="I1427" s="4">
        <f t="shared" si="189"/>
        <v>2</v>
      </c>
      <c r="J1427">
        <f t="shared" si="190"/>
        <v>8</v>
      </c>
      <c r="K1427">
        <v>62</v>
      </c>
      <c r="L1427">
        <v>20</v>
      </c>
      <c r="M1427" s="2">
        <v>3.1</v>
      </c>
      <c r="N1427" s="2">
        <v>3.51</v>
      </c>
      <c r="O1427">
        <v>0</v>
      </c>
      <c r="P1427">
        <v>2</v>
      </c>
      <c r="Q1427" t="s">
        <v>559</v>
      </c>
      <c r="R1427" t="s">
        <v>260</v>
      </c>
      <c r="S1427" t="str">
        <f t="shared" si="188"/>
        <v>PA</v>
      </c>
    </row>
    <row r="1428" spans="1:19" x14ac:dyDescent="0.3">
      <c r="A1428" t="s">
        <v>12</v>
      </c>
      <c r="B1428">
        <v>2016110039</v>
      </c>
      <c r="C1428" t="s">
        <v>33</v>
      </c>
      <c r="E1428" t="s">
        <v>241</v>
      </c>
      <c r="F1428" t="s">
        <v>45</v>
      </c>
      <c r="G1428">
        <v>2</v>
      </c>
      <c r="I1428" s="4"/>
      <c r="J1428">
        <f t="shared" ref="J1428:J1429" si="191">G1428*I1428</f>
        <v>0</v>
      </c>
      <c r="K1428">
        <v>80</v>
      </c>
      <c r="L1428">
        <v>24</v>
      </c>
      <c r="M1428" s="2">
        <v>3.33</v>
      </c>
      <c r="N1428" s="2">
        <v>3.51</v>
      </c>
      <c r="O1428">
        <v>0</v>
      </c>
      <c r="P1428">
        <v>3</v>
      </c>
      <c r="Q1428" t="s">
        <v>563</v>
      </c>
      <c r="R1428" t="s">
        <v>260</v>
      </c>
      <c r="S1428" t="s">
        <v>595</v>
      </c>
    </row>
    <row r="1429" spans="1:19" x14ac:dyDescent="0.3">
      <c r="A1429" t="s">
        <v>12</v>
      </c>
      <c r="B1429">
        <v>2016110039</v>
      </c>
      <c r="C1429" t="s">
        <v>33</v>
      </c>
      <c r="E1429" t="s">
        <v>290</v>
      </c>
      <c r="F1429" t="s">
        <v>327</v>
      </c>
      <c r="G1429">
        <v>4</v>
      </c>
      <c r="H1429" t="s">
        <v>524</v>
      </c>
      <c r="I1429" s="4">
        <f t="shared" ref="I1429" si="192">IF(H1429="A",4,IF(H1429="B",3,IF(H1429="C",2,IF(H1429="D",1,0))))</f>
        <v>2</v>
      </c>
      <c r="J1429">
        <f t="shared" si="191"/>
        <v>8</v>
      </c>
      <c r="K1429">
        <v>62</v>
      </c>
      <c r="L1429">
        <v>20</v>
      </c>
      <c r="M1429" s="2">
        <v>3.1</v>
      </c>
      <c r="N1429" s="2">
        <v>3.51</v>
      </c>
      <c r="O1429">
        <v>0</v>
      </c>
      <c r="P1429">
        <v>2</v>
      </c>
      <c r="Q1429" t="s">
        <v>559</v>
      </c>
      <c r="R1429" t="s">
        <v>260</v>
      </c>
      <c r="S1429" t="str">
        <f t="shared" ref="S1429:S1438" si="193">IF(OR(H1429="A",H1429="B",H1429="C"),"PA","FA")</f>
        <v>PA</v>
      </c>
    </row>
    <row r="1430" spans="1:19" x14ac:dyDescent="0.3">
      <c r="A1430" t="s">
        <v>12</v>
      </c>
      <c r="B1430">
        <v>2016110039</v>
      </c>
      <c r="C1430" t="s">
        <v>33</v>
      </c>
      <c r="E1430" t="s">
        <v>273</v>
      </c>
      <c r="F1430" t="s">
        <v>274</v>
      </c>
      <c r="G1430">
        <v>2</v>
      </c>
      <c r="H1430" t="s">
        <v>524</v>
      </c>
      <c r="I1430" s="4">
        <f t="shared" ref="I1430:I1438" si="194">IF(H1430="A",4,IF(H1430="B",3,IF(H1430="C",2,IF(H1430="D",1,0))))</f>
        <v>2</v>
      </c>
      <c r="J1430">
        <f t="shared" ref="J1430:J1438" si="195">G1430*I1430</f>
        <v>4</v>
      </c>
      <c r="K1430">
        <v>74</v>
      </c>
      <c r="L1430">
        <v>24</v>
      </c>
      <c r="M1430" s="2">
        <v>3.08</v>
      </c>
      <c r="N1430" s="2">
        <v>3.51</v>
      </c>
      <c r="O1430">
        <v>0</v>
      </c>
      <c r="P1430">
        <v>4</v>
      </c>
      <c r="Q1430" t="s">
        <v>565</v>
      </c>
      <c r="R1430" t="s">
        <v>260</v>
      </c>
      <c r="S1430" t="str">
        <f t="shared" si="193"/>
        <v>PA</v>
      </c>
    </row>
    <row r="1431" spans="1:19" x14ac:dyDescent="0.3">
      <c r="A1431" t="s">
        <v>12</v>
      </c>
      <c r="B1431">
        <v>2016110039</v>
      </c>
      <c r="C1431" t="s">
        <v>33</v>
      </c>
      <c r="E1431" t="s">
        <v>309</v>
      </c>
      <c r="F1431" t="s">
        <v>310</v>
      </c>
      <c r="G1431">
        <v>4</v>
      </c>
      <c r="H1431" t="s">
        <v>524</v>
      </c>
      <c r="I1431" s="4">
        <f t="shared" si="194"/>
        <v>2</v>
      </c>
      <c r="J1431">
        <f t="shared" si="195"/>
        <v>8</v>
      </c>
      <c r="K1431">
        <v>74</v>
      </c>
      <c r="L1431">
        <v>24</v>
      </c>
      <c r="M1431" s="2">
        <v>3.08</v>
      </c>
      <c r="N1431" s="2">
        <v>3.51</v>
      </c>
      <c r="O1431">
        <v>0</v>
      </c>
      <c r="P1431">
        <v>4</v>
      </c>
      <c r="Q1431" t="s">
        <v>565</v>
      </c>
      <c r="R1431" t="s">
        <v>260</v>
      </c>
      <c r="S1431" t="str">
        <f t="shared" si="193"/>
        <v>PA</v>
      </c>
    </row>
    <row r="1432" spans="1:19" x14ac:dyDescent="0.3">
      <c r="A1432" t="s">
        <v>12</v>
      </c>
      <c r="B1432">
        <v>2016110039</v>
      </c>
      <c r="C1432" t="s">
        <v>33</v>
      </c>
      <c r="E1432" t="s">
        <v>330</v>
      </c>
      <c r="F1432" t="s">
        <v>108</v>
      </c>
      <c r="G1432">
        <v>2</v>
      </c>
      <c r="H1432" t="s">
        <v>539</v>
      </c>
      <c r="I1432" s="4">
        <f t="shared" si="194"/>
        <v>0</v>
      </c>
      <c r="J1432">
        <f t="shared" si="195"/>
        <v>0</v>
      </c>
      <c r="K1432">
        <v>14</v>
      </c>
      <c r="L1432">
        <v>6</v>
      </c>
      <c r="M1432" s="2">
        <v>2.33</v>
      </c>
      <c r="N1432" s="2">
        <v>3.51</v>
      </c>
      <c r="O1432">
        <v>0</v>
      </c>
      <c r="P1432">
        <v>7</v>
      </c>
      <c r="Q1432" t="s">
        <v>568</v>
      </c>
      <c r="R1432" t="s">
        <v>260</v>
      </c>
      <c r="S1432" t="str">
        <f t="shared" si="193"/>
        <v>FA</v>
      </c>
    </row>
    <row r="1433" spans="1:19" x14ac:dyDescent="0.3">
      <c r="A1433" t="s">
        <v>12</v>
      </c>
      <c r="B1433">
        <v>2016110039</v>
      </c>
      <c r="C1433" t="s">
        <v>33</v>
      </c>
      <c r="E1433" t="s">
        <v>103</v>
      </c>
      <c r="F1433" t="s">
        <v>104</v>
      </c>
      <c r="G1433">
        <v>4</v>
      </c>
      <c r="H1433" t="s">
        <v>438</v>
      </c>
      <c r="I1433" s="4">
        <f t="shared" si="194"/>
        <v>3</v>
      </c>
      <c r="J1433">
        <f t="shared" si="195"/>
        <v>12</v>
      </c>
      <c r="K1433">
        <v>60</v>
      </c>
      <c r="L1433">
        <v>18</v>
      </c>
      <c r="M1433" s="2">
        <v>3.33</v>
      </c>
      <c r="N1433" s="2">
        <v>3.51</v>
      </c>
      <c r="O1433">
        <v>1</v>
      </c>
      <c r="P1433">
        <v>8</v>
      </c>
      <c r="Q1433" t="s">
        <v>571</v>
      </c>
      <c r="R1433" t="s">
        <v>260</v>
      </c>
      <c r="S1433" t="str">
        <f t="shared" si="193"/>
        <v>PA</v>
      </c>
    </row>
    <row r="1434" spans="1:19" x14ac:dyDescent="0.3">
      <c r="A1434" t="s">
        <v>12</v>
      </c>
      <c r="B1434">
        <v>2016110039</v>
      </c>
      <c r="C1434" t="s">
        <v>33</v>
      </c>
      <c r="E1434" t="s">
        <v>241</v>
      </c>
      <c r="F1434" t="s">
        <v>45</v>
      </c>
      <c r="G1434">
        <v>2</v>
      </c>
      <c r="H1434" t="s">
        <v>438</v>
      </c>
      <c r="I1434" s="4">
        <f t="shared" si="194"/>
        <v>3</v>
      </c>
      <c r="J1434">
        <f t="shared" si="195"/>
        <v>6</v>
      </c>
      <c r="K1434">
        <v>60</v>
      </c>
      <c r="L1434">
        <v>18</v>
      </c>
      <c r="M1434" s="2">
        <v>3.33</v>
      </c>
      <c r="N1434" s="2">
        <v>3.51</v>
      </c>
      <c r="O1434">
        <v>1</v>
      </c>
      <c r="P1434">
        <v>8</v>
      </c>
      <c r="Q1434" t="s">
        <v>571</v>
      </c>
      <c r="R1434" t="s">
        <v>260</v>
      </c>
      <c r="S1434" t="str">
        <f t="shared" si="193"/>
        <v>PA</v>
      </c>
    </row>
    <row r="1435" spans="1:19" x14ac:dyDescent="0.3">
      <c r="A1435" t="s">
        <v>12</v>
      </c>
      <c r="B1435">
        <v>2016110039</v>
      </c>
      <c r="C1435" t="s">
        <v>33</v>
      </c>
      <c r="E1435" t="s">
        <v>290</v>
      </c>
      <c r="F1435" t="s">
        <v>327</v>
      </c>
      <c r="G1435">
        <v>4</v>
      </c>
      <c r="H1435" t="s">
        <v>438</v>
      </c>
      <c r="I1435" s="4">
        <f t="shared" si="194"/>
        <v>3</v>
      </c>
      <c r="J1435">
        <f t="shared" si="195"/>
        <v>12</v>
      </c>
      <c r="K1435">
        <v>60</v>
      </c>
      <c r="L1435">
        <v>18</v>
      </c>
      <c r="M1435" s="2">
        <v>3.33</v>
      </c>
      <c r="N1435" s="2">
        <v>3.51</v>
      </c>
      <c r="O1435">
        <v>1</v>
      </c>
      <c r="P1435">
        <v>8</v>
      </c>
      <c r="Q1435" t="s">
        <v>571</v>
      </c>
      <c r="R1435" t="s">
        <v>260</v>
      </c>
      <c r="S1435" t="str">
        <f t="shared" si="193"/>
        <v>PA</v>
      </c>
    </row>
    <row r="1436" spans="1:19" x14ac:dyDescent="0.3">
      <c r="A1436" t="s">
        <v>12</v>
      </c>
      <c r="B1436">
        <v>2016110039</v>
      </c>
      <c r="C1436" t="s">
        <v>33</v>
      </c>
      <c r="E1436" t="s">
        <v>273</v>
      </c>
      <c r="F1436" t="s">
        <v>274</v>
      </c>
      <c r="G1436">
        <v>2</v>
      </c>
      <c r="H1436" t="s">
        <v>438</v>
      </c>
      <c r="I1436" s="4">
        <f t="shared" si="194"/>
        <v>3</v>
      </c>
      <c r="J1436">
        <f t="shared" si="195"/>
        <v>6</v>
      </c>
      <c r="K1436">
        <v>60</v>
      </c>
      <c r="L1436">
        <v>18</v>
      </c>
      <c r="M1436" s="2">
        <v>3.33</v>
      </c>
      <c r="N1436" s="2">
        <v>3.51</v>
      </c>
      <c r="O1436">
        <v>1</v>
      </c>
      <c r="P1436">
        <v>8</v>
      </c>
      <c r="Q1436" t="s">
        <v>571</v>
      </c>
      <c r="R1436" t="s">
        <v>260</v>
      </c>
      <c r="S1436" t="str">
        <f t="shared" si="193"/>
        <v>PA</v>
      </c>
    </row>
    <row r="1437" spans="1:19" x14ac:dyDescent="0.3">
      <c r="A1437" t="s">
        <v>12</v>
      </c>
      <c r="B1437">
        <v>2016110039</v>
      </c>
      <c r="C1437" t="s">
        <v>33</v>
      </c>
      <c r="E1437" t="s">
        <v>309</v>
      </c>
      <c r="F1437" t="s">
        <v>310</v>
      </c>
      <c r="G1437">
        <v>4</v>
      </c>
      <c r="H1437" t="s">
        <v>260</v>
      </c>
      <c r="I1437" s="4">
        <f t="shared" si="194"/>
        <v>4</v>
      </c>
      <c r="J1437">
        <f t="shared" si="195"/>
        <v>16</v>
      </c>
      <c r="K1437">
        <v>60</v>
      </c>
      <c r="L1437">
        <v>18</v>
      </c>
      <c r="M1437" s="2">
        <v>3.33</v>
      </c>
      <c r="N1437" s="2">
        <v>3.51</v>
      </c>
      <c r="O1437">
        <v>1</v>
      </c>
      <c r="P1437">
        <v>8</v>
      </c>
      <c r="Q1437" t="s">
        <v>571</v>
      </c>
      <c r="R1437" t="s">
        <v>260</v>
      </c>
      <c r="S1437" t="str">
        <f t="shared" si="193"/>
        <v>PA</v>
      </c>
    </row>
    <row r="1438" spans="1:19" x14ac:dyDescent="0.3">
      <c r="A1438" t="s">
        <v>12</v>
      </c>
      <c r="B1438">
        <v>2016110039</v>
      </c>
      <c r="C1438" t="s">
        <v>33</v>
      </c>
      <c r="E1438" t="s">
        <v>330</v>
      </c>
      <c r="F1438" t="s">
        <v>108</v>
      </c>
      <c r="G1438">
        <v>2</v>
      </c>
      <c r="H1438" t="s">
        <v>260</v>
      </c>
      <c r="I1438" s="4">
        <f t="shared" si="194"/>
        <v>4</v>
      </c>
      <c r="J1438">
        <f t="shared" si="195"/>
        <v>8</v>
      </c>
      <c r="K1438">
        <v>60</v>
      </c>
      <c r="L1438">
        <v>18</v>
      </c>
      <c r="M1438" s="2">
        <v>3.33</v>
      </c>
      <c r="N1438" s="2">
        <v>3.51</v>
      </c>
      <c r="O1438">
        <v>1</v>
      </c>
      <c r="P1438">
        <v>8</v>
      </c>
      <c r="Q1438" t="s">
        <v>571</v>
      </c>
      <c r="R1438" t="s">
        <v>260</v>
      </c>
      <c r="S1438" t="str">
        <f t="shared" si="193"/>
        <v>PA</v>
      </c>
    </row>
    <row r="1439" spans="1:19" x14ac:dyDescent="0.3">
      <c r="A1439" t="s">
        <v>12</v>
      </c>
      <c r="B1439">
        <v>2016110040</v>
      </c>
      <c r="C1439" t="s">
        <v>102</v>
      </c>
      <c r="E1439" t="s">
        <v>103</v>
      </c>
      <c r="F1439" t="s">
        <v>104</v>
      </c>
      <c r="G1439">
        <v>4</v>
      </c>
      <c r="I1439" s="4"/>
      <c r="J1439">
        <f t="shared" ref="J1439:J1461" si="196">G1439*I1439</f>
        <v>0</v>
      </c>
      <c r="K1439">
        <v>0</v>
      </c>
      <c r="L1439">
        <v>6</v>
      </c>
      <c r="M1439" s="2">
        <v>0</v>
      </c>
      <c r="N1439" s="2">
        <v>0.31</v>
      </c>
      <c r="O1439">
        <v>0</v>
      </c>
      <c r="P1439">
        <v>2</v>
      </c>
      <c r="Q1439" s="4" t="str">
        <f t="shared" ref="Q1439:Q1470" si="197">IF(P1439=1,"2016/2017-Ganjil",IF(P1439=2,"2016/2017-Genap",IF(P1439=3,"2017/2018-Ganjil",IF(P1439=4,"2017/2018-Genap",IF(P1439=5,"2018/2019-Ganjil",IF(P1439=6,"2018/2019-Genap",IF(P1439=7,"2019/2020-Ganjil",IF(P1439=8,"2019/2020-Genap",IF(P1439=9,"2020/2021-Ganjil","2020/2021-Genap")))))))))</f>
        <v>2016/2017-Genap</v>
      </c>
      <c r="R1439" t="s">
        <v>260</v>
      </c>
      <c r="S1439" t="s">
        <v>595</v>
      </c>
    </row>
    <row r="1440" spans="1:19" x14ac:dyDescent="0.3">
      <c r="A1440" t="s">
        <v>12</v>
      </c>
      <c r="B1440">
        <v>2016110040</v>
      </c>
      <c r="C1440" t="s">
        <v>102</v>
      </c>
      <c r="E1440" t="s">
        <v>100</v>
      </c>
      <c r="F1440" t="s">
        <v>101</v>
      </c>
      <c r="G1440">
        <v>4</v>
      </c>
      <c r="I1440" s="4"/>
      <c r="J1440">
        <f t="shared" si="196"/>
        <v>0</v>
      </c>
      <c r="K1440">
        <v>0</v>
      </c>
      <c r="L1440">
        <v>6</v>
      </c>
      <c r="M1440" s="2">
        <v>0</v>
      </c>
      <c r="N1440" s="2">
        <v>0.31</v>
      </c>
      <c r="O1440">
        <v>0</v>
      </c>
      <c r="P1440">
        <v>2</v>
      </c>
      <c r="Q1440" s="4" t="str">
        <f t="shared" si="197"/>
        <v>2016/2017-Genap</v>
      </c>
      <c r="R1440" t="s">
        <v>260</v>
      </c>
      <c r="S1440" t="s">
        <v>595</v>
      </c>
    </row>
    <row r="1441" spans="1:19" x14ac:dyDescent="0.3">
      <c r="A1441" t="s">
        <v>12</v>
      </c>
      <c r="B1441">
        <v>2016110040</v>
      </c>
      <c r="C1441" t="s">
        <v>102</v>
      </c>
      <c r="E1441" t="s">
        <v>100</v>
      </c>
      <c r="F1441" t="s">
        <v>101</v>
      </c>
      <c r="G1441">
        <v>4</v>
      </c>
      <c r="I1441" s="4"/>
      <c r="J1441">
        <f t="shared" si="196"/>
        <v>0</v>
      </c>
      <c r="K1441">
        <v>0</v>
      </c>
      <c r="L1441">
        <v>8</v>
      </c>
      <c r="M1441" s="2">
        <v>0</v>
      </c>
      <c r="N1441" s="2">
        <v>0.31</v>
      </c>
      <c r="O1441">
        <v>2</v>
      </c>
      <c r="P1441">
        <v>6</v>
      </c>
      <c r="Q1441" s="4" t="str">
        <f t="shared" si="197"/>
        <v>2018/2019-Genap</v>
      </c>
      <c r="R1441" t="s">
        <v>535</v>
      </c>
      <c r="S1441" t="s">
        <v>595</v>
      </c>
    </row>
    <row r="1442" spans="1:19" x14ac:dyDescent="0.3">
      <c r="A1442" t="s">
        <v>12</v>
      </c>
      <c r="B1442">
        <v>2016110040</v>
      </c>
      <c r="C1442" t="s">
        <v>102</v>
      </c>
      <c r="E1442" t="s">
        <v>100</v>
      </c>
      <c r="F1442" t="s">
        <v>101</v>
      </c>
      <c r="G1442">
        <v>4</v>
      </c>
      <c r="I1442" s="4"/>
      <c r="J1442">
        <f t="shared" si="196"/>
        <v>0</v>
      </c>
      <c r="K1442">
        <v>0</v>
      </c>
      <c r="L1442">
        <v>6</v>
      </c>
      <c r="M1442" s="2">
        <v>0</v>
      </c>
      <c r="N1442" s="2">
        <v>0.31</v>
      </c>
      <c r="O1442">
        <v>1</v>
      </c>
      <c r="P1442">
        <v>4</v>
      </c>
      <c r="Q1442" s="4" t="str">
        <f t="shared" si="197"/>
        <v>2017/2018-Genap</v>
      </c>
      <c r="R1442" t="s">
        <v>260</v>
      </c>
      <c r="S1442" t="s">
        <v>595</v>
      </c>
    </row>
    <row r="1443" spans="1:19" x14ac:dyDescent="0.3">
      <c r="A1443" t="s">
        <v>12</v>
      </c>
      <c r="B1443">
        <v>2016110040</v>
      </c>
      <c r="C1443" t="s">
        <v>102</v>
      </c>
      <c r="E1443" t="s">
        <v>173</v>
      </c>
      <c r="F1443" t="s">
        <v>8</v>
      </c>
      <c r="G1443">
        <v>2</v>
      </c>
      <c r="I1443" s="4"/>
      <c r="J1443">
        <f t="shared" si="196"/>
        <v>0</v>
      </c>
      <c r="K1443">
        <v>0</v>
      </c>
      <c r="L1443">
        <v>0</v>
      </c>
      <c r="M1443" t="s">
        <v>574</v>
      </c>
      <c r="N1443" s="2">
        <v>0.31</v>
      </c>
      <c r="O1443">
        <v>0</v>
      </c>
      <c r="P1443">
        <v>3</v>
      </c>
      <c r="Q1443" s="4" t="str">
        <f t="shared" si="197"/>
        <v>2017/2018-Ganjil</v>
      </c>
      <c r="R1443" t="s">
        <v>260</v>
      </c>
      <c r="S1443" t="s">
        <v>595</v>
      </c>
    </row>
    <row r="1444" spans="1:19" x14ac:dyDescent="0.3">
      <c r="A1444" t="s">
        <v>12</v>
      </c>
      <c r="B1444">
        <v>2016110040</v>
      </c>
      <c r="C1444" t="s">
        <v>102</v>
      </c>
      <c r="E1444" t="s">
        <v>173</v>
      </c>
      <c r="F1444" t="s">
        <v>8</v>
      </c>
      <c r="G1444">
        <v>2</v>
      </c>
      <c r="I1444" s="4"/>
      <c r="J1444">
        <f t="shared" si="196"/>
        <v>0</v>
      </c>
      <c r="K1444">
        <v>0</v>
      </c>
      <c r="L1444">
        <v>0</v>
      </c>
      <c r="M1444" t="s">
        <v>574</v>
      </c>
      <c r="N1444" s="2">
        <v>0.31</v>
      </c>
      <c r="O1444">
        <v>1</v>
      </c>
      <c r="P1444">
        <v>5</v>
      </c>
      <c r="Q1444" s="4" t="str">
        <f t="shared" si="197"/>
        <v>2018/2019-Ganjil</v>
      </c>
      <c r="R1444" t="s">
        <v>260</v>
      </c>
      <c r="S1444" t="s">
        <v>595</v>
      </c>
    </row>
    <row r="1445" spans="1:19" x14ac:dyDescent="0.3">
      <c r="A1445" t="s">
        <v>12</v>
      </c>
      <c r="B1445">
        <v>2016110040</v>
      </c>
      <c r="C1445" t="s">
        <v>102</v>
      </c>
      <c r="E1445" t="s">
        <v>122</v>
      </c>
      <c r="F1445" t="s">
        <v>123</v>
      </c>
      <c r="G1445">
        <v>4</v>
      </c>
      <c r="I1445" s="4"/>
      <c r="J1445">
        <f t="shared" si="196"/>
        <v>0</v>
      </c>
      <c r="K1445">
        <v>8</v>
      </c>
      <c r="L1445">
        <v>6</v>
      </c>
      <c r="M1445" s="2">
        <v>1.33</v>
      </c>
      <c r="N1445" s="2">
        <v>0.31</v>
      </c>
      <c r="O1445">
        <v>0</v>
      </c>
      <c r="P1445">
        <v>1</v>
      </c>
      <c r="Q1445" s="4" t="str">
        <f t="shared" si="197"/>
        <v>2016/2017-Ganjil</v>
      </c>
      <c r="R1445" t="s">
        <v>260</v>
      </c>
      <c r="S1445" t="s">
        <v>595</v>
      </c>
    </row>
    <row r="1446" spans="1:19" x14ac:dyDescent="0.3">
      <c r="A1446" t="s">
        <v>12</v>
      </c>
      <c r="B1446">
        <v>2016110040</v>
      </c>
      <c r="C1446" t="s">
        <v>102</v>
      </c>
      <c r="E1446" t="s">
        <v>142</v>
      </c>
      <c r="F1446" t="s">
        <v>143</v>
      </c>
      <c r="G1446">
        <v>2</v>
      </c>
      <c r="I1446" s="4"/>
      <c r="J1446">
        <f t="shared" si="196"/>
        <v>0</v>
      </c>
      <c r="K1446">
        <v>8</v>
      </c>
      <c r="L1446">
        <v>6</v>
      </c>
      <c r="M1446" s="2">
        <v>1.33</v>
      </c>
      <c r="N1446" s="2">
        <v>0.31</v>
      </c>
      <c r="O1446">
        <v>0</v>
      </c>
      <c r="P1446">
        <v>1</v>
      </c>
      <c r="Q1446" s="4" t="str">
        <f t="shared" si="197"/>
        <v>2016/2017-Ganjil</v>
      </c>
      <c r="R1446" t="s">
        <v>260</v>
      </c>
      <c r="S1446" t="s">
        <v>595</v>
      </c>
    </row>
    <row r="1447" spans="1:19" x14ac:dyDescent="0.3">
      <c r="A1447" t="s">
        <v>12</v>
      </c>
      <c r="B1447">
        <v>2016110040</v>
      </c>
      <c r="C1447" t="s">
        <v>102</v>
      </c>
      <c r="E1447" t="s">
        <v>205</v>
      </c>
      <c r="F1447" t="s">
        <v>116</v>
      </c>
      <c r="G1447">
        <v>4</v>
      </c>
      <c r="I1447" s="4"/>
      <c r="J1447">
        <f t="shared" si="196"/>
        <v>0</v>
      </c>
      <c r="K1447">
        <v>0</v>
      </c>
      <c r="L1447">
        <v>0</v>
      </c>
      <c r="M1447" t="s">
        <v>574</v>
      </c>
      <c r="N1447" s="2">
        <v>0.31</v>
      </c>
      <c r="O1447">
        <v>0</v>
      </c>
      <c r="P1447">
        <v>5</v>
      </c>
      <c r="Q1447" s="4" t="str">
        <f t="shared" si="197"/>
        <v>2018/2019-Ganjil</v>
      </c>
      <c r="R1447" t="s">
        <v>260</v>
      </c>
      <c r="S1447" t="s">
        <v>595</v>
      </c>
    </row>
    <row r="1448" spans="1:19" x14ac:dyDescent="0.3">
      <c r="A1448" t="s">
        <v>12</v>
      </c>
      <c r="B1448">
        <v>2016110040</v>
      </c>
      <c r="C1448" t="s">
        <v>102</v>
      </c>
      <c r="E1448" t="s">
        <v>165</v>
      </c>
      <c r="F1448" t="s">
        <v>166</v>
      </c>
      <c r="G1448">
        <v>2</v>
      </c>
      <c r="I1448" s="4"/>
      <c r="J1448">
        <f t="shared" si="196"/>
        <v>0</v>
      </c>
      <c r="K1448">
        <v>8</v>
      </c>
      <c r="L1448">
        <v>6</v>
      </c>
      <c r="M1448" s="2">
        <v>1.33</v>
      </c>
      <c r="N1448" s="2">
        <v>0.31</v>
      </c>
      <c r="O1448">
        <v>0</v>
      </c>
      <c r="P1448">
        <v>1</v>
      </c>
      <c r="Q1448" s="4" t="str">
        <f t="shared" si="197"/>
        <v>2016/2017-Ganjil</v>
      </c>
      <c r="R1448" t="s">
        <v>260</v>
      </c>
      <c r="S1448" t="s">
        <v>595</v>
      </c>
    </row>
    <row r="1449" spans="1:19" x14ac:dyDescent="0.3">
      <c r="A1449" t="s">
        <v>12</v>
      </c>
      <c r="B1449">
        <v>2016110040</v>
      </c>
      <c r="C1449" t="s">
        <v>102</v>
      </c>
      <c r="E1449" t="s">
        <v>77</v>
      </c>
      <c r="F1449" t="s">
        <v>78</v>
      </c>
      <c r="G1449">
        <v>2</v>
      </c>
      <c r="I1449" s="4"/>
      <c r="J1449">
        <f t="shared" si="196"/>
        <v>0</v>
      </c>
      <c r="K1449">
        <v>8</v>
      </c>
      <c r="L1449">
        <v>6</v>
      </c>
      <c r="M1449" s="2">
        <v>1.33</v>
      </c>
      <c r="N1449" s="2">
        <v>0.31</v>
      </c>
      <c r="O1449">
        <v>0</v>
      </c>
      <c r="P1449">
        <v>1</v>
      </c>
      <c r="Q1449" s="4" t="str">
        <f t="shared" si="197"/>
        <v>2016/2017-Ganjil</v>
      </c>
      <c r="R1449" t="s">
        <v>260</v>
      </c>
      <c r="S1449" t="s">
        <v>595</v>
      </c>
    </row>
    <row r="1450" spans="1:19" x14ac:dyDescent="0.3">
      <c r="A1450" t="s">
        <v>12</v>
      </c>
      <c r="B1450">
        <v>2016110040</v>
      </c>
      <c r="C1450" t="s">
        <v>102</v>
      </c>
      <c r="E1450" t="s">
        <v>97</v>
      </c>
      <c r="F1450" t="s">
        <v>98</v>
      </c>
      <c r="G1450">
        <v>4</v>
      </c>
      <c r="I1450" s="4"/>
      <c r="J1450">
        <f t="shared" si="196"/>
        <v>0</v>
      </c>
      <c r="K1450">
        <v>0</v>
      </c>
      <c r="L1450">
        <v>6</v>
      </c>
      <c r="M1450" s="2">
        <v>0</v>
      </c>
      <c r="N1450" s="2">
        <v>0.31</v>
      </c>
      <c r="O1450">
        <v>0</v>
      </c>
      <c r="P1450">
        <v>2</v>
      </c>
      <c r="Q1450" s="4" t="str">
        <f t="shared" si="197"/>
        <v>2016/2017-Genap</v>
      </c>
      <c r="R1450" t="s">
        <v>260</v>
      </c>
      <c r="S1450" t="s">
        <v>595</v>
      </c>
    </row>
    <row r="1451" spans="1:19" x14ac:dyDescent="0.3">
      <c r="A1451" t="s">
        <v>12</v>
      </c>
      <c r="B1451">
        <v>2016110040</v>
      </c>
      <c r="C1451" t="s">
        <v>102</v>
      </c>
      <c r="E1451" t="s">
        <v>139</v>
      </c>
      <c r="F1451" t="s">
        <v>140</v>
      </c>
      <c r="G1451">
        <v>2</v>
      </c>
      <c r="I1451" s="4"/>
      <c r="J1451">
        <f t="shared" si="196"/>
        <v>0</v>
      </c>
      <c r="K1451">
        <v>0</v>
      </c>
      <c r="L1451">
        <v>6</v>
      </c>
      <c r="M1451" s="2">
        <v>0</v>
      </c>
      <c r="N1451" s="2">
        <v>0.31</v>
      </c>
      <c r="O1451">
        <v>0</v>
      </c>
      <c r="P1451">
        <v>2</v>
      </c>
      <c r="Q1451" s="4" t="str">
        <f t="shared" si="197"/>
        <v>2016/2017-Genap</v>
      </c>
      <c r="R1451" t="s">
        <v>260</v>
      </c>
      <c r="S1451" t="s">
        <v>595</v>
      </c>
    </row>
    <row r="1452" spans="1:19" x14ac:dyDescent="0.3">
      <c r="A1452" t="s">
        <v>12</v>
      </c>
      <c r="B1452">
        <v>2016110040</v>
      </c>
      <c r="C1452" t="s">
        <v>102</v>
      </c>
      <c r="E1452" t="s">
        <v>139</v>
      </c>
      <c r="F1452" t="s">
        <v>140</v>
      </c>
      <c r="G1452">
        <v>2</v>
      </c>
      <c r="I1452" s="4"/>
      <c r="J1452">
        <f t="shared" si="196"/>
        <v>0</v>
      </c>
      <c r="K1452">
        <v>0</v>
      </c>
      <c r="L1452">
        <v>8</v>
      </c>
      <c r="M1452" s="2">
        <v>0</v>
      </c>
      <c r="N1452" s="2">
        <v>0.31</v>
      </c>
      <c r="O1452">
        <v>1</v>
      </c>
      <c r="P1452">
        <v>6</v>
      </c>
      <c r="Q1452" s="4" t="str">
        <f t="shared" si="197"/>
        <v>2018/2019-Genap</v>
      </c>
      <c r="R1452" t="s">
        <v>535</v>
      </c>
      <c r="S1452" t="s">
        <v>595</v>
      </c>
    </row>
    <row r="1453" spans="1:19" x14ac:dyDescent="0.3">
      <c r="A1453" t="s">
        <v>12</v>
      </c>
      <c r="B1453">
        <v>2016110040</v>
      </c>
      <c r="C1453" t="s">
        <v>102</v>
      </c>
      <c r="E1453" t="s">
        <v>234</v>
      </c>
      <c r="F1453" t="s">
        <v>235</v>
      </c>
      <c r="G1453">
        <v>4</v>
      </c>
      <c r="I1453" s="4"/>
      <c r="J1453">
        <f t="shared" si="196"/>
        <v>0</v>
      </c>
      <c r="K1453">
        <v>0</v>
      </c>
      <c r="L1453">
        <v>0</v>
      </c>
      <c r="M1453" t="s">
        <v>574</v>
      </c>
      <c r="N1453" s="2">
        <v>0.31</v>
      </c>
      <c r="O1453">
        <v>0</v>
      </c>
      <c r="P1453">
        <v>3</v>
      </c>
      <c r="Q1453" s="4" t="str">
        <f t="shared" si="197"/>
        <v>2017/2018-Ganjil</v>
      </c>
      <c r="R1453" t="s">
        <v>260</v>
      </c>
      <c r="S1453" t="s">
        <v>595</v>
      </c>
    </row>
    <row r="1454" spans="1:19" x14ac:dyDescent="0.3">
      <c r="A1454" t="s">
        <v>12</v>
      </c>
      <c r="B1454">
        <v>2016110040</v>
      </c>
      <c r="C1454" t="s">
        <v>102</v>
      </c>
      <c r="E1454" t="s">
        <v>190</v>
      </c>
      <c r="F1454" t="s">
        <v>191</v>
      </c>
      <c r="G1454">
        <v>4</v>
      </c>
      <c r="I1454" s="4"/>
      <c r="J1454">
        <f t="shared" si="196"/>
        <v>0</v>
      </c>
      <c r="K1454">
        <v>0</v>
      </c>
      <c r="L1454">
        <v>0</v>
      </c>
      <c r="M1454" t="s">
        <v>574</v>
      </c>
      <c r="N1454" s="2">
        <v>0.31</v>
      </c>
      <c r="O1454">
        <v>0</v>
      </c>
      <c r="P1454">
        <v>3</v>
      </c>
      <c r="Q1454" s="4" t="str">
        <f t="shared" si="197"/>
        <v>2017/2018-Ganjil</v>
      </c>
      <c r="R1454" t="s">
        <v>260</v>
      </c>
      <c r="S1454" t="s">
        <v>595</v>
      </c>
    </row>
    <row r="1455" spans="1:19" x14ac:dyDescent="0.3">
      <c r="A1455" t="s">
        <v>12</v>
      </c>
      <c r="B1455">
        <v>2016110040</v>
      </c>
      <c r="C1455" t="s">
        <v>102</v>
      </c>
      <c r="E1455" t="s">
        <v>244</v>
      </c>
      <c r="F1455" t="s">
        <v>228</v>
      </c>
      <c r="G1455">
        <v>2</v>
      </c>
      <c r="I1455" s="4"/>
      <c r="J1455">
        <f t="shared" si="196"/>
        <v>0</v>
      </c>
      <c r="K1455">
        <v>0</v>
      </c>
      <c r="L1455">
        <v>8</v>
      </c>
      <c r="M1455" s="2">
        <v>0</v>
      </c>
      <c r="N1455" s="2">
        <v>0.31</v>
      </c>
      <c r="O1455">
        <v>0</v>
      </c>
      <c r="P1455">
        <v>6</v>
      </c>
      <c r="Q1455" s="4" t="str">
        <f t="shared" si="197"/>
        <v>2018/2019-Genap</v>
      </c>
      <c r="R1455" t="s">
        <v>535</v>
      </c>
      <c r="S1455" t="s">
        <v>595</v>
      </c>
    </row>
    <row r="1456" spans="1:19" x14ac:dyDescent="0.3">
      <c r="A1456" t="s">
        <v>12</v>
      </c>
      <c r="B1456">
        <v>2016110040</v>
      </c>
      <c r="C1456" t="s">
        <v>102</v>
      </c>
      <c r="E1456" t="s">
        <v>244</v>
      </c>
      <c r="F1456" t="s">
        <v>228</v>
      </c>
      <c r="G1456">
        <v>2</v>
      </c>
      <c r="I1456" s="4"/>
      <c r="J1456">
        <f t="shared" si="196"/>
        <v>0</v>
      </c>
      <c r="K1456">
        <v>0</v>
      </c>
      <c r="L1456">
        <v>6</v>
      </c>
      <c r="M1456" s="2">
        <v>0</v>
      </c>
      <c r="N1456" s="2">
        <v>0.31</v>
      </c>
      <c r="O1456">
        <v>1</v>
      </c>
      <c r="P1456">
        <v>4</v>
      </c>
      <c r="Q1456" s="4" t="str">
        <f t="shared" si="197"/>
        <v>2017/2018-Genap</v>
      </c>
      <c r="R1456" t="s">
        <v>260</v>
      </c>
      <c r="S1456" t="s">
        <v>595</v>
      </c>
    </row>
    <row r="1457" spans="1:19" x14ac:dyDescent="0.3">
      <c r="A1457" t="s">
        <v>12</v>
      </c>
      <c r="B1457">
        <v>2016110040</v>
      </c>
      <c r="C1457" t="s">
        <v>102</v>
      </c>
      <c r="E1457" t="s">
        <v>151</v>
      </c>
      <c r="F1457" t="s">
        <v>152</v>
      </c>
      <c r="G1457">
        <v>2</v>
      </c>
      <c r="I1457" s="4"/>
      <c r="J1457">
        <f t="shared" si="196"/>
        <v>0</v>
      </c>
      <c r="K1457">
        <v>8</v>
      </c>
      <c r="L1457">
        <v>6</v>
      </c>
      <c r="M1457" s="2">
        <v>1.33</v>
      </c>
      <c r="N1457" s="2">
        <v>0.31</v>
      </c>
      <c r="O1457">
        <v>0</v>
      </c>
      <c r="P1457">
        <v>1</v>
      </c>
      <c r="Q1457" s="4" t="str">
        <f t="shared" si="197"/>
        <v>2016/2017-Ganjil</v>
      </c>
      <c r="R1457" t="s">
        <v>260</v>
      </c>
      <c r="S1457" t="s">
        <v>595</v>
      </c>
    </row>
    <row r="1458" spans="1:19" x14ac:dyDescent="0.3">
      <c r="A1458" t="s">
        <v>12</v>
      </c>
      <c r="B1458">
        <v>2016110040</v>
      </c>
      <c r="C1458" t="s">
        <v>102</v>
      </c>
      <c r="E1458" t="s">
        <v>170</v>
      </c>
      <c r="F1458" t="s">
        <v>171</v>
      </c>
      <c r="G1458">
        <v>4</v>
      </c>
      <c r="I1458" s="4"/>
      <c r="J1458">
        <f t="shared" si="196"/>
        <v>0</v>
      </c>
      <c r="K1458">
        <v>0</v>
      </c>
      <c r="L1458">
        <v>0</v>
      </c>
      <c r="M1458" t="s">
        <v>574</v>
      </c>
      <c r="N1458" s="2">
        <v>0.31</v>
      </c>
      <c r="O1458">
        <v>0</v>
      </c>
      <c r="P1458">
        <v>5</v>
      </c>
      <c r="Q1458" s="4" t="str">
        <f t="shared" si="197"/>
        <v>2018/2019-Ganjil</v>
      </c>
      <c r="R1458" t="s">
        <v>260</v>
      </c>
      <c r="S1458" t="s">
        <v>595</v>
      </c>
    </row>
    <row r="1459" spans="1:19" x14ac:dyDescent="0.3">
      <c r="A1459" t="s">
        <v>12</v>
      </c>
      <c r="B1459">
        <v>2016110040</v>
      </c>
      <c r="C1459" t="s">
        <v>102</v>
      </c>
      <c r="E1459" t="s">
        <v>90</v>
      </c>
      <c r="F1459" t="s">
        <v>91</v>
      </c>
      <c r="G1459">
        <v>2</v>
      </c>
      <c r="I1459" s="4"/>
      <c r="J1459">
        <f t="shared" si="196"/>
        <v>0</v>
      </c>
      <c r="K1459">
        <v>0</v>
      </c>
      <c r="L1459">
        <v>0</v>
      </c>
      <c r="M1459" t="s">
        <v>574</v>
      </c>
      <c r="N1459" s="2">
        <v>0.31</v>
      </c>
      <c r="O1459">
        <v>1</v>
      </c>
      <c r="P1459">
        <v>3</v>
      </c>
      <c r="Q1459" s="4" t="str">
        <f t="shared" si="197"/>
        <v>2017/2018-Ganjil</v>
      </c>
      <c r="R1459" t="s">
        <v>260</v>
      </c>
      <c r="S1459" t="s">
        <v>595</v>
      </c>
    </row>
    <row r="1460" spans="1:19" x14ac:dyDescent="0.3">
      <c r="A1460" t="s">
        <v>12</v>
      </c>
      <c r="B1460">
        <v>2016110040</v>
      </c>
      <c r="C1460" t="s">
        <v>102</v>
      </c>
      <c r="E1460" t="s">
        <v>90</v>
      </c>
      <c r="F1460" t="s">
        <v>91</v>
      </c>
      <c r="G1460">
        <v>2</v>
      </c>
      <c r="I1460" s="4"/>
      <c r="J1460">
        <f t="shared" si="196"/>
        <v>0</v>
      </c>
      <c r="K1460">
        <v>8</v>
      </c>
      <c r="L1460">
        <v>6</v>
      </c>
      <c r="M1460" s="2">
        <v>1.33</v>
      </c>
      <c r="N1460" s="2">
        <v>0.31</v>
      </c>
      <c r="O1460">
        <v>0</v>
      </c>
      <c r="P1460">
        <v>1</v>
      </c>
      <c r="Q1460" s="4" t="str">
        <f t="shared" si="197"/>
        <v>2016/2017-Ganjil</v>
      </c>
      <c r="R1460" t="s">
        <v>260</v>
      </c>
      <c r="S1460" t="s">
        <v>595</v>
      </c>
    </row>
    <row r="1461" spans="1:19" x14ac:dyDescent="0.3">
      <c r="A1461" t="s">
        <v>12</v>
      </c>
      <c r="B1461">
        <v>2016110040</v>
      </c>
      <c r="C1461" t="s">
        <v>102</v>
      </c>
      <c r="E1461" t="s">
        <v>131</v>
      </c>
      <c r="F1461" t="s">
        <v>132</v>
      </c>
      <c r="G1461">
        <v>2</v>
      </c>
      <c r="H1461" t="s">
        <v>260</v>
      </c>
      <c r="I1461" s="4">
        <f t="shared" ref="I1461" si="198">IF(H1461="A",4,IF(H1461="B",3,IF(H1461="C",2,IF(H1461="D",1,0))))</f>
        <v>4</v>
      </c>
      <c r="J1461">
        <f t="shared" si="196"/>
        <v>8</v>
      </c>
      <c r="K1461">
        <v>8</v>
      </c>
      <c r="L1461">
        <v>6</v>
      </c>
      <c r="M1461" s="2">
        <v>1.33</v>
      </c>
      <c r="N1461" s="2">
        <v>0.31</v>
      </c>
      <c r="O1461">
        <v>0</v>
      </c>
      <c r="P1461">
        <v>1</v>
      </c>
      <c r="Q1461" s="4" t="str">
        <f t="shared" si="197"/>
        <v>2016/2017-Ganjil</v>
      </c>
      <c r="R1461" t="s">
        <v>260</v>
      </c>
      <c r="S1461" t="str">
        <f t="shared" ref="S1461:S1524" si="199">IF(OR(H1461="A",H1461="B",H1461="C"),"PA","FA")</f>
        <v>PA</v>
      </c>
    </row>
    <row r="1462" spans="1:19" x14ac:dyDescent="0.3">
      <c r="A1462" t="s">
        <v>12</v>
      </c>
      <c r="B1462">
        <v>2016110040</v>
      </c>
      <c r="C1462" t="s">
        <v>102</v>
      </c>
      <c r="E1462" t="s">
        <v>279</v>
      </c>
      <c r="F1462" t="s">
        <v>280</v>
      </c>
      <c r="G1462">
        <v>2</v>
      </c>
      <c r="H1462" t="s">
        <v>539</v>
      </c>
      <c r="I1462" s="4">
        <f t="shared" ref="I1462:I1525" si="200">IF(H1462="A",4,IF(H1462="B",3,IF(H1462="C",2,IF(H1462="D",1,0))))</f>
        <v>0</v>
      </c>
      <c r="J1462">
        <f t="shared" ref="J1462:J1525" si="201">G1462*I1462</f>
        <v>0</v>
      </c>
      <c r="K1462">
        <v>0</v>
      </c>
      <c r="L1462">
        <v>6</v>
      </c>
      <c r="M1462" s="2">
        <v>0</v>
      </c>
      <c r="N1462" s="2">
        <v>0.31</v>
      </c>
      <c r="O1462">
        <v>0</v>
      </c>
      <c r="P1462">
        <v>2</v>
      </c>
      <c r="Q1462" s="4" t="str">
        <f t="shared" si="197"/>
        <v>2016/2017-Genap</v>
      </c>
      <c r="R1462" t="s">
        <v>260</v>
      </c>
      <c r="S1462" t="str">
        <f t="shared" si="199"/>
        <v>FA</v>
      </c>
    </row>
    <row r="1463" spans="1:19" x14ac:dyDescent="0.3">
      <c r="A1463" t="s">
        <v>12</v>
      </c>
      <c r="B1463">
        <v>2016110040</v>
      </c>
      <c r="C1463" t="s">
        <v>102</v>
      </c>
      <c r="E1463" t="s">
        <v>374</v>
      </c>
      <c r="F1463" t="s">
        <v>375</v>
      </c>
      <c r="G1463">
        <v>2</v>
      </c>
      <c r="H1463" t="s">
        <v>539</v>
      </c>
      <c r="I1463" s="4">
        <f t="shared" si="200"/>
        <v>0</v>
      </c>
      <c r="J1463">
        <f t="shared" si="201"/>
        <v>0</v>
      </c>
      <c r="K1463">
        <v>0</v>
      </c>
      <c r="L1463">
        <v>6</v>
      </c>
      <c r="M1463" s="2">
        <v>0</v>
      </c>
      <c r="N1463" s="2">
        <v>0.31</v>
      </c>
      <c r="O1463">
        <v>0</v>
      </c>
      <c r="P1463">
        <v>4</v>
      </c>
      <c r="Q1463" s="4" t="str">
        <f t="shared" si="197"/>
        <v>2017/2018-Genap</v>
      </c>
      <c r="R1463" t="s">
        <v>260</v>
      </c>
      <c r="S1463" t="str">
        <f t="shared" si="199"/>
        <v>FA</v>
      </c>
    </row>
    <row r="1464" spans="1:19" x14ac:dyDescent="0.3">
      <c r="A1464" t="s">
        <v>12</v>
      </c>
      <c r="B1464">
        <v>2016110040</v>
      </c>
      <c r="C1464" t="s">
        <v>102</v>
      </c>
      <c r="E1464" t="s">
        <v>348</v>
      </c>
      <c r="F1464" t="s">
        <v>493</v>
      </c>
      <c r="G1464">
        <v>4</v>
      </c>
      <c r="H1464" t="s">
        <v>539</v>
      </c>
      <c r="I1464" s="4">
        <f t="shared" si="200"/>
        <v>0</v>
      </c>
      <c r="J1464">
        <f t="shared" si="201"/>
        <v>0</v>
      </c>
      <c r="K1464">
        <v>0</v>
      </c>
      <c r="L1464">
        <v>8</v>
      </c>
      <c r="M1464" s="2">
        <v>0</v>
      </c>
      <c r="N1464" s="2">
        <v>0.31</v>
      </c>
      <c r="O1464">
        <v>0</v>
      </c>
      <c r="P1464">
        <v>6</v>
      </c>
      <c r="Q1464" s="4" t="str">
        <f t="shared" si="197"/>
        <v>2018/2019-Genap</v>
      </c>
      <c r="R1464" t="s">
        <v>535</v>
      </c>
      <c r="S1464" t="str">
        <f t="shared" si="199"/>
        <v>FA</v>
      </c>
    </row>
    <row r="1465" spans="1:19" x14ac:dyDescent="0.3">
      <c r="A1465" t="s">
        <v>12</v>
      </c>
      <c r="B1465">
        <v>2016110040</v>
      </c>
      <c r="C1465" t="s">
        <v>102</v>
      </c>
      <c r="E1465" t="s">
        <v>290</v>
      </c>
      <c r="F1465" t="s">
        <v>327</v>
      </c>
      <c r="G1465">
        <v>4</v>
      </c>
      <c r="H1465" t="s">
        <v>539</v>
      </c>
      <c r="I1465" s="4">
        <f t="shared" si="200"/>
        <v>0</v>
      </c>
      <c r="J1465">
        <f t="shared" si="201"/>
        <v>0</v>
      </c>
      <c r="K1465">
        <v>0</v>
      </c>
      <c r="L1465">
        <v>6</v>
      </c>
      <c r="M1465" s="2">
        <v>0</v>
      </c>
      <c r="N1465" s="2">
        <v>0.31</v>
      </c>
      <c r="O1465">
        <v>0</v>
      </c>
      <c r="P1465">
        <v>2</v>
      </c>
      <c r="Q1465" s="4" t="str">
        <f t="shared" si="197"/>
        <v>2016/2017-Genap</v>
      </c>
      <c r="R1465" t="s">
        <v>260</v>
      </c>
      <c r="S1465" t="str">
        <f t="shared" si="199"/>
        <v>FA</v>
      </c>
    </row>
    <row r="1466" spans="1:19" x14ac:dyDescent="0.3">
      <c r="A1466" t="s">
        <v>12</v>
      </c>
      <c r="B1466">
        <v>2016110040</v>
      </c>
      <c r="C1466" t="s">
        <v>102</v>
      </c>
      <c r="E1466" t="s">
        <v>290</v>
      </c>
      <c r="F1466" t="s">
        <v>327</v>
      </c>
      <c r="G1466">
        <v>4</v>
      </c>
      <c r="H1466" t="s">
        <v>539</v>
      </c>
      <c r="I1466" s="4">
        <f t="shared" si="200"/>
        <v>0</v>
      </c>
      <c r="J1466">
        <f t="shared" si="201"/>
        <v>0</v>
      </c>
      <c r="K1466">
        <v>0</v>
      </c>
      <c r="L1466">
        <v>6</v>
      </c>
      <c r="M1466" s="2">
        <v>0</v>
      </c>
      <c r="N1466" s="2">
        <v>0.31</v>
      </c>
      <c r="O1466">
        <v>1</v>
      </c>
      <c r="P1466">
        <v>4</v>
      </c>
      <c r="Q1466" s="4" t="str">
        <f t="shared" si="197"/>
        <v>2017/2018-Genap</v>
      </c>
      <c r="R1466" t="s">
        <v>260</v>
      </c>
      <c r="S1466" t="str">
        <f t="shared" si="199"/>
        <v>FA</v>
      </c>
    </row>
    <row r="1467" spans="1:19" x14ac:dyDescent="0.3">
      <c r="A1467" t="s">
        <v>12</v>
      </c>
      <c r="B1467">
        <v>2016110040</v>
      </c>
      <c r="C1467" t="s">
        <v>102</v>
      </c>
      <c r="E1467" t="s">
        <v>437</v>
      </c>
      <c r="F1467" t="s">
        <v>169</v>
      </c>
      <c r="G1467">
        <v>4</v>
      </c>
      <c r="H1467" t="s">
        <v>539</v>
      </c>
      <c r="I1467" s="4">
        <f t="shared" si="200"/>
        <v>0</v>
      </c>
      <c r="J1467">
        <f t="shared" si="201"/>
        <v>0</v>
      </c>
      <c r="K1467">
        <v>8</v>
      </c>
      <c r="L1467">
        <v>6</v>
      </c>
      <c r="M1467" s="2">
        <v>1.33</v>
      </c>
      <c r="N1467" s="2">
        <v>0.31</v>
      </c>
      <c r="O1467">
        <v>0</v>
      </c>
      <c r="P1467">
        <v>1</v>
      </c>
      <c r="Q1467" s="4" t="str">
        <f t="shared" si="197"/>
        <v>2016/2017-Ganjil</v>
      </c>
      <c r="R1467" t="s">
        <v>260</v>
      </c>
      <c r="S1467" t="str">
        <f t="shared" si="199"/>
        <v>FA</v>
      </c>
    </row>
    <row r="1468" spans="1:19" x14ac:dyDescent="0.3">
      <c r="A1468" t="s">
        <v>12</v>
      </c>
      <c r="B1468">
        <v>2016110041</v>
      </c>
      <c r="C1468" t="s">
        <v>329</v>
      </c>
      <c r="E1468" t="s">
        <v>77</v>
      </c>
      <c r="F1468" t="s">
        <v>78</v>
      </c>
      <c r="G1468">
        <v>2</v>
      </c>
      <c r="H1468" t="s">
        <v>260</v>
      </c>
      <c r="I1468" s="4">
        <f t="shared" si="200"/>
        <v>4</v>
      </c>
      <c r="J1468">
        <f t="shared" si="201"/>
        <v>8</v>
      </c>
      <c r="K1468">
        <v>52</v>
      </c>
      <c r="L1468">
        <v>20</v>
      </c>
      <c r="M1468" s="2">
        <v>2.6</v>
      </c>
      <c r="N1468" s="2">
        <v>2.85</v>
      </c>
      <c r="O1468">
        <v>0</v>
      </c>
      <c r="P1468">
        <v>1</v>
      </c>
      <c r="Q1468" s="4" t="str">
        <f t="shared" si="197"/>
        <v>2016/2017-Ganjil</v>
      </c>
      <c r="R1468" t="s">
        <v>260</v>
      </c>
      <c r="S1468" t="str">
        <f t="shared" si="199"/>
        <v>PA</v>
      </c>
    </row>
    <row r="1469" spans="1:19" x14ac:dyDescent="0.3">
      <c r="A1469" t="s">
        <v>12</v>
      </c>
      <c r="B1469">
        <v>2016110041</v>
      </c>
      <c r="C1469" t="s">
        <v>329</v>
      </c>
      <c r="E1469" t="s">
        <v>151</v>
      </c>
      <c r="F1469" t="s">
        <v>152</v>
      </c>
      <c r="G1469">
        <v>2</v>
      </c>
      <c r="H1469" t="s">
        <v>438</v>
      </c>
      <c r="I1469" s="4">
        <f t="shared" si="200"/>
        <v>3</v>
      </c>
      <c r="J1469">
        <f t="shared" si="201"/>
        <v>6</v>
      </c>
      <c r="K1469">
        <v>52</v>
      </c>
      <c r="L1469">
        <v>20</v>
      </c>
      <c r="M1469" s="2">
        <v>2.6</v>
      </c>
      <c r="N1469" s="2">
        <v>2.85</v>
      </c>
      <c r="O1469">
        <v>0</v>
      </c>
      <c r="P1469">
        <v>1</v>
      </c>
      <c r="Q1469" s="4" t="str">
        <f t="shared" si="197"/>
        <v>2016/2017-Ganjil</v>
      </c>
      <c r="R1469" t="s">
        <v>260</v>
      </c>
      <c r="S1469" t="str">
        <f t="shared" si="199"/>
        <v>PA</v>
      </c>
    </row>
    <row r="1470" spans="1:19" x14ac:dyDescent="0.3">
      <c r="A1470" t="s">
        <v>12</v>
      </c>
      <c r="B1470">
        <v>2016110041</v>
      </c>
      <c r="C1470" t="s">
        <v>329</v>
      </c>
      <c r="E1470" t="s">
        <v>427</v>
      </c>
      <c r="F1470" t="s">
        <v>428</v>
      </c>
      <c r="G1470">
        <v>2</v>
      </c>
      <c r="H1470" t="s">
        <v>438</v>
      </c>
      <c r="I1470" s="4">
        <f t="shared" si="200"/>
        <v>3</v>
      </c>
      <c r="J1470">
        <f t="shared" si="201"/>
        <v>6</v>
      </c>
      <c r="K1470">
        <v>44</v>
      </c>
      <c r="L1470">
        <v>22</v>
      </c>
      <c r="M1470" s="2">
        <v>2</v>
      </c>
      <c r="N1470" s="2">
        <v>2.85</v>
      </c>
      <c r="O1470">
        <v>0</v>
      </c>
      <c r="P1470">
        <v>6</v>
      </c>
      <c r="Q1470" s="4" t="str">
        <f t="shared" si="197"/>
        <v>2018/2019-Genap</v>
      </c>
      <c r="R1470" t="s">
        <v>260</v>
      </c>
      <c r="S1470" t="str">
        <f t="shared" si="199"/>
        <v>PA</v>
      </c>
    </row>
    <row r="1471" spans="1:19" x14ac:dyDescent="0.3">
      <c r="A1471" t="s">
        <v>12</v>
      </c>
      <c r="B1471">
        <v>2016110041</v>
      </c>
      <c r="C1471" t="s">
        <v>329</v>
      </c>
      <c r="E1471" t="s">
        <v>190</v>
      </c>
      <c r="F1471" t="s">
        <v>191</v>
      </c>
      <c r="G1471">
        <v>4</v>
      </c>
      <c r="H1471" t="s">
        <v>438</v>
      </c>
      <c r="I1471" s="4">
        <f t="shared" si="200"/>
        <v>3</v>
      </c>
      <c r="J1471">
        <f t="shared" si="201"/>
        <v>12</v>
      </c>
      <c r="K1471">
        <v>42</v>
      </c>
      <c r="L1471">
        <v>18</v>
      </c>
      <c r="M1471" s="2">
        <v>2.33</v>
      </c>
      <c r="N1471" s="2">
        <v>2.85</v>
      </c>
      <c r="O1471">
        <v>0</v>
      </c>
      <c r="P1471">
        <v>3</v>
      </c>
      <c r="Q1471" s="4" t="str">
        <f t="shared" ref="Q1471:Q1502" si="202">IF(P1471=1,"2016/2017-Ganjil",IF(P1471=2,"2016/2017-Genap",IF(P1471=3,"2017/2018-Ganjil",IF(P1471=4,"2017/2018-Genap",IF(P1471=5,"2018/2019-Ganjil",IF(P1471=6,"2018/2019-Genap",IF(P1471=7,"2019/2020-Ganjil",IF(P1471=8,"2019/2020-Genap",IF(P1471=9,"2020/2021-Ganjil","2020/2021-Genap")))))))))</f>
        <v>2017/2018-Ganjil</v>
      </c>
      <c r="R1471" t="s">
        <v>260</v>
      </c>
      <c r="S1471" t="str">
        <f t="shared" si="199"/>
        <v>PA</v>
      </c>
    </row>
    <row r="1472" spans="1:19" x14ac:dyDescent="0.3">
      <c r="A1472" t="s">
        <v>12</v>
      </c>
      <c r="B1472">
        <v>2016110041</v>
      </c>
      <c r="C1472" t="s">
        <v>329</v>
      </c>
      <c r="E1472" t="s">
        <v>14</v>
      </c>
      <c r="F1472" t="s">
        <v>15</v>
      </c>
      <c r="G1472">
        <v>2</v>
      </c>
      <c r="H1472" t="s">
        <v>438</v>
      </c>
      <c r="I1472" s="4">
        <f t="shared" si="200"/>
        <v>3</v>
      </c>
      <c r="J1472">
        <f t="shared" si="201"/>
        <v>6</v>
      </c>
      <c r="K1472">
        <v>32</v>
      </c>
      <c r="L1472">
        <v>14</v>
      </c>
      <c r="M1472" s="2">
        <v>2.29</v>
      </c>
      <c r="N1472" s="2">
        <v>2.85</v>
      </c>
      <c r="O1472">
        <v>0</v>
      </c>
      <c r="P1472">
        <v>10</v>
      </c>
      <c r="Q1472" s="4" t="str">
        <f t="shared" si="202"/>
        <v>2020/2021-Genap</v>
      </c>
      <c r="R1472" t="s">
        <v>596</v>
      </c>
      <c r="S1472" t="str">
        <f t="shared" si="199"/>
        <v>PA</v>
      </c>
    </row>
    <row r="1473" spans="1:19" x14ac:dyDescent="0.3">
      <c r="A1473" t="s">
        <v>12</v>
      </c>
      <c r="B1473">
        <v>2016110041</v>
      </c>
      <c r="C1473" t="s">
        <v>329</v>
      </c>
      <c r="E1473" t="s">
        <v>387</v>
      </c>
      <c r="F1473" t="s">
        <v>388</v>
      </c>
      <c r="G1473">
        <v>2</v>
      </c>
      <c r="H1473" t="s">
        <v>438</v>
      </c>
      <c r="I1473" s="4">
        <f t="shared" si="200"/>
        <v>3</v>
      </c>
      <c r="J1473">
        <f t="shared" si="201"/>
        <v>6</v>
      </c>
      <c r="K1473">
        <v>44</v>
      </c>
      <c r="L1473">
        <v>22</v>
      </c>
      <c r="M1473" s="2">
        <v>2</v>
      </c>
      <c r="N1473" s="2">
        <v>2.85</v>
      </c>
      <c r="O1473">
        <v>0</v>
      </c>
      <c r="P1473">
        <v>6</v>
      </c>
      <c r="Q1473" s="4" t="str">
        <f t="shared" si="202"/>
        <v>2018/2019-Genap</v>
      </c>
      <c r="R1473" t="s">
        <v>260</v>
      </c>
      <c r="S1473" t="str">
        <f t="shared" si="199"/>
        <v>PA</v>
      </c>
    </row>
    <row r="1474" spans="1:19" x14ac:dyDescent="0.3">
      <c r="A1474" t="s">
        <v>12</v>
      </c>
      <c r="B1474">
        <v>2016110041</v>
      </c>
      <c r="C1474" t="s">
        <v>329</v>
      </c>
      <c r="E1474" t="s">
        <v>446</v>
      </c>
      <c r="F1474" t="s">
        <v>447</v>
      </c>
      <c r="G1474">
        <v>2</v>
      </c>
      <c r="H1474" t="s">
        <v>438</v>
      </c>
      <c r="I1474" s="4">
        <f t="shared" si="200"/>
        <v>3</v>
      </c>
      <c r="J1474">
        <f t="shared" si="201"/>
        <v>6</v>
      </c>
      <c r="K1474">
        <v>34</v>
      </c>
      <c r="L1474">
        <v>12</v>
      </c>
      <c r="M1474" s="2">
        <v>2.83</v>
      </c>
      <c r="N1474" s="2">
        <v>2.85</v>
      </c>
      <c r="P1474">
        <v>8</v>
      </c>
      <c r="Q1474" s="4" t="str">
        <f t="shared" si="202"/>
        <v>2019/2020-Genap</v>
      </c>
      <c r="R1474" t="s">
        <v>260</v>
      </c>
      <c r="S1474" t="str">
        <f t="shared" si="199"/>
        <v>PA</v>
      </c>
    </row>
    <row r="1475" spans="1:19" x14ac:dyDescent="0.3">
      <c r="A1475" t="s">
        <v>12</v>
      </c>
      <c r="B1475">
        <v>2016110041</v>
      </c>
      <c r="C1475" t="s">
        <v>329</v>
      </c>
      <c r="E1475" t="s">
        <v>248</v>
      </c>
      <c r="F1475" t="s">
        <v>249</v>
      </c>
      <c r="G1475">
        <v>2</v>
      </c>
      <c r="H1475" t="s">
        <v>438</v>
      </c>
      <c r="I1475" s="4">
        <f t="shared" si="200"/>
        <v>3</v>
      </c>
      <c r="J1475">
        <f t="shared" si="201"/>
        <v>6</v>
      </c>
      <c r="K1475">
        <v>48</v>
      </c>
      <c r="L1475">
        <v>18</v>
      </c>
      <c r="M1475" s="2">
        <v>2.67</v>
      </c>
      <c r="N1475" s="2">
        <v>2.85</v>
      </c>
      <c r="O1475">
        <v>0</v>
      </c>
      <c r="P1475">
        <v>4</v>
      </c>
      <c r="Q1475" s="4" t="str">
        <f t="shared" si="202"/>
        <v>2017/2018-Genap</v>
      </c>
      <c r="R1475" t="s">
        <v>260</v>
      </c>
      <c r="S1475" t="str">
        <f t="shared" si="199"/>
        <v>PA</v>
      </c>
    </row>
    <row r="1476" spans="1:19" x14ac:dyDescent="0.3">
      <c r="A1476" t="s">
        <v>12</v>
      </c>
      <c r="B1476">
        <v>2016110041</v>
      </c>
      <c r="C1476" t="s">
        <v>329</v>
      </c>
      <c r="E1476" t="s">
        <v>248</v>
      </c>
      <c r="F1476" t="s">
        <v>249</v>
      </c>
      <c r="G1476">
        <v>2</v>
      </c>
      <c r="H1476" t="s">
        <v>438</v>
      </c>
      <c r="I1476" s="4">
        <f t="shared" si="200"/>
        <v>3</v>
      </c>
      <c r="J1476">
        <f t="shared" si="201"/>
        <v>6</v>
      </c>
      <c r="K1476">
        <v>34</v>
      </c>
      <c r="L1476">
        <v>12</v>
      </c>
      <c r="M1476" s="2">
        <v>2.83</v>
      </c>
      <c r="N1476" s="2">
        <v>2.85</v>
      </c>
      <c r="O1476">
        <v>1</v>
      </c>
      <c r="P1476">
        <v>8</v>
      </c>
      <c r="Q1476" s="4" t="str">
        <f t="shared" si="202"/>
        <v>2019/2020-Genap</v>
      </c>
      <c r="R1476" t="s">
        <v>260</v>
      </c>
      <c r="S1476" t="str">
        <f t="shared" si="199"/>
        <v>PA</v>
      </c>
    </row>
    <row r="1477" spans="1:19" x14ac:dyDescent="0.3">
      <c r="A1477" t="s">
        <v>12</v>
      </c>
      <c r="B1477">
        <v>2016110041</v>
      </c>
      <c r="C1477" t="s">
        <v>329</v>
      </c>
      <c r="E1477" t="s">
        <v>279</v>
      </c>
      <c r="F1477" t="s">
        <v>280</v>
      </c>
      <c r="G1477">
        <v>2</v>
      </c>
      <c r="H1477" t="s">
        <v>438</v>
      </c>
      <c r="I1477" s="4">
        <f t="shared" si="200"/>
        <v>3</v>
      </c>
      <c r="J1477">
        <f t="shared" si="201"/>
        <v>6</v>
      </c>
      <c r="K1477">
        <v>42</v>
      </c>
      <c r="L1477">
        <v>20</v>
      </c>
      <c r="M1477" s="2">
        <v>2.1</v>
      </c>
      <c r="N1477" s="2">
        <v>2.85</v>
      </c>
      <c r="O1477">
        <v>0</v>
      </c>
      <c r="P1477">
        <v>2</v>
      </c>
      <c r="Q1477" s="4" t="str">
        <f t="shared" si="202"/>
        <v>2016/2017-Genap</v>
      </c>
      <c r="R1477" t="s">
        <v>260</v>
      </c>
      <c r="S1477" t="str">
        <f t="shared" si="199"/>
        <v>PA</v>
      </c>
    </row>
    <row r="1478" spans="1:19" x14ac:dyDescent="0.3">
      <c r="A1478" t="s">
        <v>12</v>
      </c>
      <c r="B1478">
        <v>2016110041</v>
      </c>
      <c r="C1478" t="s">
        <v>329</v>
      </c>
      <c r="E1478" t="s">
        <v>432</v>
      </c>
      <c r="F1478" t="s">
        <v>433</v>
      </c>
      <c r="G1478">
        <v>4</v>
      </c>
      <c r="H1478" t="s">
        <v>438</v>
      </c>
      <c r="I1478" s="4">
        <f t="shared" si="200"/>
        <v>3</v>
      </c>
      <c r="J1478">
        <f t="shared" si="201"/>
        <v>12</v>
      </c>
      <c r="K1478">
        <v>48</v>
      </c>
      <c r="L1478">
        <v>18</v>
      </c>
      <c r="M1478" s="2">
        <v>2.67</v>
      </c>
      <c r="N1478" s="2">
        <v>2.85</v>
      </c>
      <c r="O1478">
        <v>0</v>
      </c>
      <c r="P1478">
        <v>4</v>
      </c>
      <c r="Q1478" s="4" t="str">
        <f t="shared" si="202"/>
        <v>2017/2018-Genap</v>
      </c>
      <c r="R1478" t="s">
        <v>260</v>
      </c>
      <c r="S1478" t="str">
        <f t="shared" si="199"/>
        <v>PA</v>
      </c>
    </row>
    <row r="1479" spans="1:19" x14ac:dyDescent="0.3">
      <c r="A1479" t="s">
        <v>12</v>
      </c>
      <c r="B1479">
        <v>2016110041</v>
      </c>
      <c r="C1479" t="s">
        <v>329</v>
      </c>
      <c r="E1479" t="s">
        <v>306</v>
      </c>
      <c r="F1479" t="s">
        <v>307</v>
      </c>
      <c r="G1479">
        <v>2</v>
      </c>
      <c r="H1479" t="s">
        <v>438</v>
      </c>
      <c r="I1479" s="4">
        <f t="shared" si="200"/>
        <v>3</v>
      </c>
      <c r="J1479">
        <f t="shared" si="201"/>
        <v>6</v>
      </c>
      <c r="K1479">
        <v>34</v>
      </c>
      <c r="L1479">
        <v>18</v>
      </c>
      <c r="M1479" s="2">
        <v>1.89</v>
      </c>
      <c r="N1479" s="2">
        <v>2.85</v>
      </c>
      <c r="O1479">
        <v>0</v>
      </c>
      <c r="P1479">
        <v>7</v>
      </c>
      <c r="Q1479" s="4" t="str">
        <f t="shared" si="202"/>
        <v>2019/2020-Ganjil</v>
      </c>
      <c r="R1479" t="s">
        <v>260</v>
      </c>
      <c r="S1479" t="str">
        <f t="shared" si="199"/>
        <v>PA</v>
      </c>
    </row>
    <row r="1480" spans="1:19" x14ac:dyDescent="0.3">
      <c r="A1480" t="s">
        <v>12</v>
      </c>
      <c r="B1480">
        <v>2016110041</v>
      </c>
      <c r="C1480" t="s">
        <v>329</v>
      </c>
      <c r="E1480" t="s">
        <v>283</v>
      </c>
      <c r="F1480" t="s">
        <v>284</v>
      </c>
      <c r="G1480">
        <v>2</v>
      </c>
      <c r="H1480" t="s">
        <v>438</v>
      </c>
      <c r="I1480" s="4">
        <f t="shared" si="200"/>
        <v>3</v>
      </c>
      <c r="J1480">
        <f t="shared" si="201"/>
        <v>6</v>
      </c>
      <c r="K1480">
        <v>34</v>
      </c>
      <c r="L1480">
        <v>18</v>
      </c>
      <c r="M1480" s="2">
        <v>1.89</v>
      </c>
      <c r="N1480" s="2">
        <v>2.85</v>
      </c>
      <c r="O1480">
        <v>0</v>
      </c>
      <c r="P1480">
        <v>7</v>
      </c>
      <c r="Q1480" s="4" t="str">
        <f t="shared" si="202"/>
        <v>2019/2020-Ganjil</v>
      </c>
      <c r="R1480" t="s">
        <v>260</v>
      </c>
      <c r="S1480" t="str">
        <f t="shared" si="199"/>
        <v>PA</v>
      </c>
    </row>
    <row r="1481" spans="1:19" x14ac:dyDescent="0.3">
      <c r="A1481" t="s">
        <v>12</v>
      </c>
      <c r="B1481">
        <v>2016110041</v>
      </c>
      <c r="C1481" t="s">
        <v>329</v>
      </c>
      <c r="E1481" t="s">
        <v>370</v>
      </c>
      <c r="F1481" t="s">
        <v>371</v>
      </c>
      <c r="G1481">
        <v>2</v>
      </c>
      <c r="H1481" t="s">
        <v>438</v>
      </c>
      <c r="I1481" s="4">
        <f t="shared" si="200"/>
        <v>3</v>
      </c>
      <c r="J1481">
        <f t="shared" si="201"/>
        <v>6</v>
      </c>
      <c r="K1481">
        <v>64</v>
      </c>
      <c r="L1481">
        <v>22</v>
      </c>
      <c r="M1481" s="2">
        <v>2.91</v>
      </c>
      <c r="N1481" s="2">
        <v>2.85</v>
      </c>
      <c r="O1481">
        <v>0</v>
      </c>
      <c r="P1481">
        <v>5</v>
      </c>
      <c r="Q1481" s="4" t="str">
        <f t="shared" si="202"/>
        <v>2018/2019-Ganjil</v>
      </c>
      <c r="R1481" t="s">
        <v>260</v>
      </c>
      <c r="S1481" t="str">
        <f t="shared" si="199"/>
        <v>PA</v>
      </c>
    </row>
    <row r="1482" spans="1:19" x14ac:dyDescent="0.3">
      <c r="A1482" t="s">
        <v>12</v>
      </c>
      <c r="B1482">
        <v>2016110041</v>
      </c>
      <c r="C1482" t="s">
        <v>329</v>
      </c>
      <c r="E1482" t="s">
        <v>211</v>
      </c>
      <c r="F1482" t="s">
        <v>186</v>
      </c>
      <c r="G1482">
        <v>4</v>
      </c>
      <c r="H1482" t="s">
        <v>438</v>
      </c>
      <c r="I1482" s="4">
        <f t="shared" si="200"/>
        <v>3</v>
      </c>
      <c r="J1482">
        <f t="shared" si="201"/>
        <v>12</v>
      </c>
      <c r="K1482">
        <v>64</v>
      </c>
      <c r="L1482">
        <v>22</v>
      </c>
      <c r="M1482" s="2">
        <v>2.91</v>
      </c>
      <c r="N1482" s="2">
        <v>2.85</v>
      </c>
      <c r="O1482">
        <v>0</v>
      </c>
      <c r="P1482">
        <v>5</v>
      </c>
      <c r="Q1482" s="4" t="str">
        <f t="shared" si="202"/>
        <v>2018/2019-Ganjil</v>
      </c>
      <c r="R1482" t="s">
        <v>260</v>
      </c>
      <c r="S1482" t="str">
        <f t="shared" si="199"/>
        <v>PA</v>
      </c>
    </row>
    <row r="1483" spans="1:19" x14ac:dyDescent="0.3">
      <c r="A1483" t="s">
        <v>12</v>
      </c>
      <c r="B1483">
        <v>2016110041</v>
      </c>
      <c r="C1483" t="s">
        <v>329</v>
      </c>
      <c r="E1483" t="s">
        <v>334</v>
      </c>
      <c r="F1483" t="s">
        <v>335</v>
      </c>
      <c r="G1483">
        <v>2</v>
      </c>
      <c r="H1483" t="s">
        <v>438</v>
      </c>
      <c r="I1483" s="4">
        <f t="shared" si="200"/>
        <v>3</v>
      </c>
      <c r="J1483">
        <f t="shared" si="201"/>
        <v>6</v>
      </c>
      <c r="K1483">
        <v>64</v>
      </c>
      <c r="L1483">
        <v>22</v>
      </c>
      <c r="M1483" s="2">
        <v>2.91</v>
      </c>
      <c r="N1483" s="2">
        <v>2.85</v>
      </c>
      <c r="O1483">
        <v>0</v>
      </c>
      <c r="P1483">
        <v>5</v>
      </c>
      <c r="Q1483" s="4" t="str">
        <f t="shared" si="202"/>
        <v>2018/2019-Ganjil</v>
      </c>
      <c r="R1483" t="s">
        <v>260</v>
      </c>
      <c r="S1483" t="str">
        <f t="shared" si="199"/>
        <v>PA</v>
      </c>
    </row>
    <row r="1484" spans="1:19" x14ac:dyDescent="0.3">
      <c r="A1484" t="s">
        <v>12</v>
      </c>
      <c r="B1484">
        <v>2016110041</v>
      </c>
      <c r="C1484" t="s">
        <v>329</v>
      </c>
      <c r="E1484" t="s">
        <v>165</v>
      </c>
      <c r="F1484" t="s">
        <v>166</v>
      </c>
      <c r="G1484">
        <v>2</v>
      </c>
      <c r="H1484" t="s">
        <v>438</v>
      </c>
      <c r="I1484" s="4">
        <f t="shared" si="200"/>
        <v>3</v>
      </c>
      <c r="J1484">
        <f t="shared" si="201"/>
        <v>6</v>
      </c>
      <c r="K1484">
        <v>52</v>
      </c>
      <c r="L1484">
        <v>20</v>
      </c>
      <c r="M1484" s="2">
        <v>2.6</v>
      </c>
      <c r="N1484" s="2">
        <v>2.85</v>
      </c>
      <c r="O1484">
        <v>0</v>
      </c>
      <c r="P1484">
        <v>1</v>
      </c>
      <c r="Q1484" s="4" t="str">
        <f t="shared" si="202"/>
        <v>2016/2017-Ganjil</v>
      </c>
      <c r="R1484" t="s">
        <v>260</v>
      </c>
      <c r="S1484" t="str">
        <f t="shared" si="199"/>
        <v>PA</v>
      </c>
    </row>
    <row r="1485" spans="1:19" x14ac:dyDescent="0.3">
      <c r="A1485" t="s">
        <v>12</v>
      </c>
      <c r="B1485">
        <v>2016110041</v>
      </c>
      <c r="C1485" t="s">
        <v>329</v>
      </c>
      <c r="E1485" t="s">
        <v>131</v>
      </c>
      <c r="F1485" t="s">
        <v>132</v>
      </c>
      <c r="G1485">
        <v>2</v>
      </c>
      <c r="H1485" t="s">
        <v>438</v>
      </c>
      <c r="I1485" s="4">
        <f t="shared" si="200"/>
        <v>3</v>
      </c>
      <c r="J1485">
        <f t="shared" si="201"/>
        <v>6</v>
      </c>
      <c r="K1485">
        <v>52</v>
      </c>
      <c r="L1485">
        <v>20</v>
      </c>
      <c r="M1485" s="2">
        <v>2.6</v>
      </c>
      <c r="N1485" s="2">
        <v>2.85</v>
      </c>
      <c r="O1485">
        <v>0</v>
      </c>
      <c r="P1485">
        <v>1</v>
      </c>
      <c r="Q1485" s="4" t="str">
        <f t="shared" si="202"/>
        <v>2016/2017-Ganjil</v>
      </c>
      <c r="R1485" t="s">
        <v>260</v>
      </c>
      <c r="S1485" t="str">
        <f t="shared" si="199"/>
        <v>PA</v>
      </c>
    </row>
    <row r="1486" spans="1:19" x14ac:dyDescent="0.3">
      <c r="A1486" t="s">
        <v>12</v>
      </c>
      <c r="B1486">
        <v>2016110041</v>
      </c>
      <c r="C1486" t="s">
        <v>329</v>
      </c>
      <c r="E1486" t="s">
        <v>360</v>
      </c>
      <c r="F1486" t="s">
        <v>361</v>
      </c>
      <c r="G1486">
        <v>2</v>
      </c>
      <c r="H1486" t="s">
        <v>438</v>
      </c>
      <c r="I1486" s="4">
        <f t="shared" si="200"/>
        <v>3</v>
      </c>
      <c r="J1486">
        <f t="shared" si="201"/>
        <v>6</v>
      </c>
      <c r="K1486">
        <v>34</v>
      </c>
      <c r="L1486">
        <v>12</v>
      </c>
      <c r="M1486" s="2">
        <v>2.83</v>
      </c>
      <c r="N1486" s="2">
        <v>2.85</v>
      </c>
      <c r="P1486">
        <v>8</v>
      </c>
      <c r="Q1486" s="4" t="str">
        <f t="shared" si="202"/>
        <v>2019/2020-Genap</v>
      </c>
      <c r="R1486" t="s">
        <v>260</v>
      </c>
      <c r="S1486" t="str">
        <f t="shared" si="199"/>
        <v>PA</v>
      </c>
    </row>
    <row r="1487" spans="1:19" x14ac:dyDescent="0.3">
      <c r="A1487" t="s">
        <v>12</v>
      </c>
      <c r="B1487">
        <v>2016110041</v>
      </c>
      <c r="C1487" t="s">
        <v>329</v>
      </c>
      <c r="E1487" t="s">
        <v>244</v>
      </c>
      <c r="F1487" t="s">
        <v>228</v>
      </c>
      <c r="G1487">
        <v>2</v>
      </c>
      <c r="H1487" t="s">
        <v>438</v>
      </c>
      <c r="I1487" s="4">
        <f t="shared" si="200"/>
        <v>3</v>
      </c>
      <c r="J1487">
        <f t="shared" si="201"/>
        <v>6</v>
      </c>
      <c r="K1487">
        <v>48</v>
      </c>
      <c r="L1487">
        <v>18</v>
      </c>
      <c r="M1487" s="2">
        <v>2.67</v>
      </c>
      <c r="N1487" s="2">
        <v>2.85</v>
      </c>
      <c r="O1487">
        <v>0</v>
      </c>
      <c r="P1487">
        <v>4</v>
      </c>
      <c r="Q1487" s="4" t="str">
        <f t="shared" si="202"/>
        <v>2017/2018-Genap</v>
      </c>
      <c r="R1487" t="s">
        <v>260</v>
      </c>
      <c r="S1487" t="str">
        <f t="shared" si="199"/>
        <v>PA</v>
      </c>
    </row>
    <row r="1488" spans="1:19" x14ac:dyDescent="0.3">
      <c r="A1488" t="s">
        <v>12</v>
      </c>
      <c r="B1488">
        <v>2016110041</v>
      </c>
      <c r="C1488" t="s">
        <v>329</v>
      </c>
      <c r="E1488" t="s">
        <v>90</v>
      </c>
      <c r="F1488" t="s">
        <v>91</v>
      </c>
      <c r="G1488">
        <v>2</v>
      </c>
      <c r="H1488" t="s">
        <v>438</v>
      </c>
      <c r="I1488" s="4">
        <f t="shared" si="200"/>
        <v>3</v>
      </c>
      <c r="J1488">
        <f t="shared" si="201"/>
        <v>6</v>
      </c>
      <c r="K1488">
        <v>52</v>
      </c>
      <c r="L1488">
        <v>20</v>
      </c>
      <c r="M1488" s="2">
        <v>2.6</v>
      </c>
      <c r="N1488" s="2">
        <v>2.85</v>
      </c>
      <c r="O1488">
        <v>0</v>
      </c>
      <c r="P1488">
        <v>1</v>
      </c>
      <c r="Q1488" s="4" t="str">
        <f t="shared" si="202"/>
        <v>2016/2017-Ganjil</v>
      </c>
      <c r="R1488" t="s">
        <v>260</v>
      </c>
      <c r="S1488" t="str">
        <f t="shared" si="199"/>
        <v>PA</v>
      </c>
    </row>
    <row r="1489" spans="1:19" x14ac:dyDescent="0.3">
      <c r="A1489" t="s">
        <v>12</v>
      </c>
      <c r="B1489">
        <v>2016110041</v>
      </c>
      <c r="C1489" t="s">
        <v>329</v>
      </c>
      <c r="E1489" t="s">
        <v>276</v>
      </c>
      <c r="F1489" t="s">
        <v>137</v>
      </c>
      <c r="G1489">
        <v>4</v>
      </c>
      <c r="H1489" t="s">
        <v>438</v>
      </c>
      <c r="I1489" s="4">
        <f t="shared" si="200"/>
        <v>3</v>
      </c>
      <c r="J1489">
        <f t="shared" si="201"/>
        <v>12</v>
      </c>
      <c r="K1489">
        <v>48</v>
      </c>
      <c r="L1489">
        <v>18</v>
      </c>
      <c r="M1489" s="2">
        <v>2.67</v>
      </c>
      <c r="N1489" s="2">
        <v>2.85</v>
      </c>
      <c r="O1489">
        <v>0</v>
      </c>
      <c r="P1489">
        <v>4</v>
      </c>
      <c r="Q1489" s="4" t="str">
        <f t="shared" si="202"/>
        <v>2017/2018-Genap</v>
      </c>
      <c r="R1489" t="s">
        <v>260</v>
      </c>
      <c r="S1489" t="str">
        <f t="shared" si="199"/>
        <v>PA</v>
      </c>
    </row>
    <row r="1490" spans="1:19" x14ac:dyDescent="0.3">
      <c r="A1490" t="s">
        <v>12</v>
      </c>
      <c r="B1490">
        <v>2016110041</v>
      </c>
      <c r="C1490" t="s">
        <v>329</v>
      </c>
      <c r="E1490" t="s">
        <v>236</v>
      </c>
      <c r="F1490" t="s">
        <v>237</v>
      </c>
      <c r="G1490">
        <v>2</v>
      </c>
      <c r="H1490" t="s">
        <v>438</v>
      </c>
      <c r="I1490" s="4">
        <f t="shared" si="200"/>
        <v>3</v>
      </c>
      <c r="J1490">
        <f t="shared" si="201"/>
        <v>6</v>
      </c>
      <c r="K1490">
        <v>64</v>
      </c>
      <c r="L1490">
        <v>22</v>
      </c>
      <c r="M1490" s="2">
        <v>2.91</v>
      </c>
      <c r="N1490" s="2">
        <v>2.85</v>
      </c>
      <c r="O1490">
        <v>0</v>
      </c>
      <c r="P1490">
        <v>5</v>
      </c>
      <c r="Q1490" s="4" t="str">
        <f t="shared" si="202"/>
        <v>2018/2019-Ganjil</v>
      </c>
      <c r="R1490" t="s">
        <v>260</v>
      </c>
      <c r="S1490" t="str">
        <f t="shared" si="199"/>
        <v>PA</v>
      </c>
    </row>
    <row r="1491" spans="1:19" x14ac:dyDescent="0.3">
      <c r="A1491" t="s">
        <v>12</v>
      </c>
      <c r="B1491">
        <v>2016110041</v>
      </c>
      <c r="C1491" t="s">
        <v>329</v>
      </c>
      <c r="E1491" t="s">
        <v>316</v>
      </c>
      <c r="F1491" t="s">
        <v>317</v>
      </c>
      <c r="G1491">
        <v>2</v>
      </c>
      <c r="H1491" t="s">
        <v>438</v>
      </c>
      <c r="I1491" s="4">
        <f t="shared" si="200"/>
        <v>3</v>
      </c>
      <c r="J1491">
        <f t="shared" si="201"/>
        <v>6</v>
      </c>
      <c r="K1491">
        <v>34</v>
      </c>
      <c r="L1491">
        <v>18</v>
      </c>
      <c r="M1491" s="2">
        <v>1.89</v>
      </c>
      <c r="N1491" s="2">
        <v>2.85</v>
      </c>
      <c r="O1491">
        <v>0</v>
      </c>
      <c r="P1491">
        <v>7</v>
      </c>
      <c r="Q1491" s="4" t="str">
        <f t="shared" si="202"/>
        <v>2019/2020-Ganjil</v>
      </c>
      <c r="R1491" t="s">
        <v>260</v>
      </c>
      <c r="S1491" t="str">
        <f t="shared" si="199"/>
        <v>PA</v>
      </c>
    </row>
    <row r="1492" spans="1:19" x14ac:dyDescent="0.3">
      <c r="A1492" t="s">
        <v>12</v>
      </c>
      <c r="B1492">
        <v>2016110041</v>
      </c>
      <c r="C1492" t="s">
        <v>329</v>
      </c>
      <c r="E1492" t="s">
        <v>293</v>
      </c>
      <c r="F1492" t="s">
        <v>294</v>
      </c>
      <c r="G1492">
        <v>2</v>
      </c>
      <c r="H1492" t="s">
        <v>438</v>
      </c>
      <c r="I1492" s="4">
        <f t="shared" si="200"/>
        <v>3</v>
      </c>
      <c r="J1492">
        <f t="shared" si="201"/>
        <v>6</v>
      </c>
      <c r="K1492">
        <v>64</v>
      </c>
      <c r="L1492">
        <v>22</v>
      </c>
      <c r="M1492" s="2">
        <v>2.91</v>
      </c>
      <c r="N1492" s="2">
        <v>2.85</v>
      </c>
      <c r="O1492">
        <v>0</v>
      </c>
      <c r="P1492">
        <v>5</v>
      </c>
      <c r="Q1492" s="4" t="str">
        <f t="shared" si="202"/>
        <v>2018/2019-Ganjil</v>
      </c>
      <c r="R1492" t="s">
        <v>260</v>
      </c>
      <c r="S1492" t="str">
        <f t="shared" si="199"/>
        <v>PA</v>
      </c>
    </row>
    <row r="1493" spans="1:19" x14ac:dyDescent="0.3">
      <c r="A1493" t="s">
        <v>12</v>
      </c>
      <c r="B1493">
        <v>2016110041</v>
      </c>
      <c r="C1493" t="s">
        <v>329</v>
      </c>
      <c r="E1493" t="s">
        <v>330</v>
      </c>
      <c r="F1493" t="s">
        <v>108</v>
      </c>
      <c r="G1493">
        <v>2</v>
      </c>
      <c r="H1493" t="s">
        <v>438</v>
      </c>
      <c r="I1493" s="4">
        <f t="shared" si="200"/>
        <v>3</v>
      </c>
      <c r="J1493">
        <f t="shared" si="201"/>
        <v>6</v>
      </c>
      <c r="K1493">
        <v>34</v>
      </c>
      <c r="L1493">
        <v>18</v>
      </c>
      <c r="M1493" s="2">
        <v>1.89</v>
      </c>
      <c r="N1493" s="2">
        <v>2.85</v>
      </c>
      <c r="O1493">
        <v>0</v>
      </c>
      <c r="P1493">
        <v>7</v>
      </c>
      <c r="Q1493" s="4" t="str">
        <f t="shared" si="202"/>
        <v>2019/2020-Ganjil</v>
      </c>
      <c r="R1493" t="s">
        <v>260</v>
      </c>
      <c r="S1493" t="str">
        <f t="shared" si="199"/>
        <v>PA</v>
      </c>
    </row>
    <row r="1494" spans="1:19" x14ac:dyDescent="0.3">
      <c r="A1494" t="s">
        <v>12</v>
      </c>
      <c r="B1494">
        <v>2016110041</v>
      </c>
      <c r="C1494" t="s">
        <v>329</v>
      </c>
      <c r="E1494" t="s">
        <v>357</v>
      </c>
      <c r="F1494" t="s">
        <v>358</v>
      </c>
      <c r="G1494">
        <v>4</v>
      </c>
      <c r="H1494" t="s">
        <v>438</v>
      </c>
      <c r="I1494" s="4">
        <f t="shared" si="200"/>
        <v>3</v>
      </c>
      <c r="J1494">
        <f t="shared" si="201"/>
        <v>12</v>
      </c>
      <c r="K1494">
        <v>64</v>
      </c>
      <c r="L1494">
        <v>22</v>
      </c>
      <c r="M1494" s="2">
        <v>2.91</v>
      </c>
      <c r="N1494" s="2">
        <v>2.85</v>
      </c>
      <c r="O1494">
        <v>0</v>
      </c>
      <c r="P1494">
        <v>5</v>
      </c>
      <c r="Q1494" s="4" t="str">
        <f t="shared" si="202"/>
        <v>2018/2019-Ganjil</v>
      </c>
      <c r="R1494" t="s">
        <v>260</v>
      </c>
      <c r="S1494" t="str">
        <f t="shared" si="199"/>
        <v>PA</v>
      </c>
    </row>
    <row r="1495" spans="1:19" x14ac:dyDescent="0.3">
      <c r="A1495" t="s">
        <v>12</v>
      </c>
      <c r="B1495">
        <v>2016110041</v>
      </c>
      <c r="C1495" t="s">
        <v>329</v>
      </c>
      <c r="E1495" t="s">
        <v>170</v>
      </c>
      <c r="F1495" t="s">
        <v>171</v>
      </c>
      <c r="G1495">
        <v>4</v>
      </c>
      <c r="H1495" t="s">
        <v>438</v>
      </c>
      <c r="I1495" s="4">
        <f t="shared" si="200"/>
        <v>3</v>
      </c>
      <c r="J1495">
        <f t="shared" si="201"/>
        <v>12</v>
      </c>
      <c r="K1495">
        <v>64</v>
      </c>
      <c r="L1495">
        <v>22</v>
      </c>
      <c r="M1495" s="2">
        <v>2.91</v>
      </c>
      <c r="N1495" s="2">
        <v>2.85</v>
      </c>
      <c r="O1495">
        <v>0</v>
      </c>
      <c r="P1495">
        <v>5</v>
      </c>
      <c r="Q1495" s="4" t="str">
        <f t="shared" si="202"/>
        <v>2018/2019-Ganjil</v>
      </c>
      <c r="R1495" t="s">
        <v>260</v>
      </c>
      <c r="S1495" t="str">
        <f t="shared" si="199"/>
        <v>PA</v>
      </c>
    </row>
    <row r="1496" spans="1:19" x14ac:dyDescent="0.3">
      <c r="A1496" t="s">
        <v>12</v>
      </c>
      <c r="B1496">
        <v>2016110041</v>
      </c>
      <c r="C1496" t="s">
        <v>329</v>
      </c>
      <c r="E1496" t="s">
        <v>234</v>
      </c>
      <c r="F1496" t="s">
        <v>235</v>
      </c>
      <c r="G1496">
        <v>4</v>
      </c>
      <c r="H1496" t="s">
        <v>438</v>
      </c>
      <c r="I1496" s="4">
        <f t="shared" si="200"/>
        <v>3</v>
      </c>
      <c r="J1496">
        <f t="shared" si="201"/>
        <v>12</v>
      </c>
      <c r="K1496">
        <v>42</v>
      </c>
      <c r="L1496">
        <v>18</v>
      </c>
      <c r="M1496" s="2">
        <v>2.33</v>
      </c>
      <c r="N1496" s="2">
        <v>2.85</v>
      </c>
      <c r="O1496">
        <v>0</v>
      </c>
      <c r="P1496">
        <v>3</v>
      </c>
      <c r="Q1496" s="4" t="str">
        <f t="shared" si="202"/>
        <v>2017/2018-Ganjil</v>
      </c>
      <c r="R1496" t="s">
        <v>260</v>
      </c>
      <c r="S1496" t="str">
        <f t="shared" si="199"/>
        <v>PA</v>
      </c>
    </row>
    <row r="1497" spans="1:19" x14ac:dyDescent="0.3">
      <c r="A1497" t="s">
        <v>12</v>
      </c>
      <c r="B1497">
        <v>2016110041</v>
      </c>
      <c r="C1497" t="s">
        <v>329</v>
      </c>
      <c r="E1497" t="s">
        <v>39</v>
      </c>
      <c r="F1497" t="s">
        <v>11</v>
      </c>
      <c r="G1497">
        <v>2</v>
      </c>
      <c r="H1497" t="s">
        <v>438</v>
      </c>
      <c r="I1497" s="4">
        <f t="shared" si="200"/>
        <v>3</v>
      </c>
      <c r="J1497">
        <f t="shared" si="201"/>
        <v>6</v>
      </c>
      <c r="K1497">
        <v>34</v>
      </c>
      <c r="L1497">
        <v>12</v>
      </c>
      <c r="M1497" s="2">
        <v>2.83</v>
      </c>
      <c r="N1497" s="2">
        <v>2.85</v>
      </c>
      <c r="O1497">
        <v>0</v>
      </c>
      <c r="P1497">
        <v>8</v>
      </c>
      <c r="Q1497" s="4" t="str">
        <f t="shared" si="202"/>
        <v>2019/2020-Genap</v>
      </c>
      <c r="R1497" t="s">
        <v>260</v>
      </c>
      <c r="S1497" t="str">
        <f t="shared" si="199"/>
        <v>PA</v>
      </c>
    </row>
    <row r="1498" spans="1:19" x14ac:dyDescent="0.3">
      <c r="A1498" t="s">
        <v>12</v>
      </c>
      <c r="B1498">
        <v>2016110041</v>
      </c>
      <c r="C1498" t="s">
        <v>329</v>
      </c>
      <c r="E1498" t="s">
        <v>374</v>
      </c>
      <c r="F1498" t="s">
        <v>375</v>
      </c>
      <c r="G1498">
        <v>2</v>
      </c>
      <c r="H1498" t="s">
        <v>524</v>
      </c>
      <c r="I1498" s="4">
        <f t="shared" si="200"/>
        <v>2</v>
      </c>
      <c r="J1498">
        <f t="shared" si="201"/>
        <v>4</v>
      </c>
      <c r="K1498">
        <v>48</v>
      </c>
      <c r="L1498">
        <v>18</v>
      </c>
      <c r="M1498" s="2">
        <v>2.67</v>
      </c>
      <c r="N1498" s="2">
        <v>2.85</v>
      </c>
      <c r="O1498">
        <v>0</v>
      </c>
      <c r="P1498">
        <v>4</v>
      </c>
      <c r="Q1498" s="4" t="str">
        <f t="shared" si="202"/>
        <v>2017/2018-Genap</v>
      </c>
      <c r="R1498" t="s">
        <v>260</v>
      </c>
      <c r="S1498" t="str">
        <f t="shared" si="199"/>
        <v>PA</v>
      </c>
    </row>
    <row r="1499" spans="1:19" x14ac:dyDescent="0.3">
      <c r="A1499" t="s">
        <v>12</v>
      </c>
      <c r="B1499">
        <v>2016110041</v>
      </c>
      <c r="C1499" t="s">
        <v>329</v>
      </c>
      <c r="E1499" t="s">
        <v>374</v>
      </c>
      <c r="F1499" t="s">
        <v>375</v>
      </c>
      <c r="G1499">
        <v>2</v>
      </c>
      <c r="H1499" t="s">
        <v>438</v>
      </c>
      <c r="I1499" s="4">
        <f t="shared" si="200"/>
        <v>3</v>
      </c>
      <c r="J1499">
        <f t="shared" si="201"/>
        <v>6</v>
      </c>
      <c r="K1499">
        <v>32</v>
      </c>
      <c r="L1499">
        <v>14</v>
      </c>
      <c r="M1499" s="2">
        <v>2.29</v>
      </c>
      <c r="N1499" s="2">
        <v>2.85</v>
      </c>
      <c r="O1499">
        <v>1</v>
      </c>
      <c r="P1499">
        <v>10</v>
      </c>
      <c r="Q1499" s="4" t="str">
        <f t="shared" si="202"/>
        <v>2020/2021-Genap</v>
      </c>
      <c r="R1499" t="s">
        <v>596</v>
      </c>
      <c r="S1499" t="str">
        <f t="shared" si="199"/>
        <v>PA</v>
      </c>
    </row>
    <row r="1500" spans="1:19" x14ac:dyDescent="0.3">
      <c r="A1500" t="s">
        <v>12</v>
      </c>
      <c r="B1500">
        <v>2016110041</v>
      </c>
      <c r="C1500" t="s">
        <v>329</v>
      </c>
      <c r="E1500" t="s">
        <v>437</v>
      </c>
      <c r="F1500" t="s">
        <v>169</v>
      </c>
      <c r="G1500">
        <v>4</v>
      </c>
      <c r="H1500" t="s">
        <v>524</v>
      </c>
      <c r="I1500" s="4">
        <f t="shared" si="200"/>
        <v>2</v>
      </c>
      <c r="J1500">
        <f t="shared" si="201"/>
        <v>8</v>
      </c>
      <c r="K1500">
        <v>52</v>
      </c>
      <c r="L1500">
        <v>20</v>
      </c>
      <c r="M1500" s="2">
        <v>2.6</v>
      </c>
      <c r="N1500" s="2">
        <v>2.85</v>
      </c>
      <c r="O1500">
        <v>0</v>
      </c>
      <c r="P1500">
        <v>1</v>
      </c>
      <c r="Q1500" s="4" t="str">
        <f t="shared" si="202"/>
        <v>2016/2017-Ganjil</v>
      </c>
      <c r="R1500" t="s">
        <v>260</v>
      </c>
      <c r="S1500" t="str">
        <f t="shared" si="199"/>
        <v>PA</v>
      </c>
    </row>
    <row r="1501" spans="1:19" x14ac:dyDescent="0.3">
      <c r="A1501" t="s">
        <v>12</v>
      </c>
      <c r="B1501">
        <v>2016110041</v>
      </c>
      <c r="C1501" t="s">
        <v>329</v>
      </c>
      <c r="E1501" t="s">
        <v>437</v>
      </c>
      <c r="F1501" t="s">
        <v>169</v>
      </c>
      <c r="G1501">
        <v>4</v>
      </c>
      <c r="H1501" t="s">
        <v>260</v>
      </c>
      <c r="I1501" s="4">
        <f t="shared" si="200"/>
        <v>4</v>
      </c>
      <c r="J1501">
        <f t="shared" si="201"/>
        <v>16</v>
      </c>
      <c r="K1501">
        <v>58</v>
      </c>
      <c r="L1501">
        <v>18</v>
      </c>
      <c r="M1501" s="2">
        <v>3.22</v>
      </c>
      <c r="N1501" s="2">
        <v>2.85</v>
      </c>
      <c r="O1501">
        <v>1</v>
      </c>
      <c r="P1501">
        <v>9</v>
      </c>
      <c r="Q1501" s="4" t="str">
        <f t="shared" si="202"/>
        <v>2020/2021-Ganjil</v>
      </c>
      <c r="R1501" t="s">
        <v>260</v>
      </c>
      <c r="S1501" t="str">
        <f t="shared" si="199"/>
        <v>PA</v>
      </c>
    </row>
    <row r="1502" spans="1:19" x14ac:dyDescent="0.3">
      <c r="A1502" t="s">
        <v>12</v>
      </c>
      <c r="B1502">
        <v>2016110041</v>
      </c>
      <c r="C1502" t="s">
        <v>329</v>
      </c>
      <c r="E1502" t="s">
        <v>309</v>
      </c>
      <c r="F1502" t="s">
        <v>310</v>
      </c>
      <c r="G1502">
        <v>4</v>
      </c>
      <c r="H1502" t="s">
        <v>524</v>
      </c>
      <c r="I1502" s="4">
        <f t="shared" si="200"/>
        <v>2</v>
      </c>
      <c r="J1502">
        <f t="shared" si="201"/>
        <v>8</v>
      </c>
      <c r="K1502">
        <v>44</v>
      </c>
      <c r="L1502">
        <v>22</v>
      </c>
      <c r="M1502" s="2">
        <v>2</v>
      </c>
      <c r="N1502" s="2">
        <v>2.85</v>
      </c>
      <c r="O1502">
        <v>0</v>
      </c>
      <c r="P1502">
        <v>6</v>
      </c>
      <c r="Q1502" s="4" t="str">
        <f t="shared" si="202"/>
        <v>2018/2019-Genap</v>
      </c>
      <c r="R1502" t="s">
        <v>260</v>
      </c>
      <c r="S1502" t="str">
        <f t="shared" si="199"/>
        <v>PA</v>
      </c>
    </row>
    <row r="1503" spans="1:19" x14ac:dyDescent="0.3">
      <c r="A1503" t="s">
        <v>12</v>
      </c>
      <c r="B1503">
        <v>2016110041</v>
      </c>
      <c r="C1503" t="s">
        <v>329</v>
      </c>
      <c r="E1503" t="s">
        <v>97</v>
      </c>
      <c r="F1503" t="s">
        <v>98</v>
      </c>
      <c r="G1503">
        <v>4</v>
      </c>
      <c r="H1503" t="s">
        <v>524</v>
      </c>
      <c r="I1503" s="4">
        <f t="shared" si="200"/>
        <v>2</v>
      </c>
      <c r="J1503">
        <f t="shared" si="201"/>
        <v>8</v>
      </c>
      <c r="K1503">
        <v>42</v>
      </c>
      <c r="L1503">
        <v>20</v>
      </c>
      <c r="M1503" s="2">
        <v>2.1</v>
      </c>
      <c r="N1503" s="2">
        <v>2.85</v>
      </c>
      <c r="O1503">
        <v>0</v>
      </c>
      <c r="P1503">
        <v>2</v>
      </c>
      <c r="Q1503" s="4" t="str">
        <f t="shared" ref="Q1503:Q1520" si="203">IF(P1503=1,"2016/2017-Ganjil",IF(P1503=2,"2016/2017-Genap",IF(P1503=3,"2017/2018-Ganjil",IF(P1503=4,"2017/2018-Genap",IF(P1503=5,"2018/2019-Ganjil",IF(P1503=6,"2018/2019-Genap",IF(P1503=7,"2019/2020-Ganjil",IF(P1503=8,"2019/2020-Genap",IF(P1503=9,"2020/2021-Ganjil","2020/2021-Genap")))))))))</f>
        <v>2016/2017-Genap</v>
      </c>
      <c r="R1503" t="s">
        <v>260</v>
      </c>
      <c r="S1503" t="str">
        <f t="shared" si="199"/>
        <v>PA</v>
      </c>
    </row>
    <row r="1504" spans="1:19" x14ac:dyDescent="0.3">
      <c r="A1504" t="s">
        <v>12</v>
      </c>
      <c r="B1504">
        <v>2016110041</v>
      </c>
      <c r="C1504" t="s">
        <v>329</v>
      </c>
      <c r="E1504" t="s">
        <v>264</v>
      </c>
      <c r="F1504" t="s">
        <v>265</v>
      </c>
      <c r="G1504">
        <v>2</v>
      </c>
      <c r="H1504" t="s">
        <v>524</v>
      </c>
      <c r="I1504" s="4">
        <f t="shared" si="200"/>
        <v>2</v>
      </c>
      <c r="J1504">
        <f t="shared" si="201"/>
        <v>4</v>
      </c>
      <c r="K1504">
        <v>64</v>
      </c>
      <c r="L1504">
        <v>22</v>
      </c>
      <c r="M1504" s="2">
        <v>2.91</v>
      </c>
      <c r="N1504" s="2">
        <v>2.85</v>
      </c>
      <c r="O1504">
        <v>0</v>
      </c>
      <c r="P1504">
        <v>5</v>
      </c>
      <c r="Q1504" s="4" t="str">
        <f t="shared" si="203"/>
        <v>2018/2019-Ganjil</v>
      </c>
      <c r="R1504" t="s">
        <v>260</v>
      </c>
      <c r="S1504" t="str">
        <f t="shared" si="199"/>
        <v>PA</v>
      </c>
    </row>
    <row r="1505" spans="1:19" x14ac:dyDescent="0.3">
      <c r="A1505" t="s">
        <v>12</v>
      </c>
      <c r="B1505">
        <v>2016110041</v>
      </c>
      <c r="C1505" t="s">
        <v>329</v>
      </c>
      <c r="E1505" t="s">
        <v>264</v>
      </c>
      <c r="F1505" t="s">
        <v>265</v>
      </c>
      <c r="G1505">
        <v>2</v>
      </c>
      <c r="H1505" t="s">
        <v>438</v>
      </c>
      <c r="I1505" s="4">
        <f t="shared" si="200"/>
        <v>3</v>
      </c>
      <c r="J1505">
        <f t="shared" si="201"/>
        <v>6</v>
      </c>
      <c r="K1505">
        <v>58</v>
      </c>
      <c r="L1505">
        <v>18</v>
      </c>
      <c r="M1505" s="2">
        <v>3.22</v>
      </c>
      <c r="N1505" s="2">
        <v>2.85</v>
      </c>
      <c r="O1505">
        <v>1</v>
      </c>
      <c r="P1505">
        <v>9</v>
      </c>
      <c r="Q1505" s="4" t="str">
        <f t="shared" si="203"/>
        <v>2020/2021-Ganjil</v>
      </c>
      <c r="R1505" t="s">
        <v>260</v>
      </c>
      <c r="S1505" t="str">
        <f t="shared" si="199"/>
        <v>PA</v>
      </c>
    </row>
    <row r="1506" spans="1:19" x14ac:dyDescent="0.3">
      <c r="A1506" t="s">
        <v>12</v>
      </c>
      <c r="B1506">
        <v>2016110041</v>
      </c>
      <c r="C1506" t="s">
        <v>329</v>
      </c>
      <c r="E1506" t="s">
        <v>103</v>
      </c>
      <c r="F1506" t="s">
        <v>104</v>
      </c>
      <c r="G1506">
        <v>4</v>
      </c>
      <c r="H1506" t="s">
        <v>524</v>
      </c>
      <c r="I1506" s="4">
        <f t="shared" si="200"/>
        <v>2</v>
      </c>
      <c r="J1506">
        <f t="shared" si="201"/>
        <v>8</v>
      </c>
      <c r="K1506">
        <v>42</v>
      </c>
      <c r="L1506">
        <v>20</v>
      </c>
      <c r="M1506" s="2">
        <v>2.1</v>
      </c>
      <c r="N1506" s="2">
        <v>2.85</v>
      </c>
      <c r="O1506">
        <v>0</v>
      </c>
      <c r="P1506">
        <v>2</v>
      </c>
      <c r="Q1506" s="4" t="str">
        <f t="shared" si="203"/>
        <v>2016/2017-Genap</v>
      </c>
      <c r="R1506" t="s">
        <v>260</v>
      </c>
      <c r="S1506" t="str">
        <f t="shared" si="199"/>
        <v>PA</v>
      </c>
    </row>
    <row r="1507" spans="1:19" x14ac:dyDescent="0.3">
      <c r="A1507" t="s">
        <v>12</v>
      </c>
      <c r="B1507">
        <v>2016110041</v>
      </c>
      <c r="C1507" t="s">
        <v>329</v>
      </c>
      <c r="E1507" t="s">
        <v>103</v>
      </c>
      <c r="F1507" t="s">
        <v>104</v>
      </c>
      <c r="G1507">
        <v>4</v>
      </c>
      <c r="H1507" t="s">
        <v>438</v>
      </c>
      <c r="I1507" s="4">
        <f t="shared" si="200"/>
        <v>3</v>
      </c>
      <c r="J1507">
        <f t="shared" si="201"/>
        <v>12</v>
      </c>
      <c r="K1507">
        <v>32</v>
      </c>
      <c r="L1507">
        <v>14</v>
      </c>
      <c r="M1507" s="2">
        <v>2.29</v>
      </c>
      <c r="N1507" s="2">
        <v>2.85</v>
      </c>
      <c r="O1507">
        <v>1</v>
      </c>
      <c r="P1507">
        <v>10</v>
      </c>
      <c r="Q1507" s="4" t="str">
        <f t="shared" si="203"/>
        <v>2020/2021-Genap</v>
      </c>
      <c r="R1507" t="s">
        <v>596</v>
      </c>
      <c r="S1507" t="str">
        <f t="shared" si="199"/>
        <v>PA</v>
      </c>
    </row>
    <row r="1508" spans="1:19" x14ac:dyDescent="0.3">
      <c r="A1508" t="s">
        <v>12</v>
      </c>
      <c r="B1508">
        <v>2016110041</v>
      </c>
      <c r="C1508" t="s">
        <v>329</v>
      </c>
      <c r="E1508" t="s">
        <v>192</v>
      </c>
      <c r="F1508" t="s">
        <v>106</v>
      </c>
      <c r="G1508">
        <v>2</v>
      </c>
      <c r="H1508" t="s">
        <v>524</v>
      </c>
      <c r="I1508" s="4">
        <f t="shared" si="200"/>
        <v>2</v>
      </c>
      <c r="J1508">
        <f t="shared" si="201"/>
        <v>4</v>
      </c>
      <c r="K1508">
        <v>42</v>
      </c>
      <c r="L1508">
        <v>18</v>
      </c>
      <c r="M1508" s="2">
        <v>2.33</v>
      </c>
      <c r="N1508" s="2">
        <v>2.85</v>
      </c>
      <c r="O1508">
        <v>0</v>
      </c>
      <c r="P1508">
        <v>3</v>
      </c>
      <c r="Q1508" s="4" t="str">
        <f t="shared" si="203"/>
        <v>2017/2018-Ganjil</v>
      </c>
      <c r="R1508" t="s">
        <v>260</v>
      </c>
      <c r="S1508" t="str">
        <f t="shared" si="199"/>
        <v>PA</v>
      </c>
    </row>
    <row r="1509" spans="1:19" x14ac:dyDescent="0.3">
      <c r="A1509" t="s">
        <v>12</v>
      </c>
      <c r="B1509">
        <v>2016110041</v>
      </c>
      <c r="C1509" t="s">
        <v>329</v>
      </c>
      <c r="E1509" t="s">
        <v>192</v>
      </c>
      <c r="F1509" t="s">
        <v>106</v>
      </c>
      <c r="G1509">
        <v>2</v>
      </c>
      <c r="H1509" t="s">
        <v>438</v>
      </c>
      <c r="I1509" s="4">
        <f t="shared" si="200"/>
        <v>3</v>
      </c>
      <c r="J1509">
        <f t="shared" si="201"/>
        <v>6</v>
      </c>
      <c r="K1509">
        <v>58</v>
      </c>
      <c r="L1509">
        <v>18</v>
      </c>
      <c r="M1509" s="2">
        <v>3.22</v>
      </c>
      <c r="N1509" s="2">
        <v>2.85</v>
      </c>
      <c r="O1509">
        <v>1</v>
      </c>
      <c r="P1509">
        <v>9</v>
      </c>
      <c r="Q1509" s="4" t="str">
        <f t="shared" si="203"/>
        <v>2020/2021-Ganjil</v>
      </c>
      <c r="R1509" t="s">
        <v>260</v>
      </c>
      <c r="S1509" t="str">
        <f t="shared" si="199"/>
        <v>PA</v>
      </c>
    </row>
    <row r="1510" spans="1:19" x14ac:dyDescent="0.3">
      <c r="A1510" t="s">
        <v>12</v>
      </c>
      <c r="B1510">
        <v>2016110041</v>
      </c>
      <c r="C1510" t="s">
        <v>329</v>
      </c>
      <c r="E1510" t="s">
        <v>262</v>
      </c>
      <c r="F1510" t="s">
        <v>263</v>
      </c>
      <c r="G1510">
        <v>2</v>
      </c>
      <c r="H1510" t="s">
        <v>539</v>
      </c>
      <c r="I1510" s="4">
        <f t="shared" si="200"/>
        <v>0</v>
      </c>
      <c r="J1510">
        <f t="shared" si="201"/>
        <v>0</v>
      </c>
      <c r="K1510">
        <v>32</v>
      </c>
      <c r="L1510">
        <v>14</v>
      </c>
      <c r="M1510" s="2">
        <v>2.29</v>
      </c>
      <c r="N1510" s="2">
        <v>2.85</v>
      </c>
      <c r="O1510">
        <v>1</v>
      </c>
      <c r="P1510">
        <v>10</v>
      </c>
      <c r="Q1510" s="4" t="str">
        <f t="shared" si="203"/>
        <v>2020/2021-Genap</v>
      </c>
      <c r="R1510" t="s">
        <v>596</v>
      </c>
      <c r="S1510" t="str">
        <f t="shared" si="199"/>
        <v>FA</v>
      </c>
    </row>
    <row r="1511" spans="1:19" x14ac:dyDescent="0.3">
      <c r="A1511" t="s">
        <v>12</v>
      </c>
      <c r="B1511">
        <v>2016110041</v>
      </c>
      <c r="C1511" t="s">
        <v>329</v>
      </c>
      <c r="E1511" t="s">
        <v>262</v>
      </c>
      <c r="F1511" t="s">
        <v>263</v>
      </c>
      <c r="G1511">
        <v>2</v>
      </c>
      <c r="H1511" t="s">
        <v>524</v>
      </c>
      <c r="I1511" s="4">
        <f t="shared" si="200"/>
        <v>2</v>
      </c>
      <c r="J1511">
        <f t="shared" si="201"/>
        <v>4</v>
      </c>
      <c r="K1511">
        <v>34</v>
      </c>
      <c r="L1511">
        <v>12</v>
      </c>
      <c r="M1511" s="2">
        <v>2.83</v>
      </c>
      <c r="N1511" s="2">
        <v>2.85</v>
      </c>
      <c r="O1511">
        <v>0</v>
      </c>
      <c r="P1511">
        <v>8</v>
      </c>
      <c r="Q1511" s="4" t="str">
        <f t="shared" si="203"/>
        <v>2019/2020-Genap</v>
      </c>
      <c r="R1511" t="s">
        <v>260</v>
      </c>
      <c r="S1511" t="str">
        <f t="shared" si="199"/>
        <v>PA</v>
      </c>
    </row>
    <row r="1512" spans="1:19" x14ac:dyDescent="0.3">
      <c r="A1512" t="s">
        <v>12</v>
      </c>
      <c r="B1512">
        <v>2016110041</v>
      </c>
      <c r="C1512" t="s">
        <v>329</v>
      </c>
      <c r="E1512" t="s">
        <v>142</v>
      </c>
      <c r="F1512" t="s">
        <v>143</v>
      </c>
      <c r="G1512">
        <v>2</v>
      </c>
      <c r="H1512" t="s">
        <v>524</v>
      </c>
      <c r="I1512" s="4">
        <f t="shared" si="200"/>
        <v>2</v>
      </c>
      <c r="J1512">
        <f t="shared" si="201"/>
        <v>4</v>
      </c>
      <c r="K1512">
        <v>52</v>
      </c>
      <c r="L1512">
        <v>20</v>
      </c>
      <c r="M1512" s="2">
        <v>2.6</v>
      </c>
      <c r="N1512" s="2">
        <v>2.85</v>
      </c>
      <c r="O1512">
        <v>0</v>
      </c>
      <c r="P1512">
        <v>1</v>
      </c>
      <c r="Q1512" s="4" t="str">
        <f t="shared" si="203"/>
        <v>2016/2017-Ganjil</v>
      </c>
      <c r="R1512" t="s">
        <v>260</v>
      </c>
      <c r="S1512" t="str">
        <f t="shared" si="199"/>
        <v>PA</v>
      </c>
    </row>
    <row r="1513" spans="1:19" x14ac:dyDescent="0.3">
      <c r="A1513" t="s">
        <v>12</v>
      </c>
      <c r="B1513">
        <v>2016110041</v>
      </c>
      <c r="C1513" t="s">
        <v>329</v>
      </c>
      <c r="E1513" t="s">
        <v>142</v>
      </c>
      <c r="F1513" t="s">
        <v>143</v>
      </c>
      <c r="G1513">
        <v>2</v>
      </c>
      <c r="H1513" t="s">
        <v>260</v>
      </c>
      <c r="I1513" s="4">
        <f t="shared" si="200"/>
        <v>4</v>
      </c>
      <c r="J1513">
        <f t="shared" si="201"/>
        <v>8</v>
      </c>
      <c r="K1513">
        <v>58</v>
      </c>
      <c r="L1513">
        <v>18</v>
      </c>
      <c r="M1513" s="2">
        <v>3.22</v>
      </c>
      <c r="N1513" s="2">
        <v>2.85</v>
      </c>
      <c r="O1513">
        <v>1</v>
      </c>
      <c r="P1513">
        <v>9</v>
      </c>
      <c r="Q1513" s="4" t="str">
        <f t="shared" si="203"/>
        <v>2020/2021-Ganjil</v>
      </c>
      <c r="R1513" t="s">
        <v>260</v>
      </c>
      <c r="S1513" t="str">
        <f t="shared" si="199"/>
        <v>PA</v>
      </c>
    </row>
    <row r="1514" spans="1:19" x14ac:dyDescent="0.3">
      <c r="A1514" t="s">
        <v>12</v>
      </c>
      <c r="B1514">
        <v>2016110041</v>
      </c>
      <c r="C1514" t="s">
        <v>329</v>
      </c>
      <c r="E1514" t="s">
        <v>205</v>
      </c>
      <c r="F1514" t="s">
        <v>116</v>
      </c>
      <c r="G1514">
        <v>4</v>
      </c>
      <c r="H1514" t="s">
        <v>524</v>
      </c>
      <c r="I1514" s="4">
        <f t="shared" si="200"/>
        <v>2</v>
      </c>
      <c r="J1514">
        <f t="shared" si="201"/>
        <v>8</v>
      </c>
      <c r="K1514">
        <v>42</v>
      </c>
      <c r="L1514">
        <v>18</v>
      </c>
      <c r="M1514" s="2">
        <v>2.33</v>
      </c>
      <c r="N1514" s="2">
        <v>2.85</v>
      </c>
      <c r="O1514">
        <v>0</v>
      </c>
      <c r="P1514">
        <v>3</v>
      </c>
      <c r="Q1514" s="4" t="str">
        <f t="shared" si="203"/>
        <v>2017/2018-Ganjil</v>
      </c>
      <c r="R1514" t="s">
        <v>260</v>
      </c>
      <c r="S1514" t="str">
        <f t="shared" si="199"/>
        <v>PA</v>
      </c>
    </row>
    <row r="1515" spans="1:19" x14ac:dyDescent="0.3">
      <c r="A1515" t="s">
        <v>12</v>
      </c>
      <c r="B1515">
        <v>2016110041</v>
      </c>
      <c r="C1515" t="s">
        <v>329</v>
      </c>
      <c r="E1515" t="s">
        <v>205</v>
      </c>
      <c r="F1515" t="s">
        <v>116</v>
      </c>
      <c r="G1515">
        <v>4</v>
      </c>
      <c r="H1515" t="s">
        <v>524</v>
      </c>
      <c r="I1515" s="4">
        <f t="shared" si="200"/>
        <v>2</v>
      </c>
      <c r="J1515">
        <f t="shared" si="201"/>
        <v>8</v>
      </c>
      <c r="K1515">
        <v>58</v>
      </c>
      <c r="L1515">
        <v>18</v>
      </c>
      <c r="M1515" s="2">
        <v>3.22</v>
      </c>
      <c r="N1515" s="2">
        <v>2.85</v>
      </c>
      <c r="O1515">
        <v>1</v>
      </c>
      <c r="P1515">
        <v>9</v>
      </c>
      <c r="Q1515" s="4" t="str">
        <f t="shared" si="203"/>
        <v>2020/2021-Ganjil</v>
      </c>
      <c r="R1515" t="s">
        <v>260</v>
      </c>
      <c r="S1515" t="str">
        <f t="shared" si="199"/>
        <v>PA</v>
      </c>
    </row>
    <row r="1516" spans="1:19" x14ac:dyDescent="0.3">
      <c r="A1516" t="s">
        <v>12</v>
      </c>
      <c r="B1516">
        <v>2016110041</v>
      </c>
      <c r="C1516" t="s">
        <v>329</v>
      </c>
      <c r="E1516" t="s">
        <v>31</v>
      </c>
      <c r="F1516" t="s">
        <v>20</v>
      </c>
      <c r="G1516">
        <v>4</v>
      </c>
      <c r="H1516" t="s">
        <v>524</v>
      </c>
      <c r="I1516" s="4">
        <f t="shared" si="200"/>
        <v>2</v>
      </c>
      <c r="J1516">
        <f t="shared" si="201"/>
        <v>8</v>
      </c>
      <c r="K1516">
        <v>32</v>
      </c>
      <c r="L1516">
        <v>14</v>
      </c>
      <c r="M1516" s="2">
        <v>2.29</v>
      </c>
      <c r="N1516" s="2">
        <v>2.85</v>
      </c>
      <c r="O1516">
        <v>0</v>
      </c>
      <c r="P1516">
        <v>10</v>
      </c>
      <c r="Q1516" s="4" t="str">
        <f t="shared" si="203"/>
        <v>2020/2021-Genap</v>
      </c>
      <c r="R1516" t="s">
        <v>596</v>
      </c>
      <c r="S1516" t="str">
        <f t="shared" si="199"/>
        <v>PA</v>
      </c>
    </row>
    <row r="1517" spans="1:19" x14ac:dyDescent="0.3">
      <c r="A1517" t="s">
        <v>12</v>
      </c>
      <c r="B1517">
        <v>2016110041</v>
      </c>
      <c r="C1517" t="s">
        <v>329</v>
      </c>
      <c r="E1517" t="s">
        <v>273</v>
      </c>
      <c r="F1517" t="s">
        <v>274</v>
      </c>
      <c r="G1517">
        <v>2</v>
      </c>
      <c r="H1517" t="s">
        <v>524</v>
      </c>
      <c r="I1517" s="4">
        <f t="shared" si="200"/>
        <v>2</v>
      </c>
      <c r="J1517">
        <f t="shared" si="201"/>
        <v>4</v>
      </c>
      <c r="K1517">
        <v>44</v>
      </c>
      <c r="L1517">
        <v>22</v>
      </c>
      <c r="M1517" s="2">
        <v>2</v>
      </c>
      <c r="N1517" s="2">
        <v>2.85</v>
      </c>
      <c r="O1517">
        <v>0</v>
      </c>
      <c r="P1517">
        <v>6</v>
      </c>
      <c r="Q1517" s="4" t="str">
        <f t="shared" si="203"/>
        <v>2018/2019-Genap</v>
      </c>
      <c r="R1517" t="s">
        <v>260</v>
      </c>
      <c r="S1517" t="str">
        <f t="shared" si="199"/>
        <v>PA</v>
      </c>
    </row>
    <row r="1518" spans="1:19" x14ac:dyDescent="0.3">
      <c r="A1518" t="s">
        <v>12</v>
      </c>
      <c r="B1518">
        <v>2016110041</v>
      </c>
      <c r="C1518" t="s">
        <v>329</v>
      </c>
      <c r="E1518" t="s">
        <v>348</v>
      </c>
      <c r="F1518" t="s">
        <v>402</v>
      </c>
      <c r="G1518">
        <v>4</v>
      </c>
      <c r="H1518" t="s">
        <v>524</v>
      </c>
      <c r="I1518" s="4">
        <f t="shared" si="200"/>
        <v>2</v>
      </c>
      <c r="J1518">
        <f t="shared" si="201"/>
        <v>8</v>
      </c>
      <c r="K1518">
        <v>48</v>
      </c>
      <c r="L1518">
        <v>18</v>
      </c>
      <c r="M1518" s="2">
        <v>2.67</v>
      </c>
      <c r="N1518" s="2">
        <v>2.85</v>
      </c>
      <c r="O1518">
        <v>0</v>
      </c>
      <c r="P1518">
        <v>4</v>
      </c>
      <c r="Q1518" s="4" t="str">
        <f t="shared" si="203"/>
        <v>2017/2018-Genap</v>
      </c>
      <c r="R1518" t="s">
        <v>260</v>
      </c>
      <c r="S1518" t="str">
        <f t="shared" si="199"/>
        <v>PA</v>
      </c>
    </row>
    <row r="1519" spans="1:19" x14ac:dyDescent="0.3">
      <c r="A1519" t="s">
        <v>12</v>
      </c>
      <c r="B1519">
        <v>2016110041</v>
      </c>
      <c r="C1519" t="s">
        <v>329</v>
      </c>
      <c r="E1519" t="s">
        <v>290</v>
      </c>
      <c r="F1519" t="s">
        <v>327</v>
      </c>
      <c r="G1519">
        <v>4</v>
      </c>
      <c r="H1519" t="s">
        <v>524</v>
      </c>
      <c r="I1519" s="4">
        <f t="shared" si="200"/>
        <v>2</v>
      </c>
      <c r="J1519">
        <f t="shared" si="201"/>
        <v>8</v>
      </c>
      <c r="K1519">
        <v>42</v>
      </c>
      <c r="L1519">
        <v>20</v>
      </c>
      <c r="M1519" s="2">
        <v>2.1</v>
      </c>
      <c r="N1519" s="2">
        <v>2.85</v>
      </c>
      <c r="O1519">
        <v>0</v>
      </c>
      <c r="P1519">
        <v>2</v>
      </c>
      <c r="Q1519" s="4" t="str">
        <f t="shared" si="203"/>
        <v>2016/2017-Genap</v>
      </c>
      <c r="R1519" t="s">
        <v>260</v>
      </c>
      <c r="S1519" t="str">
        <f t="shared" si="199"/>
        <v>PA</v>
      </c>
    </row>
    <row r="1520" spans="1:19" x14ac:dyDescent="0.3">
      <c r="A1520" t="s">
        <v>12</v>
      </c>
      <c r="B1520">
        <v>2016110041</v>
      </c>
      <c r="C1520" t="s">
        <v>329</v>
      </c>
      <c r="E1520" t="s">
        <v>100</v>
      </c>
      <c r="F1520" t="s">
        <v>101</v>
      </c>
      <c r="G1520">
        <v>4</v>
      </c>
      <c r="H1520" t="s">
        <v>524</v>
      </c>
      <c r="I1520" s="4">
        <f t="shared" si="200"/>
        <v>2</v>
      </c>
      <c r="J1520">
        <f t="shared" si="201"/>
        <v>8</v>
      </c>
      <c r="K1520">
        <v>42</v>
      </c>
      <c r="L1520">
        <v>20</v>
      </c>
      <c r="M1520" s="2">
        <v>2.1</v>
      </c>
      <c r="N1520" s="2">
        <v>2.85</v>
      </c>
      <c r="O1520">
        <v>0</v>
      </c>
      <c r="P1520">
        <v>2</v>
      </c>
      <c r="Q1520" s="4" t="str">
        <f t="shared" si="203"/>
        <v>2016/2017-Genap</v>
      </c>
      <c r="R1520" t="s">
        <v>260</v>
      </c>
      <c r="S1520" t="str">
        <f t="shared" si="199"/>
        <v>PA</v>
      </c>
    </row>
    <row r="1521" spans="1:19" x14ac:dyDescent="0.3">
      <c r="A1521" t="s">
        <v>12</v>
      </c>
      <c r="B1521">
        <v>2016110041</v>
      </c>
      <c r="C1521" t="s">
        <v>329</v>
      </c>
      <c r="E1521" t="s">
        <v>100</v>
      </c>
      <c r="F1521" t="s">
        <v>101</v>
      </c>
      <c r="G1521">
        <v>4</v>
      </c>
      <c r="H1521" t="s">
        <v>438</v>
      </c>
      <c r="I1521" s="4">
        <f t="shared" si="200"/>
        <v>3</v>
      </c>
      <c r="J1521">
        <f t="shared" si="201"/>
        <v>12</v>
      </c>
      <c r="K1521">
        <v>42</v>
      </c>
      <c r="L1521">
        <v>14</v>
      </c>
      <c r="M1521" s="2">
        <v>3</v>
      </c>
      <c r="N1521" s="2">
        <v>2.85</v>
      </c>
      <c r="O1521">
        <v>1</v>
      </c>
      <c r="P1521">
        <v>8</v>
      </c>
      <c r="Q1521" s="4" t="s">
        <v>571</v>
      </c>
      <c r="R1521" t="s">
        <v>260</v>
      </c>
      <c r="S1521" t="str">
        <f t="shared" si="199"/>
        <v>PA</v>
      </c>
    </row>
    <row r="1522" spans="1:19" x14ac:dyDescent="0.3">
      <c r="A1522" t="s">
        <v>12</v>
      </c>
      <c r="B1522">
        <v>2016110041</v>
      </c>
      <c r="C1522" t="s">
        <v>329</v>
      </c>
      <c r="E1522" t="s">
        <v>139</v>
      </c>
      <c r="F1522" t="s">
        <v>140</v>
      </c>
      <c r="G1522">
        <v>2</v>
      </c>
      <c r="H1522" t="s">
        <v>524</v>
      </c>
      <c r="I1522" s="4">
        <f t="shared" si="200"/>
        <v>2</v>
      </c>
      <c r="J1522">
        <f t="shared" si="201"/>
        <v>4</v>
      </c>
      <c r="K1522">
        <v>42</v>
      </c>
      <c r="L1522">
        <v>20</v>
      </c>
      <c r="M1522" s="2">
        <v>2.1</v>
      </c>
      <c r="N1522" s="2">
        <v>2.85</v>
      </c>
      <c r="O1522">
        <v>0</v>
      </c>
      <c r="P1522">
        <v>2</v>
      </c>
      <c r="Q1522" s="4" t="str">
        <f t="shared" ref="Q1522:Q1528" si="204">IF(P1522=1,"2016/2017-Ganjil",IF(P1522=2,"2016/2017-Genap",IF(P1522=3,"2017/2018-Ganjil",IF(P1522=4,"2017/2018-Genap",IF(P1522=5,"2018/2019-Ganjil",IF(P1522=6,"2018/2019-Genap",IF(P1522=7,"2019/2020-Ganjil",IF(P1522=8,"2019/2020-Genap",IF(P1522=9,"2020/2021-Ganjil","2020/2021-Genap")))))))))</f>
        <v>2016/2017-Genap</v>
      </c>
      <c r="R1522" t="s">
        <v>260</v>
      </c>
      <c r="S1522" t="str">
        <f t="shared" si="199"/>
        <v>PA</v>
      </c>
    </row>
    <row r="1523" spans="1:19" x14ac:dyDescent="0.3">
      <c r="A1523" t="s">
        <v>12</v>
      </c>
      <c r="B1523">
        <v>2016110041</v>
      </c>
      <c r="C1523" t="s">
        <v>329</v>
      </c>
      <c r="E1523" t="s">
        <v>139</v>
      </c>
      <c r="F1523" t="s">
        <v>140</v>
      </c>
      <c r="G1523">
        <v>2</v>
      </c>
      <c r="H1523" t="s">
        <v>438</v>
      </c>
      <c r="I1523" s="4">
        <f t="shared" si="200"/>
        <v>3</v>
      </c>
      <c r="J1523">
        <f t="shared" si="201"/>
        <v>6</v>
      </c>
      <c r="K1523">
        <v>34</v>
      </c>
      <c r="L1523">
        <v>12</v>
      </c>
      <c r="M1523" s="2">
        <v>2.83</v>
      </c>
      <c r="N1523" s="2">
        <v>2.85</v>
      </c>
      <c r="O1523">
        <v>1</v>
      </c>
      <c r="P1523">
        <v>8</v>
      </c>
      <c r="Q1523" s="4" t="str">
        <f t="shared" si="204"/>
        <v>2019/2020-Genap</v>
      </c>
      <c r="R1523" t="s">
        <v>260</v>
      </c>
      <c r="S1523" t="str">
        <f t="shared" si="199"/>
        <v>PA</v>
      </c>
    </row>
    <row r="1524" spans="1:19" x14ac:dyDescent="0.3">
      <c r="A1524" t="s">
        <v>12</v>
      </c>
      <c r="B1524">
        <v>2016110041</v>
      </c>
      <c r="C1524" t="s">
        <v>329</v>
      </c>
      <c r="E1524" t="s">
        <v>173</v>
      </c>
      <c r="F1524" t="s">
        <v>8</v>
      </c>
      <c r="G1524">
        <v>2</v>
      </c>
      <c r="H1524" t="s">
        <v>524</v>
      </c>
      <c r="I1524" s="4">
        <f t="shared" si="200"/>
        <v>2</v>
      </c>
      <c r="J1524">
        <f t="shared" si="201"/>
        <v>4</v>
      </c>
      <c r="K1524">
        <v>42</v>
      </c>
      <c r="L1524">
        <v>18</v>
      </c>
      <c r="M1524" s="2">
        <v>2.33</v>
      </c>
      <c r="N1524" s="2">
        <v>2.85</v>
      </c>
      <c r="O1524">
        <v>0</v>
      </c>
      <c r="P1524">
        <v>3</v>
      </c>
      <c r="Q1524" s="4" t="str">
        <f t="shared" si="204"/>
        <v>2017/2018-Ganjil</v>
      </c>
      <c r="R1524" t="s">
        <v>260</v>
      </c>
      <c r="S1524" t="str">
        <f t="shared" si="199"/>
        <v>PA</v>
      </c>
    </row>
    <row r="1525" spans="1:19" x14ac:dyDescent="0.3">
      <c r="A1525" t="s">
        <v>12</v>
      </c>
      <c r="B1525">
        <v>2016110041</v>
      </c>
      <c r="C1525" t="s">
        <v>329</v>
      </c>
      <c r="E1525" t="s">
        <v>173</v>
      </c>
      <c r="F1525" t="s">
        <v>8</v>
      </c>
      <c r="G1525">
        <v>2</v>
      </c>
      <c r="H1525" t="s">
        <v>260</v>
      </c>
      <c r="I1525" s="4">
        <f t="shared" si="200"/>
        <v>4</v>
      </c>
      <c r="J1525">
        <f t="shared" si="201"/>
        <v>8</v>
      </c>
      <c r="K1525">
        <v>58</v>
      </c>
      <c r="L1525">
        <v>18</v>
      </c>
      <c r="M1525" s="2">
        <v>3.22</v>
      </c>
      <c r="N1525" s="2">
        <v>2.85</v>
      </c>
      <c r="O1525">
        <v>1</v>
      </c>
      <c r="P1525">
        <v>9</v>
      </c>
      <c r="Q1525" s="4" t="str">
        <f t="shared" si="204"/>
        <v>2020/2021-Ganjil</v>
      </c>
      <c r="R1525" t="s">
        <v>260</v>
      </c>
      <c r="S1525" t="str">
        <f t="shared" ref="S1525:S1537" si="205">IF(OR(H1525="A",H1525="B",H1525="C"),"PA","FA")</f>
        <v>PA</v>
      </c>
    </row>
    <row r="1526" spans="1:19" x14ac:dyDescent="0.3">
      <c r="A1526" t="s">
        <v>12</v>
      </c>
      <c r="B1526">
        <v>2016110041</v>
      </c>
      <c r="C1526" t="s">
        <v>329</v>
      </c>
      <c r="E1526" t="s">
        <v>122</v>
      </c>
      <c r="F1526" t="s">
        <v>123</v>
      </c>
      <c r="G1526">
        <v>4</v>
      </c>
      <c r="H1526" t="s">
        <v>535</v>
      </c>
      <c r="I1526" s="4">
        <f t="shared" ref="I1526:I1537" si="206">IF(H1526="A",4,IF(H1526="B",3,IF(H1526="C",2,IF(H1526="D",1,0))))</f>
        <v>1</v>
      </c>
      <c r="J1526">
        <f t="shared" ref="J1526:J1537" si="207">G1526*I1526</f>
        <v>4</v>
      </c>
      <c r="K1526">
        <v>34</v>
      </c>
      <c r="L1526">
        <v>18</v>
      </c>
      <c r="M1526" s="2">
        <v>1.89</v>
      </c>
      <c r="N1526" s="2">
        <v>2.85</v>
      </c>
      <c r="O1526">
        <v>1</v>
      </c>
      <c r="P1526">
        <v>7</v>
      </c>
      <c r="Q1526" s="4" t="str">
        <f t="shared" si="204"/>
        <v>2019/2020-Ganjil</v>
      </c>
      <c r="R1526" t="s">
        <v>260</v>
      </c>
      <c r="S1526" t="str">
        <f t="shared" si="205"/>
        <v>FA</v>
      </c>
    </row>
    <row r="1527" spans="1:19" x14ac:dyDescent="0.3">
      <c r="A1527" t="s">
        <v>12</v>
      </c>
      <c r="B1527">
        <v>2016110041</v>
      </c>
      <c r="C1527" t="s">
        <v>329</v>
      </c>
      <c r="E1527" t="s">
        <v>122</v>
      </c>
      <c r="F1527" t="s">
        <v>123</v>
      </c>
      <c r="G1527">
        <v>4</v>
      </c>
      <c r="H1527" t="s">
        <v>524</v>
      </c>
      <c r="I1527" s="4">
        <f t="shared" si="206"/>
        <v>2</v>
      </c>
      <c r="J1527">
        <f t="shared" si="207"/>
        <v>8</v>
      </c>
      <c r="K1527">
        <v>52</v>
      </c>
      <c r="L1527">
        <v>20</v>
      </c>
      <c r="M1527" s="2">
        <v>2.6</v>
      </c>
      <c r="N1527" s="2">
        <v>2.85</v>
      </c>
      <c r="O1527">
        <v>0</v>
      </c>
      <c r="P1527">
        <v>1</v>
      </c>
      <c r="Q1527" s="4" t="str">
        <f t="shared" si="204"/>
        <v>2016/2017-Ganjil</v>
      </c>
      <c r="R1527" t="s">
        <v>260</v>
      </c>
      <c r="S1527" t="str">
        <f t="shared" si="205"/>
        <v>PA</v>
      </c>
    </row>
    <row r="1528" spans="1:19" x14ac:dyDescent="0.3">
      <c r="A1528" t="s">
        <v>12</v>
      </c>
      <c r="B1528">
        <v>2016110041</v>
      </c>
      <c r="C1528" t="s">
        <v>329</v>
      </c>
      <c r="E1528" t="s">
        <v>241</v>
      </c>
      <c r="F1528" t="s">
        <v>45</v>
      </c>
      <c r="G1528">
        <v>2</v>
      </c>
      <c r="H1528" t="s">
        <v>535</v>
      </c>
      <c r="I1528" s="4">
        <f t="shared" si="206"/>
        <v>1</v>
      </c>
      <c r="J1528">
        <f t="shared" si="207"/>
        <v>2</v>
      </c>
      <c r="K1528">
        <v>42</v>
      </c>
      <c r="L1528">
        <v>18</v>
      </c>
      <c r="M1528" s="2">
        <v>2.33</v>
      </c>
      <c r="N1528" s="2">
        <v>2.85</v>
      </c>
      <c r="O1528">
        <v>0</v>
      </c>
      <c r="P1528">
        <v>3</v>
      </c>
      <c r="Q1528" s="4" t="str">
        <f t="shared" si="204"/>
        <v>2017/2018-Ganjil</v>
      </c>
      <c r="R1528" t="s">
        <v>260</v>
      </c>
      <c r="S1528" t="str">
        <f t="shared" si="205"/>
        <v>FA</v>
      </c>
    </row>
    <row r="1529" spans="1:19" x14ac:dyDescent="0.3">
      <c r="A1529" t="s">
        <v>12</v>
      </c>
      <c r="B1529">
        <v>2016110041</v>
      </c>
      <c r="C1529" t="s">
        <v>329</v>
      </c>
      <c r="E1529" t="s">
        <v>241</v>
      </c>
      <c r="F1529" t="s">
        <v>45</v>
      </c>
      <c r="G1529">
        <v>2</v>
      </c>
      <c r="H1529" t="s">
        <v>438</v>
      </c>
      <c r="I1529" s="4">
        <f t="shared" si="206"/>
        <v>3</v>
      </c>
      <c r="J1529">
        <f t="shared" si="207"/>
        <v>6</v>
      </c>
      <c r="K1529">
        <v>42</v>
      </c>
      <c r="L1529">
        <v>14</v>
      </c>
      <c r="M1529" s="2">
        <v>3</v>
      </c>
      <c r="N1529" s="2">
        <v>2.85</v>
      </c>
      <c r="O1529">
        <v>1</v>
      </c>
      <c r="P1529">
        <v>8</v>
      </c>
      <c r="Q1529" s="4" t="s">
        <v>571</v>
      </c>
      <c r="R1529" t="s">
        <v>260</v>
      </c>
      <c r="S1529" t="str">
        <f t="shared" si="205"/>
        <v>PA</v>
      </c>
    </row>
    <row r="1530" spans="1:19" x14ac:dyDescent="0.3">
      <c r="A1530" t="s">
        <v>12</v>
      </c>
      <c r="B1530">
        <v>2016110041</v>
      </c>
      <c r="C1530" t="s">
        <v>329</v>
      </c>
      <c r="E1530" t="s">
        <v>382</v>
      </c>
      <c r="F1530" t="s">
        <v>383</v>
      </c>
      <c r="G1530">
        <v>4</v>
      </c>
      <c r="H1530" t="s">
        <v>535</v>
      </c>
      <c r="I1530" s="4">
        <f t="shared" si="206"/>
        <v>1</v>
      </c>
      <c r="J1530">
        <f t="shared" si="207"/>
        <v>4</v>
      </c>
      <c r="K1530">
        <v>34</v>
      </c>
      <c r="L1530">
        <v>18</v>
      </c>
      <c r="M1530" s="2">
        <v>1.89</v>
      </c>
      <c r="N1530" s="2">
        <v>2.85</v>
      </c>
      <c r="O1530">
        <v>0</v>
      </c>
      <c r="P1530">
        <v>7</v>
      </c>
      <c r="Q1530" s="4" t="str">
        <f>IF(P1530=1,"2016/2017-Ganjil",IF(P1530=2,"2016/2017-Genap",IF(P1530=3,"2017/2018-Ganjil",IF(P1530=4,"2017/2018-Genap",IF(P1530=5,"2018/2019-Ganjil",IF(P1530=6,"2018/2019-Genap",IF(P1530=7,"2019/2020-Ganjil",IF(P1530=8,"2019/2020-Genap",IF(P1530=9,"2020/2021-Ganjil","2020/2021-Genap")))))))))</f>
        <v>2019/2020-Ganjil</v>
      </c>
      <c r="R1530" t="s">
        <v>260</v>
      </c>
      <c r="S1530" t="str">
        <f t="shared" si="205"/>
        <v>FA</v>
      </c>
    </row>
    <row r="1531" spans="1:19" x14ac:dyDescent="0.3">
      <c r="A1531" t="s">
        <v>12</v>
      </c>
      <c r="B1531">
        <v>2016110041</v>
      </c>
      <c r="C1531" t="s">
        <v>329</v>
      </c>
      <c r="E1531" t="s">
        <v>382</v>
      </c>
      <c r="F1531" t="s">
        <v>383</v>
      </c>
      <c r="G1531">
        <v>4</v>
      </c>
      <c r="H1531" t="s">
        <v>260</v>
      </c>
      <c r="I1531" s="4">
        <f t="shared" si="206"/>
        <v>4</v>
      </c>
      <c r="J1531">
        <f t="shared" si="207"/>
        <v>16</v>
      </c>
      <c r="K1531">
        <v>42</v>
      </c>
      <c r="L1531">
        <v>14</v>
      </c>
      <c r="M1531" s="2">
        <v>3</v>
      </c>
      <c r="N1531" s="2">
        <v>2.85</v>
      </c>
      <c r="O1531">
        <v>1</v>
      </c>
      <c r="P1531">
        <v>8</v>
      </c>
      <c r="Q1531" s="4" t="s">
        <v>571</v>
      </c>
      <c r="R1531" t="s">
        <v>260</v>
      </c>
      <c r="S1531" t="str">
        <f t="shared" si="205"/>
        <v>PA</v>
      </c>
    </row>
    <row r="1532" spans="1:19" x14ac:dyDescent="0.3">
      <c r="A1532" t="s">
        <v>12</v>
      </c>
      <c r="B1532">
        <v>2016110041</v>
      </c>
      <c r="C1532" t="s">
        <v>329</v>
      </c>
      <c r="E1532" t="s">
        <v>257</v>
      </c>
      <c r="F1532" t="s">
        <v>258</v>
      </c>
      <c r="G1532">
        <v>4</v>
      </c>
      <c r="H1532" t="s">
        <v>535</v>
      </c>
      <c r="I1532" s="4">
        <f t="shared" si="206"/>
        <v>1</v>
      </c>
      <c r="J1532">
        <f t="shared" si="207"/>
        <v>4</v>
      </c>
      <c r="K1532">
        <v>44</v>
      </c>
      <c r="L1532">
        <v>22</v>
      </c>
      <c r="M1532" s="2">
        <v>2</v>
      </c>
      <c r="N1532" s="2">
        <v>2.85</v>
      </c>
      <c r="O1532">
        <v>0</v>
      </c>
      <c r="P1532">
        <v>6</v>
      </c>
      <c r="Q1532" s="4" t="str">
        <f>IF(P1532=1,"2016/2017-Ganjil",IF(P1532=2,"2016/2017-Genap",IF(P1532=3,"2017/2018-Ganjil",IF(P1532=4,"2017/2018-Genap",IF(P1532=5,"2018/2019-Ganjil",IF(P1532=6,"2018/2019-Genap",IF(P1532=7,"2019/2020-Ganjil",IF(P1532=8,"2019/2020-Genap",IF(P1532=9,"2020/2021-Ganjil","2020/2021-Genap")))))))))</f>
        <v>2018/2019-Genap</v>
      </c>
      <c r="R1532" t="s">
        <v>260</v>
      </c>
      <c r="S1532" t="str">
        <f t="shared" si="205"/>
        <v>FA</v>
      </c>
    </row>
    <row r="1533" spans="1:19" x14ac:dyDescent="0.3">
      <c r="A1533" t="s">
        <v>12</v>
      </c>
      <c r="B1533">
        <v>2016110041</v>
      </c>
      <c r="C1533" t="s">
        <v>329</v>
      </c>
      <c r="E1533" t="s">
        <v>257</v>
      </c>
      <c r="F1533" t="s">
        <v>258</v>
      </c>
      <c r="G1533">
        <v>4</v>
      </c>
      <c r="H1533" t="s">
        <v>524</v>
      </c>
      <c r="I1533" s="4">
        <f t="shared" si="206"/>
        <v>2</v>
      </c>
      <c r="J1533">
        <f t="shared" si="207"/>
        <v>8</v>
      </c>
      <c r="K1533">
        <v>42</v>
      </c>
      <c r="L1533">
        <v>14</v>
      </c>
      <c r="M1533" s="2">
        <v>3</v>
      </c>
      <c r="N1533" s="2">
        <v>2.85</v>
      </c>
      <c r="O1533">
        <v>1</v>
      </c>
      <c r="P1533">
        <v>8</v>
      </c>
      <c r="Q1533" s="4" t="s">
        <v>571</v>
      </c>
      <c r="R1533" t="s">
        <v>260</v>
      </c>
      <c r="S1533" t="str">
        <f t="shared" si="205"/>
        <v>PA</v>
      </c>
    </row>
    <row r="1534" spans="1:19" x14ac:dyDescent="0.3">
      <c r="A1534" t="s">
        <v>12</v>
      </c>
      <c r="B1534">
        <v>2016110041</v>
      </c>
      <c r="C1534" t="s">
        <v>329</v>
      </c>
      <c r="E1534" t="s">
        <v>297</v>
      </c>
      <c r="F1534" t="s">
        <v>342</v>
      </c>
      <c r="G1534">
        <v>4</v>
      </c>
      <c r="H1534" t="s">
        <v>535</v>
      </c>
      <c r="I1534" s="4">
        <f t="shared" si="206"/>
        <v>1</v>
      </c>
      <c r="J1534">
        <f t="shared" si="207"/>
        <v>4</v>
      </c>
      <c r="K1534">
        <v>44</v>
      </c>
      <c r="L1534">
        <v>22</v>
      </c>
      <c r="M1534" s="2">
        <v>2</v>
      </c>
      <c r="N1534" s="2">
        <v>2.85</v>
      </c>
      <c r="O1534">
        <v>0</v>
      </c>
      <c r="P1534">
        <v>6</v>
      </c>
      <c r="Q1534" s="4" t="str">
        <f>IF(P1534=1,"2016/2017-Ganjil",IF(P1534=2,"2016/2017-Genap",IF(P1534=3,"2017/2018-Ganjil",IF(P1534=4,"2017/2018-Genap",IF(P1534=5,"2018/2019-Ganjil",IF(P1534=6,"2018/2019-Genap",IF(P1534=7,"2019/2020-Ganjil",IF(P1534=8,"2019/2020-Genap",IF(P1534=9,"2020/2021-Ganjil","2020/2021-Genap")))))))))</f>
        <v>2018/2019-Genap</v>
      </c>
      <c r="R1534" t="s">
        <v>260</v>
      </c>
      <c r="S1534" t="str">
        <f t="shared" si="205"/>
        <v>FA</v>
      </c>
    </row>
    <row r="1535" spans="1:19" x14ac:dyDescent="0.3">
      <c r="A1535" t="s">
        <v>12</v>
      </c>
      <c r="B1535">
        <v>2016110041</v>
      </c>
      <c r="C1535" t="s">
        <v>329</v>
      </c>
      <c r="E1535" t="s">
        <v>297</v>
      </c>
      <c r="F1535" t="s">
        <v>342</v>
      </c>
      <c r="G1535">
        <v>4</v>
      </c>
      <c r="H1535" t="s">
        <v>438</v>
      </c>
      <c r="I1535" s="4">
        <f t="shared" si="206"/>
        <v>3</v>
      </c>
      <c r="J1535">
        <f t="shared" si="207"/>
        <v>12</v>
      </c>
      <c r="K1535">
        <v>34</v>
      </c>
      <c r="L1535">
        <v>12</v>
      </c>
      <c r="M1535" s="2">
        <v>2.83</v>
      </c>
      <c r="N1535" s="2">
        <v>2.85</v>
      </c>
      <c r="O1535">
        <v>1</v>
      </c>
      <c r="P1535">
        <v>8</v>
      </c>
      <c r="Q1535" s="4" t="str">
        <f>IF(P1535=1,"2016/2017-Ganjil",IF(P1535=2,"2016/2017-Genap",IF(P1535=3,"2017/2018-Ganjil",IF(P1535=4,"2017/2018-Genap",IF(P1535=5,"2018/2019-Ganjil",IF(P1535=6,"2018/2019-Genap",IF(P1535=7,"2019/2020-Ganjil",IF(P1535=8,"2019/2020-Genap",IF(P1535=9,"2020/2021-Ganjil","2020/2021-Genap")))))))))</f>
        <v>2019/2020-Genap</v>
      </c>
      <c r="R1535" t="s">
        <v>260</v>
      </c>
      <c r="S1535" t="str">
        <f t="shared" si="205"/>
        <v>PA</v>
      </c>
    </row>
    <row r="1536" spans="1:19" x14ac:dyDescent="0.3">
      <c r="A1536" t="s">
        <v>12</v>
      </c>
      <c r="B1536">
        <v>2016110041</v>
      </c>
      <c r="C1536" t="s">
        <v>329</v>
      </c>
      <c r="E1536" t="s">
        <v>344</v>
      </c>
      <c r="F1536" t="s">
        <v>345</v>
      </c>
      <c r="G1536">
        <v>2</v>
      </c>
      <c r="H1536" t="s">
        <v>535</v>
      </c>
      <c r="I1536" s="4">
        <f t="shared" si="206"/>
        <v>1</v>
      </c>
      <c r="J1536">
        <f t="shared" si="207"/>
        <v>2</v>
      </c>
      <c r="K1536">
        <v>34</v>
      </c>
      <c r="L1536">
        <v>18</v>
      </c>
      <c r="M1536" s="2">
        <v>1.89</v>
      </c>
      <c r="N1536" s="2">
        <v>2.85</v>
      </c>
      <c r="O1536">
        <v>0</v>
      </c>
      <c r="P1536">
        <v>7</v>
      </c>
      <c r="Q1536" s="4" t="str">
        <f>IF(P1536=1,"2016/2017-Ganjil",IF(P1536=2,"2016/2017-Genap",IF(P1536=3,"2017/2018-Ganjil",IF(P1536=4,"2017/2018-Genap",IF(P1536=5,"2018/2019-Ganjil",IF(P1536=6,"2018/2019-Genap",IF(P1536=7,"2019/2020-Ganjil",IF(P1536=8,"2019/2020-Genap",IF(P1536=9,"2020/2021-Ganjil","2020/2021-Genap")))))))))</f>
        <v>2019/2020-Ganjil</v>
      </c>
      <c r="R1536" t="s">
        <v>260</v>
      </c>
      <c r="S1536" t="str">
        <f t="shared" si="205"/>
        <v>FA</v>
      </c>
    </row>
    <row r="1537" spans="1:19" x14ac:dyDescent="0.3">
      <c r="A1537" t="s">
        <v>12</v>
      </c>
      <c r="B1537">
        <v>2016110041</v>
      </c>
      <c r="C1537" t="s">
        <v>329</v>
      </c>
      <c r="E1537" t="s">
        <v>344</v>
      </c>
      <c r="F1537" t="s">
        <v>345</v>
      </c>
      <c r="G1537">
        <v>2</v>
      </c>
      <c r="H1537" t="s">
        <v>438</v>
      </c>
      <c r="I1537" s="4">
        <f t="shared" si="206"/>
        <v>3</v>
      </c>
      <c r="J1537">
        <f t="shared" si="207"/>
        <v>6</v>
      </c>
      <c r="K1537">
        <v>58</v>
      </c>
      <c r="L1537">
        <v>18</v>
      </c>
      <c r="M1537" s="2">
        <v>3.22</v>
      </c>
      <c r="N1537" s="2">
        <v>2.85</v>
      </c>
      <c r="O1537">
        <v>1</v>
      </c>
      <c r="P1537">
        <v>9</v>
      </c>
      <c r="Q1537" s="4" t="str">
        <f>IF(P1537=1,"2016/2017-Ganjil",IF(P1537=2,"2016/2017-Genap",IF(P1537=3,"2017/2018-Ganjil",IF(P1537=4,"2017/2018-Genap",IF(P1537=5,"2018/2019-Ganjil",IF(P1537=6,"2018/2019-Genap",IF(P1537=7,"2019/2020-Ganjil",IF(P1537=8,"2019/2020-Genap",IF(P1537=9,"2020/2021-Ganjil","2020/2021-Genap")))))))))</f>
        <v>2020/2021-Ganjil</v>
      </c>
      <c r="R1537" t="s">
        <v>260</v>
      </c>
      <c r="S1537" t="str">
        <f t="shared" si="205"/>
        <v>PA</v>
      </c>
    </row>
    <row r="1538" spans="1:19" x14ac:dyDescent="0.3">
      <c r="A1538" t="s">
        <v>12</v>
      </c>
      <c r="B1538">
        <v>2016110042</v>
      </c>
      <c r="C1538" t="s">
        <v>141</v>
      </c>
      <c r="E1538" t="s">
        <v>142</v>
      </c>
      <c r="F1538" t="s">
        <v>143</v>
      </c>
      <c r="G1538">
        <v>2</v>
      </c>
      <c r="I1538" s="4"/>
      <c r="J1538">
        <f t="shared" ref="J1538" si="208">G1538*I1538</f>
        <v>0</v>
      </c>
      <c r="K1538">
        <v>0</v>
      </c>
      <c r="L1538">
        <v>6</v>
      </c>
      <c r="M1538" s="2">
        <v>0</v>
      </c>
      <c r="N1538" s="2">
        <v>0</v>
      </c>
      <c r="O1538">
        <v>0</v>
      </c>
      <c r="P1538">
        <v>1</v>
      </c>
      <c r="Q1538" s="4" t="str">
        <f>IF(P1538=1,"2016/2017-Ganjil",IF(P1538=2,"2016/2017-Genap",IF(P1538=3,"2017/2018-Ganjil",IF(P1538=4,"2017/2018-Genap",IF(P1538=5,"2018/2019-Ganjil",IF(P1538=6,"2018/2019-Genap",IF(P1538=7,"2019/2020-Ganjil",IF(P1538=8,"2019/2020-Genap",IF(P1538=9,"2020/2021-Ganjil","2020/2021-Genap")))))))))</f>
        <v>2016/2017-Ganjil</v>
      </c>
      <c r="R1538" t="s">
        <v>535</v>
      </c>
      <c r="S1538" t="s">
        <v>595</v>
      </c>
    </row>
    <row r="1539" spans="1:19" x14ac:dyDescent="0.3">
      <c r="A1539" t="s">
        <v>12</v>
      </c>
      <c r="B1539">
        <v>2016110042</v>
      </c>
      <c r="C1539" t="s">
        <v>141</v>
      </c>
      <c r="E1539" t="s">
        <v>165</v>
      </c>
      <c r="F1539" t="s">
        <v>166</v>
      </c>
      <c r="G1539">
        <v>2</v>
      </c>
      <c r="I1539" s="4"/>
      <c r="J1539">
        <f t="shared" ref="J1539:J1545" si="209">G1539*I1539</f>
        <v>0</v>
      </c>
      <c r="K1539">
        <v>0</v>
      </c>
      <c r="L1539">
        <v>6</v>
      </c>
      <c r="M1539" s="2">
        <v>0</v>
      </c>
      <c r="N1539" s="2">
        <v>0</v>
      </c>
      <c r="O1539">
        <v>0</v>
      </c>
      <c r="P1539">
        <v>1</v>
      </c>
      <c r="Q1539" s="4" t="str">
        <f t="shared" ref="Q1539:Q1545" si="210">IF(P1539=1,"2016/2017-Ganjil",IF(P1539=2,"2016/2017-Genap",IF(P1539=3,"2017/2018-Ganjil",IF(P1539=4,"2017/2018-Genap",IF(P1539=5,"2018/2019-Ganjil",IF(P1539=6,"2018/2019-Genap",IF(P1539=7,"2019/2020-Ganjil",IF(P1539=8,"2019/2020-Genap",IF(P1539=9,"2020/2021-Ganjil","2020/2021-Genap")))))))))</f>
        <v>2016/2017-Ganjil</v>
      </c>
      <c r="R1539" t="s">
        <v>535</v>
      </c>
      <c r="S1539" t="s">
        <v>595</v>
      </c>
    </row>
    <row r="1540" spans="1:19" x14ac:dyDescent="0.3">
      <c r="A1540" t="s">
        <v>12</v>
      </c>
      <c r="B1540">
        <v>2016110042</v>
      </c>
      <c r="C1540" t="s">
        <v>141</v>
      </c>
      <c r="E1540" t="s">
        <v>90</v>
      </c>
      <c r="F1540" t="s">
        <v>91</v>
      </c>
      <c r="G1540">
        <v>2</v>
      </c>
      <c r="I1540" s="4"/>
      <c r="J1540">
        <f t="shared" si="209"/>
        <v>0</v>
      </c>
      <c r="K1540">
        <v>0</v>
      </c>
      <c r="L1540">
        <v>6</v>
      </c>
      <c r="M1540" s="2">
        <v>0</v>
      </c>
      <c r="N1540" s="2">
        <v>0</v>
      </c>
      <c r="O1540">
        <v>0</v>
      </c>
      <c r="P1540">
        <v>1</v>
      </c>
      <c r="Q1540" s="4" t="str">
        <f t="shared" si="210"/>
        <v>2016/2017-Ganjil</v>
      </c>
      <c r="R1540" t="s">
        <v>535</v>
      </c>
      <c r="S1540" t="s">
        <v>595</v>
      </c>
    </row>
    <row r="1541" spans="1:19" x14ac:dyDescent="0.3">
      <c r="A1541" t="s">
        <v>12</v>
      </c>
      <c r="B1541">
        <v>2016110042</v>
      </c>
      <c r="C1541" t="s">
        <v>141</v>
      </c>
      <c r="E1541" t="s">
        <v>122</v>
      </c>
      <c r="F1541" t="s">
        <v>123</v>
      </c>
      <c r="G1541">
        <v>4</v>
      </c>
      <c r="I1541" s="4"/>
      <c r="J1541">
        <f t="shared" si="209"/>
        <v>0</v>
      </c>
      <c r="K1541">
        <v>0</v>
      </c>
      <c r="L1541">
        <v>6</v>
      </c>
      <c r="M1541" s="2">
        <v>0</v>
      </c>
      <c r="N1541" s="2">
        <v>0</v>
      </c>
      <c r="O1541">
        <v>0</v>
      </c>
      <c r="P1541">
        <v>1</v>
      </c>
      <c r="Q1541" s="4" t="str">
        <f t="shared" si="210"/>
        <v>2016/2017-Ganjil</v>
      </c>
      <c r="R1541" t="s">
        <v>535</v>
      </c>
      <c r="S1541" t="s">
        <v>595</v>
      </c>
    </row>
    <row r="1542" spans="1:19" x14ac:dyDescent="0.3">
      <c r="A1542" t="s">
        <v>12</v>
      </c>
      <c r="B1542">
        <v>2016110042</v>
      </c>
      <c r="C1542" t="s">
        <v>141</v>
      </c>
      <c r="E1542" t="s">
        <v>151</v>
      </c>
      <c r="F1542" t="s">
        <v>152</v>
      </c>
      <c r="G1542">
        <v>2</v>
      </c>
      <c r="I1542" s="4"/>
      <c r="J1542">
        <f t="shared" si="209"/>
        <v>0</v>
      </c>
      <c r="K1542">
        <v>0</v>
      </c>
      <c r="L1542">
        <v>6</v>
      </c>
      <c r="M1542" s="2">
        <v>0</v>
      </c>
      <c r="N1542" s="2">
        <v>0</v>
      </c>
      <c r="O1542">
        <v>0</v>
      </c>
      <c r="P1542">
        <v>1</v>
      </c>
      <c r="Q1542" s="4" t="str">
        <f t="shared" si="210"/>
        <v>2016/2017-Ganjil</v>
      </c>
      <c r="R1542" t="s">
        <v>535</v>
      </c>
      <c r="S1542" t="s">
        <v>595</v>
      </c>
    </row>
    <row r="1543" spans="1:19" x14ac:dyDescent="0.3">
      <c r="A1543" t="s">
        <v>12</v>
      </c>
      <c r="B1543">
        <v>2016110042</v>
      </c>
      <c r="C1543" t="s">
        <v>141</v>
      </c>
      <c r="E1543" t="s">
        <v>77</v>
      </c>
      <c r="F1543" t="s">
        <v>78</v>
      </c>
      <c r="G1543">
        <v>2</v>
      </c>
      <c r="I1543" s="4"/>
      <c r="J1543">
        <f t="shared" si="209"/>
        <v>0</v>
      </c>
      <c r="K1543">
        <v>0</v>
      </c>
      <c r="L1543">
        <v>6</v>
      </c>
      <c r="M1543" s="2">
        <v>0</v>
      </c>
      <c r="N1543" s="2">
        <v>0</v>
      </c>
      <c r="O1543">
        <v>0</v>
      </c>
      <c r="P1543">
        <v>1</v>
      </c>
      <c r="Q1543" s="4" t="str">
        <f t="shared" si="210"/>
        <v>2016/2017-Ganjil</v>
      </c>
      <c r="R1543" t="s">
        <v>535</v>
      </c>
      <c r="S1543" t="s">
        <v>595</v>
      </c>
    </row>
    <row r="1544" spans="1:19" x14ac:dyDescent="0.3">
      <c r="A1544" t="s">
        <v>12</v>
      </c>
      <c r="B1544">
        <v>2016110042</v>
      </c>
      <c r="C1544" t="s">
        <v>141</v>
      </c>
      <c r="E1544" t="s">
        <v>131</v>
      </c>
      <c r="F1544" t="s">
        <v>132</v>
      </c>
      <c r="G1544">
        <v>2</v>
      </c>
      <c r="H1544" t="s">
        <v>539</v>
      </c>
      <c r="I1544" s="4">
        <f t="shared" ref="I1544:I1545" si="211">IF(H1544="A",4,IF(H1544="B",3,IF(H1544="C",2,IF(H1544="D",1,0))))</f>
        <v>0</v>
      </c>
      <c r="J1544">
        <f t="shared" si="209"/>
        <v>0</v>
      </c>
      <c r="K1544">
        <v>0</v>
      </c>
      <c r="L1544">
        <v>6</v>
      </c>
      <c r="M1544" s="2">
        <v>0</v>
      </c>
      <c r="N1544" s="2">
        <v>0</v>
      </c>
      <c r="O1544">
        <v>0</v>
      </c>
      <c r="P1544">
        <v>1</v>
      </c>
      <c r="Q1544" s="4" t="str">
        <f t="shared" si="210"/>
        <v>2016/2017-Ganjil</v>
      </c>
      <c r="R1544" t="s">
        <v>535</v>
      </c>
      <c r="S1544" t="str">
        <f t="shared" ref="S1544:S1545" si="212">IF(OR(H1544="A",H1544="B",H1544="C"),"PA","FA")</f>
        <v>FA</v>
      </c>
    </row>
    <row r="1545" spans="1:19" x14ac:dyDescent="0.3">
      <c r="A1545" t="s">
        <v>12</v>
      </c>
      <c r="B1545">
        <v>2016110042</v>
      </c>
      <c r="C1545" t="s">
        <v>141</v>
      </c>
      <c r="E1545" t="s">
        <v>437</v>
      </c>
      <c r="F1545" t="s">
        <v>169</v>
      </c>
      <c r="G1545">
        <v>4</v>
      </c>
      <c r="H1545" t="s">
        <v>539</v>
      </c>
      <c r="I1545" s="4">
        <f t="shared" si="211"/>
        <v>0</v>
      </c>
      <c r="J1545">
        <f t="shared" si="209"/>
        <v>0</v>
      </c>
      <c r="K1545">
        <v>0</v>
      </c>
      <c r="L1545">
        <v>6</v>
      </c>
      <c r="M1545" s="2">
        <v>0</v>
      </c>
      <c r="N1545" s="2">
        <v>0</v>
      </c>
      <c r="O1545">
        <v>0</v>
      </c>
      <c r="P1545">
        <v>1</v>
      </c>
      <c r="Q1545" s="4" t="str">
        <f t="shared" si="210"/>
        <v>2016/2017-Ganjil</v>
      </c>
      <c r="R1545" t="s">
        <v>535</v>
      </c>
      <c r="S1545" t="str">
        <f t="shared" si="212"/>
        <v>FA</v>
      </c>
    </row>
    <row r="1546" spans="1:19" x14ac:dyDescent="0.3">
      <c r="A1546" t="s">
        <v>12</v>
      </c>
      <c r="B1546">
        <v>2016110043</v>
      </c>
      <c r="C1546" t="s">
        <v>51</v>
      </c>
      <c r="E1546" t="s">
        <v>31</v>
      </c>
      <c r="F1546" t="s">
        <v>20</v>
      </c>
      <c r="G1546">
        <v>4</v>
      </c>
      <c r="I1546" s="4"/>
      <c r="J1546">
        <f t="shared" ref="J1546:J1547" si="213">G1546*I1546</f>
        <v>0</v>
      </c>
      <c r="K1546">
        <v>24</v>
      </c>
      <c r="L1546">
        <v>8</v>
      </c>
      <c r="M1546" s="2">
        <v>3</v>
      </c>
      <c r="N1546" s="2">
        <v>3</v>
      </c>
      <c r="O1546">
        <v>0</v>
      </c>
      <c r="P1546">
        <v>9</v>
      </c>
      <c r="Q1546" s="4" t="str">
        <f t="shared" ref="Q1546:Q1586" si="214">IF(P1546=1,"2016/2017-Ganjil",IF(P1546=2,"2016/2017-Genap",IF(P1546=3,"2017/2018-Ganjil",IF(P1546=4,"2017/2018-Genap",IF(P1546=5,"2018/2019-Ganjil",IF(P1546=6,"2018/2019-Genap",IF(P1546=7,"2019/2020-Ganjil",IF(P1546=8,"2019/2020-Genap",IF(P1546=9,"2020/2021-Ganjil","2020/2021-Genap")))))))))</f>
        <v>2020/2021-Ganjil</v>
      </c>
      <c r="R1546" t="s">
        <v>260</v>
      </c>
      <c r="S1546" t="s">
        <v>595</v>
      </c>
    </row>
    <row r="1547" spans="1:19" x14ac:dyDescent="0.3">
      <c r="A1547" t="s">
        <v>12</v>
      </c>
      <c r="B1547">
        <v>2016110043</v>
      </c>
      <c r="C1547" t="s">
        <v>51</v>
      </c>
      <c r="E1547" t="s">
        <v>31</v>
      </c>
      <c r="F1547" t="s">
        <v>20</v>
      </c>
      <c r="G1547">
        <v>4</v>
      </c>
      <c r="H1547" t="s">
        <v>524</v>
      </c>
      <c r="I1547" s="4">
        <f t="shared" ref="I1547" si="215">IF(H1547="A",4,IF(H1547="B",3,IF(H1547="C",2,IF(H1547="D",1,0))))</f>
        <v>2</v>
      </c>
      <c r="J1547">
        <f t="shared" si="213"/>
        <v>8</v>
      </c>
      <c r="K1547">
        <v>8</v>
      </c>
      <c r="L1547">
        <v>4</v>
      </c>
      <c r="M1547" s="2">
        <v>2</v>
      </c>
      <c r="N1547" s="2">
        <v>3</v>
      </c>
      <c r="O1547">
        <v>1</v>
      </c>
      <c r="P1547">
        <v>10</v>
      </c>
      <c r="Q1547" s="4" t="str">
        <f t="shared" si="214"/>
        <v>2020/2021-Genap</v>
      </c>
      <c r="R1547" t="s">
        <v>596</v>
      </c>
      <c r="S1547" t="str">
        <f t="shared" ref="S1547:S1610" si="216">IF(OR(H1547="A",H1547="B",H1547="C"),"PA","FA")</f>
        <v>PA</v>
      </c>
    </row>
    <row r="1548" spans="1:19" x14ac:dyDescent="0.3">
      <c r="A1548" t="s">
        <v>12</v>
      </c>
      <c r="B1548">
        <v>2016110043</v>
      </c>
      <c r="C1548" t="s">
        <v>51</v>
      </c>
      <c r="E1548" t="s">
        <v>77</v>
      </c>
      <c r="F1548" t="s">
        <v>78</v>
      </c>
      <c r="G1548">
        <v>2</v>
      </c>
      <c r="H1548" t="s">
        <v>260</v>
      </c>
      <c r="I1548" s="4">
        <f t="shared" ref="I1548:I1611" si="217">IF(H1548="A",4,IF(H1548="B",3,IF(H1548="C",2,IF(H1548="D",1,0))))</f>
        <v>4</v>
      </c>
      <c r="J1548">
        <f t="shared" ref="J1548:J1611" si="218">G1548*I1548</f>
        <v>8</v>
      </c>
      <c r="K1548">
        <v>60</v>
      </c>
      <c r="L1548">
        <v>20</v>
      </c>
      <c r="M1548" s="2">
        <v>3</v>
      </c>
      <c r="N1548" s="2">
        <v>3</v>
      </c>
      <c r="O1548">
        <v>0</v>
      </c>
      <c r="P1548">
        <v>1</v>
      </c>
      <c r="Q1548" s="4" t="str">
        <f t="shared" si="214"/>
        <v>2016/2017-Ganjil</v>
      </c>
      <c r="R1548" t="s">
        <v>260</v>
      </c>
      <c r="S1548" t="str">
        <f t="shared" si="216"/>
        <v>PA</v>
      </c>
    </row>
    <row r="1549" spans="1:19" x14ac:dyDescent="0.3">
      <c r="A1549" t="s">
        <v>12</v>
      </c>
      <c r="B1549">
        <v>2016110043</v>
      </c>
      <c r="C1549" t="s">
        <v>51</v>
      </c>
      <c r="E1549" t="s">
        <v>279</v>
      </c>
      <c r="F1549" t="s">
        <v>280</v>
      </c>
      <c r="G1549">
        <v>2</v>
      </c>
      <c r="H1549" t="s">
        <v>260</v>
      </c>
      <c r="I1549" s="4">
        <f t="shared" si="217"/>
        <v>4</v>
      </c>
      <c r="J1549">
        <f t="shared" si="218"/>
        <v>8</v>
      </c>
      <c r="K1549">
        <v>62</v>
      </c>
      <c r="L1549">
        <v>20</v>
      </c>
      <c r="M1549" s="2">
        <v>3.1</v>
      </c>
      <c r="N1549" s="2">
        <v>3</v>
      </c>
      <c r="O1549">
        <v>0</v>
      </c>
      <c r="P1549">
        <v>2</v>
      </c>
      <c r="Q1549" s="4" t="str">
        <f t="shared" si="214"/>
        <v>2016/2017-Genap</v>
      </c>
      <c r="R1549" t="s">
        <v>260</v>
      </c>
      <c r="S1549" t="str">
        <f t="shared" si="216"/>
        <v>PA</v>
      </c>
    </row>
    <row r="1550" spans="1:19" x14ac:dyDescent="0.3">
      <c r="A1550" t="s">
        <v>12</v>
      </c>
      <c r="B1550">
        <v>2016110043</v>
      </c>
      <c r="C1550" t="s">
        <v>51</v>
      </c>
      <c r="E1550" t="s">
        <v>131</v>
      </c>
      <c r="F1550" t="s">
        <v>132</v>
      </c>
      <c r="G1550">
        <v>2</v>
      </c>
      <c r="H1550" t="s">
        <v>260</v>
      </c>
      <c r="I1550" s="4">
        <f t="shared" si="217"/>
        <v>4</v>
      </c>
      <c r="J1550">
        <f t="shared" si="218"/>
        <v>8</v>
      </c>
      <c r="K1550">
        <v>60</v>
      </c>
      <c r="L1550">
        <v>20</v>
      </c>
      <c r="M1550" s="2">
        <v>3</v>
      </c>
      <c r="N1550" s="2">
        <v>3</v>
      </c>
      <c r="O1550">
        <v>0</v>
      </c>
      <c r="P1550">
        <v>1</v>
      </c>
      <c r="Q1550" s="4" t="str">
        <f t="shared" si="214"/>
        <v>2016/2017-Ganjil</v>
      </c>
      <c r="R1550" t="s">
        <v>260</v>
      </c>
      <c r="S1550" t="str">
        <f t="shared" si="216"/>
        <v>PA</v>
      </c>
    </row>
    <row r="1551" spans="1:19" x14ac:dyDescent="0.3">
      <c r="A1551" t="s">
        <v>12</v>
      </c>
      <c r="B1551">
        <v>2016110043</v>
      </c>
      <c r="C1551" t="s">
        <v>51</v>
      </c>
      <c r="E1551" t="s">
        <v>103</v>
      </c>
      <c r="F1551" t="s">
        <v>104</v>
      </c>
      <c r="G1551">
        <v>4</v>
      </c>
      <c r="H1551" t="s">
        <v>260</v>
      </c>
      <c r="I1551" s="4">
        <f t="shared" si="217"/>
        <v>4</v>
      </c>
      <c r="J1551">
        <f t="shared" si="218"/>
        <v>16</v>
      </c>
      <c r="K1551">
        <v>62</v>
      </c>
      <c r="L1551">
        <v>20</v>
      </c>
      <c r="M1551" s="2">
        <v>3.1</v>
      </c>
      <c r="N1551" s="2">
        <v>3</v>
      </c>
      <c r="O1551">
        <v>0</v>
      </c>
      <c r="P1551">
        <v>2</v>
      </c>
      <c r="Q1551" s="4" t="str">
        <f t="shared" si="214"/>
        <v>2016/2017-Genap</v>
      </c>
      <c r="R1551" t="s">
        <v>260</v>
      </c>
      <c r="S1551" t="str">
        <f t="shared" si="216"/>
        <v>PA</v>
      </c>
    </row>
    <row r="1552" spans="1:19" x14ac:dyDescent="0.3">
      <c r="A1552" t="s">
        <v>12</v>
      </c>
      <c r="B1552">
        <v>2016110043</v>
      </c>
      <c r="C1552" t="s">
        <v>51</v>
      </c>
      <c r="E1552" t="s">
        <v>170</v>
      </c>
      <c r="F1552" t="s">
        <v>171</v>
      </c>
      <c r="G1552">
        <v>4</v>
      </c>
      <c r="H1552" t="s">
        <v>260</v>
      </c>
      <c r="I1552" s="4">
        <f t="shared" si="217"/>
        <v>4</v>
      </c>
      <c r="J1552">
        <f t="shared" si="218"/>
        <v>16</v>
      </c>
      <c r="K1552">
        <v>74</v>
      </c>
      <c r="L1552">
        <v>24</v>
      </c>
      <c r="M1552" s="2">
        <v>3.08</v>
      </c>
      <c r="N1552" s="2">
        <v>3</v>
      </c>
      <c r="O1552">
        <v>0</v>
      </c>
      <c r="P1552">
        <v>3</v>
      </c>
      <c r="Q1552" s="4" t="str">
        <f t="shared" si="214"/>
        <v>2017/2018-Ganjil</v>
      </c>
      <c r="R1552" t="s">
        <v>260</v>
      </c>
      <c r="S1552" t="str">
        <f t="shared" si="216"/>
        <v>PA</v>
      </c>
    </row>
    <row r="1553" spans="1:19" x14ac:dyDescent="0.3">
      <c r="A1553" t="s">
        <v>12</v>
      </c>
      <c r="B1553">
        <v>2016110043</v>
      </c>
      <c r="C1553" t="s">
        <v>51</v>
      </c>
      <c r="E1553" t="s">
        <v>165</v>
      </c>
      <c r="F1553" t="s">
        <v>166</v>
      </c>
      <c r="G1553">
        <v>2</v>
      </c>
      <c r="H1553" t="s">
        <v>260</v>
      </c>
      <c r="I1553" s="4">
        <f t="shared" si="217"/>
        <v>4</v>
      </c>
      <c r="J1553">
        <f t="shared" si="218"/>
        <v>8</v>
      </c>
      <c r="K1553">
        <v>60</v>
      </c>
      <c r="L1553">
        <v>20</v>
      </c>
      <c r="M1553" s="2">
        <v>3</v>
      </c>
      <c r="N1553" s="2">
        <v>3</v>
      </c>
      <c r="O1553">
        <v>0</v>
      </c>
      <c r="P1553">
        <v>1</v>
      </c>
      <c r="Q1553" s="4" t="str">
        <f t="shared" si="214"/>
        <v>2016/2017-Ganjil</v>
      </c>
      <c r="R1553" t="s">
        <v>260</v>
      </c>
      <c r="S1553" t="str">
        <f t="shared" si="216"/>
        <v>PA</v>
      </c>
    </row>
    <row r="1554" spans="1:19" x14ac:dyDescent="0.3">
      <c r="A1554" t="s">
        <v>12</v>
      </c>
      <c r="B1554">
        <v>2016110043</v>
      </c>
      <c r="C1554" t="s">
        <v>51</v>
      </c>
      <c r="E1554" t="s">
        <v>262</v>
      </c>
      <c r="F1554" t="s">
        <v>263</v>
      </c>
      <c r="G1554">
        <v>2</v>
      </c>
      <c r="H1554" t="s">
        <v>438</v>
      </c>
      <c r="I1554" s="4">
        <f t="shared" si="217"/>
        <v>3</v>
      </c>
      <c r="J1554">
        <f t="shared" si="218"/>
        <v>6</v>
      </c>
      <c r="K1554">
        <v>48</v>
      </c>
      <c r="L1554">
        <v>20</v>
      </c>
      <c r="M1554" s="2">
        <v>2.4</v>
      </c>
      <c r="N1554" s="2">
        <v>3</v>
      </c>
      <c r="O1554">
        <v>0</v>
      </c>
      <c r="P1554">
        <v>6</v>
      </c>
      <c r="Q1554" s="4" t="str">
        <f t="shared" si="214"/>
        <v>2018/2019-Genap</v>
      </c>
      <c r="R1554" t="s">
        <v>260</v>
      </c>
      <c r="S1554" t="str">
        <f t="shared" si="216"/>
        <v>PA</v>
      </c>
    </row>
    <row r="1555" spans="1:19" x14ac:dyDescent="0.3">
      <c r="A1555" t="s">
        <v>12</v>
      </c>
      <c r="B1555">
        <v>2016110043</v>
      </c>
      <c r="C1555" t="s">
        <v>51</v>
      </c>
      <c r="E1555" t="s">
        <v>248</v>
      </c>
      <c r="F1555" t="s">
        <v>249</v>
      </c>
      <c r="G1555">
        <v>2</v>
      </c>
      <c r="H1555" t="s">
        <v>438</v>
      </c>
      <c r="I1555" s="4">
        <f t="shared" si="217"/>
        <v>3</v>
      </c>
      <c r="J1555">
        <f t="shared" si="218"/>
        <v>6</v>
      </c>
      <c r="K1555">
        <v>38</v>
      </c>
      <c r="L1555">
        <v>20</v>
      </c>
      <c r="M1555" s="2">
        <v>1.9</v>
      </c>
      <c r="N1555" s="2">
        <v>3</v>
      </c>
      <c r="O1555">
        <v>0</v>
      </c>
      <c r="P1555">
        <v>4</v>
      </c>
      <c r="Q1555" s="4" t="str">
        <f t="shared" si="214"/>
        <v>2017/2018-Genap</v>
      </c>
      <c r="R1555" t="s">
        <v>260</v>
      </c>
      <c r="S1555" t="str">
        <f t="shared" si="216"/>
        <v>PA</v>
      </c>
    </row>
    <row r="1556" spans="1:19" x14ac:dyDescent="0.3">
      <c r="A1556" t="s">
        <v>12</v>
      </c>
      <c r="B1556">
        <v>2016110043</v>
      </c>
      <c r="C1556" t="s">
        <v>51</v>
      </c>
      <c r="E1556" t="s">
        <v>344</v>
      </c>
      <c r="F1556" t="s">
        <v>345</v>
      </c>
      <c r="G1556">
        <v>2</v>
      </c>
      <c r="H1556" t="s">
        <v>438</v>
      </c>
      <c r="I1556" s="4">
        <f t="shared" si="217"/>
        <v>3</v>
      </c>
      <c r="J1556">
        <f t="shared" si="218"/>
        <v>6</v>
      </c>
      <c r="K1556">
        <v>44</v>
      </c>
      <c r="L1556">
        <v>18</v>
      </c>
      <c r="M1556" s="2">
        <v>2.44</v>
      </c>
      <c r="N1556" s="2">
        <v>3</v>
      </c>
      <c r="O1556">
        <v>0</v>
      </c>
      <c r="P1556">
        <v>7</v>
      </c>
      <c r="Q1556" s="4" t="str">
        <f t="shared" si="214"/>
        <v>2019/2020-Ganjil</v>
      </c>
      <c r="R1556" t="s">
        <v>260</v>
      </c>
      <c r="S1556" t="str">
        <f t="shared" si="216"/>
        <v>PA</v>
      </c>
    </row>
    <row r="1557" spans="1:19" x14ac:dyDescent="0.3">
      <c r="A1557" t="s">
        <v>12</v>
      </c>
      <c r="B1557">
        <v>2016110043</v>
      </c>
      <c r="C1557" t="s">
        <v>51</v>
      </c>
      <c r="E1557" t="s">
        <v>316</v>
      </c>
      <c r="F1557" t="s">
        <v>317</v>
      </c>
      <c r="G1557">
        <v>2</v>
      </c>
      <c r="H1557" t="s">
        <v>438</v>
      </c>
      <c r="I1557" s="4">
        <f t="shared" si="217"/>
        <v>3</v>
      </c>
      <c r="J1557">
        <f t="shared" si="218"/>
        <v>6</v>
      </c>
      <c r="K1557">
        <v>44</v>
      </c>
      <c r="L1557">
        <v>18</v>
      </c>
      <c r="M1557" s="2">
        <v>2.44</v>
      </c>
      <c r="N1557" s="2">
        <v>3</v>
      </c>
      <c r="O1557">
        <v>0</v>
      </c>
      <c r="P1557">
        <v>7</v>
      </c>
      <c r="Q1557" s="4" t="str">
        <f t="shared" si="214"/>
        <v>2019/2020-Ganjil</v>
      </c>
      <c r="R1557" t="s">
        <v>260</v>
      </c>
      <c r="S1557" t="str">
        <f t="shared" si="216"/>
        <v>PA</v>
      </c>
    </row>
    <row r="1558" spans="1:19" x14ac:dyDescent="0.3">
      <c r="A1558" t="s">
        <v>12</v>
      </c>
      <c r="B1558">
        <v>2016110043</v>
      </c>
      <c r="C1558" t="s">
        <v>51</v>
      </c>
      <c r="E1558" t="s">
        <v>139</v>
      </c>
      <c r="F1558" t="s">
        <v>140</v>
      </c>
      <c r="G1558">
        <v>2</v>
      </c>
      <c r="H1558" t="s">
        <v>438</v>
      </c>
      <c r="I1558" s="4">
        <f t="shared" si="217"/>
        <v>3</v>
      </c>
      <c r="J1558">
        <f t="shared" si="218"/>
        <v>6</v>
      </c>
      <c r="K1558">
        <v>62</v>
      </c>
      <c r="L1558">
        <v>20</v>
      </c>
      <c r="M1558" s="2">
        <v>3.1</v>
      </c>
      <c r="N1558" s="2">
        <v>3</v>
      </c>
      <c r="O1558">
        <v>0</v>
      </c>
      <c r="P1558">
        <v>2</v>
      </c>
      <c r="Q1558" s="4" t="str">
        <f t="shared" si="214"/>
        <v>2016/2017-Genap</v>
      </c>
      <c r="R1558" t="s">
        <v>260</v>
      </c>
      <c r="S1558" t="str">
        <f t="shared" si="216"/>
        <v>PA</v>
      </c>
    </row>
    <row r="1559" spans="1:19" x14ac:dyDescent="0.3">
      <c r="A1559" t="s">
        <v>12</v>
      </c>
      <c r="B1559">
        <v>2016110043</v>
      </c>
      <c r="C1559" t="s">
        <v>51</v>
      </c>
      <c r="E1559" t="s">
        <v>236</v>
      </c>
      <c r="F1559" t="s">
        <v>237</v>
      </c>
      <c r="G1559">
        <v>2</v>
      </c>
      <c r="H1559" t="s">
        <v>438</v>
      </c>
      <c r="I1559" s="4">
        <f t="shared" si="217"/>
        <v>3</v>
      </c>
      <c r="J1559">
        <f t="shared" si="218"/>
        <v>6</v>
      </c>
      <c r="K1559">
        <v>38</v>
      </c>
      <c r="L1559">
        <v>14</v>
      </c>
      <c r="M1559" s="2">
        <v>2.71</v>
      </c>
      <c r="N1559" s="2">
        <v>3</v>
      </c>
      <c r="O1559">
        <v>0</v>
      </c>
      <c r="P1559">
        <v>5</v>
      </c>
      <c r="Q1559" s="4" t="str">
        <f t="shared" si="214"/>
        <v>2018/2019-Ganjil</v>
      </c>
      <c r="R1559" t="s">
        <v>260</v>
      </c>
      <c r="S1559" t="str">
        <f t="shared" si="216"/>
        <v>PA</v>
      </c>
    </row>
    <row r="1560" spans="1:19" x14ac:dyDescent="0.3">
      <c r="A1560" t="s">
        <v>12</v>
      </c>
      <c r="B1560">
        <v>2016110043</v>
      </c>
      <c r="C1560" t="s">
        <v>51</v>
      </c>
      <c r="E1560" t="s">
        <v>205</v>
      </c>
      <c r="F1560" t="s">
        <v>116</v>
      </c>
      <c r="G1560">
        <v>4</v>
      </c>
      <c r="H1560" t="s">
        <v>438</v>
      </c>
      <c r="I1560" s="4">
        <f t="shared" si="217"/>
        <v>3</v>
      </c>
      <c r="J1560">
        <f t="shared" si="218"/>
        <v>12</v>
      </c>
      <c r="K1560">
        <v>74</v>
      </c>
      <c r="L1560">
        <v>24</v>
      </c>
      <c r="M1560" s="2">
        <v>3.08</v>
      </c>
      <c r="N1560" s="2">
        <v>3</v>
      </c>
      <c r="O1560">
        <v>0</v>
      </c>
      <c r="P1560">
        <v>3</v>
      </c>
      <c r="Q1560" s="4" t="str">
        <f t="shared" si="214"/>
        <v>2017/2018-Ganjil</v>
      </c>
      <c r="R1560" t="s">
        <v>260</v>
      </c>
      <c r="S1560" t="str">
        <f t="shared" si="216"/>
        <v>PA</v>
      </c>
    </row>
    <row r="1561" spans="1:19" x14ac:dyDescent="0.3">
      <c r="A1561" t="s">
        <v>12</v>
      </c>
      <c r="B1561">
        <v>2016110043</v>
      </c>
      <c r="C1561" t="s">
        <v>51</v>
      </c>
      <c r="E1561" t="s">
        <v>337</v>
      </c>
      <c r="F1561" t="s">
        <v>338</v>
      </c>
      <c r="G1561">
        <v>2</v>
      </c>
      <c r="H1561" t="s">
        <v>438</v>
      </c>
      <c r="I1561" s="4">
        <f t="shared" si="217"/>
        <v>3</v>
      </c>
      <c r="J1561">
        <f t="shared" si="218"/>
        <v>6</v>
      </c>
      <c r="K1561">
        <v>44</v>
      </c>
      <c r="L1561">
        <v>18</v>
      </c>
      <c r="M1561" s="2">
        <v>2.44</v>
      </c>
      <c r="N1561" s="2">
        <v>3</v>
      </c>
      <c r="O1561">
        <v>0</v>
      </c>
      <c r="P1561">
        <v>7</v>
      </c>
      <c r="Q1561" s="4" t="str">
        <f t="shared" si="214"/>
        <v>2019/2020-Ganjil</v>
      </c>
      <c r="R1561" t="s">
        <v>260</v>
      </c>
      <c r="S1561" t="str">
        <f t="shared" si="216"/>
        <v>PA</v>
      </c>
    </row>
    <row r="1562" spans="1:19" x14ac:dyDescent="0.3">
      <c r="A1562" t="s">
        <v>12</v>
      </c>
      <c r="B1562">
        <v>2016110043</v>
      </c>
      <c r="C1562" t="s">
        <v>51</v>
      </c>
      <c r="E1562" t="s">
        <v>234</v>
      </c>
      <c r="F1562" t="s">
        <v>235</v>
      </c>
      <c r="G1562">
        <v>4</v>
      </c>
      <c r="H1562" t="s">
        <v>438</v>
      </c>
      <c r="I1562" s="4">
        <f t="shared" si="217"/>
        <v>3</v>
      </c>
      <c r="J1562">
        <f t="shared" si="218"/>
        <v>12</v>
      </c>
      <c r="K1562">
        <v>74</v>
      </c>
      <c r="L1562">
        <v>24</v>
      </c>
      <c r="M1562" s="2">
        <v>3.08</v>
      </c>
      <c r="N1562" s="2">
        <v>3</v>
      </c>
      <c r="O1562">
        <v>0</v>
      </c>
      <c r="P1562">
        <v>3</v>
      </c>
      <c r="Q1562" s="4" t="str">
        <f t="shared" si="214"/>
        <v>2017/2018-Ganjil</v>
      </c>
      <c r="R1562" t="s">
        <v>260</v>
      </c>
      <c r="S1562" t="str">
        <f t="shared" si="216"/>
        <v>PA</v>
      </c>
    </row>
    <row r="1563" spans="1:19" x14ac:dyDescent="0.3">
      <c r="A1563" t="s">
        <v>12</v>
      </c>
      <c r="B1563">
        <v>2016110043</v>
      </c>
      <c r="C1563" t="s">
        <v>51</v>
      </c>
      <c r="E1563" t="s">
        <v>39</v>
      </c>
      <c r="F1563" t="s">
        <v>11</v>
      </c>
      <c r="G1563">
        <v>2</v>
      </c>
      <c r="H1563" t="s">
        <v>438</v>
      </c>
      <c r="I1563" s="4">
        <f t="shared" si="217"/>
        <v>3</v>
      </c>
      <c r="J1563">
        <f t="shared" si="218"/>
        <v>6</v>
      </c>
      <c r="K1563">
        <v>44</v>
      </c>
      <c r="L1563">
        <v>18</v>
      </c>
      <c r="M1563" s="2">
        <v>2.44</v>
      </c>
      <c r="N1563" s="2">
        <v>3</v>
      </c>
      <c r="O1563">
        <v>0</v>
      </c>
      <c r="P1563">
        <v>7</v>
      </c>
      <c r="Q1563" s="4" t="str">
        <f t="shared" si="214"/>
        <v>2019/2020-Ganjil</v>
      </c>
      <c r="R1563" t="s">
        <v>260</v>
      </c>
      <c r="S1563" t="str">
        <f t="shared" si="216"/>
        <v>PA</v>
      </c>
    </row>
    <row r="1564" spans="1:19" x14ac:dyDescent="0.3">
      <c r="A1564" t="s">
        <v>12</v>
      </c>
      <c r="B1564">
        <v>2016110043</v>
      </c>
      <c r="C1564" t="s">
        <v>51</v>
      </c>
      <c r="E1564" t="s">
        <v>370</v>
      </c>
      <c r="F1564" t="s">
        <v>371</v>
      </c>
      <c r="G1564">
        <v>2</v>
      </c>
      <c r="H1564" t="s">
        <v>438</v>
      </c>
      <c r="I1564" s="4">
        <f t="shared" si="217"/>
        <v>3</v>
      </c>
      <c r="J1564">
        <f t="shared" si="218"/>
        <v>6</v>
      </c>
      <c r="K1564">
        <v>38</v>
      </c>
      <c r="L1564">
        <v>14</v>
      </c>
      <c r="M1564" s="2">
        <v>2.71</v>
      </c>
      <c r="N1564" s="2">
        <v>3</v>
      </c>
      <c r="O1564">
        <v>0</v>
      </c>
      <c r="P1564">
        <v>5</v>
      </c>
      <c r="Q1564" s="4" t="str">
        <f t="shared" si="214"/>
        <v>2018/2019-Ganjil</v>
      </c>
      <c r="R1564" t="s">
        <v>260</v>
      </c>
      <c r="S1564" t="str">
        <f t="shared" si="216"/>
        <v>PA</v>
      </c>
    </row>
    <row r="1565" spans="1:19" x14ac:dyDescent="0.3">
      <c r="A1565" t="s">
        <v>12</v>
      </c>
      <c r="B1565">
        <v>2016110043</v>
      </c>
      <c r="C1565" t="s">
        <v>51</v>
      </c>
      <c r="E1565" t="s">
        <v>437</v>
      </c>
      <c r="F1565" t="s">
        <v>169</v>
      </c>
      <c r="G1565">
        <v>4</v>
      </c>
      <c r="H1565" t="s">
        <v>438</v>
      </c>
      <c r="I1565" s="4">
        <f t="shared" si="217"/>
        <v>3</v>
      </c>
      <c r="J1565">
        <f t="shared" si="218"/>
        <v>12</v>
      </c>
      <c r="K1565">
        <v>60</v>
      </c>
      <c r="L1565">
        <v>20</v>
      </c>
      <c r="M1565" s="2">
        <v>3</v>
      </c>
      <c r="N1565" s="2">
        <v>3</v>
      </c>
      <c r="O1565">
        <v>0</v>
      </c>
      <c r="P1565">
        <v>1</v>
      </c>
      <c r="Q1565" s="4" t="str">
        <f t="shared" si="214"/>
        <v>2016/2017-Ganjil</v>
      </c>
      <c r="R1565" t="s">
        <v>260</v>
      </c>
      <c r="S1565" t="str">
        <f t="shared" si="216"/>
        <v>PA</v>
      </c>
    </row>
    <row r="1566" spans="1:19" x14ac:dyDescent="0.3">
      <c r="A1566" t="s">
        <v>12</v>
      </c>
      <c r="B1566">
        <v>2016110043</v>
      </c>
      <c r="C1566" t="s">
        <v>51</v>
      </c>
      <c r="E1566" t="s">
        <v>372</v>
      </c>
      <c r="F1566" t="s">
        <v>373</v>
      </c>
      <c r="G1566">
        <v>2</v>
      </c>
      <c r="H1566" t="s">
        <v>438</v>
      </c>
      <c r="I1566" s="4">
        <f t="shared" si="217"/>
        <v>3</v>
      </c>
      <c r="J1566">
        <f t="shared" si="218"/>
        <v>6</v>
      </c>
      <c r="K1566">
        <v>48</v>
      </c>
      <c r="L1566">
        <v>20</v>
      </c>
      <c r="M1566" s="2">
        <v>2.4</v>
      </c>
      <c r="N1566" s="2">
        <v>3</v>
      </c>
      <c r="O1566">
        <v>0</v>
      </c>
      <c r="P1566">
        <v>6</v>
      </c>
      <c r="Q1566" s="4" t="str">
        <f t="shared" si="214"/>
        <v>2018/2019-Genap</v>
      </c>
      <c r="R1566" t="s">
        <v>260</v>
      </c>
      <c r="S1566" t="str">
        <f t="shared" si="216"/>
        <v>PA</v>
      </c>
    </row>
    <row r="1567" spans="1:19" x14ac:dyDescent="0.3">
      <c r="A1567" t="s">
        <v>12</v>
      </c>
      <c r="B1567">
        <v>2016110043</v>
      </c>
      <c r="C1567" t="s">
        <v>51</v>
      </c>
      <c r="E1567" t="s">
        <v>151</v>
      </c>
      <c r="F1567" t="s">
        <v>152</v>
      </c>
      <c r="G1567">
        <v>2</v>
      </c>
      <c r="H1567" t="s">
        <v>438</v>
      </c>
      <c r="I1567" s="4">
        <f t="shared" si="217"/>
        <v>3</v>
      </c>
      <c r="J1567">
        <f t="shared" si="218"/>
        <v>6</v>
      </c>
      <c r="K1567">
        <v>60</v>
      </c>
      <c r="L1567">
        <v>20</v>
      </c>
      <c r="M1567" s="2">
        <v>3</v>
      </c>
      <c r="N1567" s="2">
        <v>3</v>
      </c>
      <c r="O1567">
        <v>0</v>
      </c>
      <c r="P1567">
        <v>1</v>
      </c>
      <c r="Q1567" s="4" t="str">
        <f t="shared" si="214"/>
        <v>2016/2017-Ganjil</v>
      </c>
      <c r="R1567" t="s">
        <v>260</v>
      </c>
      <c r="S1567" t="str">
        <f t="shared" si="216"/>
        <v>PA</v>
      </c>
    </row>
    <row r="1568" spans="1:19" x14ac:dyDescent="0.3">
      <c r="A1568" t="s">
        <v>12</v>
      </c>
      <c r="B1568">
        <v>2016110043</v>
      </c>
      <c r="C1568" t="s">
        <v>51</v>
      </c>
      <c r="E1568" t="s">
        <v>173</v>
      </c>
      <c r="F1568" t="s">
        <v>8</v>
      </c>
      <c r="G1568">
        <v>2</v>
      </c>
      <c r="H1568" t="s">
        <v>438</v>
      </c>
      <c r="I1568" s="4">
        <f t="shared" si="217"/>
        <v>3</v>
      </c>
      <c r="J1568">
        <f t="shared" si="218"/>
        <v>6</v>
      </c>
      <c r="K1568">
        <v>74</v>
      </c>
      <c r="L1568">
        <v>24</v>
      </c>
      <c r="M1568" s="2">
        <v>3.08</v>
      </c>
      <c r="N1568" s="2">
        <v>3</v>
      </c>
      <c r="O1568">
        <v>0</v>
      </c>
      <c r="P1568">
        <v>3</v>
      </c>
      <c r="Q1568" s="4" t="str">
        <f t="shared" si="214"/>
        <v>2017/2018-Ganjil</v>
      </c>
      <c r="R1568" t="s">
        <v>260</v>
      </c>
      <c r="S1568" t="str">
        <f t="shared" si="216"/>
        <v>PA</v>
      </c>
    </row>
    <row r="1569" spans="1:19" x14ac:dyDescent="0.3">
      <c r="A1569" t="s">
        <v>12</v>
      </c>
      <c r="B1569">
        <v>2016110043</v>
      </c>
      <c r="C1569" t="s">
        <v>51</v>
      </c>
      <c r="E1569" t="s">
        <v>446</v>
      </c>
      <c r="F1569" t="s">
        <v>447</v>
      </c>
      <c r="G1569">
        <v>2</v>
      </c>
      <c r="H1569" t="s">
        <v>438</v>
      </c>
      <c r="I1569" s="4">
        <f t="shared" si="217"/>
        <v>3</v>
      </c>
      <c r="J1569">
        <f t="shared" si="218"/>
        <v>6</v>
      </c>
      <c r="K1569">
        <v>48</v>
      </c>
      <c r="L1569">
        <v>20</v>
      </c>
      <c r="M1569" s="2">
        <v>2.4</v>
      </c>
      <c r="N1569" s="2">
        <v>3</v>
      </c>
      <c r="O1569">
        <v>0</v>
      </c>
      <c r="P1569">
        <v>6</v>
      </c>
      <c r="Q1569" s="4" t="str">
        <f t="shared" si="214"/>
        <v>2018/2019-Genap</v>
      </c>
      <c r="R1569" t="s">
        <v>260</v>
      </c>
      <c r="S1569" t="str">
        <f t="shared" si="216"/>
        <v>PA</v>
      </c>
    </row>
    <row r="1570" spans="1:19" x14ac:dyDescent="0.3">
      <c r="A1570" t="s">
        <v>12</v>
      </c>
      <c r="B1570">
        <v>2016110043</v>
      </c>
      <c r="C1570" t="s">
        <v>51</v>
      </c>
      <c r="E1570" t="s">
        <v>276</v>
      </c>
      <c r="F1570" t="s">
        <v>137</v>
      </c>
      <c r="G1570">
        <v>4</v>
      </c>
      <c r="H1570" t="s">
        <v>438</v>
      </c>
      <c r="I1570" s="4">
        <f t="shared" si="217"/>
        <v>3</v>
      </c>
      <c r="J1570">
        <f t="shared" si="218"/>
        <v>12</v>
      </c>
      <c r="K1570">
        <v>38</v>
      </c>
      <c r="L1570">
        <v>20</v>
      </c>
      <c r="M1570" s="2">
        <v>1.9</v>
      </c>
      <c r="N1570" s="2">
        <v>3</v>
      </c>
      <c r="O1570">
        <v>0</v>
      </c>
      <c r="P1570">
        <v>4</v>
      </c>
      <c r="Q1570" s="4" t="str">
        <f t="shared" si="214"/>
        <v>2017/2018-Genap</v>
      </c>
      <c r="R1570" t="s">
        <v>260</v>
      </c>
      <c r="S1570" t="str">
        <f t="shared" si="216"/>
        <v>PA</v>
      </c>
    </row>
    <row r="1571" spans="1:19" x14ac:dyDescent="0.3">
      <c r="A1571" t="s">
        <v>12</v>
      </c>
      <c r="B1571">
        <v>2016110043</v>
      </c>
      <c r="C1571" t="s">
        <v>51</v>
      </c>
      <c r="E1571" t="s">
        <v>330</v>
      </c>
      <c r="F1571" t="s">
        <v>108</v>
      </c>
      <c r="G1571">
        <v>2</v>
      </c>
      <c r="H1571" t="s">
        <v>438</v>
      </c>
      <c r="I1571" s="4">
        <f t="shared" si="217"/>
        <v>3</v>
      </c>
      <c r="J1571">
        <f t="shared" si="218"/>
        <v>6</v>
      </c>
      <c r="K1571">
        <v>44</v>
      </c>
      <c r="L1571">
        <v>18</v>
      </c>
      <c r="M1571" s="2">
        <v>2.44</v>
      </c>
      <c r="N1571" s="2">
        <v>3</v>
      </c>
      <c r="O1571">
        <v>0</v>
      </c>
      <c r="P1571">
        <v>7</v>
      </c>
      <c r="Q1571" s="4" t="str">
        <f t="shared" si="214"/>
        <v>2019/2020-Ganjil</v>
      </c>
      <c r="R1571" t="s">
        <v>260</v>
      </c>
      <c r="S1571" t="str">
        <f t="shared" si="216"/>
        <v>PA</v>
      </c>
    </row>
    <row r="1572" spans="1:19" x14ac:dyDescent="0.3">
      <c r="A1572" t="s">
        <v>12</v>
      </c>
      <c r="B1572">
        <v>2016110043</v>
      </c>
      <c r="C1572" t="s">
        <v>51</v>
      </c>
      <c r="E1572" t="s">
        <v>374</v>
      </c>
      <c r="F1572" t="s">
        <v>375</v>
      </c>
      <c r="G1572">
        <v>2</v>
      </c>
      <c r="H1572" t="s">
        <v>438</v>
      </c>
      <c r="I1572" s="4">
        <f t="shared" si="217"/>
        <v>3</v>
      </c>
      <c r="J1572">
        <f t="shared" si="218"/>
        <v>6</v>
      </c>
      <c r="K1572">
        <v>38</v>
      </c>
      <c r="L1572">
        <v>20</v>
      </c>
      <c r="M1572" s="2">
        <v>1.9</v>
      </c>
      <c r="N1572" s="2">
        <v>3</v>
      </c>
      <c r="O1572">
        <v>0</v>
      </c>
      <c r="P1572">
        <v>4</v>
      </c>
      <c r="Q1572" s="4" t="str">
        <f t="shared" si="214"/>
        <v>2017/2018-Genap</v>
      </c>
      <c r="R1572" t="s">
        <v>260</v>
      </c>
      <c r="S1572" t="str">
        <f t="shared" si="216"/>
        <v>PA</v>
      </c>
    </row>
    <row r="1573" spans="1:19" x14ac:dyDescent="0.3">
      <c r="A1573" t="s">
        <v>12</v>
      </c>
      <c r="B1573">
        <v>2016110043</v>
      </c>
      <c r="C1573" t="s">
        <v>51</v>
      </c>
      <c r="E1573" t="s">
        <v>283</v>
      </c>
      <c r="F1573" t="s">
        <v>284</v>
      </c>
      <c r="G1573">
        <v>2</v>
      </c>
      <c r="H1573" t="s">
        <v>438</v>
      </c>
      <c r="I1573" s="4">
        <f t="shared" si="217"/>
        <v>3</v>
      </c>
      <c r="J1573">
        <f t="shared" si="218"/>
        <v>6</v>
      </c>
      <c r="K1573">
        <v>44</v>
      </c>
      <c r="L1573">
        <v>18</v>
      </c>
      <c r="M1573" s="2">
        <v>2.44</v>
      </c>
      <c r="N1573" s="2">
        <v>3</v>
      </c>
      <c r="O1573">
        <v>0</v>
      </c>
      <c r="P1573">
        <v>7</v>
      </c>
      <c r="Q1573" s="4" t="str">
        <f t="shared" si="214"/>
        <v>2019/2020-Ganjil</v>
      </c>
      <c r="R1573" t="s">
        <v>260</v>
      </c>
      <c r="S1573" t="str">
        <f t="shared" si="216"/>
        <v>PA</v>
      </c>
    </row>
    <row r="1574" spans="1:19" x14ac:dyDescent="0.3">
      <c r="A1574" t="s">
        <v>12</v>
      </c>
      <c r="B1574">
        <v>2016110043</v>
      </c>
      <c r="C1574" t="s">
        <v>51</v>
      </c>
      <c r="E1574" t="s">
        <v>290</v>
      </c>
      <c r="F1574" t="s">
        <v>327</v>
      </c>
      <c r="G1574">
        <v>4</v>
      </c>
      <c r="H1574" t="s">
        <v>438</v>
      </c>
      <c r="I1574" s="4">
        <f t="shared" si="217"/>
        <v>3</v>
      </c>
      <c r="J1574">
        <f t="shared" si="218"/>
        <v>12</v>
      </c>
      <c r="K1574">
        <v>62</v>
      </c>
      <c r="L1574">
        <v>20</v>
      </c>
      <c r="M1574" s="2">
        <v>3.1</v>
      </c>
      <c r="N1574" s="2">
        <v>3</v>
      </c>
      <c r="O1574">
        <v>0</v>
      </c>
      <c r="P1574">
        <v>2</v>
      </c>
      <c r="Q1574" s="4" t="str">
        <f t="shared" si="214"/>
        <v>2016/2017-Genap</v>
      </c>
      <c r="R1574" t="s">
        <v>260</v>
      </c>
      <c r="S1574" t="str">
        <f t="shared" si="216"/>
        <v>PA</v>
      </c>
    </row>
    <row r="1575" spans="1:19" x14ac:dyDescent="0.3">
      <c r="A1575" t="s">
        <v>12</v>
      </c>
      <c r="B1575">
        <v>2016110043</v>
      </c>
      <c r="C1575" t="s">
        <v>51</v>
      </c>
      <c r="E1575" t="s">
        <v>97</v>
      </c>
      <c r="F1575" t="s">
        <v>98</v>
      </c>
      <c r="G1575">
        <v>4</v>
      </c>
      <c r="H1575" t="s">
        <v>438</v>
      </c>
      <c r="I1575" s="4">
        <f t="shared" si="217"/>
        <v>3</v>
      </c>
      <c r="J1575">
        <f t="shared" si="218"/>
        <v>12</v>
      </c>
      <c r="K1575">
        <v>62</v>
      </c>
      <c r="L1575">
        <v>20</v>
      </c>
      <c r="M1575" s="2">
        <v>3.1</v>
      </c>
      <c r="N1575" s="2">
        <v>3</v>
      </c>
      <c r="O1575">
        <v>0</v>
      </c>
      <c r="P1575">
        <v>2</v>
      </c>
      <c r="Q1575" s="4" t="str">
        <f t="shared" si="214"/>
        <v>2016/2017-Genap</v>
      </c>
      <c r="R1575" t="s">
        <v>260</v>
      </c>
      <c r="S1575" t="str">
        <f t="shared" si="216"/>
        <v>PA</v>
      </c>
    </row>
    <row r="1576" spans="1:19" x14ac:dyDescent="0.3">
      <c r="A1576" t="s">
        <v>12</v>
      </c>
      <c r="B1576">
        <v>2016110043</v>
      </c>
      <c r="C1576" t="s">
        <v>51</v>
      </c>
      <c r="E1576" t="s">
        <v>208</v>
      </c>
      <c r="F1576" t="s">
        <v>209</v>
      </c>
      <c r="G1576">
        <v>2</v>
      </c>
      <c r="H1576" t="s">
        <v>438</v>
      </c>
      <c r="I1576" s="4">
        <f t="shared" si="217"/>
        <v>3</v>
      </c>
      <c r="J1576">
        <f t="shared" si="218"/>
        <v>6</v>
      </c>
      <c r="K1576">
        <v>38</v>
      </c>
      <c r="L1576">
        <v>14</v>
      </c>
      <c r="M1576" s="2">
        <v>2.71</v>
      </c>
      <c r="N1576" s="2">
        <v>3</v>
      </c>
      <c r="O1576">
        <v>0</v>
      </c>
      <c r="P1576">
        <v>5</v>
      </c>
      <c r="Q1576" s="4" t="str">
        <f t="shared" si="214"/>
        <v>2018/2019-Ganjil</v>
      </c>
      <c r="R1576" t="s">
        <v>260</v>
      </c>
      <c r="S1576" t="str">
        <f t="shared" si="216"/>
        <v>PA</v>
      </c>
    </row>
    <row r="1577" spans="1:19" x14ac:dyDescent="0.3">
      <c r="A1577" t="s">
        <v>12</v>
      </c>
      <c r="B1577">
        <v>2016110043</v>
      </c>
      <c r="C1577" t="s">
        <v>51</v>
      </c>
      <c r="E1577" t="s">
        <v>192</v>
      </c>
      <c r="F1577" t="s">
        <v>106</v>
      </c>
      <c r="G1577">
        <v>2</v>
      </c>
      <c r="H1577" t="s">
        <v>438</v>
      </c>
      <c r="I1577" s="4">
        <f t="shared" si="217"/>
        <v>3</v>
      </c>
      <c r="J1577">
        <f t="shared" si="218"/>
        <v>6</v>
      </c>
      <c r="K1577">
        <v>74</v>
      </c>
      <c r="L1577">
        <v>24</v>
      </c>
      <c r="M1577" s="2">
        <v>3.08</v>
      </c>
      <c r="N1577" s="2">
        <v>3</v>
      </c>
      <c r="O1577">
        <v>0</v>
      </c>
      <c r="P1577">
        <v>3</v>
      </c>
      <c r="Q1577" s="4" t="str">
        <f t="shared" si="214"/>
        <v>2017/2018-Ganjil</v>
      </c>
      <c r="R1577" t="s">
        <v>260</v>
      </c>
      <c r="S1577" t="str">
        <f t="shared" si="216"/>
        <v>PA</v>
      </c>
    </row>
    <row r="1578" spans="1:19" x14ac:dyDescent="0.3">
      <c r="A1578" t="s">
        <v>12</v>
      </c>
      <c r="B1578">
        <v>2016110043</v>
      </c>
      <c r="C1578" t="s">
        <v>51</v>
      </c>
      <c r="E1578" t="s">
        <v>357</v>
      </c>
      <c r="F1578" t="s">
        <v>358</v>
      </c>
      <c r="G1578">
        <v>4</v>
      </c>
      <c r="H1578" t="s">
        <v>438</v>
      </c>
      <c r="I1578" s="4">
        <f t="shared" si="217"/>
        <v>3</v>
      </c>
      <c r="J1578">
        <f t="shared" si="218"/>
        <v>12</v>
      </c>
      <c r="K1578">
        <v>38</v>
      </c>
      <c r="L1578">
        <v>14</v>
      </c>
      <c r="M1578" s="2">
        <v>2.71</v>
      </c>
      <c r="N1578" s="2">
        <v>3</v>
      </c>
      <c r="O1578">
        <v>0</v>
      </c>
      <c r="P1578">
        <v>5</v>
      </c>
      <c r="Q1578" s="4" t="str">
        <f t="shared" si="214"/>
        <v>2018/2019-Ganjil</v>
      </c>
      <c r="R1578" t="s">
        <v>260</v>
      </c>
      <c r="S1578" t="str">
        <f t="shared" si="216"/>
        <v>PA</v>
      </c>
    </row>
    <row r="1579" spans="1:19" x14ac:dyDescent="0.3">
      <c r="A1579" t="s">
        <v>12</v>
      </c>
      <c r="B1579">
        <v>2016110043</v>
      </c>
      <c r="C1579" t="s">
        <v>51</v>
      </c>
      <c r="E1579" t="s">
        <v>190</v>
      </c>
      <c r="F1579" t="s">
        <v>191</v>
      </c>
      <c r="G1579">
        <v>4</v>
      </c>
      <c r="H1579" t="s">
        <v>438</v>
      </c>
      <c r="I1579" s="4">
        <f t="shared" si="217"/>
        <v>3</v>
      </c>
      <c r="J1579">
        <f t="shared" si="218"/>
        <v>12</v>
      </c>
      <c r="K1579">
        <v>74</v>
      </c>
      <c r="L1579">
        <v>24</v>
      </c>
      <c r="M1579" s="2">
        <v>3.08</v>
      </c>
      <c r="N1579" s="2">
        <v>3</v>
      </c>
      <c r="O1579">
        <v>0</v>
      </c>
      <c r="P1579">
        <v>3</v>
      </c>
      <c r="Q1579" s="4" t="str">
        <f t="shared" si="214"/>
        <v>2017/2018-Ganjil</v>
      </c>
      <c r="R1579" t="s">
        <v>260</v>
      </c>
      <c r="S1579" t="str">
        <f t="shared" si="216"/>
        <v>PA</v>
      </c>
    </row>
    <row r="1580" spans="1:19" x14ac:dyDescent="0.3">
      <c r="A1580" t="s">
        <v>12</v>
      </c>
      <c r="B1580">
        <v>2016110043</v>
      </c>
      <c r="C1580" t="s">
        <v>51</v>
      </c>
      <c r="E1580" t="s">
        <v>427</v>
      </c>
      <c r="F1580" t="s">
        <v>428</v>
      </c>
      <c r="G1580">
        <v>2</v>
      </c>
      <c r="H1580" t="s">
        <v>438</v>
      </c>
      <c r="I1580" s="4">
        <f t="shared" si="217"/>
        <v>3</v>
      </c>
      <c r="J1580">
        <f t="shared" si="218"/>
        <v>6</v>
      </c>
      <c r="K1580">
        <v>48</v>
      </c>
      <c r="L1580">
        <v>20</v>
      </c>
      <c r="M1580" s="2">
        <v>2.4</v>
      </c>
      <c r="N1580" s="2">
        <v>3</v>
      </c>
      <c r="O1580">
        <v>0</v>
      </c>
      <c r="P1580">
        <v>6</v>
      </c>
      <c r="Q1580" s="4" t="str">
        <f t="shared" si="214"/>
        <v>2018/2019-Genap</v>
      </c>
      <c r="R1580" t="s">
        <v>260</v>
      </c>
      <c r="S1580" t="str">
        <f t="shared" si="216"/>
        <v>PA</v>
      </c>
    </row>
    <row r="1581" spans="1:19" x14ac:dyDescent="0.3">
      <c r="A1581" t="s">
        <v>12</v>
      </c>
      <c r="B1581">
        <v>2016110043</v>
      </c>
      <c r="C1581" t="s">
        <v>51</v>
      </c>
      <c r="E1581" t="s">
        <v>142</v>
      </c>
      <c r="F1581" t="s">
        <v>143</v>
      </c>
      <c r="G1581">
        <v>2</v>
      </c>
      <c r="H1581" t="s">
        <v>438</v>
      </c>
      <c r="I1581" s="4">
        <f t="shared" si="217"/>
        <v>3</v>
      </c>
      <c r="J1581">
        <f t="shared" si="218"/>
        <v>6</v>
      </c>
      <c r="K1581">
        <v>60</v>
      </c>
      <c r="L1581">
        <v>20</v>
      </c>
      <c r="M1581" s="2">
        <v>3</v>
      </c>
      <c r="N1581" s="2">
        <v>3</v>
      </c>
      <c r="O1581">
        <v>0</v>
      </c>
      <c r="P1581">
        <v>1</v>
      </c>
      <c r="Q1581" s="4" t="str">
        <f t="shared" si="214"/>
        <v>2016/2017-Ganjil</v>
      </c>
      <c r="R1581" t="s">
        <v>260</v>
      </c>
      <c r="S1581" t="str">
        <f t="shared" si="216"/>
        <v>PA</v>
      </c>
    </row>
    <row r="1582" spans="1:19" x14ac:dyDescent="0.3">
      <c r="A1582" t="s">
        <v>12</v>
      </c>
      <c r="B1582">
        <v>2016110043</v>
      </c>
      <c r="C1582" t="s">
        <v>51</v>
      </c>
      <c r="E1582" t="s">
        <v>302</v>
      </c>
      <c r="F1582" t="s">
        <v>303</v>
      </c>
      <c r="G1582">
        <v>2</v>
      </c>
      <c r="H1582" t="s">
        <v>438</v>
      </c>
      <c r="I1582" s="4">
        <f t="shared" si="217"/>
        <v>3</v>
      </c>
      <c r="J1582">
        <f t="shared" si="218"/>
        <v>6</v>
      </c>
      <c r="K1582">
        <v>48</v>
      </c>
      <c r="L1582">
        <v>20</v>
      </c>
      <c r="M1582" s="2">
        <v>2.4</v>
      </c>
      <c r="N1582" s="2">
        <v>3</v>
      </c>
      <c r="O1582">
        <v>0</v>
      </c>
      <c r="P1582">
        <v>6</v>
      </c>
      <c r="Q1582" s="4" t="str">
        <f t="shared" si="214"/>
        <v>2018/2019-Genap</v>
      </c>
      <c r="R1582" t="s">
        <v>260</v>
      </c>
      <c r="S1582" t="str">
        <f t="shared" si="216"/>
        <v>PA</v>
      </c>
    </row>
    <row r="1583" spans="1:19" x14ac:dyDescent="0.3">
      <c r="A1583" t="s">
        <v>12</v>
      </c>
      <c r="B1583">
        <v>2016110043</v>
      </c>
      <c r="C1583" t="s">
        <v>51</v>
      </c>
      <c r="E1583" t="s">
        <v>306</v>
      </c>
      <c r="F1583" t="s">
        <v>307</v>
      </c>
      <c r="G1583">
        <v>2</v>
      </c>
      <c r="H1583" t="s">
        <v>438</v>
      </c>
      <c r="I1583" s="4">
        <f t="shared" si="217"/>
        <v>3</v>
      </c>
      <c r="J1583">
        <f t="shared" si="218"/>
        <v>6</v>
      </c>
      <c r="K1583">
        <v>74</v>
      </c>
      <c r="L1583">
        <v>24</v>
      </c>
      <c r="M1583" s="2">
        <v>3.08</v>
      </c>
      <c r="N1583" s="2">
        <v>3</v>
      </c>
      <c r="O1583">
        <v>0</v>
      </c>
      <c r="P1583">
        <v>3</v>
      </c>
      <c r="Q1583" s="4" t="str">
        <f t="shared" si="214"/>
        <v>2017/2018-Ganjil</v>
      </c>
      <c r="R1583" t="s">
        <v>260</v>
      </c>
      <c r="S1583" t="str">
        <f t="shared" si="216"/>
        <v>PA</v>
      </c>
    </row>
    <row r="1584" spans="1:19" x14ac:dyDescent="0.3">
      <c r="A1584" t="s">
        <v>12</v>
      </c>
      <c r="B1584">
        <v>2016110043</v>
      </c>
      <c r="C1584" t="s">
        <v>51</v>
      </c>
      <c r="E1584" t="s">
        <v>432</v>
      </c>
      <c r="F1584" t="s">
        <v>433</v>
      </c>
      <c r="G1584">
        <v>4</v>
      </c>
      <c r="H1584" t="s">
        <v>524</v>
      </c>
      <c r="I1584" s="4">
        <f t="shared" si="217"/>
        <v>2</v>
      </c>
      <c r="J1584">
        <f t="shared" si="218"/>
        <v>8</v>
      </c>
      <c r="K1584">
        <v>38</v>
      </c>
      <c r="L1584">
        <v>20</v>
      </c>
      <c r="M1584" s="2">
        <v>1.9</v>
      </c>
      <c r="N1584" s="2">
        <v>3</v>
      </c>
      <c r="O1584">
        <v>0</v>
      </c>
      <c r="P1584">
        <v>4</v>
      </c>
      <c r="Q1584" s="4" t="str">
        <f t="shared" si="214"/>
        <v>2017/2018-Genap</v>
      </c>
      <c r="R1584" t="s">
        <v>260</v>
      </c>
      <c r="S1584" t="str">
        <f t="shared" si="216"/>
        <v>PA</v>
      </c>
    </row>
    <row r="1585" spans="1:19" x14ac:dyDescent="0.3">
      <c r="A1585" t="s">
        <v>12</v>
      </c>
      <c r="B1585">
        <v>2016110043</v>
      </c>
      <c r="C1585" t="s">
        <v>51</v>
      </c>
      <c r="E1585" t="s">
        <v>432</v>
      </c>
      <c r="F1585" t="s">
        <v>433</v>
      </c>
      <c r="G1585">
        <v>4</v>
      </c>
      <c r="H1585" t="s">
        <v>524</v>
      </c>
      <c r="I1585" s="4">
        <f t="shared" si="217"/>
        <v>2</v>
      </c>
      <c r="J1585">
        <f t="shared" si="218"/>
        <v>8</v>
      </c>
      <c r="K1585">
        <v>34</v>
      </c>
      <c r="L1585">
        <v>14</v>
      </c>
      <c r="M1585" s="2">
        <v>2.4300000000000002</v>
      </c>
      <c r="N1585" s="2">
        <v>3</v>
      </c>
      <c r="O1585">
        <v>1</v>
      </c>
      <c r="P1585">
        <v>8</v>
      </c>
      <c r="Q1585" s="4" t="str">
        <f t="shared" si="214"/>
        <v>2019/2020-Genap</v>
      </c>
      <c r="R1585" t="s">
        <v>260</v>
      </c>
      <c r="S1585" t="str">
        <f t="shared" si="216"/>
        <v>PA</v>
      </c>
    </row>
    <row r="1586" spans="1:19" x14ac:dyDescent="0.3">
      <c r="A1586" t="s">
        <v>12</v>
      </c>
      <c r="B1586">
        <v>2016110043</v>
      </c>
      <c r="C1586" t="s">
        <v>51</v>
      </c>
      <c r="E1586" t="s">
        <v>100</v>
      </c>
      <c r="F1586" t="s">
        <v>101</v>
      </c>
      <c r="G1586">
        <v>4</v>
      </c>
      <c r="H1586" t="s">
        <v>524</v>
      </c>
      <c r="I1586" s="4">
        <f t="shared" si="217"/>
        <v>2</v>
      </c>
      <c r="J1586">
        <f t="shared" si="218"/>
        <v>8</v>
      </c>
      <c r="K1586">
        <v>62</v>
      </c>
      <c r="L1586">
        <v>20</v>
      </c>
      <c r="M1586" s="2">
        <v>3.1</v>
      </c>
      <c r="N1586" s="2">
        <v>3</v>
      </c>
      <c r="O1586">
        <v>0</v>
      </c>
      <c r="P1586">
        <v>2</v>
      </c>
      <c r="Q1586" s="4" t="str">
        <f t="shared" si="214"/>
        <v>2016/2017-Genap</v>
      </c>
      <c r="R1586" t="s">
        <v>260</v>
      </c>
      <c r="S1586" t="str">
        <f t="shared" si="216"/>
        <v>PA</v>
      </c>
    </row>
    <row r="1587" spans="1:19" x14ac:dyDescent="0.3">
      <c r="A1587" t="s">
        <v>12</v>
      </c>
      <c r="B1587">
        <v>2016110043</v>
      </c>
      <c r="C1587" t="s">
        <v>51</v>
      </c>
      <c r="E1587" t="s">
        <v>100</v>
      </c>
      <c r="F1587" t="s">
        <v>101</v>
      </c>
      <c r="G1587">
        <v>4</v>
      </c>
      <c r="H1587" t="s">
        <v>438</v>
      </c>
      <c r="I1587" s="4">
        <f t="shared" si="217"/>
        <v>3</v>
      </c>
      <c r="J1587">
        <f t="shared" si="218"/>
        <v>12</v>
      </c>
      <c r="K1587">
        <v>52</v>
      </c>
      <c r="L1587">
        <v>16</v>
      </c>
      <c r="M1587" s="2">
        <v>3.25</v>
      </c>
      <c r="N1587" s="2">
        <v>3</v>
      </c>
      <c r="O1587">
        <v>1</v>
      </c>
      <c r="P1587">
        <v>8</v>
      </c>
      <c r="Q1587" s="4" t="s">
        <v>571</v>
      </c>
      <c r="R1587" t="s">
        <v>260</v>
      </c>
      <c r="S1587" t="str">
        <f t="shared" si="216"/>
        <v>PA</v>
      </c>
    </row>
    <row r="1588" spans="1:19" x14ac:dyDescent="0.3">
      <c r="A1588" t="s">
        <v>12</v>
      </c>
      <c r="B1588">
        <v>2016110043</v>
      </c>
      <c r="C1588" t="s">
        <v>51</v>
      </c>
      <c r="E1588" t="s">
        <v>211</v>
      </c>
      <c r="F1588" t="s">
        <v>186</v>
      </c>
      <c r="G1588">
        <v>4</v>
      </c>
      <c r="H1588" t="s">
        <v>524</v>
      </c>
      <c r="I1588" s="4">
        <f t="shared" si="217"/>
        <v>2</v>
      </c>
      <c r="J1588">
        <f t="shared" si="218"/>
        <v>8</v>
      </c>
      <c r="K1588">
        <v>38</v>
      </c>
      <c r="L1588">
        <v>14</v>
      </c>
      <c r="M1588" s="2">
        <v>2.71</v>
      </c>
      <c r="N1588" s="2">
        <v>3</v>
      </c>
      <c r="O1588">
        <v>0</v>
      </c>
      <c r="P1588">
        <v>5</v>
      </c>
      <c r="Q1588" s="4" t="str">
        <f>IF(P1588=1,"2016/2017-Ganjil",IF(P1588=2,"2016/2017-Genap",IF(P1588=3,"2017/2018-Ganjil",IF(P1588=4,"2017/2018-Genap",IF(P1588=5,"2018/2019-Ganjil",IF(P1588=6,"2018/2019-Genap",IF(P1588=7,"2019/2020-Ganjil",IF(P1588=8,"2019/2020-Genap",IF(P1588=9,"2020/2021-Ganjil","2020/2021-Genap")))))))))</f>
        <v>2018/2019-Ganjil</v>
      </c>
      <c r="R1588" t="s">
        <v>260</v>
      </c>
      <c r="S1588" t="str">
        <f t="shared" si="216"/>
        <v>PA</v>
      </c>
    </row>
    <row r="1589" spans="1:19" x14ac:dyDescent="0.3">
      <c r="A1589" t="s">
        <v>12</v>
      </c>
      <c r="B1589">
        <v>2016110043</v>
      </c>
      <c r="C1589" t="s">
        <v>51</v>
      </c>
      <c r="E1589" t="s">
        <v>211</v>
      </c>
      <c r="F1589" t="s">
        <v>186</v>
      </c>
      <c r="G1589">
        <v>4</v>
      </c>
      <c r="H1589" t="s">
        <v>438</v>
      </c>
      <c r="I1589" s="4">
        <f t="shared" si="217"/>
        <v>3</v>
      </c>
      <c r="J1589">
        <f t="shared" si="218"/>
        <v>12</v>
      </c>
      <c r="K1589">
        <v>52</v>
      </c>
      <c r="L1589">
        <v>16</v>
      </c>
      <c r="M1589" s="2">
        <v>3.25</v>
      </c>
      <c r="N1589" s="2">
        <v>3</v>
      </c>
      <c r="O1589">
        <v>1</v>
      </c>
      <c r="P1589">
        <v>8</v>
      </c>
      <c r="Q1589" s="4" t="s">
        <v>571</v>
      </c>
      <c r="R1589" t="s">
        <v>260</v>
      </c>
      <c r="S1589" t="str">
        <f t="shared" si="216"/>
        <v>PA</v>
      </c>
    </row>
    <row r="1590" spans="1:19" x14ac:dyDescent="0.3">
      <c r="A1590" t="s">
        <v>12</v>
      </c>
      <c r="B1590">
        <v>2016110043</v>
      </c>
      <c r="C1590" t="s">
        <v>51</v>
      </c>
      <c r="E1590" t="s">
        <v>241</v>
      </c>
      <c r="F1590" t="s">
        <v>45</v>
      </c>
      <c r="G1590">
        <v>2</v>
      </c>
      <c r="H1590" t="s">
        <v>260</v>
      </c>
      <c r="I1590" s="4">
        <f t="shared" si="217"/>
        <v>4</v>
      </c>
      <c r="J1590">
        <f t="shared" si="218"/>
        <v>8</v>
      </c>
      <c r="K1590">
        <v>24</v>
      </c>
      <c r="L1590">
        <v>8</v>
      </c>
      <c r="M1590" s="2">
        <v>3</v>
      </c>
      <c r="N1590" s="2">
        <v>3</v>
      </c>
      <c r="O1590">
        <v>1</v>
      </c>
      <c r="P1590">
        <v>9</v>
      </c>
      <c r="Q1590" s="4" t="str">
        <f t="shared" ref="Q1590:Q1607" si="219">IF(P1590=1,"2016/2017-Ganjil",IF(P1590=2,"2016/2017-Genap",IF(P1590=3,"2017/2018-Ganjil",IF(P1590=4,"2017/2018-Genap",IF(P1590=5,"2018/2019-Ganjil",IF(P1590=6,"2018/2019-Genap",IF(P1590=7,"2019/2020-Ganjil",IF(P1590=8,"2019/2020-Genap",IF(P1590=9,"2020/2021-Ganjil","2020/2021-Genap")))))))))</f>
        <v>2020/2021-Ganjil</v>
      </c>
      <c r="R1590" t="s">
        <v>260</v>
      </c>
      <c r="S1590" t="str">
        <f t="shared" si="216"/>
        <v>PA</v>
      </c>
    </row>
    <row r="1591" spans="1:19" x14ac:dyDescent="0.3">
      <c r="A1591" t="s">
        <v>12</v>
      </c>
      <c r="B1591">
        <v>2016110043</v>
      </c>
      <c r="C1591" t="s">
        <v>51</v>
      </c>
      <c r="E1591" t="s">
        <v>241</v>
      </c>
      <c r="F1591" t="s">
        <v>45</v>
      </c>
      <c r="G1591">
        <v>2</v>
      </c>
      <c r="H1591" t="s">
        <v>524</v>
      </c>
      <c r="I1591" s="4">
        <f t="shared" si="217"/>
        <v>2</v>
      </c>
      <c r="J1591">
        <f t="shared" si="218"/>
        <v>4</v>
      </c>
      <c r="K1591">
        <v>74</v>
      </c>
      <c r="L1591">
        <v>24</v>
      </c>
      <c r="M1591" s="2">
        <v>3.08</v>
      </c>
      <c r="N1591" s="2">
        <v>3</v>
      </c>
      <c r="O1591">
        <v>0</v>
      </c>
      <c r="P1591">
        <v>3</v>
      </c>
      <c r="Q1591" s="4" t="str">
        <f t="shared" si="219"/>
        <v>2017/2018-Ganjil</v>
      </c>
      <c r="R1591" t="s">
        <v>260</v>
      </c>
      <c r="S1591" t="str">
        <f t="shared" si="216"/>
        <v>PA</v>
      </c>
    </row>
    <row r="1592" spans="1:19" x14ac:dyDescent="0.3">
      <c r="A1592" t="s">
        <v>12</v>
      </c>
      <c r="B1592">
        <v>2016110043</v>
      </c>
      <c r="C1592" t="s">
        <v>51</v>
      </c>
      <c r="E1592" t="s">
        <v>90</v>
      </c>
      <c r="F1592" t="s">
        <v>91</v>
      </c>
      <c r="G1592">
        <v>2</v>
      </c>
      <c r="H1592" t="s">
        <v>438</v>
      </c>
      <c r="I1592" s="4">
        <f t="shared" si="217"/>
        <v>3</v>
      </c>
      <c r="J1592">
        <f t="shared" si="218"/>
        <v>6</v>
      </c>
      <c r="K1592">
        <v>24</v>
      </c>
      <c r="L1592">
        <v>8</v>
      </c>
      <c r="M1592" s="2">
        <v>3</v>
      </c>
      <c r="N1592" s="2">
        <v>3</v>
      </c>
      <c r="O1592">
        <v>1</v>
      </c>
      <c r="P1592">
        <v>9</v>
      </c>
      <c r="Q1592" s="4" t="str">
        <f t="shared" si="219"/>
        <v>2020/2021-Ganjil</v>
      </c>
      <c r="R1592" t="s">
        <v>260</v>
      </c>
      <c r="S1592" t="str">
        <f t="shared" si="216"/>
        <v>PA</v>
      </c>
    </row>
    <row r="1593" spans="1:19" x14ac:dyDescent="0.3">
      <c r="A1593" t="s">
        <v>12</v>
      </c>
      <c r="B1593">
        <v>2016110043</v>
      </c>
      <c r="C1593" t="s">
        <v>51</v>
      </c>
      <c r="E1593" t="s">
        <v>90</v>
      </c>
      <c r="F1593" t="s">
        <v>91</v>
      </c>
      <c r="G1593">
        <v>2</v>
      </c>
      <c r="H1593" t="s">
        <v>524</v>
      </c>
      <c r="I1593" s="4">
        <f t="shared" si="217"/>
        <v>2</v>
      </c>
      <c r="J1593">
        <f t="shared" si="218"/>
        <v>4</v>
      </c>
      <c r="K1593">
        <v>60</v>
      </c>
      <c r="L1593">
        <v>20</v>
      </c>
      <c r="M1593" s="2">
        <v>3</v>
      </c>
      <c r="N1593" s="2">
        <v>3</v>
      </c>
      <c r="O1593">
        <v>0</v>
      </c>
      <c r="P1593">
        <v>1</v>
      </c>
      <c r="Q1593" s="4" t="str">
        <f t="shared" si="219"/>
        <v>2016/2017-Ganjil</v>
      </c>
      <c r="R1593" t="s">
        <v>260</v>
      </c>
      <c r="S1593" t="str">
        <f t="shared" si="216"/>
        <v>PA</v>
      </c>
    </row>
    <row r="1594" spans="1:19" x14ac:dyDescent="0.3">
      <c r="A1594" t="s">
        <v>12</v>
      </c>
      <c r="B1594">
        <v>2016110043</v>
      </c>
      <c r="C1594" t="s">
        <v>51</v>
      </c>
      <c r="E1594" t="s">
        <v>257</v>
      </c>
      <c r="F1594" t="s">
        <v>258</v>
      </c>
      <c r="G1594">
        <v>4</v>
      </c>
      <c r="H1594" t="s">
        <v>524</v>
      </c>
      <c r="I1594" s="4">
        <f t="shared" si="217"/>
        <v>2</v>
      </c>
      <c r="J1594">
        <f t="shared" si="218"/>
        <v>8</v>
      </c>
      <c r="K1594">
        <v>48</v>
      </c>
      <c r="L1594">
        <v>20</v>
      </c>
      <c r="M1594" s="2">
        <v>2.4</v>
      </c>
      <c r="N1594" s="2">
        <v>3</v>
      </c>
      <c r="O1594">
        <v>0</v>
      </c>
      <c r="P1594">
        <v>6</v>
      </c>
      <c r="Q1594" s="4" t="str">
        <f t="shared" si="219"/>
        <v>2018/2019-Genap</v>
      </c>
      <c r="R1594" t="s">
        <v>260</v>
      </c>
      <c r="S1594" t="str">
        <f t="shared" si="216"/>
        <v>PA</v>
      </c>
    </row>
    <row r="1595" spans="1:19" x14ac:dyDescent="0.3">
      <c r="A1595" t="s">
        <v>12</v>
      </c>
      <c r="B1595">
        <v>2016110043</v>
      </c>
      <c r="C1595" t="s">
        <v>51</v>
      </c>
      <c r="E1595" t="s">
        <v>244</v>
      </c>
      <c r="F1595" t="s">
        <v>228</v>
      </c>
      <c r="G1595">
        <v>2</v>
      </c>
      <c r="H1595" t="s">
        <v>524</v>
      </c>
      <c r="I1595" s="4">
        <f t="shared" si="217"/>
        <v>2</v>
      </c>
      <c r="J1595">
        <f t="shared" si="218"/>
        <v>4</v>
      </c>
      <c r="K1595">
        <v>38</v>
      </c>
      <c r="L1595">
        <v>20</v>
      </c>
      <c r="M1595" s="2">
        <v>1.9</v>
      </c>
      <c r="N1595" s="2">
        <v>3</v>
      </c>
      <c r="O1595">
        <v>0</v>
      </c>
      <c r="P1595">
        <v>4</v>
      </c>
      <c r="Q1595" s="4" t="str">
        <f t="shared" si="219"/>
        <v>2017/2018-Genap</v>
      </c>
      <c r="R1595" t="s">
        <v>260</v>
      </c>
      <c r="S1595" t="str">
        <f t="shared" si="216"/>
        <v>PA</v>
      </c>
    </row>
    <row r="1596" spans="1:19" x14ac:dyDescent="0.3">
      <c r="A1596" t="s">
        <v>12</v>
      </c>
      <c r="B1596">
        <v>2016110043</v>
      </c>
      <c r="C1596" t="s">
        <v>51</v>
      </c>
      <c r="E1596" t="s">
        <v>244</v>
      </c>
      <c r="F1596" t="s">
        <v>228</v>
      </c>
      <c r="G1596">
        <v>2</v>
      </c>
      <c r="H1596" t="s">
        <v>438</v>
      </c>
      <c r="I1596" s="4">
        <f t="shared" si="217"/>
        <v>3</v>
      </c>
      <c r="J1596">
        <f t="shared" si="218"/>
        <v>6</v>
      </c>
      <c r="K1596">
        <v>34</v>
      </c>
      <c r="L1596">
        <v>14</v>
      </c>
      <c r="M1596" s="2">
        <v>2.4300000000000002</v>
      </c>
      <c r="N1596" s="2">
        <v>3</v>
      </c>
      <c r="O1596">
        <v>1</v>
      </c>
      <c r="P1596">
        <v>8</v>
      </c>
      <c r="Q1596" s="4" t="str">
        <f t="shared" si="219"/>
        <v>2019/2020-Genap</v>
      </c>
      <c r="R1596" t="s">
        <v>260</v>
      </c>
      <c r="S1596" t="str">
        <f t="shared" si="216"/>
        <v>PA</v>
      </c>
    </row>
    <row r="1597" spans="1:19" x14ac:dyDescent="0.3">
      <c r="A1597" t="s">
        <v>12</v>
      </c>
      <c r="B1597">
        <v>2016110043</v>
      </c>
      <c r="C1597" t="s">
        <v>51</v>
      </c>
      <c r="E1597" t="s">
        <v>264</v>
      </c>
      <c r="F1597" t="s">
        <v>265</v>
      </c>
      <c r="G1597">
        <v>2</v>
      </c>
      <c r="H1597" t="s">
        <v>438</v>
      </c>
      <c r="I1597" s="4">
        <f t="shared" si="217"/>
        <v>3</v>
      </c>
      <c r="J1597">
        <f t="shared" si="218"/>
        <v>6</v>
      </c>
      <c r="K1597">
        <v>24</v>
      </c>
      <c r="L1597">
        <v>8</v>
      </c>
      <c r="M1597" s="2">
        <v>3</v>
      </c>
      <c r="N1597" s="2">
        <v>3</v>
      </c>
      <c r="O1597">
        <v>1</v>
      </c>
      <c r="P1597">
        <v>9</v>
      </c>
      <c r="Q1597" s="4" t="str">
        <f t="shared" si="219"/>
        <v>2020/2021-Ganjil</v>
      </c>
      <c r="R1597" t="s">
        <v>260</v>
      </c>
      <c r="S1597" t="str">
        <f t="shared" si="216"/>
        <v>PA</v>
      </c>
    </row>
    <row r="1598" spans="1:19" x14ac:dyDescent="0.3">
      <c r="A1598" t="s">
        <v>12</v>
      </c>
      <c r="B1598">
        <v>2016110043</v>
      </c>
      <c r="C1598" t="s">
        <v>51</v>
      </c>
      <c r="E1598" t="s">
        <v>264</v>
      </c>
      <c r="F1598" t="s">
        <v>265</v>
      </c>
      <c r="G1598">
        <v>2</v>
      </c>
      <c r="H1598" t="s">
        <v>524</v>
      </c>
      <c r="I1598" s="4">
        <f t="shared" si="217"/>
        <v>2</v>
      </c>
      <c r="J1598">
        <f t="shared" si="218"/>
        <v>4</v>
      </c>
      <c r="K1598">
        <v>44</v>
      </c>
      <c r="L1598">
        <v>18</v>
      </c>
      <c r="M1598" s="2">
        <v>2.44</v>
      </c>
      <c r="N1598" s="2">
        <v>3</v>
      </c>
      <c r="O1598">
        <v>0</v>
      </c>
      <c r="P1598">
        <v>9</v>
      </c>
      <c r="Q1598" s="4" t="str">
        <f t="shared" si="219"/>
        <v>2020/2021-Ganjil</v>
      </c>
      <c r="R1598" t="s">
        <v>260</v>
      </c>
      <c r="S1598" t="str">
        <f t="shared" si="216"/>
        <v>PA</v>
      </c>
    </row>
    <row r="1599" spans="1:19" x14ac:dyDescent="0.3">
      <c r="A1599" t="s">
        <v>12</v>
      </c>
      <c r="B1599">
        <v>2016110043</v>
      </c>
      <c r="C1599" t="s">
        <v>51</v>
      </c>
      <c r="E1599" t="s">
        <v>122</v>
      </c>
      <c r="F1599" t="s">
        <v>123</v>
      </c>
      <c r="G1599">
        <v>4</v>
      </c>
      <c r="H1599" t="s">
        <v>524</v>
      </c>
      <c r="I1599" s="4">
        <f t="shared" si="217"/>
        <v>2</v>
      </c>
      <c r="J1599">
        <f t="shared" si="218"/>
        <v>8</v>
      </c>
      <c r="K1599">
        <v>60</v>
      </c>
      <c r="L1599">
        <v>20</v>
      </c>
      <c r="M1599" s="2">
        <v>3</v>
      </c>
      <c r="N1599" s="2">
        <v>3</v>
      </c>
      <c r="O1599">
        <v>0</v>
      </c>
      <c r="P1599">
        <v>1</v>
      </c>
      <c r="Q1599" s="4" t="str">
        <f t="shared" si="219"/>
        <v>2016/2017-Ganjil</v>
      </c>
      <c r="R1599" t="s">
        <v>260</v>
      </c>
      <c r="S1599" t="str">
        <f t="shared" si="216"/>
        <v>PA</v>
      </c>
    </row>
    <row r="1600" spans="1:19" x14ac:dyDescent="0.3">
      <c r="A1600" t="s">
        <v>12</v>
      </c>
      <c r="B1600">
        <v>2016110043</v>
      </c>
      <c r="C1600" t="s">
        <v>51</v>
      </c>
      <c r="E1600" t="s">
        <v>348</v>
      </c>
      <c r="F1600" t="s">
        <v>493</v>
      </c>
      <c r="G1600">
        <v>4</v>
      </c>
      <c r="H1600" t="s">
        <v>524</v>
      </c>
      <c r="I1600" s="4">
        <f t="shared" si="217"/>
        <v>2</v>
      </c>
      <c r="J1600">
        <f t="shared" si="218"/>
        <v>8</v>
      </c>
      <c r="K1600">
        <v>34</v>
      </c>
      <c r="L1600">
        <v>14</v>
      </c>
      <c r="M1600" s="2">
        <v>2.4300000000000002</v>
      </c>
      <c r="N1600" s="2">
        <v>3</v>
      </c>
      <c r="O1600">
        <v>0</v>
      </c>
      <c r="P1600">
        <v>8</v>
      </c>
      <c r="Q1600" s="4" t="str">
        <f t="shared" si="219"/>
        <v>2019/2020-Genap</v>
      </c>
      <c r="R1600" t="s">
        <v>260</v>
      </c>
      <c r="S1600" t="str">
        <f t="shared" si="216"/>
        <v>PA</v>
      </c>
    </row>
    <row r="1601" spans="1:19" x14ac:dyDescent="0.3">
      <c r="A1601" t="s">
        <v>12</v>
      </c>
      <c r="B1601">
        <v>2016110043</v>
      </c>
      <c r="C1601" t="s">
        <v>51</v>
      </c>
      <c r="E1601" t="s">
        <v>14</v>
      </c>
      <c r="F1601" t="s">
        <v>15</v>
      </c>
      <c r="G1601">
        <v>2</v>
      </c>
      <c r="H1601" t="s">
        <v>524</v>
      </c>
      <c r="I1601" s="4">
        <f t="shared" si="217"/>
        <v>2</v>
      </c>
      <c r="J1601">
        <f t="shared" si="218"/>
        <v>4</v>
      </c>
      <c r="K1601">
        <v>24</v>
      </c>
      <c r="L1601">
        <v>8</v>
      </c>
      <c r="M1601" s="2">
        <v>3</v>
      </c>
      <c r="N1601" s="2">
        <v>3</v>
      </c>
      <c r="O1601">
        <v>0</v>
      </c>
      <c r="P1601">
        <v>9</v>
      </c>
      <c r="Q1601" s="4" t="str">
        <f t="shared" si="219"/>
        <v>2020/2021-Ganjil</v>
      </c>
      <c r="R1601" t="s">
        <v>260</v>
      </c>
      <c r="S1601" t="str">
        <f t="shared" si="216"/>
        <v>PA</v>
      </c>
    </row>
    <row r="1602" spans="1:19" x14ac:dyDescent="0.3">
      <c r="A1602" t="s">
        <v>12</v>
      </c>
      <c r="B1602">
        <v>2016110043</v>
      </c>
      <c r="C1602" t="s">
        <v>51</v>
      </c>
      <c r="E1602" t="s">
        <v>297</v>
      </c>
      <c r="F1602" t="s">
        <v>342</v>
      </c>
      <c r="G1602">
        <v>4</v>
      </c>
      <c r="H1602" t="s">
        <v>535</v>
      </c>
      <c r="I1602" s="4">
        <f t="shared" si="217"/>
        <v>1</v>
      </c>
      <c r="J1602">
        <f t="shared" si="218"/>
        <v>4</v>
      </c>
      <c r="K1602">
        <v>48</v>
      </c>
      <c r="L1602">
        <v>20</v>
      </c>
      <c r="M1602" s="2">
        <v>2.4</v>
      </c>
      <c r="N1602" s="2">
        <v>3</v>
      </c>
      <c r="O1602">
        <v>0</v>
      </c>
      <c r="P1602">
        <v>6</v>
      </c>
      <c r="Q1602" s="4" t="str">
        <f t="shared" si="219"/>
        <v>2018/2019-Genap</v>
      </c>
      <c r="R1602" t="s">
        <v>260</v>
      </c>
      <c r="S1602" t="str">
        <f t="shared" si="216"/>
        <v>FA</v>
      </c>
    </row>
    <row r="1603" spans="1:19" x14ac:dyDescent="0.3">
      <c r="A1603" t="s">
        <v>12</v>
      </c>
      <c r="B1603">
        <v>2016110043</v>
      </c>
      <c r="C1603" t="s">
        <v>51</v>
      </c>
      <c r="E1603" t="s">
        <v>297</v>
      </c>
      <c r="F1603" t="s">
        <v>342</v>
      </c>
      <c r="G1603">
        <v>4</v>
      </c>
      <c r="H1603" t="s">
        <v>438</v>
      </c>
      <c r="I1603" s="4">
        <f t="shared" si="217"/>
        <v>3</v>
      </c>
      <c r="J1603">
        <f t="shared" si="218"/>
        <v>12</v>
      </c>
      <c r="K1603">
        <v>34</v>
      </c>
      <c r="L1603">
        <v>14</v>
      </c>
      <c r="M1603" s="2">
        <v>2.4300000000000002</v>
      </c>
      <c r="N1603" s="2">
        <v>3</v>
      </c>
      <c r="O1603">
        <v>1</v>
      </c>
      <c r="P1603">
        <v>8</v>
      </c>
      <c r="Q1603" s="4" t="str">
        <f t="shared" si="219"/>
        <v>2019/2020-Genap</v>
      </c>
      <c r="R1603" t="s">
        <v>260</v>
      </c>
      <c r="S1603" t="str">
        <f t="shared" si="216"/>
        <v>PA</v>
      </c>
    </row>
    <row r="1604" spans="1:19" x14ac:dyDescent="0.3">
      <c r="A1604" t="s">
        <v>12</v>
      </c>
      <c r="B1604">
        <v>2016110043</v>
      </c>
      <c r="C1604" t="s">
        <v>51</v>
      </c>
      <c r="E1604" t="s">
        <v>273</v>
      </c>
      <c r="F1604" t="s">
        <v>274</v>
      </c>
      <c r="G1604">
        <v>2</v>
      </c>
      <c r="H1604" t="s">
        <v>535</v>
      </c>
      <c r="I1604" s="4">
        <f t="shared" si="217"/>
        <v>1</v>
      </c>
      <c r="J1604">
        <f t="shared" si="218"/>
        <v>2</v>
      </c>
      <c r="K1604">
        <v>38</v>
      </c>
      <c r="L1604">
        <v>20</v>
      </c>
      <c r="M1604" s="2">
        <v>1.9</v>
      </c>
      <c r="N1604" s="2">
        <v>3</v>
      </c>
      <c r="O1604">
        <v>0</v>
      </c>
      <c r="P1604">
        <v>4</v>
      </c>
      <c r="Q1604" s="4" t="str">
        <f t="shared" si="219"/>
        <v>2017/2018-Genap</v>
      </c>
      <c r="R1604" t="s">
        <v>260</v>
      </c>
      <c r="S1604" t="str">
        <f t="shared" si="216"/>
        <v>FA</v>
      </c>
    </row>
    <row r="1605" spans="1:19" x14ac:dyDescent="0.3">
      <c r="A1605" t="s">
        <v>12</v>
      </c>
      <c r="B1605">
        <v>2016110043</v>
      </c>
      <c r="C1605" t="s">
        <v>51</v>
      </c>
      <c r="E1605" t="s">
        <v>273</v>
      </c>
      <c r="F1605" t="s">
        <v>274</v>
      </c>
      <c r="G1605">
        <v>2</v>
      </c>
      <c r="H1605" t="s">
        <v>438</v>
      </c>
      <c r="I1605" s="4">
        <f t="shared" si="217"/>
        <v>3</v>
      </c>
      <c r="J1605">
        <f t="shared" si="218"/>
        <v>6</v>
      </c>
      <c r="K1605">
        <v>48</v>
      </c>
      <c r="L1605">
        <v>20</v>
      </c>
      <c r="M1605" s="2">
        <v>2.4</v>
      </c>
      <c r="N1605" s="2">
        <v>3</v>
      </c>
      <c r="O1605">
        <v>1</v>
      </c>
      <c r="P1605">
        <v>6</v>
      </c>
      <c r="Q1605" s="4" t="str">
        <f t="shared" si="219"/>
        <v>2018/2019-Genap</v>
      </c>
      <c r="R1605" t="s">
        <v>260</v>
      </c>
      <c r="S1605" t="str">
        <f t="shared" si="216"/>
        <v>PA</v>
      </c>
    </row>
    <row r="1606" spans="1:19" x14ac:dyDescent="0.3">
      <c r="A1606" t="s">
        <v>12</v>
      </c>
      <c r="B1606">
        <v>2016110043</v>
      </c>
      <c r="C1606" t="s">
        <v>51</v>
      </c>
      <c r="E1606" t="s">
        <v>382</v>
      </c>
      <c r="F1606" t="s">
        <v>383</v>
      </c>
      <c r="G1606">
        <v>4</v>
      </c>
      <c r="H1606" t="s">
        <v>535</v>
      </c>
      <c r="I1606" s="4">
        <f t="shared" si="217"/>
        <v>1</v>
      </c>
      <c r="J1606">
        <f t="shared" si="218"/>
        <v>4</v>
      </c>
      <c r="K1606">
        <v>44</v>
      </c>
      <c r="L1606">
        <v>18</v>
      </c>
      <c r="M1606" s="2">
        <v>2.44</v>
      </c>
      <c r="N1606" s="2">
        <v>3</v>
      </c>
      <c r="O1606">
        <v>0</v>
      </c>
      <c r="P1606">
        <v>7</v>
      </c>
      <c r="Q1606" s="4" t="str">
        <f t="shared" si="219"/>
        <v>2019/2020-Ganjil</v>
      </c>
      <c r="R1606" t="s">
        <v>260</v>
      </c>
      <c r="S1606" t="str">
        <f t="shared" si="216"/>
        <v>FA</v>
      </c>
    </row>
    <row r="1607" spans="1:19" x14ac:dyDescent="0.3">
      <c r="A1607" t="s">
        <v>12</v>
      </c>
      <c r="B1607">
        <v>2016110043</v>
      </c>
      <c r="C1607" t="s">
        <v>51</v>
      </c>
      <c r="E1607" t="s">
        <v>309</v>
      </c>
      <c r="F1607" t="s">
        <v>310</v>
      </c>
      <c r="G1607">
        <v>4</v>
      </c>
      <c r="H1607" t="s">
        <v>539</v>
      </c>
      <c r="I1607" s="4">
        <f t="shared" si="217"/>
        <v>0</v>
      </c>
      <c r="J1607">
        <f t="shared" si="218"/>
        <v>0</v>
      </c>
      <c r="K1607">
        <v>38</v>
      </c>
      <c r="L1607">
        <v>20</v>
      </c>
      <c r="M1607" s="2">
        <v>1.9</v>
      </c>
      <c r="N1607" s="2">
        <v>3</v>
      </c>
      <c r="O1607">
        <v>0</v>
      </c>
      <c r="P1607">
        <v>4</v>
      </c>
      <c r="Q1607" s="4" t="str">
        <f t="shared" si="219"/>
        <v>2017/2018-Genap</v>
      </c>
      <c r="R1607" t="s">
        <v>260</v>
      </c>
      <c r="S1607" t="str">
        <f t="shared" si="216"/>
        <v>FA</v>
      </c>
    </row>
    <row r="1608" spans="1:19" x14ac:dyDescent="0.3">
      <c r="A1608" t="s">
        <v>12</v>
      </c>
      <c r="B1608">
        <v>2016110043</v>
      </c>
      <c r="C1608" t="s">
        <v>51</v>
      </c>
      <c r="E1608" t="s">
        <v>382</v>
      </c>
      <c r="F1608" t="s">
        <v>383</v>
      </c>
      <c r="G1608">
        <v>4</v>
      </c>
      <c r="H1608" t="s">
        <v>260</v>
      </c>
      <c r="I1608" s="4">
        <f t="shared" si="217"/>
        <v>4</v>
      </c>
      <c r="J1608">
        <f t="shared" si="218"/>
        <v>16</v>
      </c>
      <c r="K1608">
        <v>52</v>
      </c>
      <c r="L1608">
        <v>16</v>
      </c>
      <c r="M1608" s="2">
        <v>3.25</v>
      </c>
      <c r="N1608" s="2">
        <v>3</v>
      </c>
      <c r="O1608">
        <v>1</v>
      </c>
      <c r="P1608">
        <v>8</v>
      </c>
      <c r="Q1608" s="4" t="s">
        <v>571</v>
      </c>
      <c r="R1608" t="s">
        <v>260</v>
      </c>
      <c r="S1608" t="str">
        <f t="shared" si="216"/>
        <v>PA</v>
      </c>
    </row>
    <row r="1609" spans="1:19" x14ac:dyDescent="0.3">
      <c r="A1609" t="s">
        <v>12</v>
      </c>
      <c r="B1609">
        <v>2016110043</v>
      </c>
      <c r="C1609" t="s">
        <v>51</v>
      </c>
      <c r="E1609" t="s">
        <v>309</v>
      </c>
      <c r="F1609" t="s">
        <v>310</v>
      </c>
      <c r="G1609">
        <v>4</v>
      </c>
      <c r="H1609" t="s">
        <v>438</v>
      </c>
      <c r="I1609" s="4">
        <f t="shared" si="217"/>
        <v>3</v>
      </c>
      <c r="J1609">
        <f t="shared" si="218"/>
        <v>12</v>
      </c>
      <c r="K1609">
        <v>52</v>
      </c>
      <c r="L1609">
        <v>16</v>
      </c>
      <c r="M1609" s="2">
        <v>3.25</v>
      </c>
      <c r="N1609" s="2">
        <v>3</v>
      </c>
      <c r="O1609">
        <v>1</v>
      </c>
      <c r="P1609">
        <v>8</v>
      </c>
      <c r="Q1609" s="4" t="s">
        <v>571</v>
      </c>
      <c r="R1609" t="s">
        <v>260</v>
      </c>
      <c r="S1609" t="str">
        <f t="shared" si="216"/>
        <v>PA</v>
      </c>
    </row>
    <row r="1610" spans="1:19" x14ac:dyDescent="0.3">
      <c r="A1610" t="s">
        <v>12</v>
      </c>
      <c r="B1610">
        <v>2016110044</v>
      </c>
      <c r="C1610" t="s">
        <v>305</v>
      </c>
      <c r="E1610" t="s">
        <v>306</v>
      </c>
      <c r="F1610" t="s">
        <v>307</v>
      </c>
      <c r="G1610">
        <v>2</v>
      </c>
      <c r="H1610" t="s">
        <v>260</v>
      </c>
      <c r="I1610" s="4">
        <f t="shared" si="217"/>
        <v>4</v>
      </c>
      <c r="J1610">
        <f t="shared" si="218"/>
        <v>8</v>
      </c>
      <c r="K1610">
        <v>50</v>
      </c>
      <c r="L1610">
        <v>14</v>
      </c>
      <c r="M1610" s="2">
        <v>3.57</v>
      </c>
      <c r="N1610" s="2">
        <v>3.21</v>
      </c>
      <c r="O1610">
        <v>0</v>
      </c>
      <c r="P1610">
        <v>7</v>
      </c>
      <c r="Q1610" s="4" t="str">
        <f t="shared" ref="Q1610:Q1657" si="220">IF(P1610=1,"2016/2017-Ganjil",IF(P1610=2,"2016/2017-Genap",IF(P1610=3,"2017/2018-Ganjil",IF(P1610=4,"2017/2018-Genap",IF(P1610=5,"2018/2019-Ganjil",IF(P1610=6,"2018/2019-Genap",IF(P1610=7,"2019/2020-Ganjil",IF(P1610=8,"2019/2020-Genap",IF(P1610=9,"2020/2021-Ganjil","2020/2021-Genap")))))))))</f>
        <v>2019/2020-Ganjil</v>
      </c>
      <c r="R1610" t="s">
        <v>260</v>
      </c>
      <c r="S1610" t="str">
        <f t="shared" si="216"/>
        <v>PA</v>
      </c>
    </row>
    <row r="1611" spans="1:19" x14ac:dyDescent="0.3">
      <c r="A1611" t="s">
        <v>12</v>
      </c>
      <c r="B1611">
        <v>2016110044</v>
      </c>
      <c r="C1611" t="s">
        <v>305</v>
      </c>
      <c r="E1611" t="s">
        <v>236</v>
      </c>
      <c r="F1611" t="s">
        <v>237</v>
      </c>
      <c r="G1611">
        <v>2</v>
      </c>
      <c r="H1611" t="s">
        <v>260</v>
      </c>
      <c r="I1611" s="4">
        <f t="shared" si="217"/>
        <v>4</v>
      </c>
      <c r="J1611">
        <f t="shared" si="218"/>
        <v>8</v>
      </c>
      <c r="K1611">
        <v>70</v>
      </c>
      <c r="L1611">
        <v>22</v>
      </c>
      <c r="M1611" s="2">
        <v>3.18</v>
      </c>
      <c r="N1611" s="2">
        <v>3.21</v>
      </c>
      <c r="O1611">
        <v>0</v>
      </c>
      <c r="P1611">
        <v>5</v>
      </c>
      <c r="Q1611" s="4" t="str">
        <f t="shared" si="220"/>
        <v>2018/2019-Ganjil</v>
      </c>
      <c r="R1611" t="s">
        <v>260</v>
      </c>
      <c r="S1611" t="str">
        <f t="shared" ref="S1611:S1674" si="221">IF(OR(H1611="A",H1611="B",H1611="C"),"PA","FA")</f>
        <v>PA</v>
      </c>
    </row>
    <row r="1612" spans="1:19" x14ac:dyDescent="0.3">
      <c r="A1612" t="s">
        <v>12</v>
      </c>
      <c r="B1612">
        <v>2016110044</v>
      </c>
      <c r="C1612" t="s">
        <v>305</v>
      </c>
      <c r="E1612" t="s">
        <v>316</v>
      </c>
      <c r="F1612" t="s">
        <v>317</v>
      </c>
      <c r="G1612">
        <v>2</v>
      </c>
      <c r="H1612" t="s">
        <v>260</v>
      </c>
      <c r="I1612" s="4">
        <f t="shared" ref="I1612:I1675" si="222">IF(H1612="A",4,IF(H1612="B",3,IF(H1612="C",2,IF(H1612="D",1,0))))</f>
        <v>4</v>
      </c>
      <c r="J1612">
        <f t="shared" ref="J1612:J1675" si="223">G1612*I1612</f>
        <v>8</v>
      </c>
      <c r="K1612">
        <v>50</v>
      </c>
      <c r="L1612">
        <v>14</v>
      </c>
      <c r="M1612" s="2">
        <v>3.57</v>
      </c>
      <c r="N1612" s="2">
        <v>3.21</v>
      </c>
      <c r="O1612">
        <v>0</v>
      </c>
      <c r="P1612">
        <v>7</v>
      </c>
      <c r="Q1612" s="4" t="str">
        <f t="shared" si="220"/>
        <v>2019/2020-Ganjil</v>
      </c>
      <c r="R1612" t="s">
        <v>260</v>
      </c>
      <c r="S1612" t="str">
        <f t="shared" si="221"/>
        <v>PA</v>
      </c>
    </row>
    <row r="1613" spans="1:19" x14ac:dyDescent="0.3">
      <c r="A1613" t="s">
        <v>12</v>
      </c>
      <c r="B1613">
        <v>2016110044</v>
      </c>
      <c r="C1613" t="s">
        <v>305</v>
      </c>
      <c r="E1613" t="s">
        <v>90</v>
      </c>
      <c r="F1613" t="s">
        <v>91</v>
      </c>
      <c r="G1613">
        <v>2</v>
      </c>
      <c r="H1613" t="s">
        <v>260</v>
      </c>
      <c r="I1613" s="4">
        <f t="shared" si="222"/>
        <v>4</v>
      </c>
      <c r="J1613">
        <f t="shared" si="223"/>
        <v>8</v>
      </c>
      <c r="K1613">
        <v>64</v>
      </c>
      <c r="L1613">
        <v>20</v>
      </c>
      <c r="M1613" s="2">
        <v>3.2</v>
      </c>
      <c r="N1613" s="2">
        <v>3.21</v>
      </c>
      <c r="O1613">
        <v>0</v>
      </c>
      <c r="P1613">
        <v>1</v>
      </c>
      <c r="Q1613" s="4" t="str">
        <f t="shared" si="220"/>
        <v>2016/2017-Ganjil</v>
      </c>
      <c r="R1613" t="s">
        <v>260</v>
      </c>
      <c r="S1613" t="str">
        <f t="shared" si="221"/>
        <v>PA</v>
      </c>
    </row>
    <row r="1614" spans="1:19" x14ac:dyDescent="0.3">
      <c r="A1614" t="s">
        <v>12</v>
      </c>
      <c r="B1614">
        <v>2016110044</v>
      </c>
      <c r="C1614" t="s">
        <v>305</v>
      </c>
      <c r="E1614" t="s">
        <v>131</v>
      </c>
      <c r="F1614" t="s">
        <v>132</v>
      </c>
      <c r="G1614">
        <v>2</v>
      </c>
      <c r="H1614" t="s">
        <v>260</v>
      </c>
      <c r="I1614" s="4">
        <f t="shared" si="222"/>
        <v>4</v>
      </c>
      <c r="J1614">
        <f t="shared" si="223"/>
        <v>8</v>
      </c>
      <c r="K1614">
        <v>64</v>
      </c>
      <c r="L1614">
        <v>20</v>
      </c>
      <c r="M1614" s="2">
        <v>3.2</v>
      </c>
      <c r="N1614" s="2">
        <v>3.21</v>
      </c>
      <c r="O1614">
        <v>0</v>
      </c>
      <c r="P1614">
        <v>1</v>
      </c>
      <c r="Q1614" s="4" t="str">
        <f t="shared" si="220"/>
        <v>2016/2017-Ganjil</v>
      </c>
      <c r="R1614" t="s">
        <v>260</v>
      </c>
      <c r="S1614" t="str">
        <f t="shared" si="221"/>
        <v>PA</v>
      </c>
    </row>
    <row r="1615" spans="1:19" x14ac:dyDescent="0.3">
      <c r="A1615" t="s">
        <v>12</v>
      </c>
      <c r="B1615">
        <v>2016110044</v>
      </c>
      <c r="C1615" t="s">
        <v>305</v>
      </c>
      <c r="E1615" t="s">
        <v>192</v>
      </c>
      <c r="F1615" t="s">
        <v>106</v>
      </c>
      <c r="G1615">
        <v>2</v>
      </c>
      <c r="H1615" t="s">
        <v>260</v>
      </c>
      <c r="I1615" s="4">
        <f t="shared" si="222"/>
        <v>4</v>
      </c>
      <c r="J1615">
        <f t="shared" si="223"/>
        <v>8</v>
      </c>
      <c r="K1615">
        <v>72</v>
      </c>
      <c r="L1615">
        <v>22</v>
      </c>
      <c r="M1615" s="2">
        <v>3.27</v>
      </c>
      <c r="N1615" s="2">
        <v>3.21</v>
      </c>
      <c r="O1615">
        <v>0</v>
      </c>
      <c r="P1615">
        <v>3</v>
      </c>
      <c r="Q1615" s="4" t="str">
        <f t="shared" si="220"/>
        <v>2017/2018-Ganjil</v>
      </c>
      <c r="R1615" t="s">
        <v>260</v>
      </c>
      <c r="S1615" t="str">
        <f t="shared" si="221"/>
        <v>PA</v>
      </c>
    </row>
    <row r="1616" spans="1:19" x14ac:dyDescent="0.3">
      <c r="A1616" t="s">
        <v>12</v>
      </c>
      <c r="B1616">
        <v>2016110044</v>
      </c>
      <c r="C1616" t="s">
        <v>305</v>
      </c>
      <c r="E1616" t="s">
        <v>173</v>
      </c>
      <c r="F1616" t="s">
        <v>8</v>
      </c>
      <c r="G1616">
        <v>2</v>
      </c>
      <c r="H1616" t="s">
        <v>260</v>
      </c>
      <c r="I1616" s="4">
        <f t="shared" si="222"/>
        <v>4</v>
      </c>
      <c r="J1616">
        <f t="shared" si="223"/>
        <v>8</v>
      </c>
      <c r="K1616">
        <v>72</v>
      </c>
      <c r="L1616">
        <v>22</v>
      </c>
      <c r="M1616" s="2">
        <v>3.27</v>
      </c>
      <c r="N1616" s="2">
        <v>3.21</v>
      </c>
      <c r="O1616">
        <v>0</v>
      </c>
      <c r="P1616">
        <v>3</v>
      </c>
      <c r="Q1616" s="4" t="str">
        <f t="shared" si="220"/>
        <v>2017/2018-Ganjil</v>
      </c>
      <c r="R1616" t="s">
        <v>260</v>
      </c>
      <c r="S1616" t="str">
        <f t="shared" si="221"/>
        <v>PA</v>
      </c>
    </row>
    <row r="1617" spans="1:19" x14ac:dyDescent="0.3">
      <c r="A1617" t="s">
        <v>12</v>
      </c>
      <c r="B1617">
        <v>2016110044</v>
      </c>
      <c r="C1617" t="s">
        <v>305</v>
      </c>
      <c r="E1617" t="s">
        <v>248</v>
      </c>
      <c r="F1617" t="s">
        <v>249</v>
      </c>
      <c r="G1617">
        <v>2</v>
      </c>
      <c r="H1617" t="s">
        <v>260</v>
      </c>
      <c r="I1617" s="4">
        <f t="shared" si="222"/>
        <v>4</v>
      </c>
      <c r="J1617">
        <f t="shared" si="223"/>
        <v>8</v>
      </c>
      <c r="K1617">
        <v>64</v>
      </c>
      <c r="L1617">
        <v>24</v>
      </c>
      <c r="M1617" s="2">
        <v>2.67</v>
      </c>
      <c r="N1617" s="2">
        <v>3.21</v>
      </c>
      <c r="O1617">
        <v>0</v>
      </c>
      <c r="P1617">
        <v>4</v>
      </c>
      <c r="Q1617" s="4" t="str">
        <f t="shared" si="220"/>
        <v>2017/2018-Genap</v>
      </c>
      <c r="R1617" t="s">
        <v>260</v>
      </c>
      <c r="S1617" t="str">
        <f t="shared" si="221"/>
        <v>PA</v>
      </c>
    </row>
    <row r="1618" spans="1:19" x14ac:dyDescent="0.3">
      <c r="A1618" t="s">
        <v>12</v>
      </c>
      <c r="B1618">
        <v>2016110044</v>
      </c>
      <c r="C1618" t="s">
        <v>305</v>
      </c>
      <c r="E1618" t="s">
        <v>297</v>
      </c>
      <c r="F1618" t="s">
        <v>342</v>
      </c>
      <c r="G1618">
        <v>4</v>
      </c>
      <c r="H1618" t="s">
        <v>260</v>
      </c>
      <c r="I1618" s="4">
        <f t="shared" si="222"/>
        <v>4</v>
      </c>
      <c r="J1618">
        <f t="shared" si="223"/>
        <v>16</v>
      </c>
      <c r="K1618">
        <v>74</v>
      </c>
      <c r="L1618">
        <v>22</v>
      </c>
      <c r="M1618" s="2">
        <v>3.36</v>
      </c>
      <c r="N1618" s="2">
        <v>3.21</v>
      </c>
      <c r="O1618">
        <v>0</v>
      </c>
      <c r="P1618">
        <v>6</v>
      </c>
      <c r="Q1618" s="4" t="str">
        <f t="shared" si="220"/>
        <v>2018/2019-Genap</v>
      </c>
      <c r="R1618" t="s">
        <v>260</v>
      </c>
      <c r="S1618" t="str">
        <f t="shared" si="221"/>
        <v>PA</v>
      </c>
    </row>
    <row r="1619" spans="1:19" x14ac:dyDescent="0.3">
      <c r="A1619" t="s">
        <v>12</v>
      </c>
      <c r="B1619">
        <v>2016110044</v>
      </c>
      <c r="C1619" t="s">
        <v>305</v>
      </c>
      <c r="E1619" t="s">
        <v>273</v>
      </c>
      <c r="F1619" t="s">
        <v>274</v>
      </c>
      <c r="G1619">
        <v>2</v>
      </c>
      <c r="H1619" t="s">
        <v>260</v>
      </c>
      <c r="I1619" s="4">
        <f t="shared" si="222"/>
        <v>4</v>
      </c>
      <c r="J1619">
        <f t="shared" si="223"/>
        <v>8</v>
      </c>
      <c r="K1619">
        <v>74</v>
      </c>
      <c r="L1619">
        <v>22</v>
      </c>
      <c r="M1619" s="2">
        <v>3.36</v>
      </c>
      <c r="N1619" s="2">
        <v>3.21</v>
      </c>
      <c r="O1619">
        <v>0</v>
      </c>
      <c r="P1619">
        <v>6</v>
      </c>
      <c r="Q1619" s="4" t="str">
        <f t="shared" si="220"/>
        <v>2018/2019-Genap</v>
      </c>
      <c r="R1619" t="s">
        <v>260</v>
      </c>
      <c r="S1619" t="str">
        <f t="shared" si="221"/>
        <v>PA</v>
      </c>
    </row>
    <row r="1620" spans="1:19" x14ac:dyDescent="0.3">
      <c r="A1620" t="s">
        <v>12</v>
      </c>
      <c r="B1620">
        <v>2016110044</v>
      </c>
      <c r="C1620" t="s">
        <v>305</v>
      </c>
      <c r="E1620" t="s">
        <v>290</v>
      </c>
      <c r="F1620" t="s">
        <v>327</v>
      </c>
      <c r="G1620">
        <v>4</v>
      </c>
      <c r="H1620" t="s">
        <v>260</v>
      </c>
      <c r="I1620" s="4">
        <f t="shared" si="222"/>
        <v>4</v>
      </c>
      <c r="J1620">
        <f t="shared" si="223"/>
        <v>16</v>
      </c>
      <c r="K1620">
        <v>58</v>
      </c>
      <c r="L1620">
        <v>20</v>
      </c>
      <c r="M1620" s="2">
        <v>2.9</v>
      </c>
      <c r="N1620" s="2">
        <v>3.21</v>
      </c>
      <c r="O1620">
        <v>0</v>
      </c>
      <c r="P1620">
        <v>2</v>
      </c>
      <c r="Q1620" s="4" t="str">
        <f t="shared" si="220"/>
        <v>2016/2017-Genap</v>
      </c>
      <c r="R1620" t="s">
        <v>260</v>
      </c>
      <c r="S1620" t="str">
        <f t="shared" si="221"/>
        <v>PA</v>
      </c>
    </row>
    <row r="1621" spans="1:19" x14ac:dyDescent="0.3">
      <c r="A1621" t="s">
        <v>12</v>
      </c>
      <c r="B1621">
        <v>2016110044</v>
      </c>
      <c r="C1621" t="s">
        <v>305</v>
      </c>
      <c r="E1621" t="s">
        <v>283</v>
      </c>
      <c r="F1621" t="s">
        <v>284</v>
      </c>
      <c r="G1621">
        <v>2</v>
      </c>
      <c r="H1621" t="s">
        <v>260</v>
      </c>
      <c r="I1621" s="4">
        <f t="shared" si="222"/>
        <v>4</v>
      </c>
      <c r="J1621">
        <f t="shared" si="223"/>
        <v>8</v>
      </c>
      <c r="K1621">
        <v>50</v>
      </c>
      <c r="L1621">
        <v>14</v>
      </c>
      <c r="M1621" s="2">
        <v>3.57</v>
      </c>
      <c r="N1621" s="2">
        <v>3.21</v>
      </c>
      <c r="O1621">
        <v>0</v>
      </c>
      <c r="P1621">
        <v>7</v>
      </c>
      <c r="Q1621" s="4" t="str">
        <f t="shared" si="220"/>
        <v>2019/2020-Ganjil</v>
      </c>
      <c r="R1621" t="s">
        <v>260</v>
      </c>
      <c r="S1621" t="str">
        <f t="shared" si="221"/>
        <v>PA</v>
      </c>
    </row>
    <row r="1622" spans="1:19" x14ac:dyDescent="0.3">
      <c r="A1622" t="s">
        <v>12</v>
      </c>
      <c r="B1622">
        <v>2016110044</v>
      </c>
      <c r="C1622" t="s">
        <v>305</v>
      </c>
      <c r="E1622" t="s">
        <v>165</v>
      </c>
      <c r="F1622" t="s">
        <v>166</v>
      </c>
      <c r="G1622">
        <v>2</v>
      </c>
      <c r="H1622" t="s">
        <v>260</v>
      </c>
      <c r="I1622" s="4">
        <f t="shared" si="222"/>
        <v>4</v>
      </c>
      <c r="J1622">
        <f t="shared" si="223"/>
        <v>8</v>
      </c>
      <c r="K1622">
        <v>64</v>
      </c>
      <c r="L1622">
        <v>20</v>
      </c>
      <c r="M1622" s="2">
        <v>3.2</v>
      </c>
      <c r="N1622" s="2">
        <v>3.21</v>
      </c>
      <c r="O1622">
        <v>0</v>
      </c>
      <c r="P1622">
        <v>1</v>
      </c>
      <c r="Q1622" s="4" t="str">
        <f t="shared" si="220"/>
        <v>2016/2017-Ganjil</v>
      </c>
      <c r="R1622" t="s">
        <v>260</v>
      </c>
      <c r="S1622" t="str">
        <f t="shared" si="221"/>
        <v>PA</v>
      </c>
    </row>
    <row r="1623" spans="1:19" x14ac:dyDescent="0.3">
      <c r="A1623" t="s">
        <v>12</v>
      </c>
      <c r="B1623">
        <v>2016110044</v>
      </c>
      <c r="C1623" t="s">
        <v>305</v>
      </c>
      <c r="E1623" t="s">
        <v>344</v>
      </c>
      <c r="F1623" t="s">
        <v>345</v>
      </c>
      <c r="G1623">
        <v>2</v>
      </c>
      <c r="H1623" t="s">
        <v>260</v>
      </c>
      <c r="I1623" s="4">
        <f t="shared" si="222"/>
        <v>4</v>
      </c>
      <c r="J1623">
        <f t="shared" si="223"/>
        <v>8</v>
      </c>
      <c r="K1623">
        <v>50</v>
      </c>
      <c r="L1623">
        <v>14</v>
      </c>
      <c r="M1623" s="2">
        <v>3.57</v>
      </c>
      <c r="N1623" s="2">
        <v>3.21</v>
      </c>
      <c r="O1623">
        <v>0</v>
      </c>
      <c r="P1623">
        <v>7</v>
      </c>
      <c r="Q1623" s="4" t="str">
        <f t="shared" si="220"/>
        <v>2019/2020-Ganjil</v>
      </c>
      <c r="R1623" t="s">
        <v>260</v>
      </c>
      <c r="S1623" t="str">
        <f t="shared" si="221"/>
        <v>PA</v>
      </c>
    </row>
    <row r="1624" spans="1:19" x14ac:dyDescent="0.3">
      <c r="A1624" t="s">
        <v>12</v>
      </c>
      <c r="B1624">
        <v>2016110044</v>
      </c>
      <c r="C1624" t="s">
        <v>305</v>
      </c>
      <c r="E1624" t="s">
        <v>77</v>
      </c>
      <c r="F1624" t="s">
        <v>78</v>
      </c>
      <c r="G1624">
        <v>2</v>
      </c>
      <c r="H1624" t="s">
        <v>260</v>
      </c>
      <c r="I1624" s="4">
        <f t="shared" si="222"/>
        <v>4</v>
      </c>
      <c r="J1624">
        <f t="shared" si="223"/>
        <v>8</v>
      </c>
      <c r="K1624">
        <v>64</v>
      </c>
      <c r="L1624">
        <v>20</v>
      </c>
      <c r="M1624" s="2">
        <v>3.2</v>
      </c>
      <c r="N1624" s="2">
        <v>3.21</v>
      </c>
      <c r="O1624">
        <v>0</v>
      </c>
      <c r="P1624">
        <v>1</v>
      </c>
      <c r="Q1624" s="4" t="str">
        <f t="shared" si="220"/>
        <v>2016/2017-Ganjil</v>
      </c>
      <c r="R1624" t="s">
        <v>260</v>
      </c>
      <c r="S1624" t="str">
        <f t="shared" si="221"/>
        <v>PA</v>
      </c>
    </row>
    <row r="1625" spans="1:19" x14ac:dyDescent="0.3">
      <c r="A1625" t="s">
        <v>12</v>
      </c>
      <c r="B1625">
        <v>2016110044</v>
      </c>
      <c r="C1625" t="s">
        <v>305</v>
      </c>
      <c r="E1625" t="s">
        <v>279</v>
      </c>
      <c r="F1625" t="s">
        <v>280</v>
      </c>
      <c r="G1625">
        <v>2</v>
      </c>
      <c r="H1625" t="s">
        <v>260</v>
      </c>
      <c r="I1625" s="4">
        <f t="shared" si="222"/>
        <v>4</v>
      </c>
      <c r="J1625">
        <f t="shared" si="223"/>
        <v>8</v>
      </c>
      <c r="K1625">
        <v>58</v>
      </c>
      <c r="L1625">
        <v>20</v>
      </c>
      <c r="M1625" s="2">
        <v>2.9</v>
      </c>
      <c r="N1625" s="2">
        <v>3.21</v>
      </c>
      <c r="O1625">
        <v>0</v>
      </c>
      <c r="P1625">
        <v>2</v>
      </c>
      <c r="Q1625" s="4" t="str">
        <f t="shared" si="220"/>
        <v>2016/2017-Genap</v>
      </c>
      <c r="R1625" t="s">
        <v>260</v>
      </c>
      <c r="S1625" t="str">
        <f t="shared" si="221"/>
        <v>PA</v>
      </c>
    </row>
    <row r="1626" spans="1:19" x14ac:dyDescent="0.3">
      <c r="A1626" t="s">
        <v>12</v>
      </c>
      <c r="B1626">
        <v>2016110044</v>
      </c>
      <c r="C1626" t="s">
        <v>305</v>
      </c>
      <c r="E1626" t="s">
        <v>241</v>
      </c>
      <c r="F1626" t="s">
        <v>45</v>
      </c>
      <c r="G1626">
        <v>2</v>
      </c>
      <c r="H1626" t="s">
        <v>260</v>
      </c>
      <c r="I1626" s="4">
        <f t="shared" si="222"/>
        <v>4</v>
      </c>
      <c r="J1626">
        <f t="shared" si="223"/>
        <v>8</v>
      </c>
      <c r="K1626">
        <v>72</v>
      </c>
      <c r="L1626">
        <v>22</v>
      </c>
      <c r="M1626" s="2">
        <v>3.27</v>
      </c>
      <c r="N1626" s="2">
        <v>3.21</v>
      </c>
      <c r="O1626">
        <v>0</v>
      </c>
      <c r="P1626">
        <v>3</v>
      </c>
      <c r="Q1626" s="4" t="str">
        <f t="shared" si="220"/>
        <v>2017/2018-Ganjil</v>
      </c>
      <c r="R1626" t="s">
        <v>260</v>
      </c>
      <c r="S1626" t="str">
        <f t="shared" si="221"/>
        <v>PA</v>
      </c>
    </row>
    <row r="1627" spans="1:19" x14ac:dyDescent="0.3">
      <c r="A1627" t="s">
        <v>12</v>
      </c>
      <c r="B1627">
        <v>2016110044</v>
      </c>
      <c r="C1627" t="s">
        <v>305</v>
      </c>
      <c r="E1627" t="s">
        <v>293</v>
      </c>
      <c r="F1627" t="s">
        <v>294</v>
      </c>
      <c r="G1627">
        <v>2</v>
      </c>
      <c r="H1627" t="s">
        <v>260</v>
      </c>
      <c r="I1627" s="4">
        <f t="shared" si="222"/>
        <v>4</v>
      </c>
      <c r="J1627">
        <f t="shared" si="223"/>
        <v>8</v>
      </c>
      <c r="K1627">
        <v>70</v>
      </c>
      <c r="L1627">
        <v>22</v>
      </c>
      <c r="M1627" s="2">
        <v>3.18</v>
      </c>
      <c r="N1627" s="2">
        <v>3.21</v>
      </c>
      <c r="O1627">
        <v>0</v>
      </c>
      <c r="P1627">
        <v>5</v>
      </c>
      <c r="Q1627" s="4" t="str">
        <f t="shared" si="220"/>
        <v>2018/2019-Ganjil</v>
      </c>
      <c r="R1627" t="s">
        <v>260</v>
      </c>
      <c r="S1627" t="str">
        <f t="shared" si="221"/>
        <v>PA</v>
      </c>
    </row>
    <row r="1628" spans="1:19" x14ac:dyDescent="0.3">
      <c r="A1628" t="s">
        <v>12</v>
      </c>
      <c r="B1628">
        <v>2016110044</v>
      </c>
      <c r="C1628" t="s">
        <v>305</v>
      </c>
      <c r="E1628" t="s">
        <v>427</v>
      </c>
      <c r="F1628" t="s">
        <v>428</v>
      </c>
      <c r="G1628">
        <v>2</v>
      </c>
      <c r="H1628" t="s">
        <v>260</v>
      </c>
      <c r="I1628" s="4">
        <f t="shared" si="222"/>
        <v>4</v>
      </c>
      <c r="J1628">
        <f t="shared" si="223"/>
        <v>8</v>
      </c>
      <c r="K1628">
        <v>74</v>
      </c>
      <c r="L1628">
        <v>22</v>
      </c>
      <c r="M1628" s="2">
        <v>3.36</v>
      </c>
      <c r="N1628" s="2">
        <v>3.21</v>
      </c>
      <c r="O1628">
        <v>0</v>
      </c>
      <c r="P1628">
        <v>6</v>
      </c>
      <c r="Q1628" s="4" t="str">
        <f t="shared" si="220"/>
        <v>2018/2019-Genap</v>
      </c>
      <c r="R1628" t="s">
        <v>260</v>
      </c>
      <c r="S1628" t="str">
        <f t="shared" si="221"/>
        <v>PA</v>
      </c>
    </row>
    <row r="1629" spans="1:19" x14ac:dyDescent="0.3">
      <c r="A1629" t="s">
        <v>12</v>
      </c>
      <c r="B1629">
        <v>2016110044</v>
      </c>
      <c r="C1629" t="s">
        <v>305</v>
      </c>
      <c r="E1629" t="s">
        <v>244</v>
      </c>
      <c r="F1629" t="s">
        <v>228</v>
      </c>
      <c r="G1629">
        <v>2</v>
      </c>
      <c r="H1629" t="s">
        <v>260</v>
      </c>
      <c r="I1629" s="4">
        <f t="shared" si="222"/>
        <v>4</v>
      </c>
      <c r="J1629">
        <f t="shared" si="223"/>
        <v>8</v>
      </c>
      <c r="K1629">
        <v>64</v>
      </c>
      <c r="L1629">
        <v>24</v>
      </c>
      <c r="M1629" s="2">
        <v>2.67</v>
      </c>
      <c r="N1629" s="2">
        <v>3.21</v>
      </c>
      <c r="O1629">
        <v>0</v>
      </c>
      <c r="P1629">
        <v>4</v>
      </c>
      <c r="Q1629" s="4" t="str">
        <f t="shared" si="220"/>
        <v>2017/2018-Genap</v>
      </c>
      <c r="R1629" t="s">
        <v>260</v>
      </c>
      <c r="S1629" t="str">
        <f t="shared" si="221"/>
        <v>PA</v>
      </c>
    </row>
    <row r="1630" spans="1:19" x14ac:dyDescent="0.3">
      <c r="A1630" t="s">
        <v>12</v>
      </c>
      <c r="B1630">
        <v>2016110044</v>
      </c>
      <c r="C1630" t="s">
        <v>305</v>
      </c>
      <c r="E1630" t="s">
        <v>151</v>
      </c>
      <c r="F1630" t="s">
        <v>152</v>
      </c>
      <c r="G1630">
        <v>2</v>
      </c>
      <c r="H1630" t="s">
        <v>438</v>
      </c>
      <c r="I1630" s="4">
        <f t="shared" si="222"/>
        <v>3</v>
      </c>
      <c r="J1630">
        <f t="shared" si="223"/>
        <v>6</v>
      </c>
      <c r="K1630">
        <v>64</v>
      </c>
      <c r="L1630">
        <v>20</v>
      </c>
      <c r="M1630" s="2">
        <v>3.2</v>
      </c>
      <c r="N1630" s="2">
        <v>3.21</v>
      </c>
      <c r="O1630">
        <v>0</v>
      </c>
      <c r="P1630">
        <v>1</v>
      </c>
      <c r="Q1630" s="4" t="str">
        <f t="shared" si="220"/>
        <v>2016/2017-Ganjil</v>
      </c>
      <c r="R1630" t="s">
        <v>260</v>
      </c>
      <c r="S1630" t="str">
        <f t="shared" si="221"/>
        <v>PA</v>
      </c>
    </row>
    <row r="1631" spans="1:19" x14ac:dyDescent="0.3">
      <c r="A1631" t="s">
        <v>12</v>
      </c>
      <c r="B1631">
        <v>2016110044</v>
      </c>
      <c r="C1631" t="s">
        <v>305</v>
      </c>
      <c r="E1631" t="s">
        <v>139</v>
      </c>
      <c r="F1631" t="s">
        <v>140</v>
      </c>
      <c r="G1631">
        <v>2</v>
      </c>
      <c r="H1631" t="s">
        <v>438</v>
      </c>
      <c r="I1631" s="4">
        <f t="shared" si="222"/>
        <v>3</v>
      </c>
      <c r="J1631">
        <f t="shared" si="223"/>
        <v>6</v>
      </c>
      <c r="K1631">
        <v>58</v>
      </c>
      <c r="L1631">
        <v>20</v>
      </c>
      <c r="M1631" s="2">
        <v>2.9</v>
      </c>
      <c r="N1631" s="2">
        <v>3.21</v>
      </c>
      <c r="O1631">
        <v>0</v>
      </c>
      <c r="P1631">
        <v>2</v>
      </c>
      <c r="Q1631" s="4" t="str">
        <f t="shared" si="220"/>
        <v>2016/2017-Genap</v>
      </c>
      <c r="R1631" t="s">
        <v>260</v>
      </c>
      <c r="S1631" t="str">
        <f t="shared" si="221"/>
        <v>PA</v>
      </c>
    </row>
    <row r="1632" spans="1:19" x14ac:dyDescent="0.3">
      <c r="A1632" t="s">
        <v>12</v>
      </c>
      <c r="B1632">
        <v>2016110044</v>
      </c>
      <c r="C1632" t="s">
        <v>305</v>
      </c>
      <c r="E1632" t="s">
        <v>170</v>
      </c>
      <c r="F1632" t="s">
        <v>171</v>
      </c>
      <c r="G1632">
        <v>4</v>
      </c>
      <c r="H1632" t="s">
        <v>438</v>
      </c>
      <c r="I1632" s="4">
        <f t="shared" si="222"/>
        <v>3</v>
      </c>
      <c r="J1632">
        <f t="shared" si="223"/>
        <v>12</v>
      </c>
      <c r="K1632">
        <v>72</v>
      </c>
      <c r="L1632">
        <v>22</v>
      </c>
      <c r="M1632" s="2">
        <v>3.27</v>
      </c>
      <c r="N1632" s="2">
        <v>3.21</v>
      </c>
      <c r="O1632">
        <v>0</v>
      </c>
      <c r="P1632">
        <v>3</v>
      </c>
      <c r="Q1632" s="4" t="str">
        <f t="shared" si="220"/>
        <v>2017/2018-Ganjil</v>
      </c>
      <c r="R1632" t="s">
        <v>260</v>
      </c>
      <c r="S1632" t="str">
        <f t="shared" si="221"/>
        <v>PA</v>
      </c>
    </row>
    <row r="1633" spans="1:19" x14ac:dyDescent="0.3">
      <c r="A1633" t="s">
        <v>12</v>
      </c>
      <c r="B1633">
        <v>2016110044</v>
      </c>
      <c r="C1633" t="s">
        <v>305</v>
      </c>
      <c r="E1633" t="s">
        <v>357</v>
      </c>
      <c r="F1633" t="s">
        <v>358</v>
      </c>
      <c r="G1633">
        <v>4</v>
      </c>
      <c r="H1633" t="s">
        <v>438</v>
      </c>
      <c r="I1633" s="4">
        <f t="shared" si="222"/>
        <v>3</v>
      </c>
      <c r="J1633">
        <f t="shared" si="223"/>
        <v>12</v>
      </c>
      <c r="K1633">
        <v>70</v>
      </c>
      <c r="L1633">
        <v>22</v>
      </c>
      <c r="M1633" s="2">
        <v>3.18</v>
      </c>
      <c r="N1633" s="2">
        <v>3.21</v>
      </c>
      <c r="O1633">
        <v>0</v>
      </c>
      <c r="P1633">
        <v>5</v>
      </c>
      <c r="Q1633" s="4" t="str">
        <f t="shared" si="220"/>
        <v>2018/2019-Ganjil</v>
      </c>
      <c r="R1633" t="s">
        <v>260</v>
      </c>
      <c r="S1633" t="str">
        <f t="shared" si="221"/>
        <v>PA</v>
      </c>
    </row>
    <row r="1634" spans="1:19" x14ac:dyDescent="0.3">
      <c r="A1634" t="s">
        <v>12</v>
      </c>
      <c r="B1634">
        <v>2016110044</v>
      </c>
      <c r="C1634" t="s">
        <v>305</v>
      </c>
      <c r="E1634" t="s">
        <v>330</v>
      </c>
      <c r="F1634" t="s">
        <v>108</v>
      </c>
      <c r="G1634">
        <v>2</v>
      </c>
      <c r="H1634" t="s">
        <v>438</v>
      </c>
      <c r="I1634" s="4">
        <f t="shared" si="222"/>
        <v>3</v>
      </c>
      <c r="J1634">
        <f t="shared" si="223"/>
        <v>6</v>
      </c>
      <c r="K1634">
        <v>50</v>
      </c>
      <c r="L1634">
        <v>14</v>
      </c>
      <c r="M1634" s="2">
        <v>3.57</v>
      </c>
      <c r="N1634" s="2">
        <v>3.21</v>
      </c>
      <c r="O1634">
        <v>0</v>
      </c>
      <c r="P1634">
        <v>7</v>
      </c>
      <c r="Q1634" s="4" t="str">
        <f t="shared" si="220"/>
        <v>2019/2020-Ganjil</v>
      </c>
      <c r="R1634" t="s">
        <v>260</v>
      </c>
      <c r="S1634" t="str">
        <f t="shared" si="221"/>
        <v>PA</v>
      </c>
    </row>
    <row r="1635" spans="1:19" x14ac:dyDescent="0.3">
      <c r="A1635" t="s">
        <v>12</v>
      </c>
      <c r="B1635">
        <v>2016110044</v>
      </c>
      <c r="C1635" t="s">
        <v>305</v>
      </c>
      <c r="E1635" t="s">
        <v>382</v>
      </c>
      <c r="F1635" t="s">
        <v>383</v>
      </c>
      <c r="G1635">
        <v>4</v>
      </c>
      <c r="H1635" t="s">
        <v>438</v>
      </c>
      <c r="I1635" s="4">
        <f t="shared" si="222"/>
        <v>3</v>
      </c>
      <c r="J1635">
        <f t="shared" si="223"/>
        <v>12</v>
      </c>
      <c r="K1635">
        <v>70</v>
      </c>
      <c r="L1635">
        <v>22</v>
      </c>
      <c r="M1635" s="2">
        <v>3.18</v>
      </c>
      <c r="N1635" s="2">
        <v>3.21</v>
      </c>
      <c r="O1635">
        <v>0</v>
      </c>
      <c r="P1635">
        <v>5</v>
      </c>
      <c r="Q1635" s="4" t="str">
        <f t="shared" si="220"/>
        <v>2018/2019-Ganjil</v>
      </c>
      <c r="R1635" t="s">
        <v>260</v>
      </c>
      <c r="S1635" t="str">
        <f t="shared" si="221"/>
        <v>PA</v>
      </c>
    </row>
    <row r="1636" spans="1:19" x14ac:dyDescent="0.3">
      <c r="A1636" t="s">
        <v>12</v>
      </c>
      <c r="B1636">
        <v>2016110044</v>
      </c>
      <c r="C1636" t="s">
        <v>305</v>
      </c>
      <c r="E1636" t="s">
        <v>14</v>
      </c>
      <c r="F1636" t="s">
        <v>15</v>
      </c>
      <c r="G1636">
        <v>2</v>
      </c>
      <c r="H1636" t="s">
        <v>438</v>
      </c>
      <c r="I1636" s="4">
        <f t="shared" si="222"/>
        <v>3</v>
      </c>
      <c r="J1636">
        <f t="shared" si="223"/>
        <v>6</v>
      </c>
      <c r="K1636">
        <v>14</v>
      </c>
      <c r="L1636">
        <v>6</v>
      </c>
      <c r="M1636" s="2">
        <v>2.33</v>
      </c>
      <c r="N1636" s="2">
        <v>3.21</v>
      </c>
      <c r="O1636">
        <v>0</v>
      </c>
      <c r="P1636">
        <v>8</v>
      </c>
      <c r="Q1636" s="4" t="str">
        <f t="shared" si="220"/>
        <v>2019/2020-Genap</v>
      </c>
      <c r="R1636" t="s">
        <v>596</v>
      </c>
      <c r="S1636" t="str">
        <f t="shared" si="221"/>
        <v>PA</v>
      </c>
    </row>
    <row r="1637" spans="1:19" x14ac:dyDescent="0.3">
      <c r="A1637" t="s">
        <v>12</v>
      </c>
      <c r="B1637">
        <v>2016110044</v>
      </c>
      <c r="C1637" t="s">
        <v>305</v>
      </c>
      <c r="E1637" t="s">
        <v>370</v>
      </c>
      <c r="F1637" t="s">
        <v>371</v>
      </c>
      <c r="G1637">
        <v>2</v>
      </c>
      <c r="H1637" t="s">
        <v>438</v>
      </c>
      <c r="I1637" s="4">
        <f t="shared" si="222"/>
        <v>3</v>
      </c>
      <c r="J1637">
        <f t="shared" si="223"/>
        <v>6</v>
      </c>
      <c r="K1637">
        <v>70</v>
      </c>
      <c r="L1637">
        <v>22</v>
      </c>
      <c r="M1637" s="2">
        <v>3.18</v>
      </c>
      <c r="N1637" s="2">
        <v>3.21</v>
      </c>
      <c r="O1637">
        <v>0</v>
      </c>
      <c r="P1637">
        <v>5</v>
      </c>
      <c r="Q1637" s="4" t="str">
        <f t="shared" si="220"/>
        <v>2018/2019-Ganjil</v>
      </c>
      <c r="R1637" t="s">
        <v>260</v>
      </c>
      <c r="S1637" t="str">
        <f t="shared" si="221"/>
        <v>PA</v>
      </c>
    </row>
    <row r="1638" spans="1:19" x14ac:dyDescent="0.3">
      <c r="A1638" t="s">
        <v>12</v>
      </c>
      <c r="B1638">
        <v>2016110044</v>
      </c>
      <c r="C1638" t="s">
        <v>305</v>
      </c>
      <c r="E1638" t="s">
        <v>446</v>
      </c>
      <c r="F1638" t="s">
        <v>447</v>
      </c>
      <c r="G1638">
        <v>2</v>
      </c>
      <c r="H1638" t="s">
        <v>438</v>
      </c>
      <c r="I1638" s="4">
        <f t="shared" si="222"/>
        <v>3</v>
      </c>
      <c r="J1638">
        <f t="shared" si="223"/>
        <v>6</v>
      </c>
      <c r="K1638">
        <v>74</v>
      </c>
      <c r="L1638">
        <v>22</v>
      </c>
      <c r="M1638" s="2">
        <v>3.36</v>
      </c>
      <c r="N1638" s="2">
        <v>3.21</v>
      </c>
      <c r="O1638">
        <v>0</v>
      </c>
      <c r="P1638">
        <v>6</v>
      </c>
      <c r="Q1638" s="4" t="str">
        <f t="shared" si="220"/>
        <v>2018/2019-Genap</v>
      </c>
      <c r="R1638" t="s">
        <v>260</v>
      </c>
      <c r="S1638" t="str">
        <f t="shared" si="221"/>
        <v>PA</v>
      </c>
    </row>
    <row r="1639" spans="1:19" x14ac:dyDescent="0.3">
      <c r="A1639" t="s">
        <v>12</v>
      </c>
      <c r="B1639">
        <v>2016110044</v>
      </c>
      <c r="C1639" t="s">
        <v>305</v>
      </c>
      <c r="E1639" t="s">
        <v>387</v>
      </c>
      <c r="F1639" t="s">
        <v>388</v>
      </c>
      <c r="G1639">
        <v>2</v>
      </c>
      <c r="H1639" t="s">
        <v>438</v>
      </c>
      <c r="I1639" s="4">
        <f t="shared" si="222"/>
        <v>3</v>
      </c>
      <c r="J1639">
        <f t="shared" si="223"/>
        <v>6</v>
      </c>
      <c r="K1639">
        <v>74</v>
      </c>
      <c r="L1639">
        <v>22</v>
      </c>
      <c r="M1639" s="2">
        <v>3.36</v>
      </c>
      <c r="N1639" s="2">
        <v>3.21</v>
      </c>
      <c r="O1639">
        <v>0</v>
      </c>
      <c r="P1639">
        <v>6</v>
      </c>
      <c r="Q1639" s="4" t="str">
        <f t="shared" si="220"/>
        <v>2018/2019-Genap</v>
      </c>
      <c r="R1639" t="s">
        <v>260</v>
      </c>
      <c r="S1639" t="str">
        <f t="shared" si="221"/>
        <v>PA</v>
      </c>
    </row>
    <row r="1640" spans="1:19" x14ac:dyDescent="0.3">
      <c r="A1640" t="s">
        <v>12</v>
      </c>
      <c r="B1640">
        <v>2016110044</v>
      </c>
      <c r="C1640" t="s">
        <v>305</v>
      </c>
      <c r="E1640" t="s">
        <v>142</v>
      </c>
      <c r="F1640" t="s">
        <v>143</v>
      </c>
      <c r="G1640">
        <v>2</v>
      </c>
      <c r="H1640" t="s">
        <v>438</v>
      </c>
      <c r="I1640" s="4">
        <f t="shared" si="222"/>
        <v>3</v>
      </c>
      <c r="J1640">
        <f t="shared" si="223"/>
        <v>6</v>
      </c>
      <c r="K1640">
        <v>64</v>
      </c>
      <c r="L1640">
        <v>20</v>
      </c>
      <c r="M1640" s="2">
        <v>3.2</v>
      </c>
      <c r="N1640" s="2">
        <v>3.21</v>
      </c>
      <c r="O1640">
        <v>0</v>
      </c>
      <c r="P1640">
        <v>1</v>
      </c>
      <c r="Q1640" s="4" t="str">
        <f t="shared" si="220"/>
        <v>2016/2017-Ganjil</v>
      </c>
      <c r="R1640" t="s">
        <v>260</v>
      </c>
      <c r="S1640" t="str">
        <f t="shared" si="221"/>
        <v>PA</v>
      </c>
    </row>
    <row r="1641" spans="1:19" x14ac:dyDescent="0.3">
      <c r="A1641" t="s">
        <v>12</v>
      </c>
      <c r="B1641">
        <v>2016110044</v>
      </c>
      <c r="C1641" t="s">
        <v>305</v>
      </c>
      <c r="E1641" t="s">
        <v>334</v>
      </c>
      <c r="F1641" t="s">
        <v>335</v>
      </c>
      <c r="G1641">
        <v>2</v>
      </c>
      <c r="H1641" t="s">
        <v>438</v>
      </c>
      <c r="I1641" s="4">
        <f t="shared" si="222"/>
        <v>3</v>
      </c>
      <c r="J1641">
        <f t="shared" si="223"/>
        <v>6</v>
      </c>
      <c r="K1641">
        <v>70</v>
      </c>
      <c r="L1641">
        <v>22</v>
      </c>
      <c r="M1641" s="2">
        <v>3.18</v>
      </c>
      <c r="N1641" s="2">
        <v>3.21</v>
      </c>
      <c r="O1641">
        <v>0</v>
      </c>
      <c r="P1641">
        <v>5</v>
      </c>
      <c r="Q1641" s="4" t="str">
        <f t="shared" si="220"/>
        <v>2018/2019-Ganjil</v>
      </c>
      <c r="R1641" t="s">
        <v>260</v>
      </c>
      <c r="S1641" t="str">
        <f t="shared" si="221"/>
        <v>PA</v>
      </c>
    </row>
    <row r="1642" spans="1:19" x14ac:dyDescent="0.3">
      <c r="A1642" t="s">
        <v>12</v>
      </c>
      <c r="B1642">
        <v>2016110044</v>
      </c>
      <c r="C1642" t="s">
        <v>305</v>
      </c>
      <c r="E1642" t="s">
        <v>205</v>
      </c>
      <c r="F1642" t="s">
        <v>116</v>
      </c>
      <c r="G1642">
        <v>4</v>
      </c>
      <c r="H1642" t="s">
        <v>438</v>
      </c>
      <c r="I1642" s="4">
        <f t="shared" si="222"/>
        <v>3</v>
      </c>
      <c r="J1642">
        <f t="shared" si="223"/>
        <v>12</v>
      </c>
      <c r="K1642">
        <v>72</v>
      </c>
      <c r="L1642">
        <v>22</v>
      </c>
      <c r="M1642" s="2">
        <v>3.27</v>
      </c>
      <c r="N1642" s="2">
        <v>3.21</v>
      </c>
      <c r="O1642">
        <v>0</v>
      </c>
      <c r="P1642">
        <v>3</v>
      </c>
      <c r="Q1642" s="4" t="str">
        <f t="shared" si="220"/>
        <v>2017/2018-Ganjil</v>
      </c>
      <c r="R1642" t="s">
        <v>260</v>
      </c>
      <c r="S1642" t="str">
        <f t="shared" si="221"/>
        <v>PA</v>
      </c>
    </row>
    <row r="1643" spans="1:19" x14ac:dyDescent="0.3">
      <c r="A1643" t="s">
        <v>12</v>
      </c>
      <c r="B1643">
        <v>2016110044</v>
      </c>
      <c r="C1643" t="s">
        <v>305</v>
      </c>
      <c r="E1643" t="s">
        <v>264</v>
      </c>
      <c r="F1643" t="s">
        <v>265</v>
      </c>
      <c r="G1643">
        <v>2</v>
      </c>
      <c r="H1643" t="s">
        <v>438</v>
      </c>
      <c r="I1643" s="4">
        <f t="shared" si="222"/>
        <v>3</v>
      </c>
      <c r="J1643">
        <f t="shared" si="223"/>
        <v>6</v>
      </c>
      <c r="K1643">
        <v>70</v>
      </c>
      <c r="L1643">
        <v>22</v>
      </c>
      <c r="M1643" s="2">
        <v>3.18</v>
      </c>
      <c r="N1643" s="2">
        <v>3.21</v>
      </c>
      <c r="O1643">
        <v>0</v>
      </c>
      <c r="P1643">
        <v>5</v>
      </c>
      <c r="Q1643" s="4" t="str">
        <f t="shared" si="220"/>
        <v>2018/2019-Ganjil</v>
      </c>
      <c r="R1643" t="s">
        <v>260</v>
      </c>
      <c r="S1643" t="str">
        <f t="shared" si="221"/>
        <v>PA</v>
      </c>
    </row>
    <row r="1644" spans="1:19" x14ac:dyDescent="0.3">
      <c r="A1644" t="s">
        <v>12</v>
      </c>
      <c r="B1644">
        <v>2016110044</v>
      </c>
      <c r="C1644" t="s">
        <v>305</v>
      </c>
      <c r="E1644" t="s">
        <v>234</v>
      </c>
      <c r="F1644" t="s">
        <v>235</v>
      </c>
      <c r="G1644">
        <v>4</v>
      </c>
      <c r="H1644" t="s">
        <v>438</v>
      </c>
      <c r="I1644" s="4">
        <f t="shared" si="222"/>
        <v>3</v>
      </c>
      <c r="J1644">
        <f t="shared" si="223"/>
        <v>12</v>
      </c>
      <c r="K1644">
        <v>72</v>
      </c>
      <c r="L1644">
        <v>22</v>
      </c>
      <c r="M1644" s="2">
        <v>3.27</v>
      </c>
      <c r="N1644" s="2">
        <v>3.21</v>
      </c>
      <c r="O1644">
        <v>0</v>
      </c>
      <c r="P1644">
        <v>3</v>
      </c>
      <c r="Q1644" s="4" t="str">
        <f t="shared" si="220"/>
        <v>2017/2018-Ganjil</v>
      </c>
      <c r="R1644" t="s">
        <v>260</v>
      </c>
      <c r="S1644" t="str">
        <f t="shared" si="221"/>
        <v>PA</v>
      </c>
    </row>
    <row r="1645" spans="1:19" x14ac:dyDescent="0.3">
      <c r="A1645" t="s">
        <v>12</v>
      </c>
      <c r="B1645">
        <v>2016110044</v>
      </c>
      <c r="C1645" t="s">
        <v>305</v>
      </c>
      <c r="E1645" t="s">
        <v>211</v>
      </c>
      <c r="F1645" t="s">
        <v>186</v>
      </c>
      <c r="G1645">
        <v>4</v>
      </c>
      <c r="H1645" t="s">
        <v>438</v>
      </c>
      <c r="I1645" s="4">
        <f t="shared" si="222"/>
        <v>3</v>
      </c>
      <c r="J1645">
        <f t="shared" si="223"/>
        <v>12</v>
      </c>
      <c r="K1645">
        <v>70</v>
      </c>
      <c r="L1645">
        <v>22</v>
      </c>
      <c r="M1645" s="2">
        <v>3.18</v>
      </c>
      <c r="N1645" s="2">
        <v>3.21</v>
      </c>
      <c r="O1645">
        <v>0</v>
      </c>
      <c r="P1645">
        <v>5</v>
      </c>
      <c r="Q1645" s="4" t="str">
        <f t="shared" si="220"/>
        <v>2018/2019-Ganjil</v>
      </c>
      <c r="R1645" t="s">
        <v>260</v>
      </c>
      <c r="S1645" t="str">
        <f t="shared" si="221"/>
        <v>PA</v>
      </c>
    </row>
    <row r="1646" spans="1:19" x14ac:dyDescent="0.3">
      <c r="A1646" t="s">
        <v>12</v>
      </c>
      <c r="B1646">
        <v>2016110044</v>
      </c>
      <c r="C1646" t="s">
        <v>305</v>
      </c>
      <c r="E1646" t="s">
        <v>190</v>
      </c>
      <c r="F1646" t="s">
        <v>191</v>
      </c>
      <c r="G1646">
        <v>4</v>
      </c>
      <c r="H1646" t="s">
        <v>438</v>
      </c>
      <c r="I1646" s="4">
        <f t="shared" si="222"/>
        <v>3</v>
      </c>
      <c r="J1646">
        <f t="shared" si="223"/>
        <v>12</v>
      </c>
      <c r="K1646">
        <v>72</v>
      </c>
      <c r="L1646">
        <v>22</v>
      </c>
      <c r="M1646" s="2">
        <v>3.27</v>
      </c>
      <c r="N1646" s="2">
        <v>3.21</v>
      </c>
      <c r="O1646">
        <v>0</v>
      </c>
      <c r="P1646">
        <v>3</v>
      </c>
      <c r="Q1646" s="4" t="str">
        <f t="shared" si="220"/>
        <v>2017/2018-Ganjil</v>
      </c>
      <c r="R1646" t="s">
        <v>260</v>
      </c>
      <c r="S1646" t="str">
        <f t="shared" si="221"/>
        <v>PA</v>
      </c>
    </row>
    <row r="1647" spans="1:19" x14ac:dyDescent="0.3">
      <c r="A1647" t="s">
        <v>12</v>
      </c>
      <c r="B1647">
        <v>2016110044</v>
      </c>
      <c r="C1647" t="s">
        <v>305</v>
      </c>
      <c r="E1647" t="s">
        <v>309</v>
      </c>
      <c r="F1647" t="s">
        <v>310</v>
      </c>
      <c r="G1647">
        <v>4</v>
      </c>
      <c r="H1647" t="s">
        <v>438</v>
      </c>
      <c r="I1647" s="4">
        <f t="shared" si="222"/>
        <v>3</v>
      </c>
      <c r="J1647">
        <f t="shared" si="223"/>
        <v>12</v>
      </c>
      <c r="K1647">
        <v>64</v>
      </c>
      <c r="L1647">
        <v>24</v>
      </c>
      <c r="M1647" s="2">
        <v>2.67</v>
      </c>
      <c r="N1647" s="2">
        <v>3.21</v>
      </c>
      <c r="O1647">
        <v>0</v>
      </c>
      <c r="P1647">
        <v>4</v>
      </c>
      <c r="Q1647" s="4" t="str">
        <f t="shared" si="220"/>
        <v>2017/2018-Genap</v>
      </c>
      <c r="R1647" t="s">
        <v>260</v>
      </c>
      <c r="S1647" t="str">
        <f t="shared" si="221"/>
        <v>PA</v>
      </c>
    </row>
    <row r="1648" spans="1:19" x14ac:dyDescent="0.3">
      <c r="A1648" t="s">
        <v>12</v>
      </c>
      <c r="B1648">
        <v>2016110044</v>
      </c>
      <c r="C1648" t="s">
        <v>305</v>
      </c>
      <c r="E1648" t="s">
        <v>257</v>
      </c>
      <c r="F1648" t="s">
        <v>258</v>
      </c>
      <c r="G1648">
        <v>4</v>
      </c>
      <c r="H1648" t="s">
        <v>438</v>
      </c>
      <c r="I1648" s="4">
        <f t="shared" si="222"/>
        <v>3</v>
      </c>
      <c r="J1648">
        <f t="shared" si="223"/>
        <v>12</v>
      </c>
      <c r="K1648">
        <v>74</v>
      </c>
      <c r="L1648">
        <v>22</v>
      </c>
      <c r="M1648" s="2">
        <v>3.36</v>
      </c>
      <c r="N1648" s="2">
        <v>3.21</v>
      </c>
      <c r="O1648">
        <v>0</v>
      </c>
      <c r="P1648">
        <v>6</v>
      </c>
      <c r="Q1648" s="4" t="str">
        <f t="shared" si="220"/>
        <v>2018/2019-Genap</v>
      </c>
      <c r="R1648" t="s">
        <v>260</v>
      </c>
      <c r="S1648" t="str">
        <f t="shared" si="221"/>
        <v>PA</v>
      </c>
    </row>
    <row r="1649" spans="1:19" x14ac:dyDescent="0.3">
      <c r="A1649" t="s">
        <v>12</v>
      </c>
      <c r="B1649">
        <v>2016110044</v>
      </c>
      <c r="C1649" t="s">
        <v>305</v>
      </c>
      <c r="E1649" t="s">
        <v>276</v>
      </c>
      <c r="F1649" t="s">
        <v>137</v>
      </c>
      <c r="G1649">
        <v>4</v>
      </c>
      <c r="H1649" t="s">
        <v>438</v>
      </c>
      <c r="I1649" s="4">
        <f t="shared" si="222"/>
        <v>3</v>
      </c>
      <c r="J1649">
        <f t="shared" si="223"/>
        <v>12</v>
      </c>
      <c r="K1649">
        <v>64</v>
      </c>
      <c r="L1649">
        <v>24</v>
      </c>
      <c r="M1649" s="2">
        <v>2.67</v>
      </c>
      <c r="N1649" s="2">
        <v>3.21</v>
      </c>
      <c r="O1649">
        <v>0</v>
      </c>
      <c r="P1649">
        <v>4</v>
      </c>
      <c r="Q1649" s="4" t="str">
        <f t="shared" si="220"/>
        <v>2017/2018-Genap</v>
      </c>
      <c r="R1649" t="s">
        <v>260</v>
      </c>
      <c r="S1649" t="str">
        <f t="shared" si="221"/>
        <v>PA</v>
      </c>
    </row>
    <row r="1650" spans="1:19" x14ac:dyDescent="0.3">
      <c r="A1650" t="s">
        <v>12</v>
      </c>
      <c r="B1650">
        <v>2016110044</v>
      </c>
      <c r="C1650" t="s">
        <v>305</v>
      </c>
      <c r="E1650" t="s">
        <v>39</v>
      </c>
      <c r="F1650" t="s">
        <v>11</v>
      </c>
      <c r="G1650">
        <v>2</v>
      </c>
      <c r="H1650" t="s">
        <v>438</v>
      </c>
      <c r="I1650" s="4">
        <f t="shared" si="222"/>
        <v>3</v>
      </c>
      <c r="J1650">
        <f t="shared" si="223"/>
        <v>6</v>
      </c>
      <c r="K1650">
        <v>74</v>
      </c>
      <c r="L1650">
        <v>22</v>
      </c>
      <c r="M1650" s="2">
        <v>3.36</v>
      </c>
      <c r="N1650" s="2">
        <v>3.21</v>
      </c>
      <c r="O1650">
        <v>0</v>
      </c>
      <c r="P1650">
        <v>6</v>
      </c>
      <c r="Q1650" s="4" t="str">
        <f t="shared" si="220"/>
        <v>2018/2019-Genap</v>
      </c>
      <c r="R1650" t="s">
        <v>260</v>
      </c>
      <c r="S1650" t="str">
        <f t="shared" si="221"/>
        <v>PA</v>
      </c>
    </row>
    <row r="1651" spans="1:19" x14ac:dyDescent="0.3">
      <c r="A1651" t="s">
        <v>12</v>
      </c>
      <c r="B1651">
        <v>2016110044</v>
      </c>
      <c r="C1651" t="s">
        <v>305</v>
      </c>
      <c r="E1651" t="s">
        <v>262</v>
      </c>
      <c r="F1651" t="s">
        <v>263</v>
      </c>
      <c r="G1651">
        <v>2</v>
      </c>
      <c r="H1651" t="s">
        <v>438</v>
      </c>
      <c r="I1651" s="4">
        <f t="shared" si="222"/>
        <v>3</v>
      </c>
      <c r="J1651">
        <f t="shared" si="223"/>
        <v>6</v>
      </c>
      <c r="K1651">
        <v>74</v>
      </c>
      <c r="L1651">
        <v>22</v>
      </c>
      <c r="M1651" s="2">
        <v>3.36</v>
      </c>
      <c r="N1651" s="2">
        <v>3.21</v>
      </c>
      <c r="O1651">
        <v>0</v>
      </c>
      <c r="P1651">
        <v>6</v>
      </c>
      <c r="Q1651" s="4" t="str">
        <f t="shared" si="220"/>
        <v>2018/2019-Genap</v>
      </c>
      <c r="R1651" t="s">
        <v>260</v>
      </c>
      <c r="S1651" t="str">
        <f t="shared" si="221"/>
        <v>PA</v>
      </c>
    </row>
    <row r="1652" spans="1:19" x14ac:dyDescent="0.3">
      <c r="A1652" t="s">
        <v>12</v>
      </c>
      <c r="B1652">
        <v>2016110044</v>
      </c>
      <c r="C1652" t="s">
        <v>305</v>
      </c>
      <c r="E1652" t="s">
        <v>437</v>
      </c>
      <c r="F1652" t="s">
        <v>169</v>
      </c>
      <c r="G1652">
        <v>4</v>
      </c>
      <c r="H1652" t="s">
        <v>438</v>
      </c>
      <c r="I1652" s="4">
        <f t="shared" si="222"/>
        <v>3</v>
      </c>
      <c r="J1652">
        <f t="shared" si="223"/>
        <v>12</v>
      </c>
      <c r="K1652">
        <v>64</v>
      </c>
      <c r="L1652">
        <v>20</v>
      </c>
      <c r="M1652" s="2">
        <v>3.2</v>
      </c>
      <c r="N1652" s="2">
        <v>3.21</v>
      </c>
      <c r="O1652">
        <v>0</v>
      </c>
      <c r="P1652">
        <v>1</v>
      </c>
      <c r="Q1652" s="4" t="str">
        <f t="shared" si="220"/>
        <v>2016/2017-Ganjil</v>
      </c>
      <c r="R1652" t="s">
        <v>260</v>
      </c>
      <c r="S1652" t="str">
        <f t="shared" si="221"/>
        <v>PA</v>
      </c>
    </row>
    <row r="1653" spans="1:19" x14ac:dyDescent="0.3">
      <c r="A1653" t="s">
        <v>12</v>
      </c>
      <c r="B1653">
        <v>2016110044</v>
      </c>
      <c r="C1653" t="s">
        <v>305</v>
      </c>
      <c r="E1653" t="s">
        <v>103</v>
      </c>
      <c r="F1653" t="s">
        <v>104</v>
      </c>
      <c r="G1653">
        <v>4</v>
      </c>
      <c r="H1653" t="s">
        <v>438</v>
      </c>
      <c r="I1653" s="4">
        <f t="shared" si="222"/>
        <v>3</v>
      </c>
      <c r="J1653">
        <f t="shared" si="223"/>
        <v>12</v>
      </c>
      <c r="K1653">
        <v>58</v>
      </c>
      <c r="L1653">
        <v>20</v>
      </c>
      <c r="M1653" s="2">
        <v>2.9</v>
      </c>
      <c r="N1653" s="2">
        <v>3.21</v>
      </c>
      <c r="O1653">
        <v>0</v>
      </c>
      <c r="P1653">
        <v>2</v>
      </c>
      <c r="Q1653" s="4" t="str">
        <f t="shared" si="220"/>
        <v>2016/2017-Genap</v>
      </c>
      <c r="R1653" t="s">
        <v>260</v>
      </c>
      <c r="S1653" t="str">
        <f t="shared" si="221"/>
        <v>PA</v>
      </c>
    </row>
    <row r="1654" spans="1:19" x14ac:dyDescent="0.3">
      <c r="A1654" t="s">
        <v>12</v>
      </c>
      <c r="B1654">
        <v>2016110044</v>
      </c>
      <c r="C1654" t="s">
        <v>305</v>
      </c>
      <c r="E1654" t="s">
        <v>360</v>
      </c>
      <c r="F1654" t="s">
        <v>361</v>
      </c>
      <c r="G1654">
        <v>2</v>
      </c>
      <c r="H1654" t="s">
        <v>524</v>
      </c>
      <c r="I1654" s="4">
        <f t="shared" si="222"/>
        <v>2</v>
      </c>
      <c r="J1654">
        <f t="shared" si="223"/>
        <v>4</v>
      </c>
      <c r="K1654">
        <v>64</v>
      </c>
      <c r="L1654">
        <v>24</v>
      </c>
      <c r="M1654" s="2">
        <v>2.67</v>
      </c>
      <c r="N1654" s="2">
        <v>3.21</v>
      </c>
      <c r="O1654">
        <v>0</v>
      </c>
      <c r="P1654">
        <v>4</v>
      </c>
      <c r="Q1654" s="4" t="str">
        <f t="shared" si="220"/>
        <v>2017/2018-Genap</v>
      </c>
      <c r="R1654" t="s">
        <v>260</v>
      </c>
      <c r="S1654" t="str">
        <f t="shared" si="221"/>
        <v>PA</v>
      </c>
    </row>
    <row r="1655" spans="1:19" x14ac:dyDescent="0.3">
      <c r="A1655" t="s">
        <v>12</v>
      </c>
      <c r="B1655">
        <v>2016110044</v>
      </c>
      <c r="C1655" t="s">
        <v>305</v>
      </c>
      <c r="E1655" t="s">
        <v>360</v>
      </c>
      <c r="F1655" t="s">
        <v>361</v>
      </c>
      <c r="G1655">
        <v>2</v>
      </c>
      <c r="H1655" t="s">
        <v>438</v>
      </c>
      <c r="I1655" s="4">
        <f t="shared" si="222"/>
        <v>3</v>
      </c>
      <c r="J1655">
        <f t="shared" si="223"/>
        <v>6</v>
      </c>
      <c r="K1655">
        <v>74</v>
      </c>
      <c r="L1655">
        <v>22</v>
      </c>
      <c r="M1655" s="2">
        <v>3.36</v>
      </c>
      <c r="N1655" s="2">
        <v>3.21</v>
      </c>
      <c r="O1655">
        <v>1</v>
      </c>
      <c r="P1655">
        <v>6</v>
      </c>
      <c r="Q1655" s="4" t="str">
        <f t="shared" si="220"/>
        <v>2018/2019-Genap</v>
      </c>
      <c r="R1655" t="s">
        <v>260</v>
      </c>
      <c r="S1655" t="str">
        <f t="shared" si="221"/>
        <v>PA</v>
      </c>
    </row>
    <row r="1656" spans="1:19" x14ac:dyDescent="0.3">
      <c r="A1656" t="s">
        <v>12</v>
      </c>
      <c r="B1656">
        <v>2016110044</v>
      </c>
      <c r="C1656" t="s">
        <v>305</v>
      </c>
      <c r="E1656" t="s">
        <v>97</v>
      </c>
      <c r="F1656" t="s">
        <v>98</v>
      </c>
      <c r="G1656">
        <v>4</v>
      </c>
      <c r="H1656" t="s">
        <v>524</v>
      </c>
      <c r="I1656" s="4">
        <f t="shared" si="222"/>
        <v>2</v>
      </c>
      <c r="J1656">
        <f t="shared" si="223"/>
        <v>8</v>
      </c>
      <c r="K1656">
        <v>58</v>
      </c>
      <c r="L1656">
        <v>20</v>
      </c>
      <c r="M1656" s="2">
        <v>2.9</v>
      </c>
      <c r="N1656" s="2">
        <v>3.21</v>
      </c>
      <c r="O1656">
        <v>0</v>
      </c>
      <c r="P1656">
        <v>2</v>
      </c>
      <c r="Q1656" s="4" t="str">
        <f t="shared" si="220"/>
        <v>2016/2017-Genap</v>
      </c>
      <c r="R1656" t="s">
        <v>260</v>
      </c>
      <c r="S1656" t="str">
        <f t="shared" si="221"/>
        <v>PA</v>
      </c>
    </row>
    <row r="1657" spans="1:19" x14ac:dyDescent="0.3">
      <c r="A1657" t="s">
        <v>12</v>
      </c>
      <c r="B1657">
        <v>2016110044</v>
      </c>
      <c r="C1657" t="s">
        <v>305</v>
      </c>
      <c r="E1657" t="s">
        <v>348</v>
      </c>
      <c r="F1657" t="s">
        <v>402</v>
      </c>
      <c r="G1657">
        <v>4</v>
      </c>
      <c r="H1657" t="s">
        <v>524</v>
      </c>
      <c r="I1657" s="4">
        <f t="shared" si="222"/>
        <v>2</v>
      </c>
      <c r="J1657">
        <f t="shared" si="223"/>
        <v>8</v>
      </c>
      <c r="K1657">
        <v>64</v>
      </c>
      <c r="L1657">
        <v>24</v>
      </c>
      <c r="M1657" s="2">
        <v>2.67</v>
      </c>
      <c r="N1657" s="2">
        <v>3.21</v>
      </c>
      <c r="O1657">
        <v>0</v>
      </c>
      <c r="P1657">
        <v>4</v>
      </c>
      <c r="Q1657" s="4" t="str">
        <f t="shared" si="220"/>
        <v>2017/2018-Genap</v>
      </c>
      <c r="R1657" t="s">
        <v>260</v>
      </c>
      <c r="S1657" t="str">
        <f t="shared" si="221"/>
        <v>PA</v>
      </c>
    </row>
    <row r="1658" spans="1:19" x14ac:dyDescent="0.3">
      <c r="A1658" t="s">
        <v>12</v>
      </c>
      <c r="B1658">
        <v>2016110044</v>
      </c>
      <c r="C1658" t="s">
        <v>305</v>
      </c>
      <c r="E1658" t="s">
        <v>348</v>
      </c>
      <c r="F1658" t="s">
        <v>402</v>
      </c>
      <c r="G1658">
        <v>4</v>
      </c>
      <c r="H1658" t="s">
        <v>260</v>
      </c>
      <c r="I1658" s="4">
        <f t="shared" si="222"/>
        <v>4</v>
      </c>
      <c r="J1658">
        <f t="shared" si="223"/>
        <v>16</v>
      </c>
      <c r="K1658">
        <v>16</v>
      </c>
      <c r="L1658">
        <v>4</v>
      </c>
      <c r="M1658" s="2">
        <v>3</v>
      </c>
      <c r="N1658" s="2">
        <v>3.21</v>
      </c>
      <c r="O1658">
        <v>1</v>
      </c>
      <c r="P1658">
        <v>6</v>
      </c>
      <c r="Q1658" s="4" t="s">
        <v>572</v>
      </c>
      <c r="R1658" t="s">
        <v>260</v>
      </c>
      <c r="S1658" t="str">
        <f t="shared" si="221"/>
        <v>PA</v>
      </c>
    </row>
    <row r="1659" spans="1:19" x14ac:dyDescent="0.3">
      <c r="A1659" t="s">
        <v>12</v>
      </c>
      <c r="B1659">
        <v>2016110044</v>
      </c>
      <c r="C1659" t="s">
        <v>305</v>
      </c>
      <c r="E1659" t="s">
        <v>432</v>
      </c>
      <c r="F1659" t="s">
        <v>433</v>
      </c>
      <c r="G1659">
        <v>4</v>
      </c>
      <c r="H1659" t="s">
        <v>524</v>
      </c>
      <c r="I1659" s="4">
        <f t="shared" si="222"/>
        <v>2</v>
      </c>
      <c r="J1659">
        <f t="shared" si="223"/>
        <v>8</v>
      </c>
      <c r="K1659">
        <v>64</v>
      </c>
      <c r="L1659">
        <v>24</v>
      </c>
      <c r="M1659" s="2">
        <v>2.67</v>
      </c>
      <c r="N1659" s="2">
        <v>3.21</v>
      </c>
      <c r="O1659">
        <v>0</v>
      </c>
      <c r="P1659">
        <v>4</v>
      </c>
      <c r="Q1659" s="4" t="str">
        <f t="shared" ref="Q1659:Q1690" si="224">IF(P1659=1,"2016/2017-Ganjil",IF(P1659=2,"2016/2017-Genap",IF(P1659=3,"2017/2018-Ganjil",IF(P1659=4,"2017/2018-Genap",IF(P1659=5,"2018/2019-Ganjil",IF(P1659=6,"2018/2019-Genap",IF(P1659=7,"2019/2020-Ganjil",IF(P1659=8,"2019/2020-Genap",IF(P1659=9,"2020/2021-Ganjil","2020/2021-Genap")))))))))</f>
        <v>2017/2018-Genap</v>
      </c>
      <c r="R1659" t="s">
        <v>260</v>
      </c>
      <c r="S1659" t="str">
        <f t="shared" si="221"/>
        <v>PA</v>
      </c>
    </row>
    <row r="1660" spans="1:19" x14ac:dyDescent="0.3">
      <c r="A1660" t="s">
        <v>12</v>
      </c>
      <c r="B1660">
        <v>2016110044</v>
      </c>
      <c r="C1660" t="s">
        <v>305</v>
      </c>
      <c r="E1660" t="s">
        <v>122</v>
      </c>
      <c r="F1660" t="s">
        <v>123</v>
      </c>
      <c r="G1660">
        <v>4</v>
      </c>
      <c r="H1660" t="s">
        <v>524</v>
      </c>
      <c r="I1660" s="4">
        <f t="shared" si="222"/>
        <v>2</v>
      </c>
      <c r="J1660">
        <f t="shared" si="223"/>
        <v>8</v>
      </c>
      <c r="K1660">
        <v>64</v>
      </c>
      <c r="L1660">
        <v>20</v>
      </c>
      <c r="M1660" s="2">
        <v>3.2</v>
      </c>
      <c r="N1660" s="2">
        <v>3.21</v>
      </c>
      <c r="O1660">
        <v>0</v>
      </c>
      <c r="P1660">
        <v>1</v>
      </c>
      <c r="Q1660" s="4" t="str">
        <f t="shared" si="224"/>
        <v>2016/2017-Ganjil</v>
      </c>
      <c r="R1660" t="s">
        <v>260</v>
      </c>
      <c r="S1660" t="str">
        <f t="shared" si="221"/>
        <v>PA</v>
      </c>
    </row>
    <row r="1661" spans="1:19" x14ac:dyDescent="0.3">
      <c r="A1661" t="s">
        <v>12</v>
      </c>
      <c r="B1661">
        <v>2016110044</v>
      </c>
      <c r="C1661" t="s">
        <v>305</v>
      </c>
      <c r="E1661" t="s">
        <v>122</v>
      </c>
      <c r="F1661" t="s">
        <v>123</v>
      </c>
      <c r="G1661">
        <v>4</v>
      </c>
      <c r="H1661" t="s">
        <v>438</v>
      </c>
      <c r="I1661" s="4">
        <f t="shared" si="222"/>
        <v>3</v>
      </c>
      <c r="J1661">
        <f t="shared" si="223"/>
        <v>12</v>
      </c>
      <c r="K1661">
        <v>50</v>
      </c>
      <c r="L1661">
        <v>14</v>
      </c>
      <c r="M1661" s="2">
        <v>3.57</v>
      </c>
      <c r="N1661" s="2">
        <v>3.21</v>
      </c>
      <c r="O1661">
        <v>1</v>
      </c>
      <c r="P1661">
        <v>7</v>
      </c>
      <c r="Q1661" s="4" t="str">
        <f t="shared" si="224"/>
        <v>2019/2020-Ganjil</v>
      </c>
      <c r="R1661" t="s">
        <v>260</v>
      </c>
      <c r="S1661" t="str">
        <f t="shared" si="221"/>
        <v>PA</v>
      </c>
    </row>
    <row r="1662" spans="1:19" x14ac:dyDescent="0.3">
      <c r="A1662" t="s">
        <v>12</v>
      </c>
      <c r="B1662">
        <v>2016110044</v>
      </c>
      <c r="C1662" t="s">
        <v>305</v>
      </c>
      <c r="E1662" t="s">
        <v>374</v>
      </c>
      <c r="F1662" t="s">
        <v>375</v>
      </c>
      <c r="G1662">
        <v>2</v>
      </c>
      <c r="H1662" t="s">
        <v>524</v>
      </c>
      <c r="I1662" s="4">
        <f t="shared" si="222"/>
        <v>2</v>
      </c>
      <c r="J1662">
        <f t="shared" si="223"/>
        <v>4</v>
      </c>
      <c r="K1662">
        <v>64</v>
      </c>
      <c r="L1662">
        <v>24</v>
      </c>
      <c r="M1662" s="2">
        <v>2.67</v>
      </c>
      <c r="N1662" s="2">
        <v>3.21</v>
      </c>
      <c r="O1662">
        <v>0</v>
      </c>
      <c r="P1662">
        <v>4</v>
      </c>
      <c r="Q1662" s="4" t="str">
        <f t="shared" si="224"/>
        <v>2017/2018-Genap</v>
      </c>
      <c r="R1662" t="s">
        <v>260</v>
      </c>
      <c r="S1662" t="str">
        <f t="shared" si="221"/>
        <v>PA</v>
      </c>
    </row>
    <row r="1663" spans="1:19" x14ac:dyDescent="0.3">
      <c r="A1663" t="s">
        <v>12</v>
      </c>
      <c r="B1663">
        <v>2016110044</v>
      </c>
      <c r="C1663" t="s">
        <v>305</v>
      </c>
      <c r="E1663" t="s">
        <v>100</v>
      </c>
      <c r="F1663" t="s">
        <v>101</v>
      </c>
      <c r="G1663">
        <v>4</v>
      </c>
      <c r="H1663" t="s">
        <v>524</v>
      </c>
      <c r="I1663" s="4">
        <f t="shared" si="222"/>
        <v>2</v>
      </c>
      <c r="J1663">
        <f t="shared" si="223"/>
        <v>8</v>
      </c>
      <c r="K1663">
        <v>58</v>
      </c>
      <c r="L1663">
        <v>20</v>
      </c>
      <c r="M1663" s="2">
        <v>2.9</v>
      </c>
      <c r="N1663" s="2">
        <v>3.21</v>
      </c>
      <c r="O1663">
        <v>0</v>
      </c>
      <c r="P1663">
        <v>2</v>
      </c>
      <c r="Q1663" s="4" t="str">
        <f t="shared" si="224"/>
        <v>2016/2017-Genap</v>
      </c>
      <c r="R1663" t="s">
        <v>260</v>
      </c>
      <c r="S1663" t="str">
        <f t="shared" si="221"/>
        <v>PA</v>
      </c>
    </row>
    <row r="1664" spans="1:19" x14ac:dyDescent="0.3">
      <c r="A1664" t="s">
        <v>12</v>
      </c>
      <c r="B1664">
        <v>2016110044</v>
      </c>
      <c r="C1664" t="s">
        <v>305</v>
      </c>
      <c r="E1664" t="s">
        <v>31</v>
      </c>
      <c r="F1664" t="s">
        <v>20</v>
      </c>
      <c r="G1664">
        <v>4</v>
      </c>
      <c r="H1664" t="s">
        <v>524</v>
      </c>
      <c r="I1664" s="4">
        <f t="shared" si="222"/>
        <v>2</v>
      </c>
      <c r="J1664">
        <f t="shared" si="223"/>
        <v>8</v>
      </c>
      <c r="K1664">
        <v>14</v>
      </c>
      <c r="L1664">
        <v>6</v>
      </c>
      <c r="M1664" s="2">
        <v>2.33</v>
      </c>
      <c r="N1664" s="2">
        <v>3.21</v>
      </c>
      <c r="O1664">
        <v>0</v>
      </c>
      <c r="P1664">
        <v>8</v>
      </c>
      <c r="Q1664" s="4" t="str">
        <f t="shared" si="224"/>
        <v>2019/2020-Genap</v>
      </c>
      <c r="R1664" t="s">
        <v>596</v>
      </c>
      <c r="S1664" t="str">
        <f t="shared" si="221"/>
        <v>PA</v>
      </c>
    </row>
    <row r="1665" spans="1:19" x14ac:dyDescent="0.3">
      <c r="A1665" t="s">
        <v>12</v>
      </c>
      <c r="B1665">
        <v>2016110045</v>
      </c>
      <c r="C1665" t="s">
        <v>267</v>
      </c>
      <c r="E1665" t="s">
        <v>97</v>
      </c>
      <c r="F1665" t="s">
        <v>98</v>
      </c>
      <c r="G1665">
        <v>4</v>
      </c>
      <c r="H1665" t="s">
        <v>260</v>
      </c>
      <c r="I1665" s="4">
        <f t="shared" si="222"/>
        <v>4</v>
      </c>
      <c r="J1665">
        <f t="shared" si="223"/>
        <v>16</v>
      </c>
      <c r="K1665">
        <v>74</v>
      </c>
      <c r="L1665">
        <v>20</v>
      </c>
      <c r="M1665" s="2">
        <v>3.7</v>
      </c>
      <c r="N1665" s="2">
        <v>3.56</v>
      </c>
      <c r="O1665">
        <v>0</v>
      </c>
      <c r="P1665">
        <v>2</v>
      </c>
      <c r="Q1665" s="4" t="str">
        <f t="shared" si="224"/>
        <v>2016/2017-Genap</v>
      </c>
      <c r="R1665" t="s">
        <v>260</v>
      </c>
      <c r="S1665" t="str">
        <f t="shared" si="221"/>
        <v>PA</v>
      </c>
    </row>
    <row r="1666" spans="1:19" x14ac:dyDescent="0.3">
      <c r="A1666" t="s">
        <v>12</v>
      </c>
      <c r="B1666">
        <v>2016110045</v>
      </c>
      <c r="C1666" t="s">
        <v>267</v>
      </c>
      <c r="E1666" t="s">
        <v>290</v>
      </c>
      <c r="F1666" t="s">
        <v>327</v>
      </c>
      <c r="G1666">
        <v>4</v>
      </c>
      <c r="H1666" t="s">
        <v>260</v>
      </c>
      <c r="I1666" s="4">
        <f t="shared" si="222"/>
        <v>4</v>
      </c>
      <c r="J1666">
        <f t="shared" si="223"/>
        <v>16</v>
      </c>
      <c r="K1666">
        <v>74</v>
      </c>
      <c r="L1666">
        <v>20</v>
      </c>
      <c r="M1666" s="2">
        <v>3.7</v>
      </c>
      <c r="N1666" s="2">
        <v>3.56</v>
      </c>
      <c r="O1666">
        <v>0</v>
      </c>
      <c r="P1666">
        <v>2</v>
      </c>
      <c r="Q1666" s="4" t="str">
        <f t="shared" si="224"/>
        <v>2016/2017-Genap</v>
      </c>
      <c r="R1666" t="s">
        <v>260</v>
      </c>
      <c r="S1666" t="str">
        <f t="shared" si="221"/>
        <v>PA</v>
      </c>
    </row>
    <row r="1667" spans="1:19" x14ac:dyDescent="0.3">
      <c r="A1667" t="s">
        <v>12</v>
      </c>
      <c r="B1667">
        <v>2016110045</v>
      </c>
      <c r="C1667" t="s">
        <v>267</v>
      </c>
      <c r="E1667" t="s">
        <v>248</v>
      </c>
      <c r="F1667" t="s">
        <v>249</v>
      </c>
      <c r="G1667">
        <v>2</v>
      </c>
      <c r="H1667" t="s">
        <v>260</v>
      </c>
      <c r="I1667" s="4">
        <f t="shared" si="222"/>
        <v>4</v>
      </c>
      <c r="J1667">
        <f t="shared" si="223"/>
        <v>8</v>
      </c>
      <c r="K1667">
        <v>76</v>
      </c>
      <c r="L1667">
        <v>24</v>
      </c>
      <c r="M1667" s="2">
        <v>3.17</v>
      </c>
      <c r="N1667" s="2">
        <v>3.56</v>
      </c>
      <c r="O1667">
        <v>0</v>
      </c>
      <c r="P1667">
        <v>4</v>
      </c>
      <c r="Q1667" s="4" t="str">
        <f t="shared" si="224"/>
        <v>2017/2018-Genap</v>
      </c>
      <c r="R1667" t="s">
        <v>260</v>
      </c>
      <c r="S1667" t="str">
        <f t="shared" si="221"/>
        <v>PA</v>
      </c>
    </row>
    <row r="1668" spans="1:19" x14ac:dyDescent="0.3">
      <c r="A1668" t="s">
        <v>12</v>
      </c>
      <c r="B1668">
        <v>2016110045</v>
      </c>
      <c r="C1668" t="s">
        <v>267</v>
      </c>
      <c r="E1668" t="s">
        <v>103</v>
      </c>
      <c r="F1668" t="s">
        <v>104</v>
      </c>
      <c r="G1668">
        <v>4</v>
      </c>
      <c r="H1668" t="s">
        <v>260</v>
      </c>
      <c r="I1668" s="4">
        <f t="shared" si="222"/>
        <v>4</v>
      </c>
      <c r="J1668">
        <f t="shared" si="223"/>
        <v>16</v>
      </c>
      <c r="K1668">
        <v>74</v>
      </c>
      <c r="L1668">
        <v>20</v>
      </c>
      <c r="M1668" s="2">
        <v>3.7</v>
      </c>
      <c r="N1668" s="2">
        <v>3.56</v>
      </c>
      <c r="O1668">
        <v>0</v>
      </c>
      <c r="P1668">
        <v>2</v>
      </c>
      <c r="Q1668" s="4" t="str">
        <f t="shared" si="224"/>
        <v>2016/2017-Genap</v>
      </c>
      <c r="R1668" t="s">
        <v>260</v>
      </c>
      <c r="S1668" t="str">
        <f t="shared" si="221"/>
        <v>PA</v>
      </c>
    </row>
    <row r="1669" spans="1:19" x14ac:dyDescent="0.3">
      <c r="A1669" t="s">
        <v>12</v>
      </c>
      <c r="B1669">
        <v>2016110045</v>
      </c>
      <c r="C1669" t="s">
        <v>267</v>
      </c>
      <c r="E1669" t="s">
        <v>39</v>
      </c>
      <c r="F1669" t="s">
        <v>11</v>
      </c>
      <c r="G1669">
        <v>2</v>
      </c>
      <c r="H1669" t="s">
        <v>260</v>
      </c>
      <c r="I1669" s="4">
        <f t="shared" si="222"/>
        <v>4</v>
      </c>
      <c r="J1669">
        <f t="shared" si="223"/>
        <v>8</v>
      </c>
      <c r="K1669">
        <v>78</v>
      </c>
      <c r="L1669">
        <v>22</v>
      </c>
      <c r="M1669" s="2">
        <v>3.55</v>
      </c>
      <c r="N1669" s="2">
        <v>3.56</v>
      </c>
      <c r="O1669">
        <v>0</v>
      </c>
      <c r="P1669">
        <v>6</v>
      </c>
      <c r="Q1669" s="4" t="str">
        <f t="shared" si="224"/>
        <v>2018/2019-Genap</v>
      </c>
      <c r="R1669" t="s">
        <v>260</v>
      </c>
      <c r="S1669" t="str">
        <f t="shared" si="221"/>
        <v>PA</v>
      </c>
    </row>
    <row r="1670" spans="1:19" x14ac:dyDescent="0.3">
      <c r="A1670" t="s">
        <v>12</v>
      </c>
      <c r="B1670">
        <v>2016110045</v>
      </c>
      <c r="C1670" t="s">
        <v>267</v>
      </c>
      <c r="E1670" t="s">
        <v>173</v>
      </c>
      <c r="F1670" t="s">
        <v>8</v>
      </c>
      <c r="G1670">
        <v>2</v>
      </c>
      <c r="H1670" t="s">
        <v>260</v>
      </c>
      <c r="I1670" s="4">
        <f t="shared" si="222"/>
        <v>4</v>
      </c>
      <c r="J1670">
        <f t="shared" si="223"/>
        <v>8</v>
      </c>
      <c r="K1670">
        <v>88</v>
      </c>
      <c r="L1670">
        <v>24</v>
      </c>
      <c r="M1670" s="2">
        <v>3.67</v>
      </c>
      <c r="N1670" s="2">
        <v>3.56</v>
      </c>
      <c r="O1670">
        <v>0</v>
      </c>
      <c r="P1670">
        <v>3</v>
      </c>
      <c r="Q1670" s="4" t="str">
        <f t="shared" si="224"/>
        <v>2017/2018-Ganjil</v>
      </c>
      <c r="R1670" t="s">
        <v>260</v>
      </c>
      <c r="S1670" t="str">
        <f t="shared" si="221"/>
        <v>PA</v>
      </c>
    </row>
    <row r="1671" spans="1:19" x14ac:dyDescent="0.3">
      <c r="A1671" t="s">
        <v>12</v>
      </c>
      <c r="B1671">
        <v>2016110045</v>
      </c>
      <c r="C1671" t="s">
        <v>267</v>
      </c>
      <c r="E1671" t="s">
        <v>264</v>
      </c>
      <c r="F1671" t="s">
        <v>265</v>
      </c>
      <c r="G1671">
        <v>2</v>
      </c>
      <c r="H1671" t="s">
        <v>260</v>
      </c>
      <c r="I1671" s="4">
        <f t="shared" si="222"/>
        <v>4</v>
      </c>
      <c r="J1671">
        <f t="shared" si="223"/>
        <v>8</v>
      </c>
      <c r="K1671">
        <v>86</v>
      </c>
      <c r="L1671">
        <v>24</v>
      </c>
      <c r="M1671" s="2">
        <v>3.58</v>
      </c>
      <c r="N1671" s="2">
        <v>3.56</v>
      </c>
      <c r="O1671">
        <v>0</v>
      </c>
      <c r="P1671">
        <v>5</v>
      </c>
      <c r="Q1671" s="4" t="str">
        <f t="shared" si="224"/>
        <v>2018/2019-Ganjil</v>
      </c>
      <c r="R1671" t="s">
        <v>260</v>
      </c>
      <c r="S1671" t="str">
        <f t="shared" si="221"/>
        <v>PA</v>
      </c>
    </row>
    <row r="1672" spans="1:19" x14ac:dyDescent="0.3">
      <c r="A1672" t="s">
        <v>12</v>
      </c>
      <c r="B1672">
        <v>2016110045</v>
      </c>
      <c r="C1672" t="s">
        <v>267</v>
      </c>
      <c r="E1672" t="s">
        <v>142</v>
      </c>
      <c r="F1672" t="s">
        <v>143</v>
      </c>
      <c r="G1672">
        <v>2</v>
      </c>
      <c r="H1672" t="s">
        <v>260</v>
      </c>
      <c r="I1672" s="4">
        <f t="shared" si="222"/>
        <v>4</v>
      </c>
      <c r="J1672">
        <f t="shared" si="223"/>
        <v>8</v>
      </c>
      <c r="K1672">
        <v>74</v>
      </c>
      <c r="L1672">
        <v>20</v>
      </c>
      <c r="M1672" s="2">
        <v>3.7</v>
      </c>
      <c r="N1672" s="2">
        <v>3.56</v>
      </c>
      <c r="O1672">
        <v>0</v>
      </c>
      <c r="P1672">
        <v>1</v>
      </c>
      <c r="Q1672" s="4" t="str">
        <f t="shared" si="224"/>
        <v>2016/2017-Ganjil</v>
      </c>
      <c r="R1672" t="s">
        <v>260</v>
      </c>
      <c r="S1672" t="str">
        <f t="shared" si="221"/>
        <v>PA</v>
      </c>
    </row>
    <row r="1673" spans="1:19" x14ac:dyDescent="0.3">
      <c r="A1673" t="s">
        <v>12</v>
      </c>
      <c r="B1673">
        <v>2016110045</v>
      </c>
      <c r="C1673" t="s">
        <v>267</v>
      </c>
      <c r="E1673" t="s">
        <v>357</v>
      </c>
      <c r="F1673" t="s">
        <v>358</v>
      </c>
      <c r="G1673">
        <v>4</v>
      </c>
      <c r="H1673" t="s">
        <v>260</v>
      </c>
      <c r="I1673" s="4">
        <f t="shared" si="222"/>
        <v>4</v>
      </c>
      <c r="J1673">
        <f t="shared" si="223"/>
        <v>16</v>
      </c>
      <c r="K1673">
        <v>86</v>
      </c>
      <c r="L1673">
        <v>24</v>
      </c>
      <c r="M1673" s="2">
        <v>3.58</v>
      </c>
      <c r="N1673" s="2">
        <v>3.56</v>
      </c>
      <c r="O1673">
        <v>0</v>
      </c>
      <c r="P1673">
        <v>5</v>
      </c>
      <c r="Q1673" s="4" t="str">
        <f t="shared" si="224"/>
        <v>2018/2019-Ganjil</v>
      </c>
      <c r="R1673" t="s">
        <v>260</v>
      </c>
      <c r="S1673" t="str">
        <f t="shared" si="221"/>
        <v>PA</v>
      </c>
    </row>
    <row r="1674" spans="1:19" x14ac:dyDescent="0.3">
      <c r="A1674" t="s">
        <v>12</v>
      </c>
      <c r="B1674">
        <v>2016110045</v>
      </c>
      <c r="C1674" t="s">
        <v>267</v>
      </c>
      <c r="E1674" t="s">
        <v>330</v>
      </c>
      <c r="F1674" t="s">
        <v>108</v>
      </c>
      <c r="G1674">
        <v>2</v>
      </c>
      <c r="H1674" t="s">
        <v>260</v>
      </c>
      <c r="I1674" s="4">
        <f t="shared" si="222"/>
        <v>4</v>
      </c>
      <c r="J1674">
        <f t="shared" si="223"/>
        <v>8</v>
      </c>
      <c r="K1674">
        <v>40</v>
      </c>
      <c r="L1674">
        <v>12</v>
      </c>
      <c r="M1674" s="2">
        <v>3.33</v>
      </c>
      <c r="N1674" s="2">
        <v>3.56</v>
      </c>
      <c r="O1674">
        <v>0</v>
      </c>
      <c r="P1674">
        <v>7</v>
      </c>
      <c r="Q1674" t="str">
        <f t="shared" si="224"/>
        <v>2019/2020-Ganjil</v>
      </c>
      <c r="R1674" t="s">
        <v>596</v>
      </c>
      <c r="S1674" t="str">
        <f t="shared" si="221"/>
        <v>PA</v>
      </c>
    </row>
    <row r="1675" spans="1:19" x14ac:dyDescent="0.3">
      <c r="A1675" t="s">
        <v>12</v>
      </c>
      <c r="B1675">
        <v>2016110045</v>
      </c>
      <c r="C1675" t="s">
        <v>267</v>
      </c>
      <c r="E1675" t="s">
        <v>283</v>
      </c>
      <c r="F1675" t="s">
        <v>284</v>
      </c>
      <c r="G1675">
        <v>2</v>
      </c>
      <c r="H1675" t="s">
        <v>260</v>
      </c>
      <c r="I1675" s="4">
        <f t="shared" si="222"/>
        <v>4</v>
      </c>
      <c r="J1675">
        <f t="shared" si="223"/>
        <v>8</v>
      </c>
      <c r="K1675">
        <v>88</v>
      </c>
      <c r="L1675">
        <v>24</v>
      </c>
      <c r="M1675" s="2">
        <v>3.67</v>
      </c>
      <c r="N1675" s="2">
        <v>3.56</v>
      </c>
      <c r="O1675">
        <v>0</v>
      </c>
      <c r="P1675">
        <v>3</v>
      </c>
      <c r="Q1675" s="4" t="str">
        <f t="shared" si="224"/>
        <v>2017/2018-Ganjil</v>
      </c>
      <c r="R1675" t="s">
        <v>260</v>
      </c>
      <c r="S1675" t="str">
        <f t="shared" ref="S1675:S1718" si="225">IF(OR(H1675="A",H1675="B",H1675="C"),"PA","FA")</f>
        <v>PA</v>
      </c>
    </row>
    <row r="1676" spans="1:19" x14ac:dyDescent="0.3">
      <c r="A1676" t="s">
        <v>12</v>
      </c>
      <c r="B1676">
        <v>2016110045</v>
      </c>
      <c r="C1676" t="s">
        <v>267</v>
      </c>
      <c r="E1676" t="s">
        <v>131</v>
      </c>
      <c r="F1676" t="s">
        <v>132</v>
      </c>
      <c r="G1676">
        <v>2</v>
      </c>
      <c r="H1676" t="s">
        <v>260</v>
      </c>
      <c r="I1676" s="4">
        <f t="shared" ref="I1676:I1718" si="226">IF(H1676="A",4,IF(H1676="B",3,IF(H1676="C",2,IF(H1676="D",1,0))))</f>
        <v>4</v>
      </c>
      <c r="J1676">
        <f t="shared" ref="J1676:J1718" si="227">G1676*I1676</f>
        <v>8</v>
      </c>
      <c r="K1676">
        <v>74</v>
      </c>
      <c r="L1676">
        <v>20</v>
      </c>
      <c r="M1676" s="2">
        <v>3.7</v>
      </c>
      <c r="N1676" s="2">
        <v>3.56</v>
      </c>
      <c r="O1676">
        <v>0</v>
      </c>
      <c r="P1676">
        <v>1</v>
      </c>
      <c r="Q1676" s="4" t="str">
        <f t="shared" si="224"/>
        <v>2016/2017-Ganjil</v>
      </c>
      <c r="R1676" t="s">
        <v>260</v>
      </c>
      <c r="S1676" t="str">
        <f t="shared" si="225"/>
        <v>PA</v>
      </c>
    </row>
    <row r="1677" spans="1:19" x14ac:dyDescent="0.3">
      <c r="A1677" t="s">
        <v>12</v>
      </c>
      <c r="B1677">
        <v>2016110045</v>
      </c>
      <c r="C1677" t="s">
        <v>267</v>
      </c>
      <c r="E1677" t="s">
        <v>208</v>
      </c>
      <c r="F1677" t="s">
        <v>209</v>
      </c>
      <c r="G1677">
        <v>2</v>
      </c>
      <c r="H1677" t="s">
        <v>260</v>
      </c>
      <c r="I1677" s="4">
        <f t="shared" si="226"/>
        <v>4</v>
      </c>
      <c r="J1677">
        <f t="shared" si="227"/>
        <v>8</v>
      </c>
      <c r="K1677">
        <v>86</v>
      </c>
      <c r="L1677">
        <v>24</v>
      </c>
      <c r="M1677" s="2">
        <v>3.58</v>
      </c>
      <c r="N1677" s="2">
        <v>3.56</v>
      </c>
      <c r="O1677">
        <v>0</v>
      </c>
      <c r="P1677">
        <v>5</v>
      </c>
      <c r="Q1677" s="4" t="str">
        <f t="shared" si="224"/>
        <v>2018/2019-Ganjil</v>
      </c>
      <c r="R1677" t="s">
        <v>260</v>
      </c>
      <c r="S1677" t="str">
        <f t="shared" si="225"/>
        <v>PA</v>
      </c>
    </row>
    <row r="1678" spans="1:19" x14ac:dyDescent="0.3">
      <c r="A1678" t="s">
        <v>12</v>
      </c>
      <c r="B1678">
        <v>2016110045</v>
      </c>
      <c r="C1678" t="s">
        <v>267</v>
      </c>
      <c r="E1678" t="s">
        <v>90</v>
      </c>
      <c r="F1678" t="s">
        <v>91</v>
      </c>
      <c r="G1678">
        <v>2</v>
      </c>
      <c r="H1678" t="s">
        <v>260</v>
      </c>
      <c r="I1678" s="4">
        <f t="shared" si="226"/>
        <v>4</v>
      </c>
      <c r="J1678">
        <f t="shared" si="227"/>
        <v>8</v>
      </c>
      <c r="K1678">
        <v>74</v>
      </c>
      <c r="L1678">
        <v>20</v>
      </c>
      <c r="M1678" s="2">
        <v>3.7</v>
      </c>
      <c r="N1678" s="2">
        <v>3.56</v>
      </c>
      <c r="O1678">
        <v>0</v>
      </c>
      <c r="P1678">
        <v>1</v>
      </c>
      <c r="Q1678" s="4" t="str">
        <f t="shared" si="224"/>
        <v>2016/2017-Ganjil</v>
      </c>
      <c r="R1678" t="s">
        <v>260</v>
      </c>
      <c r="S1678" t="str">
        <f t="shared" si="225"/>
        <v>PA</v>
      </c>
    </row>
    <row r="1679" spans="1:19" x14ac:dyDescent="0.3">
      <c r="A1679" t="s">
        <v>12</v>
      </c>
      <c r="B1679">
        <v>2016110045</v>
      </c>
      <c r="C1679" t="s">
        <v>267</v>
      </c>
      <c r="E1679" t="s">
        <v>297</v>
      </c>
      <c r="F1679" t="s">
        <v>342</v>
      </c>
      <c r="G1679">
        <v>4</v>
      </c>
      <c r="H1679" t="s">
        <v>260</v>
      </c>
      <c r="I1679" s="4">
        <f t="shared" si="226"/>
        <v>4</v>
      </c>
      <c r="J1679">
        <f t="shared" si="227"/>
        <v>16</v>
      </c>
      <c r="K1679">
        <v>78</v>
      </c>
      <c r="L1679">
        <v>22</v>
      </c>
      <c r="M1679" s="2">
        <v>3.55</v>
      </c>
      <c r="N1679" s="2">
        <v>3.56</v>
      </c>
      <c r="O1679">
        <v>0</v>
      </c>
      <c r="P1679">
        <v>6</v>
      </c>
      <c r="Q1679" s="4" t="str">
        <f t="shared" si="224"/>
        <v>2018/2019-Genap</v>
      </c>
      <c r="R1679" t="s">
        <v>260</v>
      </c>
      <c r="S1679" t="str">
        <f t="shared" si="225"/>
        <v>PA</v>
      </c>
    </row>
    <row r="1680" spans="1:19" x14ac:dyDescent="0.3">
      <c r="A1680" t="s">
        <v>12</v>
      </c>
      <c r="B1680">
        <v>2016110045</v>
      </c>
      <c r="C1680" t="s">
        <v>267</v>
      </c>
      <c r="E1680" t="s">
        <v>244</v>
      </c>
      <c r="F1680" t="s">
        <v>228</v>
      </c>
      <c r="G1680">
        <v>2</v>
      </c>
      <c r="H1680" t="s">
        <v>260</v>
      </c>
      <c r="I1680" s="4">
        <f t="shared" si="226"/>
        <v>4</v>
      </c>
      <c r="J1680">
        <f t="shared" si="227"/>
        <v>8</v>
      </c>
      <c r="K1680">
        <v>76</v>
      </c>
      <c r="L1680">
        <v>24</v>
      </c>
      <c r="M1680" s="2">
        <v>3.17</v>
      </c>
      <c r="N1680" s="2">
        <v>3.56</v>
      </c>
      <c r="O1680">
        <v>0</v>
      </c>
      <c r="P1680">
        <v>4</v>
      </c>
      <c r="Q1680" s="4" t="str">
        <f t="shared" si="224"/>
        <v>2017/2018-Genap</v>
      </c>
      <c r="R1680" t="s">
        <v>260</v>
      </c>
      <c r="S1680" t="str">
        <f t="shared" si="225"/>
        <v>PA</v>
      </c>
    </row>
    <row r="1681" spans="1:19" x14ac:dyDescent="0.3">
      <c r="A1681" t="s">
        <v>12</v>
      </c>
      <c r="B1681">
        <v>2016110045</v>
      </c>
      <c r="C1681" t="s">
        <v>267</v>
      </c>
      <c r="E1681" t="s">
        <v>262</v>
      </c>
      <c r="F1681" t="s">
        <v>263</v>
      </c>
      <c r="G1681">
        <v>2</v>
      </c>
      <c r="H1681" t="s">
        <v>260</v>
      </c>
      <c r="I1681" s="4">
        <f t="shared" si="226"/>
        <v>4</v>
      </c>
      <c r="J1681">
        <f t="shared" si="227"/>
        <v>8</v>
      </c>
      <c r="K1681">
        <v>78</v>
      </c>
      <c r="L1681">
        <v>22</v>
      </c>
      <c r="M1681" s="2">
        <v>3.55</v>
      </c>
      <c r="N1681" s="2">
        <v>3.56</v>
      </c>
      <c r="O1681">
        <v>0</v>
      </c>
      <c r="P1681">
        <v>6</v>
      </c>
      <c r="Q1681" s="4" t="str">
        <f t="shared" si="224"/>
        <v>2018/2019-Genap</v>
      </c>
      <c r="R1681" t="s">
        <v>260</v>
      </c>
      <c r="S1681" t="str">
        <f t="shared" si="225"/>
        <v>PA</v>
      </c>
    </row>
    <row r="1682" spans="1:19" x14ac:dyDescent="0.3">
      <c r="A1682" t="s">
        <v>12</v>
      </c>
      <c r="B1682">
        <v>2016110045</v>
      </c>
      <c r="C1682" t="s">
        <v>267</v>
      </c>
      <c r="E1682" t="s">
        <v>276</v>
      </c>
      <c r="F1682" t="s">
        <v>137</v>
      </c>
      <c r="G1682">
        <v>4</v>
      </c>
      <c r="H1682" t="s">
        <v>260</v>
      </c>
      <c r="I1682" s="4">
        <f t="shared" si="226"/>
        <v>4</v>
      </c>
      <c r="J1682">
        <f t="shared" si="227"/>
        <v>16</v>
      </c>
      <c r="K1682">
        <v>76</v>
      </c>
      <c r="L1682">
        <v>24</v>
      </c>
      <c r="M1682" s="2">
        <v>3.17</v>
      </c>
      <c r="N1682" s="2">
        <v>3.56</v>
      </c>
      <c r="O1682">
        <v>0</v>
      </c>
      <c r="P1682">
        <v>4</v>
      </c>
      <c r="Q1682" s="4" t="str">
        <f t="shared" si="224"/>
        <v>2017/2018-Genap</v>
      </c>
      <c r="R1682" t="s">
        <v>260</v>
      </c>
      <c r="S1682" t="str">
        <f t="shared" si="225"/>
        <v>PA</v>
      </c>
    </row>
    <row r="1683" spans="1:19" x14ac:dyDescent="0.3">
      <c r="A1683" t="s">
        <v>12</v>
      </c>
      <c r="B1683">
        <v>2016110045</v>
      </c>
      <c r="C1683" t="s">
        <v>267</v>
      </c>
      <c r="E1683" t="s">
        <v>279</v>
      </c>
      <c r="F1683" t="s">
        <v>280</v>
      </c>
      <c r="G1683">
        <v>2</v>
      </c>
      <c r="H1683" t="s">
        <v>260</v>
      </c>
      <c r="I1683" s="4">
        <f t="shared" si="226"/>
        <v>4</v>
      </c>
      <c r="J1683">
        <f t="shared" si="227"/>
        <v>8</v>
      </c>
      <c r="K1683">
        <v>74</v>
      </c>
      <c r="L1683">
        <v>20</v>
      </c>
      <c r="M1683" s="2">
        <v>3.7</v>
      </c>
      <c r="N1683" s="2">
        <v>3.56</v>
      </c>
      <c r="O1683">
        <v>0</v>
      </c>
      <c r="P1683">
        <v>2</v>
      </c>
      <c r="Q1683" s="4" t="str">
        <f t="shared" si="224"/>
        <v>2016/2017-Genap</v>
      </c>
      <c r="R1683" t="s">
        <v>260</v>
      </c>
      <c r="S1683" t="str">
        <f t="shared" si="225"/>
        <v>PA</v>
      </c>
    </row>
    <row r="1684" spans="1:19" x14ac:dyDescent="0.3">
      <c r="A1684" t="s">
        <v>12</v>
      </c>
      <c r="B1684">
        <v>2016110045</v>
      </c>
      <c r="C1684" t="s">
        <v>267</v>
      </c>
      <c r="E1684" t="s">
        <v>372</v>
      </c>
      <c r="F1684" t="s">
        <v>373</v>
      </c>
      <c r="G1684">
        <v>2</v>
      </c>
      <c r="H1684" t="s">
        <v>260</v>
      </c>
      <c r="I1684" s="4">
        <f t="shared" si="226"/>
        <v>4</v>
      </c>
      <c r="J1684">
        <f t="shared" si="227"/>
        <v>8</v>
      </c>
      <c r="K1684">
        <v>78</v>
      </c>
      <c r="L1684">
        <v>22</v>
      </c>
      <c r="M1684" s="2">
        <v>3.55</v>
      </c>
      <c r="N1684" s="2">
        <v>3.56</v>
      </c>
      <c r="O1684">
        <v>0</v>
      </c>
      <c r="P1684">
        <v>6</v>
      </c>
      <c r="Q1684" s="4" t="str">
        <f t="shared" si="224"/>
        <v>2018/2019-Genap</v>
      </c>
      <c r="R1684" t="s">
        <v>260</v>
      </c>
      <c r="S1684" t="str">
        <f t="shared" si="225"/>
        <v>PA</v>
      </c>
    </row>
    <row r="1685" spans="1:19" x14ac:dyDescent="0.3">
      <c r="A1685" t="s">
        <v>12</v>
      </c>
      <c r="B1685">
        <v>2016110045</v>
      </c>
      <c r="C1685" t="s">
        <v>267</v>
      </c>
      <c r="E1685" t="s">
        <v>236</v>
      </c>
      <c r="F1685" t="s">
        <v>237</v>
      </c>
      <c r="G1685">
        <v>2</v>
      </c>
      <c r="H1685" t="s">
        <v>260</v>
      </c>
      <c r="I1685" s="4">
        <f t="shared" si="226"/>
        <v>4</v>
      </c>
      <c r="J1685">
        <f t="shared" si="227"/>
        <v>8</v>
      </c>
      <c r="K1685">
        <v>86</v>
      </c>
      <c r="L1685">
        <v>24</v>
      </c>
      <c r="M1685" s="2">
        <v>3.58</v>
      </c>
      <c r="N1685" s="2">
        <v>3.56</v>
      </c>
      <c r="O1685">
        <v>0</v>
      </c>
      <c r="P1685">
        <v>5</v>
      </c>
      <c r="Q1685" s="4" t="str">
        <f t="shared" si="224"/>
        <v>2018/2019-Ganjil</v>
      </c>
      <c r="R1685" t="s">
        <v>260</v>
      </c>
      <c r="S1685" t="str">
        <f t="shared" si="225"/>
        <v>PA</v>
      </c>
    </row>
    <row r="1686" spans="1:19" x14ac:dyDescent="0.3">
      <c r="A1686" t="s">
        <v>12</v>
      </c>
      <c r="B1686">
        <v>2016110045</v>
      </c>
      <c r="C1686" t="s">
        <v>267</v>
      </c>
      <c r="E1686" t="s">
        <v>192</v>
      </c>
      <c r="F1686" t="s">
        <v>106</v>
      </c>
      <c r="G1686">
        <v>2</v>
      </c>
      <c r="H1686" t="s">
        <v>260</v>
      </c>
      <c r="I1686" s="4">
        <f t="shared" si="226"/>
        <v>4</v>
      </c>
      <c r="J1686">
        <f t="shared" si="227"/>
        <v>8</v>
      </c>
      <c r="K1686">
        <v>88</v>
      </c>
      <c r="L1686">
        <v>24</v>
      </c>
      <c r="M1686" s="2">
        <v>3.67</v>
      </c>
      <c r="N1686" s="2">
        <v>3.56</v>
      </c>
      <c r="O1686">
        <v>0</v>
      </c>
      <c r="P1686">
        <v>3</v>
      </c>
      <c r="Q1686" s="4" t="str">
        <f t="shared" si="224"/>
        <v>2017/2018-Ganjil</v>
      </c>
      <c r="R1686" t="s">
        <v>260</v>
      </c>
      <c r="S1686" t="str">
        <f t="shared" si="225"/>
        <v>PA</v>
      </c>
    </row>
    <row r="1687" spans="1:19" x14ac:dyDescent="0.3">
      <c r="A1687" t="s">
        <v>12</v>
      </c>
      <c r="B1687">
        <v>2016110045</v>
      </c>
      <c r="C1687" t="s">
        <v>267</v>
      </c>
      <c r="E1687" t="s">
        <v>387</v>
      </c>
      <c r="F1687" t="s">
        <v>388</v>
      </c>
      <c r="G1687">
        <v>2</v>
      </c>
      <c r="H1687" t="s">
        <v>260</v>
      </c>
      <c r="I1687" s="4">
        <f t="shared" si="226"/>
        <v>4</v>
      </c>
      <c r="J1687">
        <f t="shared" si="227"/>
        <v>8</v>
      </c>
      <c r="K1687">
        <v>78</v>
      </c>
      <c r="L1687">
        <v>22</v>
      </c>
      <c r="M1687" s="2">
        <v>3.55</v>
      </c>
      <c r="N1687" s="2">
        <v>3.56</v>
      </c>
      <c r="O1687">
        <v>0</v>
      </c>
      <c r="P1687">
        <v>6</v>
      </c>
      <c r="Q1687" s="4" t="str">
        <f t="shared" si="224"/>
        <v>2018/2019-Genap</v>
      </c>
      <c r="R1687" t="s">
        <v>260</v>
      </c>
      <c r="S1687" t="str">
        <f t="shared" si="225"/>
        <v>PA</v>
      </c>
    </row>
    <row r="1688" spans="1:19" x14ac:dyDescent="0.3">
      <c r="A1688" t="s">
        <v>12</v>
      </c>
      <c r="B1688">
        <v>2016110045</v>
      </c>
      <c r="C1688" t="s">
        <v>267</v>
      </c>
      <c r="E1688" t="s">
        <v>241</v>
      </c>
      <c r="F1688" t="s">
        <v>45</v>
      </c>
      <c r="G1688">
        <v>2</v>
      </c>
      <c r="H1688" t="s">
        <v>260</v>
      </c>
      <c r="I1688" s="4">
        <f t="shared" si="226"/>
        <v>4</v>
      </c>
      <c r="J1688">
        <f t="shared" si="227"/>
        <v>8</v>
      </c>
      <c r="K1688">
        <v>88</v>
      </c>
      <c r="L1688">
        <v>24</v>
      </c>
      <c r="M1688" s="2">
        <v>3.67</v>
      </c>
      <c r="N1688" s="2">
        <v>3.56</v>
      </c>
      <c r="O1688">
        <v>0</v>
      </c>
      <c r="P1688">
        <v>3</v>
      </c>
      <c r="Q1688" s="4" t="str">
        <f t="shared" si="224"/>
        <v>2017/2018-Ganjil</v>
      </c>
      <c r="R1688" t="s">
        <v>260</v>
      </c>
      <c r="S1688" t="str">
        <f t="shared" si="225"/>
        <v>PA</v>
      </c>
    </row>
    <row r="1689" spans="1:19" x14ac:dyDescent="0.3">
      <c r="A1689" t="s">
        <v>12</v>
      </c>
      <c r="B1689">
        <v>2016110045</v>
      </c>
      <c r="C1689" t="s">
        <v>267</v>
      </c>
      <c r="E1689" t="s">
        <v>344</v>
      </c>
      <c r="F1689" t="s">
        <v>345</v>
      </c>
      <c r="G1689">
        <v>2</v>
      </c>
      <c r="H1689" t="s">
        <v>260</v>
      </c>
      <c r="I1689" s="4">
        <f t="shared" si="226"/>
        <v>4</v>
      </c>
      <c r="J1689">
        <f t="shared" si="227"/>
        <v>8</v>
      </c>
      <c r="K1689">
        <v>40</v>
      </c>
      <c r="L1689">
        <v>12</v>
      </c>
      <c r="M1689" s="2">
        <v>3.33</v>
      </c>
      <c r="N1689" s="2">
        <v>3.56</v>
      </c>
      <c r="O1689">
        <v>0</v>
      </c>
      <c r="P1689">
        <v>7</v>
      </c>
      <c r="Q1689" t="str">
        <f t="shared" si="224"/>
        <v>2019/2020-Ganjil</v>
      </c>
      <c r="R1689" t="s">
        <v>596</v>
      </c>
      <c r="S1689" t="str">
        <f t="shared" si="225"/>
        <v>PA</v>
      </c>
    </row>
    <row r="1690" spans="1:19" x14ac:dyDescent="0.3">
      <c r="A1690" t="s">
        <v>12</v>
      </c>
      <c r="B1690">
        <v>2016110045</v>
      </c>
      <c r="C1690" t="s">
        <v>267</v>
      </c>
      <c r="E1690" t="s">
        <v>151</v>
      </c>
      <c r="F1690" t="s">
        <v>152</v>
      </c>
      <c r="G1690">
        <v>2</v>
      </c>
      <c r="H1690" t="s">
        <v>260</v>
      </c>
      <c r="I1690" s="4">
        <f t="shared" si="226"/>
        <v>4</v>
      </c>
      <c r="J1690">
        <f t="shared" si="227"/>
        <v>8</v>
      </c>
      <c r="K1690">
        <v>74</v>
      </c>
      <c r="L1690">
        <v>20</v>
      </c>
      <c r="M1690" s="2">
        <v>3.7</v>
      </c>
      <c r="N1690" s="2">
        <v>3.56</v>
      </c>
      <c r="O1690">
        <v>0</v>
      </c>
      <c r="P1690">
        <v>1</v>
      </c>
      <c r="Q1690" s="4" t="str">
        <f t="shared" si="224"/>
        <v>2016/2017-Ganjil</v>
      </c>
      <c r="R1690" t="s">
        <v>260</v>
      </c>
      <c r="S1690" t="str">
        <f t="shared" si="225"/>
        <v>PA</v>
      </c>
    </row>
    <row r="1691" spans="1:19" x14ac:dyDescent="0.3">
      <c r="A1691" t="s">
        <v>12</v>
      </c>
      <c r="B1691">
        <v>2016110045</v>
      </c>
      <c r="C1691" t="s">
        <v>267</v>
      </c>
      <c r="E1691" t="s">
        <v>205</v>
      </c>
      <c r="F1691" t="s">
        <v>116</v>
      </c>
      <c r="G1691">
        <v>4</v>
      </c>
      <c r="H1691" t="s">
        <v>260</v>
      </c>
      <c r="I1691" s="4">
        <f t="shared" si="226"/>
        <v>4</v>
      </c>
      <c r="J1691">
        <f t="shared" si="227"/>
        <v>16</v>
      </c>
      <c r="K1691">
        <v>88</v>
      </c>
      <c r="L1691">
        <v>24</v>
      </c>
      <c r="M1691" s="2">
        <v>3.67</v>
      </c>
      <c r="N1691" s="2">
        <v>3.56</v>
      </c>
      <c r="O1691">
        <v>0</v>
      </c>
      <c r="P1691">
        <v>3</v>
      </c>
      <c r="Q1691" s="4" t="str">
        <f t="shared" ref="Q1691:Q1717" si="228">IF(P1691=1,"2016/2017-Ganjil",IF(P1691=2,"2016/2017-Genap",IF(P1691=3,"2017/2018-Ganjil",IF(P1691=4,"2017/2018-Genap",IF(P1691=5,"2018/2019-Ganjil",IF(P1691=6,"2018/2019-Genap",IF(P1691=7,"2019/2020-Ganjil",IF(P1691=8,"2019/2020-Genap",IF(P1691=9,"2020/2021-Ganjil","2020/2021-Genap")))))))))</f>
        <v>2017/2018-Ganjil</v>
      </c>
      <c r="R1691" t="s">
        <v>260</v>
      </c>
      <c r="S1691" t="str">
        <f t="shared" si="225"/>
        <v>PA</v>
      </c>
    </row>
    <row r="1692" spans="1:19" x14ac:dyDescent="0.3">
      <c r="A1692" t="s">
        <v>12</v>
      </c>
      <c r="B1692">
        <v>2016110045</v>
      </c>
      <c r="C1692" t="s">
        <v>267</v>
      </c>
      <c r="E1692" t="s">
        <v>77</v>
      </c>
      <c r="F1692" t="s">
        <v>78</v>
      </c>
      <c r="G1692">
        <v>2</v>
      </c>
      <c r="H1692" t="s">
        <v>260</v>
      </c>
      <c r="I1692" s="4">
        <f t="shared" si="226"/>
        <v>4</v>
      </c>
      <c r="J1692">
        <f t="shared" si="227"/>
        <v>8</v>
      </c>
      <c r="K1692">
        <v>74</v>
      </c>
      <c r="L1692">
        <v>20</v>
      </c>
      <c r="M1692" s="2">
        <v>3.7</v>
      </c>
      <c r="N1692" s="2">
        <v>3.56</v>
      </c>
      <c r="O1692">
        <v>0</v>
      </c>
      <c r="P1692">
        <v>1</v>
      </c>
      <c r="Q1692" s="4" t="str">
        <f t="shared" si="228"/>
        <v>2016/2017-Ganjil</v>
      </c>
      <c r="R1692" t="s">
        <v>260</v>
      </c>
      <c r="S1692" t="str">
        <f t="shared" si="225"/>
        <v>PA</v>
      </c>
    </row>
    <row r="1693" spans="1:19" x14ac:dyDescent="0.3">
      <c r="A1693" t="s">
        <v>12</v>
      </c>
      <c r="B1693">
        <v>2016110045</v>
      </c>
      <c r="C1693" t="s">
        <v>267</v>
      </c>
      <c r="E1693" t="s">
        <v>306</v>
      </c>
      <c r="F1693" t="s">
        <v>307</v>
      </c>
      <c r="G1693">
        <v>2</v>
      </c>
      <c r="H1693" t="s">
        <v>260</v>
      </c>
      <c r="I1693" s="4">
        <f t="shared" si="226"/>
        <v>4</v>
      </c>
      <c r="J1693">
        <f t="shared" si="227"/>
        <v>8</v>
      </c>
      <c r="K1693">
        <v>86</v>
      </c>
      <c r="L1693">
        <v>24</v>
      </c>
      <c r="M1693" s="2">
        <v>3.58</v>
      </c>
      <c r="N1693" s="2">
        <v>3.56</v>
      </c>
      <c r="O1693">
        <v>0</v>
      </c>
      <c r="P1693">
        <v>5</v>
      </c>
      <c r="Q1693" s="4" t="str">
        <f t="shared" si="228"/>
        <v>2018/2019-Ganjil</v>
      </c>
      <c r="R1693" t="s">
        <v>260</v>
      </c>
      <c r="S1693" t="str">
        <f t="shared" si="225"/>
        <v>PA</v>
      </c>
    </row>
    <row r="1694" spans="1:19" x14ac:dyDescent="0.3">
      <c r="A1694" t="s">
        <v>12</v>
      </c>
      <c r="B1694">
        <v>2016110045</v>
      </c>
      <c r="C1694" t="s">
        <v>267</v>
      </c>
      <c r="E1694" t="s">
        <v>170</v>
      </c>
      <c r="F1694" t="s">
        <v>171</v>
      </c>
      <c r="G1694">
        <v>4</v>
      </c>
      <c r="H1694" t="s">
        <v>260</v>
      </c>
      <c r="I1694" s="4">
        <f t="shared" si="226"/>
        <v>4</v>
      </c>
      <c r="J1694">
        <f t="shared" si="227"/>
        <v>16</v>
      </c>
      <c r="K1694">
        <v>88</v>
      </c>
      <c r="L1694">
        <v>24</v>
      </c>
      <c r="M1694" s="2">
        <v>3.67</v>
      </c>
      <c r="N1694" s="2">
        <v>3.56</v>
      </c>
      <c r="O1694">
        <v>0</v>
      </c>
      <c r="P1694">
        <v>3</v>
      </c>
      <c r="Q1694" s="4" t="str">
        <f t="shared" si="228"/>
        <v>2017/2018-Ganjil</v>
      </c>
      <c r="R1694" t="s">
        <v>260</v>
      </c>
      <c r="S1694" t="str">
        <f t="shared" si="225"/>
        <v>PA</v>
      </c>
    </row>
    <row r="1695" spans="1:19" x14ac:dyDescent="0.3">
      <c r="A1695" t="s">
        <v>12</v>
      </c>
      <c r="B1695">
        <v>2016110045</v>
      </c>
      <c r="C1695" t="s">
        <v>267</v>
      </c>
      <c r="E1695" t="s">
        <v>437</v>
      </c>
      <c r="F1695" t="s">
        <v>169</v>
      </c>
      <c r="G1695">
        <v>4</v>
      </c>
      <c r="H1695" t="s">
        <v>260</v>
      </c>
      <c r="I1695" s="4">
        <f t="shared" si="226"/>
        <v>4</v>
      </c>
      <c r="J1695">
        <f t="shared" si="227"/>
        <v>16</v>
      </c>
      <c r="K1695">
        <v>74</v>
      </c>
      <c r="L1695">
        <v>20</v>
      </c>
      <c r="M1695" s="2">
        <v>3.7</v>
      </c>
      <c r="N1695" s="2">
        <v>3.56</v>
      </c>
      <c r="O1695">
        <v>0</v>
      </c>
      <c r="P1695">
        <v>1</v>
      </c>
      <c r="Q1695" s="4" t="str">
        <f t="shared" si="228"/>
        <v>2016/2017-Ganjil</v>
      </c>
      <c r="R1695" t="s">
        <v>260</v>
      </c>
      <c r="S1695" t="str">
        <f t="shared" si="225"/>
        <v>PA</v>
      </c>
    </row>
    <row r="1696" spans="1:19" x14ac:dyDescent="0.3">
      <c r="A1696" t="s">
        <v>12</v>
      </c>
      <c r="B1696">
        <v>2016110045</v>
      </c>
      <c r="C1696" t="s">
        <v>267</v>
      </c>
      <c r="E1696" t="s">
        <v>337</v>
      </c>
      <c r="F1696" t="s">
        <v>338</v>
      </c>
      <c r="G1696">
        <v>2</v>
      </c>
      <c r="H1696" t="s">
        <v>260</v>
      </c>
      <c r="I1696" s="4">
        <f t="shared" si="226"/>
        <v>4</v>
      </c>
      <c r="J1696">
        <f t="shared" si="227"/>
        <v>8</v>
      </c>
      <c r="K1696">
        <v>86</v>
      </c>
      <c r="L1696">
        <v>24</v>
      </c>
      <c r="M1696" s="2">
        <v>3.58</v>
      </c>
      <c r="N1696" s="2">
        <v>3.56</v>
      </c>
      <c r="O1696">
        <v>0</v>
      </c>
      <c r="P1696">
        <v>5</v>
      </c>
      <c r="Q1696" s="4" t="str">
        <f t="shared" si="228"/>
        <v>2018/2019-Ganjil</v>
      </c>
      <c r="R1696" t="s">
        <v>260</v>
      </c>
      <c r="S1696" t="str">
        <f t="shared" si="225"/>
        <v>PA</v>
      </c>
    </row>
    <row r="1697" spans="1:19" x14ac:dyDescent="0.3">
      <c r="A1697" t="s">
        <v>12</v>
      </c>
      <c r="B1697">
        <v>2016110045</v>
      </c>
      <c r="C1697" t="s">
        <v>267</v>
      </c>
      <c r="E1697" t="s">
        <v>446</v>
      </c>
      <c r="F1697" t="s">
        <v>447</v>
      </c>
      <c r="G1697">
        <v>2</v>
      </c>
      <c r="H1697" t="s">
        <v>438</v>
      </c>
      <c r="I1697" s="4">
        <f t="shared" si="226"/>
        <v>3</v>
      </c>
      <c r="J1697">
        <f t="shared" si="227"/>
        <v>6</v>
      </c>
      <c r="K1697">
        <v>78</v>
      </c>
      <c r="L1697">
        <v>22</v>
      </c>
      <c r="M1697" s="2">
        <v>3.55</v>
      </c>
      <c r="N1697" s="2">
        <v>3.56</v>
      </c>
      <c r="O1697">
        <v>0</v>
      </c>
      <c r="P1697">
        <v>6</v>
      </c>
      <c r="Q1697" s="4" t="str">
        <f t="shared" si="228"/>
        <v>2018/2019-Genap</v>
      </c>
      <c r="R1697" t="s">
        <v>260</v>
      </c>
      <c r="S1697" t="str">
        <f t="shared" si="225"/>
        <v>PA</v>
      </c>
    </row>
    <row r="1698" spans="1:19" x14ac:dyDescent="0.3">
      <c r="A1698" t="s">
        <v>12</v>
      </c>
      <c r="B1698">
        <v>2016110045</v>
      </c>
      <c r="C1698" t="s">
        <v>267</v>
      </c>
      <c r="E1698" t="s">
        <v>432</v>
      </c>
      <c r="F1698" t="s">
        <v>433</v>
      </c>
      <c r="G1698">
        <v>4</v>
      </c>
      <c r="H1698" t="s">
        <v>438</v>
      </c>
      <c r="I1698" s="4">
        <f t="shared" si="226"/>
        <v>3</v>
      </c>
      <c r="J1698">
        <f t="shared" si="227"/>
        <v>12</v>
      </c>
      <c r="K1698">
        <v>76</v>
      </c>
      <c r="L1698">
        <v>24</v>
      </c>
      <c r="M1698" s="2">
        <v>3.17</v>
      </c>
      <c r="N1698" s="2">
        <v>3.56</v>
      </c>
      <c r="O1698">
        <v>0</v>
      </c>
      <c r="P1698">
        <v>4</v>
      </c>
      <c r="Q1698" s="4" t="str">
        <f t="shared" si="228"/>
        <v>2017/2018-Genap</v>
      </c>
      <c r="R1698" t="s">
        <v>260</v>
      </c>
      <c r="S1698" t="str">
        <f t="shared" si="225"/>
        <v>PA</v>
      </c>
    </row>
    <row r="1699" spans="1:19" x14ac:dyDescent="0.3">
      <c r="A1699" t="s">
        <v>12</v>
      </c>
      <c r="B1699">
        <v>2016110045</v>
      </c>
      <c r="C1699" t="s">
        <v>267</v>
      </c>
      <c r="E1699" t="s">
        <v>257</v>
      </c>
      <c r="F1699" t="s">
        <v>258</v>
      </c>
      <c r="G1699">
        <v>4</v>
      </c>
      <c r="H1699" t="s">
        <v>438</v>
      </c>
      <c r="I1699" s="4">
        <f t="shared" si="226"/>
        <v>3</v>
      </c>
      <c r="J1699">
        <f t="shared" si="227"/>
        <v>12</v>
      </c>
      <c r="K1699">
        <v>78</v>
      </c>
      <c r="L1699">
        <v>22</v>
      </c>
      <c r="M1699" s="2">
        <v>3.55</v>
      </c>
      <c r="N1699" s="2">
        <v>3.56</v>
      </c>
      <c r="O1699">
        <v>0</v>
      </c>
      <c r="P1699">
        <v>6</v>
      </c>
      <c r="Q1699" s="4" t="str">
        <f t="shared" si="228"/>
        <v>2018/2019-Genap</v>
      </c>
      <c r="R1699" t="s">
        <v>260</v>
      </c>
      <c r="S1699" t="str">
        <f t="shared" si="225"/>
        <v>PA</v>
      </c>
    </row>
    <row r="1700" spans="1:19" x14ac:dyDescent="0.3">
      <c r="A1700" t="s">
        <v>12</v>
      </c>
      <c r="B1700">
        <v>2016110045</v>
      </c>
      <c r="C1700" t="s">
        <v>267</v>
      </c>
      <c r="E1700" t="s">
        <v>273</v>
      </c>
      <c r="F1700" t="s">
        <v>274</v>
      </c>
      <c r="G1700">
        <v>2</v>
      </c>
      <c r="H1700" t="s">
        <v>438</v>
      </c>
      <c r="I1700" s="4">
        <f t="shared" si="226"/>
        <v>3</v>
      </c>
      <c r="J1700">
        <f t="shared" si="227"/>
        <v>6</v>
      </c>
      <c r="K1700">
        <v>76</v>
      </c>
      <c r="L1700">
        <v>24</v>
      </c>
      <c r="M1700" s="2">
        <v>3.17</v>
      </c>
      <c r="N1700" s="2">
        <v>3.56</v>
      </c>
      <c r="O1700">
        <v>0</v>
      </c>
      <c r="P1700">
        <v>4</v>
      </c>
      <c r="Q1700" s="4" t="str">
        <f t="shared" si="228"/>
        <v>2017/2018-Genap</v>
      </c>
      <c r="R1700" t="s">
        <v>260</v>
      </c>
      <c r="S1700" t="str">
        <f t="shared" si="225"/>
        <v>PA</v>
      </c>
    </row>
    <row r="1701" spans="1:19" x14ac:dyDescent="0.3">
      <c r="A1701" t="s">
        <v>12</v>
      </c>
      <c r="B1701">
        <v>2016110045</v>
      </c>
      <c r="C1701" t="s">
        <v>267</v>
      </c>
      <c r="E1701" t="s">
        <v>302</v>
      </c>
      <c r="F1701" t="s">
        <v>303</v>
      </c>
      <c r="G1701">
        <v>2</v>
      </c>
      <c r="H1701" t="s">
        <v>438</v>
      </c>
      <c r="I1701" s="4">
        <f t="shared" si="226"/>
        <v>3</v>
      </c>
      <c r="J1701">
        <f t="shared" si="227"/>
        <v>6</v>
      </c>
      <c r="K1701">
        <v>78</v>
      </c>
      <c r="L1701">
        <v>22</v>
      </c>
      <c r="M1701" s="2">
        <v>3.55</v>
      </c>
      <c r="N1701" s="2">
        <v>3.56</v>
      </c>
      <c r="O1701">
        <v>0</v>
      </c>
      <c r="P1701">
        <v>6</v>
      </c>
      <c r="Q1701" s="4" t="str">
        <f t="shared" si="228"/>
        <v>2018/2019-Genap</v>
      </c>
      <c r="R1701" t="s">
        <v>260</v>
      </c>
      <c r="S1701" t="str">
        <f t="shared" si="225"/>
        <v>PA</v>
      </c>
    </row>
    <row r="1702" spans="1:19" x14ac:dyDescent="0.3">
      <c r="A1702" t="s">
        <v>12</v>
      </c>
      <c r="B1702">
        <v>2016110045</v>
      </c>
      <c r="C1702" t="s">
        <v>267</v>
      </c>
      <c r="E1702" t="s">
        <v>234</v>
      </c>
      <c r="F1702" t="s">
        <v>235</v>
      </c>
      <c r="G1702">
        <v>4</v>
      </c>
      <c r="H1702" t="s">
        <v>438</v>
      </c>
      <c r="I1702" s="4">
        <f t="shared" si="226"/>
        <v>3</v>
      </c>
      <c r="J1702">
        <f t="shared" si="227"/>
        <v>12</v>
      </c>
      <c r="K1702">
        <v>88</v>
      </c>
      <c r="L1702">
        <v>24</v>
      </c>
      <c r="M1702" s="2">
        <v>3.67</v>
      </c>
      <c r="N1702" s="2">
        <v>3.56</v>
      </c>
      <c r="O1702">
        <v>0</v>
      </c>
      <c r="P1702">
        <v>3</v>
      </c>
      <c r="Q1702" s="4" t="str">
        <f t="shared" si="228"/>
        <v>2017/2018-Ganjil</v>
      </c>
      <c r="R1702" t="s">
        <v>260</v>
      </c>
      <c r="S1702" t="str">
        <f t="shared" si="225"/>
        <v>PA</v>
      </c>
    </row>
    <row r="1703" spans="1:19" x14ac:dyDescent="0.3">
      <c r="A1703" t="s">
        <v>12</v>
      </c>
      <c r="B1703">
        <v>2016110045</v>
      </c>
      <c r="C1703" t="s">
        <v>267</v>
      </c>
      <c r="E1703" t="s">
        <v>316</v>
      </c>
      <c r="F1703" t="s">
        <v>317</v>
      </c>
      <c r="G1703">
        <v>2</v>
      </c>
      <c r="H1703" t="s">
        <v>438</v>
      </c>
      <c r="I1703" s="4">
        <f t="shared" si="226"/>
        <v>3</v>
      </c>
      <c r="J1703">
        <f t="shared" si="227"/>
        <v>6</v>
      </c>
      <c r="K1703">
        <v>40</v>
      </c>
      <c r="L1703">
        <v>12</v>
      </c>
      <c r="M1703" s="2">
        <v>3.33</v>
      </c>
      <c r="N1703" s="2">
        <v>3.56</v>
      </c>
      <c r="O1703">
        <v>0</v>
      </c>
      <c r="P1703">
        <v>7</v>
      </c>
      <c r="Q1703" t="str">
        <f t="shared" si="228"/>
        <v>2019/2020-Ganjil</v>
      </c>
      <c r="R1703" t="s">
        <v>596</v>
      </c>
      <c r="S1703" t="str">
        <f t="shared" si="225"/>
        <v>PA</v>
      </c>
    </row>
    <row r="1704" spans="1:19" x14ac:dyDescent="0.3">
      <c r="A1704" t="s">
        <v>12</v>
      </c>
      <c r="B1704">
        <v>2016110045</v>
      </c>
      <c r="C1704" t="s">
        <v>267</v>
      </c>
      <c r="E1704" t="s">
        <v>190</v>
      </c>
      <c r="F1704" t="s">
        <v>191</v>
      </c>
      <c r="G1704">
        <v>4</v>
      </c>
      <c r="H1704" t="s">
        <v>438</v>
      </c>
      <c r="I1704" s="4">
        <f t="shared" si="226"/>
        <v>3</v>
      </c>
      <c r="J1704">
        <f t="shared" si="227"/>
        <v>12</v>
      </c>
      <c r="K1704">
        <v>88</v>
      </c>
      <c r="L1704">
        <v>24</v>
      </c>
      <c r="M1704" s="2">
        <v>3.67</v>
      </c>
      <c r="N1704" s="2">
        <v>3.56</v>
      </c>
      <c r="O1704">
        <v>0</v>
      </c>
      <c r="P1704">
        <v>3</v>
      </c>
      <c r="Q1704" s="4" t="str">
        <f t="shared" si="228"/>
        <v>2017/2018-Ganjil</v>
      </c>
      <c r="R1704" t="s">
        <v>260</v>
      </c>
      <c r="S1704" t="str">
        <f t="shared" si="225"/>
        <v>PA</v>
      </c>
    </row>
    <row r="1705" spans="1:19" x14ac:dyDescent="0.3">
      <c r="A1705" t="s">
        <v>12</v>
      </c>
      <c r="B1705">
        <v>2016110045</v>
      </c>
      <c r="C1705" t="s">
        <v>267</v>
      </c>
      <c r="E1705" t="s">
        <v>165</v>
      </c>
      <c r="F1705" t="s">
        <v>166</v>
      </c>
      <c r="G1705">
        <v>2</v>
      </c>
      <c r="H1705" t="s">
        <v>438</v>
      </c>
      <c r="I1705" s="4">
        <f t="shared" si="226"/>
        <v>3</v>
      </c>
      <c r="J1705">
        <f t="shared" si="227"/>
        <v>6</v>
      </c>
      <c r="K1705">
        <v>74</v>
      </c>
      <c r="L1705">
        <v>20</v>
      </c>
      <c r="M1705" s="2">
        <v>3.7</v>
      </c>
      <c r="N1705" s="2">
        <v>3.56</v>
      </c>
      <c r="O1705">
        <v>0</v>
      </c>
      <c r="P1705">
        <v>1</v>
      </c>
      <c r="Q1705" s="4" t="str">
        <f t="shared" si="228"/>
        <v>2016/2017-Ganjil</v>
      </c>
      <c r="R1705" t="s">
        <v>260</v>
      </c>
      <c r="S1705" t="str">
        <f t="shared" si="225"/>
        <v>PA</v>
      </c>
    </row>
    <row r="1706" spans="1:19" x14ac:dyDescent="0.3">
      <c r="A1706" t="s">
        <v>12</v>
      </c>
      <c r="B1706">
        <v>2016110045</v>
      </c>
      <c r="C1706" t="s">
        <v>267</v>
      </c>
      <c r="E1706" t="s">
        <v>382</v>
      </c>
      <c r="F1706" t="s">
        <v>383</v>
      </c>
      <c r="G1706">
        <v>4</v>
      </c>
      <c r="H1706" t="s">
        <v>438</v>
      </c>
      <c r="I1706" s="4">
        <f t="shared" si="226"/>
        <v>3</v>
      </c>
      <c r="J1706">
        <f t="shared" si="227"/>
        <v>12</v>
      </c>
      <c r="K1706">
        <v>86</v>
      </c>
      <c r="L1706">
        <v>24</v>
      </c>
      <c r="M1706" s="2">
        <v>3.58</v>
      </c>
      <c r="N1706" s="2">
        <v>3.56</v>
      </c>
      <c r="O1706">
        <v>0</v>
      </c>
      <c r="P1706">
        <v>5</v>
      </c>
      <c r="Q1706" s="4" t="str">
        <f t="shared" si="228"/>
        <v>2018/2019-Ganjil</v>
      </c>
      <c r="R1706" t="s">
        <v>260</v>
      </c>
      <c r="S1706" t="str">
        <f t="shared" si="225"/>
        <v>PA</v>
      </c>
    </row>
    <row r="1707" spans="1:19" x14ac:dyDescent="0.3">
      <c r="A1707" t="s">
        <v>12</v>
      </c>
      <c r="B1707">
        <v>2016110045</v>
      </c>
      <c r="C1707" t="s">
        <v>267</v>
      </c>
      <c r="E1707" t="s">
        <v>14</v>
      </c>
      <c r="F1707" t="s">
        <v>15</v>
      </c>
      <c r="G1707">
        <v>2</v>
      </c>
      <c r="H1707" t="s">
        <v>438</v>
      </c>
      <c r="I1707" s="4">
        <f t="shared" si="226"/>
        <v>3</v>
      </c>
      <c r="J1707">
        <f t="shared" si="227"/>
        <v>6</v>
      </c>
      <c r="K1707">
        <v>40</v>
      </c>
      <c r="L1707">
        <v>12</v>
      </c>
      <c r="M1707" s="2">
        <v>3.33</v>
      </c>
      <c r="N1707" s="2">
        <v>3.56</v>
      </c>
      <c r="O1707">
        <v>0</v>
      </c>
      <c r="P1707">
        <v>7</v>
      </c>
      <c r="Q1707" t="str">
        <f t="shared" si="228"/>
        <v>2019/2020-Ganjil</v>
      </c>
      <c r="R1707" t="s">
        <v>260</v>
      </c>
      <c r="S1707" t="str">
        <f t="shared" si="225"/>
        <v>PA</v>
      </c>
    </row>
    <row r="1708" spans="1:19" x14ac:dyDescent="0.3">
      <c r="A1708" t="s">
        <v>12</v>
      </c>
      <c r="B1708">
        <v>2016110045</v>
      </c>
      <c r="C1708" t="s">
        <v>267</v>
      </c>
      <c r="E1708" t="s">
        <v>427</v>
      </c>
      <c r="F1708" t="s">
        <v>428</v>
      </c>
      <c r="G1708">
        <v>2</v>
      </c>
      <c r="H1708" t="s">
        <v>438</v>
      </c>
      <c r="I1708" s="4">
        <f t="shared" si="226"/>
        <v>3</v>
      </c>
      <c r="J1708">
        <f t="shared" si="227"/>
        <v>6</v>
      </c>
      <c r="K1708">
        <v>78</v>
      </c>
      <c r="L1708">
        <v>22</v>
      </c>
      <c r="M1708" s="2">
        <v>3.55</v>
      </c>
      <c r="N1708" s="2">
        <v>3.56</v>
      </c>
      <c r="O1708">
        <v>0</v>
      </c>
      <c r="P1708">
        <v>6</v>
      </c>
      <c r="Q1708" s="4" t="str">
        <f t="shared" si="228"/>
        <v>2018/2019-Genap</v>
      </c>
      <c r="R1708" t="s">
        <v>260</v>
      </c>
      <c r="S1708" t="str">
        <f t="shared" si="225"/>
        <v>PA</v>
      </c>
    </row>
    <row r="1709" spans="1:19" x14ac:dyDescent="0.3">
      <c r="A1709" t="s">
        <v>12</v>
      </c>
      <c r="B1709">
        <v>2016110045</v>
      </c>
      <c r="C1709" t="s">
        <v>267</v>
      </c>
      <c r="E1709" t="s">
        <v>374</v>
      </c>
      <c r="F1709" t="s">
        <v>375</v>
      </c>
      <c r="G1709">
        <v>2</v>
      </c>
      <c r="H1709" t="s">
        <v>438</v>
      </c>
      <c r="I1709" s="4">
        <f t="shared" si="226"/>
        <v>3</v>
      </c>
      <c r="J1709">
        <f t="shared" si="227"/>
        <v>6</v>
      </c>
      <c r="K1709">
        <v>76</v>
      </c>
      <c r="L1709">
        <v>24</v>
      </c>
      <c r="M1709" s="2">
        <v>3.17</v>
      </c>
      <c r="N1709" s="2">
        <v>3.56</v>
      </c>
      <c r="O1709">
        <v>0</v>
      </c>
      <c r="P1709">
        <v>4</v>
      </c>
      <c r="Q1709" s="4" t="str">
        <f t="shared" si="228"/>
        <v>2017/2018-Genap</v>
      </c>
      <c r="R1709" t="s">
        <v>260</v>
      </c>
      <c r="S1709" t="str">
        <f t="shared" si="225"/>
        <v>PA</v>
      </c>
    </row>
    <row r="1710" spans="1:19" x14ac:dyDescent="0.3">
      <c r="A1710" t="s">
        <v>12</v>
      </c>
      <c r="B1710">
        <v>2016110045</v>
      </c>
      <c r="C1710" t="s">
        <v>267</v>
      </c>
      <c r="E1710" t="s">
        <v>139</v>
      </c>
      <c r="F1710" t="s">
        <v>140</v>
      </c>
      <c r="G1710">
        <v>2</v>
      </c>
      <c r="H1710" t="s">
        <v>438</v>
      </c>
      <c r="I1710" s="4">
        <f t="shared" si="226"/>
        <v>3</v>
      </c>
      <c r="J1710">
        <f t="shared" si="227"/>
        <v>6</v>
      </c>
      <c r="K1710">
        <v>74</v>
      </c>
      <c r="L1710">
        <v>20</v>
      </c>
      <c r="M1710" s="2">
        <v>3.7</v>
      </c>
      <c r="N1710" s="2">
        <v>3.56</v>
      </c>
      <c r="O1710">
        <v>0</v>
      </c>
      <c r="P1710">
        <v>2</v>
      </c>
      <c r="Q1710" s="4" t="str">
        <f t="shared" si="228"/>
        <v>2016/2017-Genap</v>
      </c>
      <c r="R1710" t="s">
        <v>260</v>
      </c>
      <c r="S1710" t="str">
        <f t="shared" si="225"/>
        <v>PA</v>
      </c>
    </row>
    <row r="1711" spans="1:19" x14ac:dyDescent="0.3">
      <c r="A1711" t="s">
        <v>12</v>
      </c>
      <c r="B1711">
        <v>2016110045</v>
      </c>
      <c r="C1711" t="s">
        <v>267</v>
      </c>
      <c r="E1711" t="s">
        <v>100</v>
      </c>
      <c r="F1711" t="s">
        <v>101</v>
      </c>
      <c r="G1711">
        <v>4</v>
      </c>
      <c r="H1711" t="s">
        <v>438</v>
      </c>
      <c r="I1711" s="4">
        <f t="shared" si="226"/>
        <v>3</v>
      </c>
      <c r="J1711">
        <f t="shared" si="227"/>
        <v>12</v>
      </c>
      <c r="K1711">
        <v>74</v>
      </c>
      <c r="L1711">
        <v>20</v>
      </c>
      <c r="M1711" s="2">
        <v>3.7</v>
      </c>
      <c r="N1711" s="2">
        <v>3.56</v>
      </c>
      <c r="O1711">
        <v>0</v>
      </c>
      <c r="P1711">
        <v>2</v>
      </c>
      <c r="Q1711" s="4" t="str">
        <f t="shared" si="228"/>
        <v>2016/2017-Genap</v>
      </c>
      <c r="R1711" t="s">
        <v>260</v>
      </c>
      <c r="S1711" t="str">
        <f t="shared" si="225"/>
        <v>PA</v>
      </c>
    </row>
    <row r="1712" spans="1:19" x14ac:dyDescent="0.3">
      <c r="A1712" t="s">
        <v>12</v>
      </c>
      <c r="B1712">
        <v>2016110045</v>
      </c>
      <c r="C1712" t="s">
        <v>267</v>
      </c>
      <c r="E1712" t="s">
        <v>122</v>
      </c>
      <c r="F1712" t="s">
        <v>123</v>
      </c>
      <c r="G1712">
        <v>4</v>
      </c>
      <c r="H1712" t="s">
        <v>438</v>
      </c>
      <c r="I1712" s="4">
        <f t="shared" si="226"/>
        <v>3</v>
      </c>
      <c r="J1712">
        <f t="shared" si="227"/>
        <v>12</v>
      </c>
      <c r="K1712">
        <v>74</v>
      </c>
      <c r="L1712">
        <v>20</v>
      </c>
      <c r="M1712" s="2">
        <v>3.7</v>
      </c>
      <c r="N1712" s="2">
        <v>3.56</v>
      </c>
      <c r="O1712">
        <v>0</v>
      </c>
      <c r="P1712">
        <v>1</v>
      </c>
      <c r="Q1712" s="4" t="str">
        <f t="shared" si="228"/>
        <v>2016/2017-Ganjil</v>
      </c>
      <c r="R1712" t="s">
        <v>260</v>
      </c>
      <c r="S1712" t="str">
        <f t="shared" si="225"/>
        <v>PA</v>
      </c>
    </row>
    <row r="1713" spans="1:19" x14ac:dyDescent="0.3">
      <c r="A1713" t="s">
        <v>12</v>
      </c>
      <c r="B1713">
        <v>2016110045</v>
      </c>
      <c r="C1713" t="s">
        <v>267</v>
      </c>
      <c r="E1713" t="s">
        <v>370</v>
      </c>
      <c r="F1713" t="s">
        <v>371</v>
      </c>
      <c r="G1713">
        <v>2</v>
      </c>
      <c r="H1713" t="s">
        <v>438</v>
      </c>
      <c r="I1713" s="4">
        <f t="shared" si="226"/>
        <v>3</v>
      </c>
      <c r="J1713">
        <f t="shared" si="227"/>
        <v>6</v>
      </c>
      <c r="K1713">
        <v>86</v>
      </c>
      <c r="L1713">
        <v>24</v>
      </c>
      <c r="M1713" s="2">
        <v>3.58</v>
      </c>
      <c r="N1713" s="2">
        <v>3.56</v>
      </c>
      <c r="O1713">
        <v>0</v>
      </c>
      <c r="P1713">
        <v>5</v>
      </c>
      <c r="Q1713" s="4" t="str">
        <f t="shared" si="228"/>
        <v>2018/2019-Ganjil</v>
      </c>
      <c r="R1713" t="s">
        <v>260</v>
      </c>
      <c r="S1713" t="str">
        <f t="shared" si="225"/>
        <v>PA</v>
      </c>
    </row>
    <row r="1714" spans="1:19" x14ac:dyDescent="0.3">
      <c r="A1714" t="s">
        <v>12</v>
      </c>
      <c r="B1714">
        <v>2016110045</v>
      </c>
      <c r="C1714" t="s">
        <v>267</v>
      </c>
      <c r="E1714" t="s">
        <v>211</v>
      </c>
      <c r="F1714" t="s">
        <v>186</v>
      </c>
      <c r="G1714">
        <v>4</v>
      </c>
      <c r="H1714" t="s">
        <v>438</v>
      </c>
      <c r="I1714" s="4">
        <f t="shared" si="226"/>
        <v>3</v>
      </c>
      <c r="J1714">
        <f t="shared" si="227"/>
        <v>12</v>
      </c>
      <c r="K1714">
        <v>86</v>
      </c>
      <c r="L1714">
        <v>24</v>
      </c>
      <c r="M1714" s="2">
        <v>3.58</v>
      </c>
      <c r="N1714" s="2">
        <v>3.56</v>
      </c>
      <c r="O1714">
        <v>0</v>
      </c>
      <c r="P1714">
        <v>5</v>
      </c>
      <c r="Q1714" s="4" t="str">
        <f t="shared" si="228"/>
        <v>2018/2019-Ganjil</v>
      </c>
      <c r="R1714" t="s">
        <v>260</v>
      </c>
      <c r="S1714" t="str">
        <f t="shared" si="225"/>
        <v>PA</v>
      </c>
    </row>
    <row r="1715" spans="1:19" x14ac:dyDescent="0.3">
      <c r="A1715" t="s">
        <v>12</v>
      </c>
      <c r="B1715">
        <v>2016110045</v>
      </c>
      <c r="C1715" t="s">
        <v>267</v>
      </c>
      <c r="E1715" t="s">
        <v>31</v>
      </c>
      <c r="F1715" t="s">
        <v>20</v>
      </c>
      <c r="G1715">
        <v>4</v>
      </c>
      <c r="H1715" t="s">
        <v>438</v>
      </c>
      <c r="I1715" s="4">
        <f t="shared" si="226"/>
        <v>3</v>
      </c>
      <c r="J1715">
        <f t="shared" si="227"/>
        <v>12</v>
      </c>
      <c r="K1715">
        <v>40</v>
      </c>
      <c r="L1715">
        <v>12</v>
      </c>
      <c r="M1715" s="2">
        <v>3.33</v>
      </c>
      <c r="N1715" s="2">
        <v>3.56</v>
      </c>
      <c r="O1715">
        <v>0</v>
      </c>
      <c r="P1715">
        <v>7</v>
      </c>
      <c r="Q1715" t="str">
        <f t="shared" si="228"/>
        <v>2019/2020-Ganjil</v>
      </c>
      <c r="R1715" t="s">
        <v>596</v>
      </c>
      <c r="S1715" t="str">
        <f t="shared" si="225"/>
        <v>PA</v>
      </c>
    </row>
    <row r="1716" spans="1:19" x14ac:dyDescent="0.3">
      <c r="A1716" t="s">
        <v>12</v>
      </c>
      <c r="B1716">
        <v>2016110045</v>
      </c>
      <c r="C1716" t="s">
        <v>267</v>
      </c>
      <c r="E1716" t="s">
        <v>348</v>
      </c>
      <c r="F1716" t="s">
        <v>402</v>
      </c>
      <c r="G1716">
        <v>4</v>
      </c>
      <c r="H1716" t="s">
        <v>438</v>
      </c>
      <c r="I1716" s="4">
        <f t="shared" si="226"/>
        <v>3</v>
      </c>
      <c r="J1716">
        <f t="shared" si="227"/>
        <v>12</v>
      </c>
      <c r="K1716">
        <v>76</v>
      </c>
      <c r="L1716">
        <v>24</v>
      </c>
      <c r="M1716" s="2">
        <v>3.17</v>
      </c>
      <c r="N1716" s="2">
        <v>3.56</v>
      </c>
      <c r="O1716">
        <v>0</v>
      </c>
      <c r="P1716">
        <v>4</v>
      </c>
      <c r="Q1716" s="4" t="str">
        <f t="shared" si="228"/>
        <v>2017/2018-Genap</v>
      </c>
      <c r="R1716" t="s">
        <v>260</v>
      </c>
      <c r="S1716" t="str">
        <f t="shared" si="225"/>
        <v>PA</v>
      </c>
    </row>
    <row r="1717" spans="1:19" x14ac:dyDescent="0.3">
      <c r="A1717" t="s">
        <v>12</v>
      </c>
      <c r="B1717">
        <v>2016110045</v>
      </c>
      <c r="C1717" t="s">
        <v>267</v>
      </c>
      <c r="E1717" t="s">
        <v>309</v>
      </c>
      <c r="F1717" t="s">
        <v>310</v>
      </c>
      <c r="G1717">
        <v>4</v>
      </c>
      <c r="H1717" t="s">
        <v>524</v>
      </c>
      <c r="I1717" s="4">
        <f t="shared" si="226"/>
        <v>2</v>
      </c>
      <c r="J1717">
        <f t="shared" si="227"/>
        <v>8</v>
      </c>
      <c r="K1717">
        <v>76</v>
      </c>
      <c r="L1717">
        <v>24</v>
      </c>
      <c r="M1717" s="2">
        <v>3.17</v>
      </c>
      <c r="N1717" s="2">
        <v>3.56</v>
      </c>
      <c r="O1717">
        <v>0</v>
      </c>
      <c r="P1717">
        <v>4</v>
      </c>
      <c r="Q1717" s="4" t="str">
        <f t="shared" si="228"/>
        <v>2017/2018-Genap</v>
      </c>
      <c r="R1717" t="s">
        <v>260</v>
      </c>
      <c r="S1717" t="str">
        <f t="shared" si="225"/>
        <v>PA</v>
      </c>
    </row>
    <row r="1718" spans="1:19" x14ac:dyDescent="0.3">
      <c r="A1718" t="s">
        <v>12</v>
      </c>
      <c r="B1718">
        <v>2016110045</v>
      </c>
      <c r="C1718" t="s">
        <v>267</v>
      </c>
      <c r="E1718" t="s">
        <v>309</v>
      </c>
      <c r="F1718" t="s">
        <v>310</v>
      </c>
      <c r="G1718">
        <v>4</v>
      </c>
      <c r="H1718" t="s">
        <v>438</v>
      </c>
      <c r="I1718" s="4">
        <f t="shared" si="226"/>
        <v>3</v>
      </c>
      <c r="J1718">
        <f t="shared" si="227"/>
        <v>12</v>
      </c>
      <c r="K1718">
        <v>12</v>
      </c>
      <c r="L1718">
        <v>4</v>
      </c>
      <c r="M1718" s="2">
        <v>3</v>
      </c>
      <c r="N1718" s="2">
        <v>3.56</v>
      </c>
      <c r="O1718">
        <v>1</v>
      </c>
      <c r="P1718">
        <v>6</v>
      </c>
      <c r="Q1718" s="4" t="s">
        <v>572</v>
      </c>
      <c r="R1718" t="s">
        <v>260</v>
      </c>
      <c r="S1718" t="str">
        <f t="shared" si="225"/>
        <v>PA</v>
      </c>
    </row>
    <row r="1719" spans="1:19" x14ac:dyDescent="0.3">
      <c r="A1719" t="s">
        <v>12</v>
      </c>
      <c r="B1719">
        <v>2016110046</v>
      </c>
      <c r="C1719" t="s">
        <v>58</v>
      </c>
      <c r="E1719" t="s">
        <v>14</v>
      </c>
      <c r="F1719" t="s">
        <v>15</v>
      </c>
      <c r="G1719">
        <v>2</v>
      </c>
      <c r="I1719" s="4"/>
      <c r="J1719">
        <f t="shared" ref="J1719:J1722" si="229">G1719*I1719</f>
        <v>0</v>
      </c>
      <c r="K1719">
        <v>22</v>
      </c>
      <c r="L1719">
        <v>8</v>
      </c>
      <c r="M1719" s="2">
        <v>2.75</v>
      </c>
      <c r="N1719" s="2">
        <v>3.25</v>
      </c>
      <c r="O1719">
        <v>0</v>
      </c>
      <c r="P1719">
        <v>7</v>
      </c>
      <c r="Q1719" s="4" t="str">
        <f t="shared" ref="Q1719:Q1750" si="230">IF(P1719=1,"2016/2017-Ganjil",IF(P1719=2,"2016/2017-Genap",IF(P1719=3,"2017/2018-Ganjil",IF(P1719=4,"2017/2018-Genap",IF(P1719=5,"2018/2019-Ganjil",IF(P1719=6,"2018/2019-Genap",IF(P1719=7,"2019/2020-Ganjil",IF(P1719=8,"2019/2020-Genap",IF(P1719=9,"2020/2021-Ganjil","2020/2021-Genap")))))))))</f>
        <v>2019/2020-Ganjil</v>
      </c>
      <c r="R1719" t="s">
        <v>260</v>
      </c>
      <c r="S1719" t="s">
        <v>595</v>
      </c>
    </row>
    <row r="1720" spans="1:19" x14ac:dyDescent="0.3">
      <c r="A1720" t="s">
        <v>12</v>
      </c>
      <c r="B1720">
        <v>2016110046</v>
      </c>
      <c r="C1720" t="s">
        <v>58</v>
      </c>
      <c r="E1720" t="s">
        <v>14</v>
      </c>
      <c r="F1720" t="s">
        <v>15</v>
      </c>
      <c r="G1720">
        <v>2</v>
      </c>
      <c r="H1720" t="s">
        <v>524</v>
      </c>
      <c r="I1720" s="4">
        <f t="shared" ref="I1720:I1722" si="231">IF(H1720="A",4,IF(H1720="B",3,IF(H1720="C",2,IF(H1720="D",1,0))))</f>
        <v>2</v>
      </c>
      <c r="J1720">
        <f t="shared" si="229"/>
        <v>4</v>
      </c>
      <c r="K1720">
        <v>18</v>
      </c>
      <c r="L1720">
        <v>8</v>
      </c>
      <c r="M1720" s="2">
        <v>2.25</v>
      </c>
      <c r="N1720" s="2">
        <v>3.25</v>
      </c>
      <c r="O1720">
        <v>1</v>
      </c>
      <c r="P1720">
        <v>8</v>
      </c>
      <c r="Q1720" s="4" t="str">
        <f t="shared" si="230"/>
        <v>2019/2020-Genap</v>
      </c>
      <c r="R1720" t="s">
        <v>596</v>
      </c>
      <c r="S1720" t="str">
        <f>IF(OR(H1720="A",H1720="B",H1720="C"),"PA","FA")</f>
        <v>PA</v>
      </c>
    </row>
    <row r="1721" spans="1:19" x14ac:dyDescent="0.3">
      <c r="A1721" t="s">
        <v>12</v>
      </c>
      <c r="B1721">
        <v>2016110046</v>
      </c>
      <c r="C1721" t="s">
        <v>58</v>
      </c>
      <c r="E1721" t="s">
        <v>39</v>
      </c>
      <c r="F1721" t="s">
        <v>11</v>
      </c>
      <c r="G1721">
        <v>2</v>
      </c>
      <c r="I1721" s="4"/>
      <c r="J1721">
        <f t="shared" si="229"/>
        <v>0</v>
      </c>
      <c r="K1721">
        <v>22</v>
      </c>
      <c r="L1721">
        <v>8</v>
      </c>
      <c r="M1721" s="2">
        <v>2.75</v>
      </c>
      <c r="N1721" s="2">
        <v>3.25</v>
      </c>
      <c r="O1721">
        <v>0</v>
      </c>
      <c r="P1721">
        <v>7</v>
      </c>
      <c r="Q1721" s="4" t="str">
        <f t="shared" si="230"/>
        <v>2019/2020-Ganjil</v>
      </c>
      <c r="R1721" t="s">
        <v>260</v>
      </c>
      <c r="S1721" t="s">
        <v>595</v>
      </c>
    </row>
    <row r="1722" spans="1:19" x14ac:dyDescent="0.3">
      <c r="A1722" t="s">
        <v>12</v>
      </c>
      <c r="B1722">
        <v>2016110046</v>
      </c>
      <c r="C1722" t="s">
        <v>58</v>
      </c>
      <c r="E1722" t="s">
        <v>39</v>
      </c>
      <c r="F1722" t="s">
        <v>11</v>
      </c>
      <c r="G1722">
        <v>2</v>
      </c>
      <c r="H1722" t="s">
        <v>438</v>
      </c>
      <c r="I1722" s="4">
        <f t="shared" si="231"/>
        <v>3</v>
      </c>
      <c r="J1722">
        <f t="shared" si="229"/>
        <v>6</v>
      </c>
      <c r="K1722">
        <v>18</v>
      </c>
      <c r="L1722">
        <v>8</v>
      </c>
      <c r="M1722" s="2">
        <v>2.25</v>
      </c>
      <c r="N1722" s="2">
        <v>3.25</v>
      </c>
      <c r="O1722">
        <v>1</v>
      </c>
      <c r="P1722">
        <v>8</v>
      </c>
      <c r="Q1722" s="4" t="str">
        <f t="shared" si="230"/>
        <v>2019/2020-Genap</v>
      </c>
      <c r="R1722" t="s">
        <v>596</v>
      </c>
      <c r="S1722" t="str">
        <f t="shared" ref="S1722:S1749" si="232">IF(OR(H1722="A",H1722="B",H1722="C"),"PA","FA")</f>
        <v>PA</v>
      </c>
    </row>
    <row r="1723" spans="1:19" x14ac:dyDescent="0.3">
      <c r="A1723" t="s">
        <v>12</v>
      </c>
      <c r="B1723">
        <v>2016110046</v>
      </c>
      <c r="C1723" t="s">
        <v>58</v>
      </c>
      <c r="E1723" t="s">
        <v>241</v>
      </c>
      <c r="F1723" t="s">
        <v>45</v>
      </c>
      <c r="G1723">
        <v>2</v>
      </c>
      <c r="H1723" t="s">
        <v>260</v>
      </c>
      <c r="I1723" s="4">
        <f t="shared" ref="I1723:I1749" si="233">IF(H1723="A",4,IF(H1723="B",3,IF(H1723="C",2,IF(H1723="D",1,0))))</f>
        <v>4</v>
      </c>
      <c r="J1723">
        <f t="shared" ref="J1723:J1749" si="234">G1723*I1723</f>
        <v>8</v>
      </c>
      <c r="K1723">
        <v>92</v>
      </c>
      <c r="L1723">
        <v>24</v>
      </c>
      <c r="M1723" s="2">
        <v>3.83</v>
      </c>
      <c r="N1723" s="2">
        <v>3.25</v>
      </c>
      <c r="O1723">
        <v>0</v>
      </c>
      <c r="P1723">
        <v>3</v>
      </c>
      <c r="Q1723" s="4" t="str">
        <f t="shared" si="230"/>
        <v>2017/2018-Ganjil</v>
      </c>
      <c r="R1723" t="s">
        <v>260</v>
      </c>
      <c r="S1723" t="str">
        <f t="shared" si="232"/>
        <v>PA</v>
      </c>
    </row>
    <row r="1724" spans="1:19" x14ac:dyDescent="0.3">
      <c r="A1724" t="s">
        <v>12</v>
      </c>
      <c r="B1724">
        <v>2016110046</v>
      </c>
      <c r="C1724" t="s">
        <v>58</v>
      </c>
      <c r="E1724" t="s">
        <v>77</v>
      </c>
      <c r="F1724" t="s">
        <v>78</v>
      </c>
      <c r="G1724">
        <v>2</v>
      </c>
      <c r="H1724" t="s">
        <v>260</v>
      </c>
      <c r="I1724" s="4">
        <f t="shared" si="233"/>
        <v>4</v>
      </c>
      <c r="J1724">
        <f t="shared" si="234"/>
        <v>8</v>
      </c>
      <c r="K1724">
        <v>68</v>
      </c>
      <c r="L1724">
        <v>20</v>
      </c>
      <c r="M1724" s="2">
        <v>3.4</v>
      </c>
      <c r="N1724" s="2">
        <v>3.25</v>
      </c>
      <c r="O1724">
        <v>0</v>
      </c>
      <c r="P1724">
        <v>1</v>
      </c>
      <c r="Q1724" s="4" t="str">
        <f t="shared" si="230"/>
        <v>2016/2017-Ganjil</v>
      </c>
      <c r="R1724" t="s">
        <v>260</v>
      </c>
      <c r="S1724" t="str">
        <f t="shared" si="232"/>
        <v>PA</v>
      </c>
    </row>
    <row r="1725" spans="1:19" x14ac:dyDescent="0.3">
      <c r="A1725" t="s">
        <v>12</v>
      </c>
      <c r="B1725">
        <v>2016110046</v>
      </c>
      <c r="C1725" t="s">
        <v>58</v>
      </c>
      <c r="E1725" t="s">
        <v>360</v>
      </c>
      <c r="F1725" t="s">
        <v>361</v>
      </c>
      <c r="G1725">
        <v>2</v>
      </c>
      <c r="H1725" t="s">
        <v>260</v>
      </c>
      <c r="I1725" s="4">
        <f t="shared" si="233"/>
        <v>4</v>
      </c>
      <c r="J1725">
        <f t="shared" si="234"/>
        <v>8</v>
      </c>
      <c r="K1725">
        <v>56</v>
      </c>
      <c r="L1725">
        <v>18</v>
      </c>
      <c r="M1725" s="2">
        <v>3.11</v>
      </c>
      <c r="N1725" s="2">
        <v>3.25</v>
      </c>
      <c r="O1725">
        <v>0</v>
      </c>
      <c r="P1725">
        <v>6</v>
      </c>
      <c r="Q1725" s="4" t="str">
        <f t="shared" si="230"/>
        <v>2018/2019-Genap</v>
      </c>
      <c r="R1725" t="s">
        <v>260</v>
      </c>
      <c r="S1725" t="str">
        <f t="shared" si="232"/>
        <v>PA</v>
      </c>
    </row>
    <row r="1726" spans="1:19" x14ac:dyDescent="0.3">
      <c r="A1726" t="s">
        <v>12</v>
      </c>
      <c r="B1726">
        <v>2016110046</v>
      </c>
      <c r="C1726" t="s">
        <v>58</v>
      </c>
      <c r="E1726" t="s">
        <v>103</v>
      </c>
      <c r="F1726" t="s">
        <v>104</v>
      </c>
      <c r="G1726">
        <v>4</v>
      </c>
      <c r="H1726" t="s">
        <v>260</v>
      </c>
      <c r="I1726" s="4">
        <f t="shared" si="233"/>
        <v>4</v>
      </c>
      <c r="J1726">
        <f t="shared" si="234"/>
        <v>16</v>
      </c>
      <c r="K1726">
        <v>70</v>
      </c>
      <c r="L1726">
        <v>20</v>
      </c>
      <c r="M1726" s="2">
        <v>3.5</v>
      </c>
      <c r="N1726" s="2">
        <v>3.25</v>
      </c>
      <c r="O1726">
        <v>0</v>
      </c>
      <c r="P1726">
        <v>2</v>
      </c>
      <c r="Q1726" s="4" t="str">
        <f t="shared" si="230"/>
        <v>2016/2017-Genap</v>
      </c>
      <c r="R1726" t="s">
        <v>260</v>
      </c>
      <c r="S1726" t="str">
        <f t="shared" si="232"/>
        <v>PA</v>
      </c>
    </row>
    <row r="1727" spans="1:19" x14ac:dyDescent="0.3">
      <c r="A1727" t="s">
        <v>12</v>
      </c>
      <c r="B1727">
        <v>2016110046</v>
      </c>
      <c r="C1727" t="s">
        <v>58</v>
      </c>
      <c r="E1727" t="s">
        <v>262</v>
      </c>
      <c r="F1727" t="s">
        <v>263</v>
      </c>
      <c r="G1727">
        <v>2</v>
      </c>
      <c r="H1727" t="s">
        <v>260</v>
      </c>
      <c r="I1727" s="4">
        <f t="shared" si="233"/>
        <v>4</v>
      </c>
      <c r="J1727">
        <f t="shared" si="234"/>
        <v>8</v>
      </c>
      <c r="K1727">
        <v>56</v>
      </c>
      <c r="L1727">
        <v>18</v>
      </c>
      <c r="M1727" s="2">
        <v>3.11</v>
      </c>
      <c r="N1727" s="2">
        <v>3.25</v>
      </c>
      <c r="O1727">
        <v>0</v>
      </c>
      <c r="P1727">
        <v>6</v>
      </c>
      <c r="Q1727" s="4" t="str">
        <f t="shared" si="230"/>
        <v>2018/2019-Genap</v>
      </c>
      <c r="R1727" t="s">
        <v>260</v>
      </c>
      <c r="S1727" t="str">
        <f t="shared" si="232"/>
        <v>PA</v>
      </c>
    </row>
    <row r="1728" spans="1:19" x14ac:dyDescent="0.3">
      <c r="A1728" t="s">
        <v>12</v>
      </c>
      <c r="B1728">
        <v>2016110046</v>
      </c>
      <c r="C1728" t="s">
        <v>58</v>
      </c>
      <c r="E1728" t="s">
        <v>190</v>
      </c>
      <c r="F1728" t="s">
        <v>191</v>
      </c>
      <c r="G1728">
        <v>4</v>
      </c>
      <c r="H1728" t="s">
        <v>260</v>
      </c>
      <c r="I1728" s="4">
        <f t="shared" si="233"/>
        <v>4</v>
      </c>
      <c r="J1728">
        <f t="shared" si="234"/>
        <v>16</v>
      </c>
      <c r="K1728">
        <v>92</v>
      </c>
      <c r="L1728">
        <v>24</v>
      </c>
      <c r="M1728" s="2">
        <v>3.83</v>
      </c>
      <c r="N1728" s="2">
        <v>3.25</v>
      </c>
      <c r="O1728">
        <v>0</v>
      </c>
      <c r="P1728">
        <v>3</v>
      </c>
      <c r="Q1728" s="4" t="str">
        <f t="shared" si="230"/>
        <v>2017/2018-Ganjil</v>
      </c>
      <c r="R1728" t="s">
        <v>260</v>
      </c>
      <c r="S1728" t="str">
        <f t="shared" si="232"/>
        <v>PA</v>
      </c>
    </row>
    <row r="1729" spans="1:19" x14ac:dyDescent="0.3">
      <c r="A1729" t="s">
        <v>12</v>
      </c>
      <c r="B1729">
        <v>2016110046</v>
      </c>
      <c r="C1729" t="s">
        <v>58</v>
      </c>
      <c r="E1729" t="s">
        <v>357</v>
      </c>
      <c r="F1729" t="s">
        <v>358</v>
      </c>
      <c r="G1729">
        <v>4</v>
      </c>
      <c r="H1729" t="s">
        <v>260</v>
      </c>
      <c r="I1729" s="4">
        <f t="shared" si="233"/>
        <v>4</v>
      </c>
      <c r="J1729">
        <f t="shared" si="234"/>
        <v>16</v>
      </c>
      <c r="K1729">
        <v>74</v>
      </c>
      <c r="L1729">
        <v>22</v>
      </c>
      <c r="M1729" s="2">
        <v>3.36</v>
      </c>
      <c r="N1729" s="2">
        <v>3.25</v>
      </c>
      <c r="O1729">
        <v>0</v>
      </c>
      <c r="P1729">
        <v>5</v>
      </c>
      <c r="Q1729" s="4" t="str">
        <f t="shared" si="230"/>
        <v>2018/2019-Ganjil</v>
      </c>
      <c r="R1729" t="s">
        <v>260</v>
      </c>
      <c r="S1729" t="str">
        <f t="shared" si="232"/>
        <v>PA</v>
      </c>
    </row>
    <row r="1730" spans="1:19" x14ac:dyDescent="0.3">
      <c r="A1730" t="s">
        <v>12</v>
      </c>
      <c r="B1730">
        <v>2016110046</v>
      </c>
      <c r="C1730" t="s">
        <v>58</v>
      </c>
      <c r="E1730" t="s">
        <v>205</v>
      </c>
      <c r="F1730" t="s">
        <v>116</v>
      </c>
      <c r="G1730">
        <v>4</v>
      </c>
      <c r="H1730" t="s">
        <v>260</v>
      </c>
      <c r="I1730" s="4">
        <f t="shared" si="233"/>
        <v>4</v>
      </c>
      <c r="J1730">
        <f t="shared" si="234"/>
        <v>16</v>
      </c>
      <c r="K1730">
        <v>92</v>
      </c>
      <c r="L1730">
        <v>24</v>
      </c>
      <c r="M1730" s="2">
        <v>3.83</v>
      </c>
      <c r="N1730" s="2">
        <v>3.25</v>
      </c>
      <c r="O1730">
        <v>0</v>
      </c>
      <c r="P1730">
        <v>3</v>
      </c>
      <c r="Q1730" s="4" t="str">
        <f t="shared" si="230"/>
        <v>2017/2018-Ganjil</v>
      </c>
      <c r="R1730" t="s">
        <v>260</v>
      </c>
      <c r="S1730" t="str">
        <f t="shared" si="232"/>
        <v>PA</v>
      </c>
    </row>
    <row r="1731" spans="1:19" x14ac:dyDescent="0.3">
      <c r="A1731" t="s">
        <v>12</v>
      </c>
      <c r="B1731">
        <v>2016110046</v>
      </c>
      <c r="C1731" t="s">
        <v>58</v>
      </c>
      <c r="E1731" t="s">
        <v>142</v>
      </c>
      <c r="F1731" t="s">
        <v>143</v>
      </c>
      <c r="G1731">
        <v>2</v>
      </c>
      <c r="H1731" t="s">
        <v>260</v>
      </c>
      <c r="I1731" s="4">
        <f t="shared" si="233"/>
        <v>4</v>
      </c>
      <c r="J1731">
        <f t="shared" si="234"/>
        <v>8</v>
      </c>
      <c r="K1731">
        <v>68</v>
      </c>
      <c r="L1731">
        <v>20</v>
      </c>
      <c r="M1731" s="2">
        <v>3.4</v>
      </c>
      <c r="N1731" s="2">
        <v>3.25</v>
      </c>
      <c r="O1731">
        <v>0</v>
      </c>
      <c r="P1731">
        <v>1</v>
      </c>
      <c r="Q1731" s="4" t="str">
        <f t="shared" si="230"/>
        <v>2016/2017-Ganjil</v>
      </c>
      <c r="R1731" t="s">
        <v>260</v>
      </c>
      <c r="S1731" t="str">
        <f t="shared" si="232"/>
        <v>PA</v>
      </c>
    </row>
    <row r="1732" spans="1:19" x14ac:dyDescent="0.3">
      <c r="A1732" t="s">
        <v>12</v>
      </c>
      <c r="B1732">
        <v>2016110046</v>
      </c>
      <c r="C1732" t="s">
        <v>58</v>
      </c>
      <c r="E1732" t="s">
        <v>293</v>
      </c>
      <c r="F1732" t="s">
        <v>294</v>
      </c>
      <c r="G1732">
        <v>2</v>
      </c>
      <c r="H1732" t="s">
        <v>260</v>
      </c>
      <c r="I1732" s="4">
        <f t="shared" si="233"/>
        <v>4</v>
      </c>
      <c r="J1732">
        <f t="shared" si="234"/>
        <v>8</v>
      </c>
      <c r="K1732">
        <v>74</v>
      </c>
      <c r="L1732">
        <v>22</v>
      </c>
      <c r="M1732" s="2">
        <v>3.36</v>
      </c>
      <c r="N1732" s="2">
        <v>3.25</v>
      </c>
      <c r="O1732">
        <v>0</v>
      </c>
      <c r="P1732">
        <v>5</v>
      </c>
      <c r="Q1732" s="4" t="str">
        <f t="shared" si="230"/>
        <v>2018/2019-Ganjil</v>
      </c>
      <c r="R1732" t="s">
        <v>260</v>
      </c>
      <c r="S1732" t="str">
        <f t="shared" si="232"/>
        <v>PA</v>
      </c>
    </row>
    <row r="1733" spans="1:19" x14ac:dyDescent="0.3">
      <c r="A1733" t="s">
        <v>12</v>
      </c>
      <c r="B1733">
        <v>2016110046</v>
      </c>
      <c r="C1733" t="s">
        <v>58</v>
      </c>
      <c r="E1733" t="s">
        <v>170</v>
      </c>
      <c r="F1733" t="s">
        <v>171</v>
      </c>
      <c r="G1733">
        <v>4</v>
      </c>
      <c r="H1733" t="s">
        <v>260</v>
      </c>
      <c r="I1733" s="4">
        <f t="shared" si="233"/>
        <v>4</v>
      </c>
      <c r="J1733">
        <f t="shared" si="234"/>
        <v>16</v>
      </c>
      <c r="K1733">
        <v>92</v>
      </c>
      <c r="L1733">
        <v>24</v>
      </c>
      <c r="M1733" s="2">
        <v>3.83</v>
      </c>
      <c r="N1733" s="2">
        <v>3.25</v>
      </c>
      <c r="O1733">
        <v>0</v>
      </c>
      <c r="P1733">
        <v>3</v>
      </c>
      <c r="Q1733" s="4" t="str">
        <f t="shared" si="230"/>
        <v>2017/2018-Ganjil</v>
      </c>
      <c r="R1733" t="s">
        <v>260</v>
      </c>
      <c r="S1733" t="str">
        <f t="shared" si="232"/>
        <v>PA</v>
      </c>
    </row>
    <row r="1734" spans="1:19" x14ac:dyDescent="0.3">
      <c r="A1734" t="s">
        <v>12</v>
      </c>
      <c r="B1734">
        <v>2016110046</v>
      </c>
      <c r="C1734" t="s">
        <v>58</v>
      </c>
      <c r="E1734" t="s">
        <v>131</v>
      </c>
      <c r="F1734" t="s">
        <v>132</v>
      </c>
      <c r="G1734">
        <v>2</v>
      </c>
      <c r="H1734" t="s">
        <v>260</v>
      </c>
      <c r="I1734" s="4">
        <f t="shared" si="233"/>
        <v>4</v>
      </c>
      <c r="J1734">
        <f t="shared" si="234"/>
        <v>8</v>
      </c>
      <c r="K1734">
        <v>68</v>
      </c>
      <c r="L1734">
        <v>20</v>
      </c>
      <c r="M1734" s="2">
        <v>3.4</v>
      </c>
      <c r="N1734" s="2">
        <v>3.25</v>
      </c>
      <c r="O1734">
        <v>0</v>
      </c>
      <c r="P1734">
        <v>1</v>
      </c>
      <c r="Q1734" s="4" t="str">
        <f t="shared" si="230"/>
        <v>2016/2017-Ganjil</v>
      </c>
      <c r="R1734" t="s">
        <v>260</v>
      </c>
      <c r="S1734" t="str">
        <f t="shared" si="232"/>
        <v>PA</v>
      </c>
    </row>
    <row r="1735" spans="1:19" x14ac:dyDescent="0.3">
      <c r="A1735" t="s">
        <v>12</v>
      </c>
      <c r="B1735">
        <v>2016110046</v>
      </c>
      <c r="C1735" t="s">
        <v>58</v>
      </c>
      <c r="E1735" t="s">
        <v>236</v>
      </c>
      <c r="F1735" t="s">
        <v>237</v>
      </c>
      <c r="G1735">
        <v>2</v>
      </c>
      <c r="H1735" t="s">
        <v>260</v>
      </c>
      <c r="I1735" s="4">
        <f t="shared" si="233"/>
        <v>4</v>
      </c>
      <c r="J1735">
        <f t="shared" si="234"/>
        <v>8</v>
      </c>
      <c r="K1735">
        <v>74</v>
      </c>
      <c r="L1735">
        <v>22</v>
      </c>
      <c r="M1735" s="2">
        <v>3.36</v>
      </c>
      <c r="N1735" s="2">
        <v>3.25</v>
      </c>
      <c r="O1735">
        <v>0</v>
      </c>
      <c r="P1735">
        <v>5</v>
      </c>
      <c r="Q1735" s="4" t="str">
        <f t="shared" si="230"/>
        <v>2018/2019-Ganjil</v>
      </c>
      <c r="R1735" t="s">
        <v>260</v>
      </c>
      <c r="S1735" t="str">
        <f t="shared" si="232"/>
        <v>PA</v>
      </c>
    </row>
    <row r="1736" spans="1:19" x14ac:dyDescent="0.3">
      <c r="A1736" t="s">
        <v>12</v>
      </c>
      <c r="B1736">
        <v>2016110046</v>
      </c>
      <c r="C1736" t="s">
        <v>58</v>
      </c>
      <c r="E1736" t="s">
        <v>387</v>
      </c>
      <c r="F1736" t="s">
        <v>388</v>
      </c>
      <c r="G1736">
        <v>2</v>
      </c>
      <c r="H1736" t="s">
        <v>260</v>
      </c>
      <c r="I1736" s="4">
        <f t="shared" si="233"/>
        <v>4</v>
      </c>
      <c r="J1736">
        <f t="shared" si="234"/>
        <v>8</v>
      </c>
      <c r="K1736">
        <v>56</v>
      </c>
      <c r="L1736">
        <v>18</v>
      </c>
      <c r="M1736" s="2">
        <v>3.11</v>
      </c>
      <c r="N1736" s="2">
        <v>3.25</v>
      </c>
      <c r="O1736">
        <v>0</v>
      </c>
      <c r="P1736">
        <v>6</v>
      </c>
      <c r="Q1736" s="4" t="str">
        <f t="shared" si="230"/>
        <v>2018/2019-Genap</v>
      </c>
      <c r="R1736" t="s">
        <v>260</v>
      </c>
      <c r="S1736" t="str">
        <f t="shared" si="232"/>
        <v>PA</v>
      </c>
    </row>
    <row r="1737" spans="1:19" x14ac:dyDescent="0.3">
      <c r="A1737" t="s">
        <v>12</v>
      </c>
      <c r="B1737">
        <v>2016110046</v>
      </c>
      <c r="C1737" t="s">
        <v>58</v>
      </c>
      <c r="E1737" t="s">
        <v>279</v>
      </c>
      <c r="F1737" t="s">
        <v>280</v>
      </c>
      <c r="G1737">
        <v>2</v>
      </c>
      <c r="H1737" t="s">
        <v>260</v>
      </c>
      <c r="I1737" s="4">
        <f t="shared" si="233"/>
        <v>4</v>
      </c>
      <c r="J1737">
        <f t="shared" si="234"/>
        <v>8</v>
      </c>
      <c r="K1737">
        <v>70</v>
      </c>
      <c r="L1737">
        <v>20</v>
      </c>
      <c r="M1737" s="2">
        <v>3.5</v>
      </c>
      <c r="N1737" s="2">
        <v>3.25</v>
      </c>
      <c r="O1737">
        <v>0</v>
      </c>
      <c r="P1737">
        <v>2</v>
      </c>
      <c r="Q1737" s="4" t="str">
        <f t="shared" si="230"/>
        <v>2016/2017-Genap</v>
      </c>
      <c r="R1737" t="s">
        <v>260</v>
      </c>
      <c r="S1737" t="str">
        <f t="shared" si="232"/>
        <v>PA</v>
      </c>
    </row>
    <row r="1738" spans="1:19" x14ac:dyDescent="0.3">
      <c r="A1738" t="s">
        <v>12</v>
      </c>
      <c r="B1738">
        <v>2016110046</v>
      </c>
      <c r="C1738" t="s">
        <v>58</v>
      </c>
      <c r="E1738" t="s">
        <v>100</v>
      </c>
      <c r="F1738" t="s">
        <v>101</v>
      </c>
      <c r="G1738">
        <v>4</v>
      </c>
      <c r="H1738" t="s">
        <v>260</v>
      </c>
      <c r="I1738" s="4">
        <f t="shared" si="233"/>
        <v>4</v>
      </c>
      <c r="J1738">
        <f t="shared" si="234"/>
        <v>16</v>
      </c>
      <c r="K1738">
        <v>70</v>
      </c>
      <c r="L1738">
        <v>20</v>
      </c>
      <c r="M1738" s="2">
        <v>3.5</v>
      </c>
      <c r="N1738" s="2">
        <v>3.25</v>
      </c>
      <c r="O1738">
        <v>0</v>
      </c>
      <c r="P1738">
        <v>2</v>
      </c>
      <c r="Q1738" s="4" t="str">
        <f t="shared" si="230"/>
        <v>2016/2017-Genap</v>
      </c>
      <c r="R1738" t="s">
        <v>260</v>
      </c>
      <c r="S1738" t="str">
        <f t="shared" si="232"/>
        <v>PA</v>
      </c>
    </row>
    <row r="1739" spans="1:19" x14ac:dyDescent="0.3">
      <c r="A1739" t="s">
        <v>12</v>
      </c>
      <c r="B1739">
        <v>2016110046</v>
      </c>
      <c r="C1739" t="s">
        <v>58</v>
      </c>
      <c r="E1739" t="s">
        <v>192</v>
      </c>
      <c r="F1739" t="s">
        <v>106</v>
      </c>
      <c r="G1739">
        <v>2</v>
      </c>
      <c r="H1739" t="s">
        <v>260</v>
      </c>
      <c r="I1739" s="4">
        <f t="shared" si="233"/>
        <v>4</v>
      </c>
      <c r="J1739">
        <f t="shared" si="234"/>
        <v>8</v>
      </c>
      <c r="K1739">
        <v>92</v>
      </c>
      <c r="L1739">
        <v>24</v>
      </c>
      <c r="M1739" s="2">
        <v>3.83</v>
      </c>
      <c r="N1739" s="2">
        <v>3.25</v>
      </c>
      <c r="O1739">
        <v>0</v>
      </c>
      <c r="P1739">
        <v>3</v>
      </c>
      <c r="Q1739" s="4" t="str">
        <f t="shared" si="230"/>
        <v>2017/2018-Ganjil</v>
      </c>
      <c r="R1739" t="s">
        <v>260</v>
      </c>
      <c r="S1739" t="str">
        <f t="shared" si="232"/>
        <v>PA</v>
      </c>
    </row>
    <row r="1740" spans="1:19" x14ac:dyDescent="0.3">
      <c r="A1740" t="s">
        <v>12</v>
      </c>
      <c r="B1740">
        <v>2016110046</v>
      </c>
      <c r="C1740" t="s">
        <v>58</v>
      </c>
      <c r="E1740" t="s">
        <v>122</v>
      </c>
      <c r="F1740" t="s">
        <v>123</v>
      </c>
      <c r="G1740">
        <v>4</v>
      </c>
      <c r="H1740" t="s">
        <v>260</v>
      </c>
      <c r="I1740" s="4">
        <f t="shared" si="233"/>
        <v>4</v>
      </c>
      <c r="J1740">
        <f t="shared" si="234"/>
        <v>16</v>
      </c>
      <c r="K1740">
        <v>68</v>
      </c>
      <c r="L1740">
        <v>20</v>
      </c>
      <c r="M1740" s="2">
        <v>3.4</v>
      </c>
      <c r="N1740" s="2">
        <v>3.25</v>
      </c>
      <c r="O1740">
        <v>0</v>
      </c>
      <c r="P1740">
        <v>1</v>
      </c>
      <c r="Q1740" s="4" t="str">
        <f t="shared" si="230"/>
        <v>2016/2017-Ganjil</v>
      </c>
      <c r="R1740" t="s">
        <v>260</v>
      </c>
      <c r="S1740" t="str">
        <f t="shared" si="232"/>
        <v>PA</v>
      </c>
    </row>
    <row r="1741" spans="1:19" x14ac:dyDescent="0.3">
      <c r="A1741" t="s">
        <v>12</v>
      </c>
      <c r="B1741">
        <v>2016110046</v>
      </c>
      <c r="C1741" t="s">
        <v>58</v>
      </c>
      <c r="E1741" t="s">
        <v>234</v>
      </c>
      <c r="F1741" t="s">
        <v>235</v>
      </c>
      <c r="G1741">
        <v>4</v>
      </c>
      <c r="H1741" t="s">
        <v>260</v>
      </c>
      <c r="I1741" s="4">
        <f t="shared" si="233"/>
        <v>4</v>
      </c>
      <c r="J1741">
        <f t="shared" si="234"/>
        <v>16</v>
      </c>
      <c r="K1741">
        <v>92</v>
      </c>
      <c r="L1741">
        <v>24</v>
      </c>
      <c r="M1741" s="2">
        <v>3.83</v>
      </c>
      <c r="N1741" s="2">
        <v>3.25</v>
      </c>
      <c r="O1741">
        <v>0</v>
      </c>
      <c r="P1741">
        <v>3</v>
      </c>
      <c r="Q1741" s="4" t="str">
        <f t="shared" si="230"/>
        <v>2017/2018-Ganjil</v>
      </c>
      <c r="R1741" t="s">
        <v>260</v>
      </c>
      <c r="S1741" t="str">
        <f t="shared" si="232"/>
        <v>PA</v>
      </c>
    </row>
    <row r="1742" spans="1:19" x14ac:dyDescent="0.3">
      <c r="A1742" t="s">
        <v>12</v>
      </c>
      <c r="B1742">
        <v>2016110046</v>
      </c>
      <c r="C1742" t="s">
        <v>58</v>
      </c>
      <c r="E1742" t="s">
        <v>151</v>
      </c>
      <c r="F1742" t="s">
        <v>152</v>
      </c>
      <c r="G1742">
        <v>2</v>
      </c>
      <c r="H1742" t="s">
        <v>260</v>
      </c>
      <c r="I1742" s="4">
        <f t="shared" si="233"/>
        <v>4</v>
      </c>
      <c r="J1742">
        <f t="shared" si="234"/>
        <v>8</v>
      </c>
      <c r="K1742">
        <v>68</v>
      </c>
      <c r="L1742">
        <v>20</v>
      </c>
      <c r="M1742" s="2">
        <v>3.4</v>
      </c>
      <c r="N1742" s="2">
        <v>3.25</v>
      </c>
      <c r="O1742">
        <v>0</v>
      </c>
      <c r="P1742">
        <v>1</v>
      </c>
      <c r="Q1742" s="4" t="str">
        <f t="shared" si="230"/>
        <v>2016/2017-Ganjil</v>
      </c>
      <c r="R1742" t="s">
        <v>260</v>
      </c>
      <c r="S1742" t="str">
        <f t="shared" si="232"/>
        <v>PA</v>
      </c>
    </row>
    <row r="1743" spans="1:19" x14ac:dyDescent="0.3">
      <c r="A1743" t="s">
        <v>12</v>
      </c>
      <c r="B1743">
        <v>2016110046</v>
      </c>
      <c r="C1743" t="s">
        <v>58</v>
      </c>
      <c r="E1743" t="s">
        <v>334</v>
      </c>
      <c r="F1743" t="s">
        <v>335</v>
      </c>
      <c r="G1743">
        <v>2</v>
      </c>
      <c r="H1743" t="s">
        <v>438</v>
      </c>
      <c r="I1743" s="4">
        <f t="shared" si="233"/>
        <v>3</v>
      </c>
      <c r="J1743">
        <f t="shared" si="234"/>
        <v>6</v>
      </c>
      <c r="K1743">
        <v>74</v>
      </c>
      <c r="L1743">
        <v>22</v>
      </c>
      <c r="M1743" s="2">
        <v>3.36</v>
      </c>
      <c r="N1743" s="2">
        <v>3.25</v>
      </c>
      <c r="O1743">
        <v>0</v>
      </c>
      <c r="P1743">
        <v>5</v>
      </c>
      <c r="Q1743" s="4" t="str">
        <f t="shared" si="230"/>
        <v>2018/2019-Ganjil</v>
      </c>
      <c r="R1743" t="s">
        <v>260</v>
      </c>
      <c r="S1743" t="str">
        <f t="shared" si="232"/>
        <v>PA</v>
      </c>
    </row>
    <row r="1744" spans="1:19" x14ac:dyDescent="0.3">
      <c r="A1744" t="s">
        <v>12</v>
      </c>
      <c r="B1744">
        <v>2016110046</v>
      </c>
      <c r="C1744" t="s">
        <v>58</v>
      </c>
      <c r="E1744" t="s">
        <v>283</v>
      </c>
      <c r="F1744" t="s">
        <v>284</v>
      </c>
      <c r="G1744">
        <v>2</v>
      </c>
      <c r="H1744" t="s">
        <v>438</v>
      </c>
      <c r="I1744" s="4">
        <f t="shared" si="233"/>
        <v>3</v>
      </c>
      <c r="J1744">
        <f t="shared" si="234"/>
        <v>6</v>
      </c>
      <c r="K1744">
        <v>92</v>
      </c>
      <c r="L1744">
        <v>24</v>
      </c>
      <c r="M1744" s="2">
        <v>3.83</v>
      </c>
      <c r="N1744" s="2">
        <v>3.25</v>
      </c>
      <c r="O1744">
        <v>0</v>
      </c>
      <c r="P1744">
        <v>3</v>
      </c>
      <c r="Q1744" s="4" t="str">
        <f t="shared" si="230"/>
        <v>2017/2018-Ganjil</v>
      </c>
      <c r="R1744" t="s">
        <v>260</v>
      </c>
      <c r="S1744" t="str">
        <f t="shared" si="232"/>
        <v>PA</v>
      </c>
    </row>
    <row r="1745" spans="1:19" x14ac:dyDescent="0.3">
      <c r="A1745" t="s">
        <v>12</v>
      </c>
      <c r="B1745">
        <v>2016110046</v>
      </c>
      <c r="C1745" t="s">
        <v>58</v>
      </c>
      <c r="E1745" t="s">
        <v>427</v>
      </c>
      <c r="F1745" t="s">
        <v>428</v>
      </c>
      <c r="G1745">
        <v>2</v>
      </c>
      <c r="H1745" t="s">
        <v>438</v>
      </c>
      <c r="I1745" s="4">
        <f t="shared" si="233"/>
        <v>3</v>
      </c>
      <c r="J1745">
        <f t="shared" si="234"/>
        <v>6</v>
      </c>
      <c r="K1745">
        <v>56</v>
      </c>
      <c r="L1745">
        <v>18</v>
      </c>
      <c r="M1745" s="2">
        <v>3.11</v>
      </c>
      <c r="N1745" s="2">
        <v>3.25</v>
      </c>
      <c r="O1745">
        <v>0</v>
      </c>
      <c r="P1745">
        <v>6</v>
      </c>
      <c r="Q1745" s="4" t="str">
        <f t="shared" si="230"/>
        <v>2018/2019-Genap</v>
      </c>
      <c r="R1745" t="s">
        <v>260</v>
      </c>
      <c r="S1745" t="str">
        <f t="shared" si="232"/>
        <v>PA</v>
      </c>
    </row>
    <row r="1746" spans="1:19" x14ac:dyDescent="0.3">
      <c r="A1746" t="s">
        <v>12</v>
      </c>
      <c r="B1746">
        <v>2016110046</v>
      </c>
      <c r="C1746" t="s">
        <v>58</v>
      </c>
      <c r="E1746" t="s">
        <v>348</v>
      </c>
      <c r="F1746" t="s">
        <v>402</v>
      </c>
      <c r="G1746">
        <v>4</v>
      </c>
      <c r="H1746" t="s">
        <v>438</v>
      </c>
      <c r="I1746" s="4">
        <f t="shared" si="233"/>
        <v>3</v>
      </c>
      <c r="J1746">
        <f t="shared" si="234"/>
        <v>12</v>
      </c>
      <c r="K1746">
        <v>68</v>
      </c>
      <c r="L1746">
        <v>24</v>
      </c>
      <c r="M1746" s="2">
        <v>2.83</v>
      </c>
      <c r="N1746" s="2">
        <v>3.25</v>
      </c>
      <c r="O1746">
        <v>0</v>
      </c>
      <c r="P1746">
        <v>4</v>
      </c>
      <c r="Q1746" s="4" t="str">
        <f t="shared" si="230"/>
        <v>2017/2018-Genap</v>
      </c>
      <c r="R1746" t="s">
        <v>260</v>
      </c>
      <c r="S1746" t="str">
        <f t="shared" si="232"/>
        <v>PA</v>
      </c>
    </row>
    <row r="1747" spans="1:19" x14ac:dyDescent="0.3">
      <c r="A1747" t="s">
        <v>12</v>
      </c>
      <c r="B1747">
        <v>2016110046</v>
      </c>
      <c r="C1747" t="s">
        <v>58</v>
      </c>
      <c r="E1747" t="s">
        <v>97</v>
      </c>
      <c r="F1747" t="s">
        <v>98</v>
      </c>
      <c r="G1747">
        <v>4</v>
      </c>
      <c r="H1747" t="s">
        <v>438</v>
      </c>
      <c r="I1747" s="4">
        <f t="shared" si="233"/>
        <v>3</v>
      </c>
      <c r="J1747">
        <f t="shared" si="234"/>
        <v>12</v>
      </c>
      <c r="K1747">
        <v>70</v>
      </c>
      <c r="L1747">
        <v>20</v>
      </c>
      <c r="M1747" s="2">
        <v>3.5</v>
      </c>
      <c r="N1747" s="2">
        <v>3.25</v>
      </c>
      <c r="O1747">
        <v>0</v>
      </c>
      <c r="P1747">
        <v>2</v>
      </c>
      <c r="Q1747" s="4" t="str">
        <f t="shared" si="230"/>
        <v>2016/2017-Genap</v>
      </c>
      <c r="R1747" t="s">
        <v>260</v>
      </c>
      <c r="S1747" t="str">
        <f t="shared" si="232"/>
        <v>PA</v>
      </c>
    </row>
    <row r="1748" spans="1:19" x14ac:dyDescent="0.3">
      <c r="A1748" t="s">
        <v>12</v>
      </c>
      <c r="B1748">
        <v>2016110046</v>
      </c>
      <c r="C1748" t="s">
        <v>58</v>
      </c>
      <c r="E1748" t="s">
        <v>432</v>
      </c>
      <c r="F1748" t="s">
        <v>433</v>
      </c>
      <c r="G1748">
        <v>4</v>
      </c>
      <c r="H1748" t="s">
        <v>438</v>
      </c>
      <c r="I1748" s="4">
        <f t="shared" si="233"/>
        <v>3</v>
      </c>
      <c r="J1748">
        <f t="shared" si="234"/>
        <v>12</v>
      </c>
      <c r="K1748">
        <v>68</v>
      </c>
      <c r="L1748">
        <v>24</v>
      </c>
      <c r="M1748" s="2">
        <v>2.83</v>
      </c>
      <c r="N1748" s="2">
        <v>3.25</v>
      </c>
      <c r="O1748">
        <v>0</v>
      </c>
      <c r="P1748">
        <v>4</v>
      </c>
      <c r="Q1748" s="4" t="str">
        <f t="shared" si="230"/>
        <v>2017/2018-Genap</v>
      </c>
      <c r="R1748" t="s">
        <v>260</v>
      </c>
      <c r="S1748" t="str">
        <f t="shared" si="232"/>
        <v>PA</v>
      </c>
    </row>
    <row r="1749" spans="1:19" x14ac:dyDescent="0.3">
      <c r="A1749" t="s">
        <v>12</v>
      </c>
      <c r="B1749">
        <v>2016110046</v>
      </c>
      <c r="C1749" t="s">
        <v>58</v>
      </c>
      <c r="E1749" t="s">
        <v>290</v>
      </c>
      <c r="F1749" t="s">
        <v>327</v>
      </c>
      <c r="G1749">
        <v>4</v>
      </c>
      <c r="H1749" t="s">
        <v>438</v>
      </c>
      <c r="I1749" s="4">
        <f t="shared" si="233"/>
        <v>3</v>
      </c>
      <c r="J1749">
        <f t="shared" si="234"/>
        <v>12</v>
      </c>
      <c r="K1749">
        <v>70</v>
      </c>
      <c r="L1749">
        <v>20</v>
      </c>
      <c r="M1749" s="2">
        <v>3.5</v>
      </c>
      <c r="N1749" s="2">
        <v>3.25</v>
      </c>
      <c r="O1749">
        <v>0</v>
      </c>
      <c r="P1749">
        <v>2</v>
      </c>
      <c r="Q1749" s="4" t="str">
        <f t="shared" si="230"/>
        <v>2016/2017-Genap</v>
      </c>
      <c r="R1749" t="s">
        <v>260</v>
      </c>
      <c r="S1749" t="str">
        <f t="shared" si="232"/>
        <v>PA</v>
      </c>
    </row>
    <row r="1750" spans="1:19" x14ac:dyDescent="0.3">
      <c r="A1750" t="s">
        <v>12</v>
      </c>
      <c r="B1750">
        <v>2016110046</v>
      </c>
      <c r="C1750" t="s">
        <v>58</v>
      </c>
      <c r="E1750" t="s">
        <v>248</v>
      </c>
      <c r="F1750" t="s">
        <v>249</v>
      </c>
      <c r="G1750">
        <v>2</v>
      </c>
      <c r="I1750" s="4"/>
      <c r="J1750">
        <f t="shared" ref="J1750:J1792" si="235">G1750*I1750</f>
        <v>0</v>
      </c>
      <c r="K1750">
        <v>18</v>
      </c>
      <c r="L1750">
        <v>8</v>
      </c>
      <c r="M1750" s="2">
        <v>2.25</v>
      </c>
      <c r="N1750" s="2">
        <v>3.25</v>
      </c>
      <c r="O1750">
        <v>0</v>
      </c>
      <c r="P1750">
        <v>8</v>
      </c>
      <c r="Q1750" s="4" t="str">
        <f t="shared" si="230"/>
        <v>2019/2020-Genap</v>
      </c>
      <c r="R1750" t="s">
        <v>596</v>
      </c>
      <c r="S1750" t="s">
        <v>595</v>
      </c>
    </row>
    <row r="1751" spans="1:19" x14ac:dyDescent="0.3">
      <c r="A1751" t="s">
        <v>12</v>
      </c>
      <c r="B1751">
        <v>2016110046</v>
      </c>
      <c r="C1751" t="s">
        <v>58</v>
      </c>
      <c r="E1751" t="s">
        <v>248</v>
      </c>
      <c r="F1751" t="s">
        <v>249</v>
      </c>
      <c r="G1751">
        <v>2</v>
      </c>
      <c r="H1751" t="s">
        <v>438</v>
      </c>
      <c r="I1751" s="4">
        <f t="shared" ref="I1751:I1792" si="236">IF(H1751="A",4,IF(H1751="B",3,IF(H1751="C",2,IF(H1751="D",1,0))))</f>
        <v>3</v>
      </c>
      <c r="J1751">
        <f t="shared" si="235"/>
        <v>6</v>
      </c>
      <c r="K1751">
        <v>68</v>
      </c>
      <c r="L1751">
        <v>24</v>
      </c>
      <c r="M1751" s="2">
        <v>2.83</v>
      </c>
      <c r="N1751" s="2">
        <v>3.25</v>
      </c>
      <c r="O1751">
        <v>1</v>
      </c>
      <c r="P1751">
        <v>4</v>
      </c>
      <c r="Q1751" s="4" t="str">
        <f t="shared" ref="Q1751:Q1782" si="237">IF(P1751=1,"2016/2017-Ganjil",IF(P1751=2,"2016/2017-Genap",IF(P1751=3,"2017/2018-Ganjil",IF(P1751=4,"2017/2018-Genap",IF(P1751=5,"2018/2019-Ganjil",IF(P1751=6,"2018/2019-Genap",IF(P1751=7,"2019/2020-Ganjil",IF(P1751=8,"2019/2020-Genap",IF(P1751=9,"2020/2021-Ganjil","2020/2021-Genap")))))))))</f>
        <v>2017/2018-Genap</v>
      </c>
      <c r="R1751" t="s">
        <v>260</v>
      </c>
      <c r="S1751" t="str">
        <f t="shared" ref="S1751:S1773" si="238">IF(OR(H1751="A",H1751="B",H1751="C"),"PA","FA")</f>
        <v>PA</v>
      </c>
    </row>
    <row r="1752" spans="1:19" x14ac:dyDescent="0.3">
      <c r="A1752" t="s">
        <v>12</v>
      </c>
      <c r="B1752">
        <v>2016110046</v>
      </c>
      <c r="C1752" t="s">
        <v>58</v>
      </c>
      <c r="E1752" t="s">
        <v>273</v>
      </c>
      <c r="F1752" t="s">
        <v>274</v>
      </c>
      <c r="G1752">
        <v>2</v>
      </c>
      <c r="H1752" t="s">
        <v>438</v>
      </c>
      <c r="I1752" s="4">
        <f t="shared" ref="I1752:I1773" si="239">IF(H1752="A",4,IF(H1752="B",3,IF(H1752="C",2,IF(H1752="D",1,0))))</f>
        <v>3</v>
      </c>
      <c r="J1752">
        <f t="shared" ref="J1752:J1773" si="240">G1752*I1752</f>
        <v>6</v>
      </c>
      <c r="K1752">
        <v>68</v>
      </c>
      <c r="L1752">
        <v>24</v>
      </c>
      <c r="M1752" s="2">
        <v>2.83</v>
      </c>
      <c r="N1752" s="2">
        <v>3.25</v>
      </c>
      <c r="O1752">
        <v>0</v>
      </c>
      <c r="P1752">
        <v>4</v>
      </c>
      <c r="Q1752" s="4" t="str">
        <f t="shared" si="237"/>
        <v>2017/2018-Genap</v>
      </c>
      <c r="R1752" t="s">
        <v>260</v>
      </c>
      <c r="S1752" t="str">
        <f t="shared" si="238"/>
        <v>PA</v>
      </c>
    </row>
    <row r="1753" spans="1:19" x14ac:dyDescent="0.3">
      <c r="A1753" t="s">
        <v>12</v>
      </c>
      <c r="B1753">
        <v>2016110046</v>
      </c>
      <c r="C1753" t="s">
        <v>58</v>
      </c>
      <c r="E1753" t="s">
        <v>330</v>
      </c>
      <c r="F1753" t="s">
        <v>108</v>
      </c>
      <c r="G1753">
        <v>2</v>
      </c>
      <c r="H1753" t="s">
        <v>438</v>
      </c>
      <c r="I1753" s="4">
        <f t="shared" si="239"/>
        <v>3</v>
      </c>
      <c r="J1753">
        <f t="shared" si="240"/>
        <v>6</v>
      </c>
      <c r="K1753">
        <v>22</v>
      </c>
      <c r="L1753">
        <v>8</v>
      </c>
      <c r="M1753" s="2">
        <v>2.75</v>
      </c>
      <c r="N1753" s="2">
        <v>3.25</v>
      </c>
      <c r="O1753">
        <v>0</v>
      </c>
      <c r="P1753">
        <v>7</v>
      </c>
      <c r="Q1753" s="4" t="str">
        <f t="shared" si="237"/>
        <v>2019/2020-Ganjil</v>
      </c>
      <c r="R1753" t="s">
        <v>260</v>
      </c>
      <c r="S1753" t="str">
        <f t="shared" si="238"/>
        <v>PA</v>
      </c>
    </row>
    <row r="1754" spans="1:19" x14ac:dyDescent="0.3">
      <c r="A1754" t="s">
        <v>12</v>
      </c>
      <c r="B1754">
        <v>2016110046</v>
      </c>
      <c r="C1754" t="s">
        <v>58</v>
      </c>
      <c r="E1754" t="s">
        <v>264</v>
      </c>
      <c r="F1754" t="s">
        <v>265</v>
      </c>
      <c r="G1754">
        <v>2</v>
      </c>
      <c r="H1754" t="s">
        <v>438</v>
      </c>
      <c r="I1754" s="4">
        <f t="shared" si="239"/>
        <v>3</v>
      </c>
      <c r="J1754">
        <f t="shared" si="240"/>
        <v>6</v>
      </c>
      <c r="K1754">
        <v>74</v>
      </c>
      <c r="L1754">
        <v>22</v>
      </c>
      <c r="M1754" s="2">
        <v>3.36</v>
      </c>
      <c r="N1754" s="2">
        <v>3.25</v>
      </c>
      <c r="O1754">
        <v>0</v>
      </c>
      <c r="P1754">
        <v>5</v>
      </c>
      <c r="Q1754" s="4" t="str">
        <f t="shared" si="237"/>
        <v>2018/2019-Ganjil</v>
      </c>
      <c r="R1754" t="s">
        <v>260</v>
      </c>
      <c r="S1754" t="str">
        <f t="shared" si="238"/>
        <v>PA</v>
      </c>
    </row>
    <row r="1755" spans="1:19" x14ac:dyDescent="0.3">
      <c r="A1755" t="s">
        <v>12</v>
      </c>
      <c r="B1755">
        <v>2016110046</v>
      </c>
      <c r="C1755" t="s">
        <v>58</v>
      </c>
      <c r="E1755" t="s">
        <v>173</v>
      </c>
      <c r="F1755" t="s">
        <v>8</v>
      </c>
      <c r="G1755">
        <v>2</v>
      </c>
      <c r="H1755" t="s">
        <v>438</v>
      </c>
      <c r="I1755" s="4">
        <f t="shared" si="239"/>
        <v>3</v>
      </c>
      <c r="J1755">
        <f t="shared" si="240"/>
        <v>6</v>
      </c>
      <c r="K1755">
        <v>92</v>
      </c>
      <c r="L1755">
        <v>24</v>
      </c>
      <c r="M1755" s="2">
        <v>3.83</v>
      </c>
      <c r="N1755" s="2">
        <v>3.25</v>
      </c>
      <c r="O1755">
        <v>0</v>
      </c>
      <c r="P1755">
        <v>3</v>
      </c>
      <c r="Q1755" s="4" t="str">
        <f t="shared" si="237"/>
        <v>2017/2018-Ganjil</v>
      </c>
      <c r="R1755" t="s">
        <v>260</v>
      </c>
      <c r="S1755" t="str">
        <f t="shared" si="238"/>
        <v>PA</v>
      </c>
    </row>
    <row r="1756" spans="1:19" x14ac:dyDescent="0.3">
      <c r="A1756" t="s">
        <v>12</v>
      </c>
      <c r="B1756">
        <v>2016110046</v>
      </c>
      <c r="C1756" t="s">
        <v>58</v>
      </c>
      <c r="E1756" t="s">
        <v>165</v>
      </c>
      <c r="F1756" t="s">
        <v>166</v>
      </c>
      <c r="G1756">
        <v>2</v>
      </c>
      <c r="H1756" t="s">
        <v>438</v>
      </c>
      <c r="I1756" s="4">
        <f t="shared" si="239"/>
        <v>3</v>
      </c>
      <c r="J1756">
        <f t="shared" si="240"/>
        <v>6</v>
      </c>
      <c r="K1756">
        <v>68</v>
      </c>
      <c r="L1756">
        <v>20</v>
      </c>
      <c r="M1756" s="2">
        <v>3.4</v>
      </c>
      <c r="N1756" s="2">
        <v>3.25</v>
      </c>
      <c r="O1756">
        <v>0</v>
      </c>
      <c r="P1756">
        <v>1</v>
      </c>
      <c r="Q1756" s="4" t="str">
        <f t="shared" si="237"/>
        <v>2016/2017-Ganjil</v>
      </c>
      <c r="R1756" t="s">
        <v>260</v>
      </c>
      <c r="S1756" t="str">
        <f t="shared" si="238"/>
        <v>PA</v>
      </c>
    </row>
    <row r="1757" spans="1:19" x14ac:dyDescent="0.3">
      <c r="A1757" t="s">
        <v>12</v>
      </c>
      <c r="B1757">
        <v>2016110046</v>
      </c>
      <c r="C1757" t="s">
        <v>58</v>
      </c>
      <c r="E1757" t="s">
        <v>90</v>
      </c>
      <c r="F1757" t="s">
        <v>91</v>
      </c>
      <c r="G1757">
        <v>2</v>
      </c>
      <c r="H1757" t="s">
        <v>438</v>
      </c>
      <c r="I1757" s="4">
        <f t="shared" si="239"/>
        <v>3</v>
      </c>
      <c r="J1757">
        <f t="shared" si="240"/>
        <v>6</v>
      </c>
      <c r="K1757">
        <v>68</v>
      </c>
      <c r="L1757">
        <v>20</v>
      </c>
      <c r="M1757" s="2">
        <v>3.4</v>
      </c>
      <c r="N1757" s="2">
        <v>3.25</v>
      </c>
      <c r="O1757">
        <v>0</v>
      </c>
      <c r="P1757">
        <v>1</v>
      </c>
      <c r="Q1757" s="4" t="str">
        <f t="shared" si="237"/>
        <v>2016/2017-Ganjil</v>
      </c>
      <c r="R1757" t="s">
        <v>260</v>
      </c>
      <c r="S1757" t="str">
        <f t="shared" si="238"/>
        <v>PA</v>
      </c>
    </row>
    <row r="1758" spans="1:19" x14ac:dyDescent="0.3">
      <c r="A1758" t="s">
        <v>12</v>
      </c>
      <c r="B1758">
        <v>2016110046</v>
      </c>
      <c r="C1758" t="s">
        <v>58</v>
      </c>
      <c r="E1758" t="s">
        <v>374</v>
      </c>
      <c r="F1758" t="s">
        <v>375</v>
      </c>
      <c r="G1758">
        <v>2</v>
      </c>
      <c r="H1758" t="s">
        <v>438</v>
      </c>
      <c r="I1758" s="4">
        <f t="shared" si="239"/>
        <v>3</v>
      </c>
      <c r="J1758">
        <f t="shared" si="240"/>
        <v>6</v>
      </c>
      <c r="K1758">
        <v>68</v>
      </c>
      <c r="L1758">
        <v>24</v>
      </c>
      <c r="M1758" s="2">
        <v>2.83</v>
      </c>
      <c r="N1758" s="2">
        <v>3.25</v>
      </c>
      <c r="O1758">
        <v>0</v>
      </c>
      <c r="P1758">
        <v>4</v>
      </c>
      <c r="Q1758" s="4" t="str">
        <f t="shared" si="237"/>
        <v>2017/2018-Genap</v>
      </c>
      <c r="R1758" t="s">
        <v>260</v>
      </c>
      <c r="S1758" t="str">
        <f t="shared" si="238"/>
        <v>PA</v>
      </c>
    </row>
    <row r="1759" spans="1:19" x14ac:dyDescent="0.3">
      <c r="A1759" t="s">
        <v>12</v>
      </c>
      <c r="B1759">
        <v>2016110046</v>
      </c>
      <c r="C1759" t="s">
        <v>58</v>
      </c>
      <c r="E1759" t="s">
        <v>139</v>
      </c>
      <c r="F1759" t="s">
        <v>140</v>
      </c>
      <c r="G1759">
        <v>2</v>
      </c>
      <c r="H1759" t="s">
        <v>438</v>
      </c>
      <c r="I1759" s="4">
        <f t="shared" si="239"/>
        <v>3</v>
      </c>
      <c r="J1759">
        <f t="shared" si="240"/>
        <v>6</v>
      </c>
      <c r="K1759">
        <v>70</v>
      </c>
      <c r="L1759">
        <v>20</v>
      </c>
      <c r="M1759" s="2">
        <v>3.5</v>
      </c>
      <c r="N1759" s="2">
        <v>3.25</v>
      </c>
      <c r="O1759">
        <v>0</v>
      </c>
      <c r="P1759">
        <v>2</v>
      </c>
      <c r="Q1759" s="4" t="str">
        <f t="shared" si="237"/>
        <v>2016/2017-Genap</v>
      </c>
      <c r="R1759" t="s">
        <v>260</v>
      </c>
      <c r="S1759" t="str">
        <f t="shared" si="238"/>
        <v>PA</v>
      </c>
    </row>
    <row r="1760" spans="1:19" x14ac:dyDescent="0.3">
      <c r="A1760" t="s">
        <v>12</v>
      </c>
      <c r="B1760">
        <v>2016110046</v>
      </c>
      <c r="C1760" t="s">
        <v>58</v>
      </c>
      <c r="E1760" t="s">
        <v>446</v>
      </c>
      <c r="F1760" t="s">
        <v>447</v>
      </c>
      <c r="G1760">
        <v>2</v>
      </c>
      <c r="H1760" t="s">
        <v>438</v>
      </c>
      <c r="I1760" s="4">
        <f t="shared" si="239"/>
        <v>3</v>
      </c>
      <c r="J1760">
        <f t="shared" si="240"/>
        <v>6</v>
      </c>
      <c r="K1760">
        <v>56</v>
      </c>
      <c r="L1760">
        <v>18</v>
      </c>
      <c r="M1760" s="2">
        <v>3.11</v>
      </c>
      <c r="N1760" s="2">
        <v>3.25</v>
      </c>
      <c r="O1760">
        <v>0</v>
      </c>
      <c r="P1760">
        <v>6</v>
      </c>
      <c r="Q1760" s="4" t="str">
        <f t="shared" si="237"/>
        <v>2018/2019-Genap</v>
      </c>
      <c r="R1760" t="s">
        <v>260</v>
      </c>
      <c r="S1760" t="str">
        <f t="shared" si="238"/>
        <v>PA</v>
      </c>
    </row>
    <row r="1761" spans="1:19" x14ac:dyDescent="0.3">
      <c r="A1761" t="s">
        <v>12</v>
      </c>
      <c r="B1761">
        <v>2016110046</v>
      </c>
      <c r="C1761" t="s">
        <v>58</v>
      </c>
      <c r="E1761" t="s">
        <v>244</v>
      </c>
      <c r="F1761" t="s">
        <v>228</v>
      </c>
      <c r="G1761">
        <v>2</v>
      </c>
      <c r="H1761" t="s">
        <v>438</v>
      </c>
      <c r="I1761" s="4">
        <f t="shared" si="239"/>
        <v>3</v>
      </c>
      <c r="J1761">
        <f t="shared" si="240"/>
        <v>6</v>
      </c>
      <c r="K1761">
        <v>68</v>
      </c>
      <c r="L1761">
        <v>24</v>
      </c>
      <c r="M1761" s="2">
        <v>2.83</v>
      </c>
      <c r="N1761" s="2">
        <v>3.25</v>
      </c>
      <c r="O1761">
        <v>0</v>
      </c>
      <c r="P1761">
        <v>4</v>
      </c>
      <c r="Q1761" s="4" t="str">
        <f t="shared" si="237"/>
        <v>2017/2018-Genap</v>
      </c>
      <c r="R1761" t="s">
        <v>260</v>
      </c>
      <c r="S1761" t="str">
        <f t="shared" si="238"/>
        <v>PA</v>
      </c>
    </row>
    <row r="1762" spans="1:19" x14ac:dyDescent="0.3">
      <c r="A1762" t="s">
        <v>12</v>
      </c>
      <c r="B1762">
        <v>2016110046</v>
      </c>
      <c r="C1762" t="s">
        <v>58</v>
      </c>
      <c r="E1762" t="s">
        <v>257</v>
      </c>
      <c r="F1762" t="s">
        <v>258</v>
      </c>
      <c r="G1762">
        <v>4</v>
      </c>
      <c r="H1762" t="s">
        <v>438</v>
      </c>
      <c r="I1762" s="4">
        <f t="shared" si="239"/>
        <v>3</v>
      </c>
      <c r="J1762">
        <f t="shared" si="240"/>
        <v>12</v>
      </c>
      <c r="K1762">
        <v>56</v>
      </c>
      <c r="L1762">
        <v>18</v>
      </c>
      <c r="M1762" s="2">
        <v>3.11</v>
      </c>
      <c r="N1762" s="2">
        <v>3.25</v>
      </c>
      <c r="O1762">
        <v>0</v>
      </c>
      <c r="P1762">
        <v>6</v>
      </c>
      <c r="Q1762" s="4" t="str">
        <f t="shared" si="237"/>
        <v>2018/2019-Genap</v>
      </c>
      <c r="R1762" t="s">
        <v>260</v>
      </c>
      <c r="S1762" t="str">
        <f t="shared" si="238"/>
        <v>PA</v>
      </c>
    </row>
    <row r="1763" spans="1:19" x14ac:dyDescent="0.3">
      <c r="A1763" t="s">
        <v>12</v>
      </c>
      <c r="B1763">
        <v>2016110046</v>
      </c>
      <c r="C1763" t="s">
        <v>58</v>
      </c>
      <c r="E1763" t="s">
        <v>276</v>
      </c>
      <c r="F1763" t="s">
        <v>137</v>
      </c>
      <c r="G1763">
        <v>4</v>
      </c>
      <c r="H1763" t="s">
        <v>438</v>
      </c>
      <c r="I1763" s="4">
        <f t="shared" si="239"/>
        <v>3</v>
      </c>
      <c r="J1763">
        <f t="shared" si="240"/>
        <v>12</v>
      </c>
      <c r="K1763">
        <v>68</v>
      </c>
      <c r="L1763">
        <v>24</v>
      </c>
      <c r="M1763" s="2">
        <v>2.83</v>
      </c>
      <c r="N1763" s="2">
        <v>3.25</v>
      </c>
      <c r="O1763">
        <v>0</v>
      </c>
      <c r="P1763">
        <v>4</v>
      </c>
      <c r="Q1763" s="4" t="str">
        <f t="shared" si="237"/>
        <v>2017/2018-Genap</v>
      </c>
      <c r="R1763" t="s">
        <v>260</v>
      </c>
      <c r="S1763" t="str">
        <f t="shared" si="238"/>
        <v>PA</v>
      </c>
    </row>
    <row r="1764" spans="1:19" x14ac:dyDescent="0.3">
      <c r="A1764" t="s">
        <v>12</v>
      </c>
      <c r="B1764">
        <v>2016110046</v>
      </c>
      <c r="C1764" t="s">
        <v>58</v>
      </c>
      <c r="E1764" t="s">
        <v>306</v>
      </c>
      <c r="F1764" t="s">
        <v>307</v>
      </c>
      <c r="G1764">
        <v>2</v>
      </c>
      <c r="H1764" t="s">
        <v>438</v>
      </c>
      <c r="I1764" s="4">
        <f t="shared" si="239"/>
        <v>3</v>
      </c>
      <c r="J1764">
        <f t="shared" si="240"/>
        <v>6</v>
      </c>
      <c r="K1764">
        <v>22</v>
      </c>
      <c r="L1764">
        <v>8</v>
      </c>
      <c r="M1764" s="2">
        <v>2.75</v>
      </c>
      <c r="N1764" s="2">
        <v>3.25</v>
      </c>
      <c r="O1764">
        <v>0</v>
      </c>
      <c r="P1764">
        <v>7</v>
      </c>
      <c r="Q1764" s="4" t="str">
        <f t="shared" si="237"/>
        <v>2019/2020-Ganjil</v>
      </c>
      <c r="R1764" t="s">
        <v>260</v>
      </c>
      <c r="S1764" t="str">
        <f t="shared" si="238"/>
        <v>PA</v>
      </c>
    </row>
    <row r="1765" spans="1:19" x14ac:dyDescent="0.3">
      <c r="A1765" t="s">
        <v>12</v>
      </c>
      <c r="B1765">
        <v>2016110046</v>
      </c>
      <c r="C1765" t="s">
        <v>58</v>
      </c>
      <c r="E1765" t="s">
        <v>370</v>
      </c>
      <c r="F1765" t="s">
        <v>371</v>
      </c>
      <c r="G1765">
        <v>2</v>
      </c>
      <c r="H1765" t="s">
        <v>438</v>
      </c>
      <c r="I1765" s="4">
        <f t="shared" si="239"/>
        <v>3</v>
      </c>
      <c r="J1765">
        <f t="shared" si="240"/>
        <v>6</v>
      </c>
      <c r="K1765">
        <v>74</v>
      </c>
      <c r="L1765">
        <v>22</v>
      </c>
      <c r="M1765" s="2">
        <v>3.36</v>
      </c>
      <c r="N1765" s="2">
        <v>3.25</v>
      </c>
      <c r="O1765">
        <v>0</v>
      </c>
      <c r="P1765">
        <v>5</v>
      </c>
      <c r="Q1765" s="4" t="str">
        <f t="shared" si="237"/>
        <v>2018/2019-Ganjil</v>
      </c>
      <c r="R1765" t="s">
        <v>260</v>
      </c>
      <c r="S1765" t="str">
        <f t="shared" si="238"/>
        <v>PA</v>
      </c>
    </row>
    <row r="1766" spans="1:19" x14ac:dyDescent="0.3">
      <c r="A1766" t="s">
        <v>12</v>
      </c>
      <c r="B1766">
        <v>2016110046</v>
      </c>
      <c r="C1766" t="s">
        <v>58</v>
      </c>
      <c r="E1766" t="s">
        <v>344</v>
      </c>
      <c r="F1766" t="s">
        <v>345</v>
      </c>
      <c r="G1766">
        <v>2</v>
      </c>
      <c r="H1766" t="s">
        <v>438</v>
      </c>
      <c r="I1766" s="4">
        <f t="shared" si="239"/>
        <v>3</v>
      </c>
      <c r="J1766">
        <f t="shared" si="240"/>
        <v>6</v>
      </c>
      <c r="K1766">
        <v>22</v>
      </c>
      <c r="L1766">
        <v>8</v>
      </c>
      <c r="M1766" s="2">
        <v>2.75</v>
      </c>
      <c r="N1766" s="2">
        <v>3.25</v>
      </c>
      <c r="O1766">
        <v>0</v>
      </c>
      <c r="P1766">
        <v>7</v>
      </c>
      <c r="Q1766" s="4" t="str">
        <f t="shared" si="237"/>
        <v>2019/2020-Ganjil</v>
      </c>
      <c r="R1766" t="s">
        <v>260</v>
      </c>
      <c r="S1766" t="str">
        <f t="shared" si="238"/>
        <v>PA</v>
      </c>
    </row>
    <row r="1767" spans="1:19" x14ac:dyDescent="0.3">
      <c r="A1767" t="s">
        <v>12</v>
      </c>
      <c r="B1767">
        <v>2016110046</v>
      </c>
      <c r="C1767" t="s">
        <v>58</v>
      </c>
      <c r="E1767" t="s">
        <v>211</v>
      </c>
      <c r="F1767" t="s">
        <v>186</v>
      </c>
      <c r="G1767">
        <v>4</v>
      </c>
      <c r="H1767" t="s">
        <v>438</v>
      </c>
      <c r="I1767" s="4">
        <f t="shared" si="239"/>
        <v>3</v>
      </c>
      <c r="J1767">
        <f t="shared" si="240"/>
        <v>12</v>
      </c>
      <c r="K1767">
        <v>74</v>
      </c>
      <c r="L1767">
        <v>22</v>
      </c>
      <c r="M1767" s="2">
        <v>3.36</v>
      </c>
      <c r="N1767" s="2">
        <v>3.25</v>
      </c>
      <c r="O1767">
        <v>0</v>
      </c>
      <c r="P1767">
        <v>5</v>
      </c>
      <c r="Q1767" s="4" t="str">
        <f t="shared" si="237"/>
        <v>2018/2019-Ganjil</v>
      </c>
      <c r="R1767" t="s">
        <v>260</v>
      </c>
      <c r="S1767" t="str">
        <f t="shared" si="238"/>
        <v>PA</v>
      </c>
    </row>
    <row r="1768" spans="1:19" x14ac:dyDescent="0.3">
      <c r="A1768" t="s">
        <v>12</v>
      </c>
      <c r="B1768">
        <v>2016110046</v>
      </c>
      <c r="C1768" t="s">
        <v>58</v>
      </c>
      <c r="E1768" t="s">
        <v>382</v>
      </c>
      <c r="F1768" t="s">
        <v>383</v>
      </c>
      <c r="G1768">
        <v>4</v>
      </c>
      <c r="H1768" t="s">
        <v>438</v>
      </c>
      <c r="I1768" s="4">
        <f t="shared" si="239"/>
        <v>3</v>
      </c>
      <c r="J1768">
        <f t="shared" si="240"/>
        <v>12</v>
      </c>
      <c r="K1768">
        <v>74</v>
      </c>
      <c r="L1768">
        <v>22</v>
      </c>
      <c r="M1768" s="2">
        <v>3.36</v>
      </c>
      <c r="N1768" s="2">
        <v>3.25</v>
      </c>
      <c r="O1768">
        <v>0</v>
      </c>
      <c r="P1768">
        <v>5</v>
      </c>
      <c r="Q1768" s="4" t="str">
        <f t="shared" si="237"/>
        <v>2018/2019-Ganjil</v>
      </c>
      <c r="R1768" t="s">
        <v>260</v>
      </c>
      <c r="S1768" t="str">
        <f t="shared" si="238"/>
        <v>PA</v>
      </c>
    </row>
    <row r="1769" spans="1:19" x14ac:dyDescent="0.3">
      <c r="A1769" t="s">
        <v>12</v>
      </c>
      <c r="B1769">
        <v>2016110046</v>
      </c>
      <c r="C1769" t="s">
        <v>58</v>
      </c>
      <c r="E1769" t="s">
        <v>31</v>
      </c>
      <c r="F1769" t="s">
        <v>20</v>
      </c>
      <c r="G1769">
        <v>4</v>
      </c>
      <c r="H1769" t="s">
        <v>524</v>
      </c>
      <c r="I1769" s="4">
        <f t="shared" si="239"/>
        <v>2</v>
      </c>
      <c r="J1769">
        <f t="shared" si="240"/>
        <v>8</v>
      </c>
      <c r="K1769">
        <v>18</v>
      </c>
      <c r="L1769">
        <v>8</v>
      </c>
      <c r="M1769" s="2">
        <v>2.25</v>
      </c>
      <c r="N1769" s="2">
        <v>3.25</v>
      </c>
      <c r="O1769">
        <v>0</v>
      </c>
      <c r="P1769">
        <v>8</v>
      </c>
      <c r="Q1769" s="4" t="str">
        <f t="shared" si="237"/>
        <v>2019/2020-Genap</v>
      </c>
      <c r="R1769" t="s">
        <v>596</v>
      </c>
      <c r="S1769" t="str">
        <f t="shared" si="238"/>
        <v>PA</v>
      </c>
    </row>
    <row r="1770" spans="1:19" x14ac:dyDescent="0.3">
      <c r="A1770" t="s">
        <v>12</v>
      </c>
      <c r="B1770">
        <v>2016110046</v>
      </c>
      <c r="C1770" t="s">
        <v>58</v>
      </c>
      <c r="E1770" t="s">
        <v>437</v>
      </c>
      <c r="F1770" t="s">
        <v>169</v>
      </c>
      <c r="G1770">
        <v>4</v>
      </c>
      <c r="H1770" t="s">
        <v>524</v>
      </c>
      <c r="I1770" s="4">
        <f t="shared" si="239"/>
        <v>2</v>
      </c>
      <c r="J1770">
        <f t="shared" si="240"/>
        <v>8</v>
      </c>
      <c r="K1770">
        <v>68</v>
      </c>
      <c r="L1770">
        <v>20</v>
      </c>
      <c r="M1770" s="2">
        <v>3.4</v>
      </c>
      <c r="N1770" s="2">
        <v>3.25</v>
      </c>
      <c r="O1770">
        <v>0</v>
      </c>
      <c r="P1770">
        <v>1</v>
      </c>
      <c r="Q1770" s="4" t="str">
        <f t="shared" si="237"/>
        <v>2016/2017-Ganjil</v>
      </c>
      <c r="R1770" t="s">
        <v>260</v>
      </c>
      <c r="S1770" t="str">
        <f t="shared" si="238"/>
        <v>PA</v>
      </c>
    </row>
    <row r="1771" spans="1:19" x14ac:dyDescent="0.3">
      <c r="A1771" t="s">
        <v>12</v>
      </c>
      <c r="B1771">
        <v>2016110046</v>
      </c>
      <c r="C1771" t="s">
        <v>58</v>
      </c>
      <c r="E1771" t="s">
        <v>297</v>
      </c>
      <c r="F1771" t="s">
        <v>342</v>
      </c>
      <c r="G1771">
        <v>4</v>
      </c>
      <c r="H1771" t="s">
        <v>524</v>
      </c>
      <c r="I1771" s="4">
        <f t="shared" si="239"/>
        <v>2</v>
      </c>
      <c r="J1771">
        <f t="shared" si="240"/>
        <v>8</v>
      </c>
      <c r="K1771">
        <v>56</v>
      </c>
      <c r="L1771">
        <v>18</v>
      </c>
      <c r="M1771" s="2">
        <v>3.11</v>
      </c>
      <c r="N1771" s="2">
        <v>3.25</v>
      </c>
      <c r="O1771">
        <v>0</v>
      </c>
      <c r="P1771">
        <v>6</v>
      </c>
      <c r="Q1771" s="4" t="str">
        <f t="shared" si="237"/>
        <v>2018/2019-Genap</v>
      </c>
      <c r="R1771" t="s">
        <v>260</v>
      </c>
      <c r="S1771" t="str">
        <f t="shared" si="238"/>
        <v>PA</v>
      </c>
    </row>
    <row r="1772" spans="1:19" x14ac:dyDescent="0.3">
      <c r="A1772" t="s">
        <v>12</v>
      </c>
      <c r="B1772">
        <v>2016110046</v>
      </c>
      <c r="C1772" t="s">
        <v>58</v>
      </c>
      <c r="E1772" t="s">
        <v>316</v>
      </c>
      <c r="F1772" t="s">
        <v>317</v>
      </c>
      <c r="G1772">
        <v>2</v>
      </c>
      <c r="H1772" t="s">
        <v>524</v>
      </c>
      <c r="I1772" s="4">
        <f t="shared" si="239"/>
        <v>2</v>
      </c>
      <c r="J1772">
        <f t="shared" si="240"/>
        <v>4</v>
      </c>
      <c r="K1772">
        <v>22</v>
      </c>
      <c r="L1772">
        <v>8</v>
      </c>
      <c r="M1772" s="2">
        <v>2.75</v>
      </c>
      <c r="N1772" s="2">
        <v>3.25</v>
      </c>
      <c r="O1772">
        <v>0</v>
      </c>
      <c r="P1772">
        <v>7</v>
      </c>
      <c r="Q1772" s="4" t="str">
        <f t="shared" si="237"/>
        <v>2019/2020-Ganjil</v>
      </c>
      <c r="R1772" t="s">
        <v>260</v>
      </c>
      <c r="S1772" t="str">
        <f t="shared" si="238"/>
        <v>PA</v>
      </c>
    </row>
    <row r="1773" spans="1:19" x14ac:dyDescent="0.3">
      <c r="A1773" t="s">
        <v>12</v>
      </c>
      <c r="B1773">
        <v>2016110046</v>
      </c>
      <c r="C1773" t="s">
        <v>58</v>
      </c>
      <c r="E1773" t="s">
        <v>309</v>
      </c>
      <c r="F1773" t="s">
        <v>310</v>
      </c>
      <c r="G1773">
        <v>4</v>
      </c>
      <c r="H1773" t="s">
        <v>524</v>
      </c>
      <c r="I1773" s="4">
        <f t="shared" si="239"/>
        <v>2</v>
      </c>
      <c r="J1773">
        <f t="shared" si="240"/>
        <v>8</v>
      </c>
      <c r="K1773">
        <v>68</v>
      </c>
      <c r="L1773">
        <v>24</v>
      </c>
      <c r="M1773" s="2">
        <v>2.83</v>
      </c>
      <c r="N1773" s="2">
        <v>3.25</v>
      </c>
      <c r="O1773">
        <v>0</v>
      </c>
      <c r="P1773">
        <v>4</v>
      </c>
      <c r="Q1773" s="4" t="str">
        <f t="shared" si="237"/>
        <v>2017/2018-Genap</v>
      </c>
      <c r="R1773" t="s">
        <v>260</v>
      </c>
      <c r="S1773" t="str">
        <f t="shared" si="238"/>
        <v>PA</v>
      </c>
    </row>
    <row r="1774" spans="1:19" x14ac:dyDescent="0.3">
      <c r="A1774" t="s">
        <v>12</v>
      </c>
      <c r="B1774">
        <v>2016110048</v>
      </c>
      <c r="C1774" t="s">
        <v>59</v>
      </c>
      <c r="E1774" t="s">
        <v>31</v>
      </c>
      <c r="F1774" t="s">
        <v>20</v>
      </c>
      <c r="G1774">
        <v>4</v>
      </c>
      <c r="I1774" s="4"/>
      <c r="J1774">
        <f t="shared" si="235"/>
        <v>0</v>
      </c>
      <c r="K1774">
        <v>18</v>
      </c>
      <c r="L1774">
        <v>6</v>
      </c>
      <c r="M1774" s="2">
        <v>3</v>
      </c>
      <c r="N1774" s="2">
        <v>3</v>
      </c>
      <c r="O1774">
        <v>0</v>
      </c>
      <c r="P1774">
        <v>9</v>
      </c>
      <c r="Q1774" s="4" t="str">
        <f t="shared" si="237"/>
        <v>2020/2021-Ganjil</v>
      </c>
      <c r="R1774" t="s">
        <v>260</v>
      </c>
      <c r="S1774" t="s">
        <v>595</v>
      </c>
    </row>
    <row r="1775" spans="1:19" x14ac:dyDescent="0.3">
      <c r="A1775" t="s">
        <v>12</v>
      </c>
      <c r="B1775">
        <v>2016110048</v>
      </c>
      <c r="C1775" t="s">
        <v>59</v>
      </c>
      <c r="E1775" t="s">
        <v>14</v>
      </c>
      <c r="F1775" t="s">
        <v>15</v>
      </c>
      <c r="G1775">
        <v>2</v>
      </c>
      <c r="I1775" s="4"/>
      <c r="J1775">
        <f t="shared" si="235"/>
        <v>0</v>
      </c>
      <c r="K1775">
        <v>18</v>
      </c>
      <c r="L1775">
        <v>6</v>
      </c>
      <c r="M1775" s="2">
        <v>3</v>
      </c>
      <c r="N1775" s="2">
        <v>3</v>
      </c>
      <c r="O1775">
        <v>0</v>
      </c>
      <c r="P1775">
        <v>9</v>
      </c>
      <c r="Q1775" s="4" t="str">
        <f t="shared" si="237"/>
        <v>2020/2021-Ganjil</v>
      </c>
      <c r="R1775" t="s">
        <v>260</v>
      </c>
      <c r="S1775" t="s">
        <v>595</v>
      </c>
    </row>
    <row r="1776" spans="1:19" x14ac:dyDescent="0.3">
      <c r="A1776" t="s">
        <v>12</v>
      </c>
      <c r="B1776">
        <v>2016110048</v>
      </c>
      <c r="C1776" t="s">
        <v>59</v>
      </c>
      <c r="E1776" t="s">
        <v>31</v>
      </c>
      <c r="F1776" t="s">
        <v>20</v>
      </c>
      <c r="G1776">
        <v>4</v>
      </c>
      <c r="H1776" t="s">
        <v>524</v>
      </c>
      <c r="I1776" s="4">
        <f t="shared" si="236"/>
        <v>2</v>
      </c>
      <c r="J1776">
        <f t="shared" si="235"/>
        <v>8</v>
      </c>
      <c r="K1776">
        <v>14</v>
      </c>
      <c r="L1776">
        <v>6</v>
      </c>
      <c r="M1776" s="2">
        <v>2.33</v>
      </c>
      <c r="N1776" s="2">
        <v>3</v>
      </c>
      <c r="O1776">
        <v>1</v>
      </c>
      <c r="P1776">
        <v>10</v>
      </c>
      <c r="Q1776" s="4" t="str">
        <f t="shared" si="237"/>
        <v>2020/2021-Genap</v>
      </c>
      <c r="R1776" t="s">
        <v>596</v>
      </c>
      <c r="S1776" t="str">
        <f t="shared" ref="S1776:S1790" si="241">IF(OR(H1776="A",H1776="B",H1776="C"),"PA","FA")</f>
        <v>PA</v>
      </c>
    </row>
    <row r="1777" spans="1:19" x14ac:dyDescent="0.3">
      <c r="A1777" t="s">
        <v>12</v>
      </c>
      <c r="B1777">
        <v>2016110048</v>
      </c>
      <c r="C1777" t="s">
        <v>59</v>
      </c>
      <c r="E1777" t="s">
        <v>14</v>
      </c>
      <c r="F1777" t="s">
        <v>15</v>
      </c>
      <c r="G1777">
        <v>2</v>
      </c>
      <c r="H1777" t="s">
        <v>438</v>
      </c>
      <c r="I1777" s="4">
        <f t="shared" ref="I1777:I1790" si="242">IF(H1777="A",4,IF(H1777="B",3,IF(H1777="C",2,IF(H1777="D",1,0))))</f>
        <v>3</v>
      </c>
      <c r="J1777">
        <f t="shared" ref="J1777:J1790" si="243">G1777*I1777</f>
        <v>6</v>
      </c>
      <c r="K1777">
        <v>14</v>
      </c>
      <c r="L1777">
        <v>6</v>
      </c>
      <c r="M1777" s="2">
        <v>2.33</v>
      </c>
      <c r="N1777" s="2">
        <v>3</v>
      </c>
      <c r="O1777">
        <v>1</v>
      </c>
      <c r="P1777">
        <v>10</v>
      </c>
      <c r="Q1777" s="4" t="str">
        <f t="shared" si="237"/>
        <v>2020/2021-Genap</v>
      </c>
      <c r="R1777" t="s">
        <v>596</v>
      </c>
      <c r="S1777" t="str">
        <f t="shared" si="241"/>
        <v>PA</v>
      </c>
    </row>
    <row r="1778" spans="1:19" x14ac:dyDescent="0.3">
      <c r="A1778" t="s">
        <v>12</v>
      </c>
      <c r="B1778">
        <v>2016110048</v>
      </c>
      <c r="C1778" t="s">
        <v>59</v>
      </c>
      <c r="E1778" t="s">
        <v>77</v>
      </c>
      <c r="F1778" t="s">
        <v>78</v>
      </c>
      <c r="G1778">
        <v>2</v>
      </c>
      <c r="H1778" t="s">
        <v>260</v>
      </c>
      <c r="I1778" s="4">
        <f t="shared" si="242"/>
        <v>4</v>
      </c>
      <c r="J1778">
        <f t="shared" si="243"/>
        <v>8</v>
      </c>
      <c r="K1778">
        <v>54</v>
      </c>
      <c r="L1778">
        <v>20</v>
      </c>
      <c r="M1778" s="2">
        <v>2.7</v>
      </c>
      <c r="N1778" s="2">
        <v>3</v>
      </c>
      <c r="O1778">
        <v>0</v>
      </c>
      <c r="P1778">
        <v>1</v>
      </c>
      <c r="Q1778" s="4" t="str">
        <f t="shared" si="237"/>
        <v>2016/2017-Ganjil</v>
      </c>
      <c r="R1778" t="s">
        <v>260</v>
      </c>
      <c r="S1778" t="str">
        <f t="shared" si="241"/>
        <v>PA</v>
      </c>
    </row>
    <row r="1779" spans="1:19" x14ac:dyDescent="0.3">
      <c r="A1779" t="s">
        <v>12</v>
      </c>
      <c r="B1779">
        <v>2016110048</v>
      </c>
      <c r="C1779" t="s">
        <v>59</v>
      </c>
      <c r="E1779" t="s">
        <v>337</v>
      </c>
      <c r="F1779" t="s">
        <v>338</v>
      </c>
      <c r="G1779">
        <v>2</v>
      </c>
      <c r="H1779" t="s">
        <v>260</v>
      </c>
      <c r="I1779" s="4">
        <f t="shared" si="242"/>
        <v>4</v>
      </c>
      <c r="J1779">
        <f t="shared" si="243"/>
        <v>8</v>
      </c>
      <c r="K1779">
        <v>46</v>
      </c>
      <c r="L1779">
        <v>16</v>
      </c>
      <c r="M1779" s="2">
        <v>2.88</v>
      </c>
      <c r="N1779" s="2">
        <v>3</v>
      </c>
      <c r="O1779">
        <v>0</v>
      </c>
      <c r="P1779">
        <v>5</v>
      </c>
      <c r="Q1779" s="4" t="str">
        <f t="shared" si="237"/>
        <v>2018/2019-Ganjil</v>
      </c>
      <c r="R1779" t="s">
        <v>260</v>
      </c>
      <c r="S1779" t="str">
        <f t="shared" si="241"/>
        <v>PA</v>
      </c>
    </row>
    <row r="1780" spans="1:19" x14ac:dyDescent="0.3">
      <c r="A1780" t="s">
        <v>12</v>
      </c>
      <c r="B1780">
        <v>2016110048</v>
      </c>
      <c r="C1780" t="s">
        <v>59</v>
      </c>
      <c r="E1780" t="s">
        <v>190</v>
      </c>
      <c r="F1780" t="s">
        <v>191</v>
      </c>
      <c r="G1780">
        <v>4</v>
      </c>
      <c r="H1780" t="s">
        <v>260</v>
      </c>
      <c r="I1780" s="4">
        <f t="shared" si="242"/>
        <v>4</v>
      </c>
      <c r="J1780">
        <f t="shared" si="243"/>
        <v>16</v>
      </c>
      <c r="K1780">
        <v>46</v>
      </c>
      <c r="L1780">
        <v>14</v>
      </c>
      <c r="M1780" s="2">
        <v>3.29</v>
      </c>
      <c r="N1780" s="2">
        <v>3</v>
      </c>
      <c r="O1780">
        <v>0</v>
      </c>
      <c r="P1780">
        <v>3</v>
      </c>
      <c r="Q1780" s="4" t="str">
        <f t="shared" si="237"/>
        <v>2017/2018-Ganjil</v>
      </c>
      <c r="R1780" t="s">
        <v>260</v>
      </c>
      <c r="S1780" t="str">
        <f t="shared" si="241"/>
        <v>PA</v>
      </c>
    </row>
    <row r="1781" spans="1:19" x14ac:dyDescent="0.3">
      <c r="A1781" t="s">
        <v>12</v>
      </c>
      <c r="B1781">
        <v>2016110048</v>
      </c>
      <c r="C1781" t="s">
        <v>59</v>
      </c>
      <c r="E1781" t="s">
        <v>297</v>
      </c>
      <c r="F1781" t="s">
        <v>342</v>
      </c>
      <c r="G1781">
        <v>4</v>
      </c>
      <c r="H1781" t="s">
        <v>438</v>
      </c>
      <c r="I1781" s="4">
        <f t="shared" si="242"/>
        <v>3</v>
      </c>
      <c r="J1781">
        <f t="shared" si="243"/>
        <v>12</v>
      </c>
      <c r="K1781">
        <v>66</v>
      </c>
      <c r="L1781">
        <v>22</v>
      </c>
      <c r="M1781" s="2">
        <v>3</v>
      </c>
      <c r="N1781" s="2">
        <v>3</v>
      </c>
      <c r="O1781">
        <v>0</v>
      </c>
      <c r="P1781">
        <v>6</v>
      </c>
      <c r="Q1781" s="4" t="str">
        <f t="shared" si="237"/>
        <v>2018/2019-Genap</v>
      </c>
      <c r="R1781" t="s">
        <v>260</v>
      </c>
      <c r="S1781" t="str">
        <f t="shared" si="241"/>
        <v>PA</v>
      </c>
    </row>
    <row r="1782" spans="1:19" x14ac:dyDescent="0.3">
      <c r="A1782" t="s">
        <v>12</v>
      </c>
      <c r="B1782">
        <v>2016110048</v>
      </c>
      <c r="C1782" t="s">
        <v>59</v>
      </c>
      <c r="E1782" t="s">
        <v>262</v>
      </c>
      <c r="F1782" t="s">
        <v>263</v>
      </c>
      <c r="G1782">
        <v>2</v>
      </c>
      <c r="H1782" t="s">
        <v>438</v>
      </c>
      <c r="I1782" s="4">
        <f t="shared" si="242"/>
        <v>3</v>
      </c>
      <c r="J1782">
        <f t="shared" si="243"/>
        <v>6</v>
      </c>
      <c r="K1782">
        <v>66</v>
      </c>
      <c r="L1782">
        <v>22</v>
      </c>
      <c r="M1782" s="2">
        <v>3</v>
      </c>
      <c r="N1782" s="2">
        <v>3</v>
      </c>
      <c r="O1782">
        <v>0</v>
      </c>
      <c r="P1782">
        <v>6</v>
      </c>
      <c r="Q1782" s="4" t="str">
        <f t="shared" si="237"/>
        <v>2018/2019-Genap</v>
      </c>
      <c r="R1782" t="s">
        <v>260</v>
      </c>
      <c r="S1782" t="str">
        <f t="shared" si="241"/>
        <v>PA</v>
      </c>
    </row>
    <row r="1783" spans="1:19" x14ac:dyDescent="0.3">
      <c r="A1783" t="s">
        <v>12</v>
      </c>
      <c r="B1783">
        <v>2016110048</v>
      </c>
      <c r="C1783" t="s">
        <v>59</v>
      </c>
      <c r="E1783" t="s">
        <v>437</v>
      </c>
      <c r="F1783" t="s">
        <v>169</v>
      </c>
      <c r="G1783">
        <v>4</v>
      </c>
      <c r="H1783" t="s">
        <v>438</v>
      </c>
      <c r="I1783" s="4">
        <f t="shared" si="242"/>
        <v>3</v>
      </c>
      <c r="J1783">
        <f t="shared" si="243"/>
        <v>12</v>
      </c>
      <c r="K1783">
        <v>54</v>
      </c>
      <c r="L1783">
        <v>20</v>
      </c>
      <c r="M1783" s="2">
        <v>2.7</v>
      </c>
      <c r="N1783" s="2">
        <v>3</v>
      </c>
      <c r="O1783">
        <v>0</v>
      </c>
      <c r="P1783">
        <v>1</v>
      </c>
      <c r="Q1783" s="4" t="str">
        <f t="shared" ref="Q1783:Q1814" si="244">IF(P1783=1,"2016/2017-Ganjil",IF(P1783=2,"2016/2017-Genap",IF(P1783=3,"2017/2018-Ganjil",IF(P1783=4,"2017/2018-Genap",IF(P1783=5,"2018/2019-Ganjil",IF(P1783=6,"2018/2019-Genap",IF(P1783=7,"2019/2020-Ganjil",IF(P1783=8,"2019/2020-Genap",IF(P1783=9,"2020/2021-Ganjil","2020/2021-Genap")))))))))</f>
        <v>2016/2017-Ganjil</v>
      </c>
      <c r="R1783" t="s">
        <v>260</v>
      </c>
      <c r="S1783" t="str">
        <f t="shared" si="241"/>
        <v>PA</v>
      </c>
    </row>
    <row r="1784" spans="1:19" x14ac:dyDescent="0.3">
      <c r="A1784" t="s">
        <v>12</v>
      </c>
      <c r="B1784">
        <v>2016110048</v>
      </c>
      <c r="C1784" t="s">
        <v>59</v>
      </c>
      <c r="E1784" t="s">
        <v>276</v>
      </c>
      <c r="F1784" t="s">
        <v>137</v>
      </c>
      <c r="G1784">
        <v>4</v>
      </c>
      <c r="H1784" t="s">
        <v>438</v>
      </c>
      <c r="I1784" s="4">
        <f t="shared" si="242"/>
        <v>3</v>
      </c>
      <c r="J1784">
        <f t="shared" si="243"/>
        <v>12</v>
      </c>
      <c r="K1784">
        <v>32</v>
      </c>
      <c r="L1784">
        <v>14</v>
      </c>
      <c r="M1784" s="2">
        <v>2.29</v>
      </c>
      <c r="N1784" s="2">
        <v>3</v>
      </c>
      <c r="O1784">
        <v>0</v>
      </c>
      <c r="P1784">
        <v>4</v>
      </c>
      <c r="Q1784" s="4" t="str">
        <f t="shared" si="244"/>
        <v>2017/2018-Genap</v>
      </c>
      <c r="R1784" t="s">
        <v>260</v>
      </c>
      <c r="S1784" t="str">
        <f t="shared" si="241"/>
        <v>PA</v>
      </c>
    </row>
    <row r="1785" spans="1:19" x14ac:dyDescent="0.3">
      <c r="A1785" t="s">
        <v>12</v>
      </c>
      <c r="B1785">
        <v>2016110048</v>
      </c>
      <c r="C1785" t="s">
        <v>59</v>
      </c>
      <c r="E1785" t="s">
        <v>142</v>
      </c>
      <c r="F1785" t="s">
        <v>143</v>
      </c>
      <c r="G1785">
        <v>2</v>
      </c>
      <c r="H1785" t="s">
        <v>438</v>
      </c>
      <c r="I1785" s="4">
        <f t="shared" si="242"/>
        <v>3</v>
      </c>
      <c r="J1785">
        <f t="shared" si="243"/>
        <v>6</v>
      </c>
      <c r="K1785">
        <v>54</v>
      </c>
      <c r="L1785">
        <v>20</v>
      </c>
      <c r="M1785" s="2">
        <v>2.7</v>
      </c>
      <c r="N1785" s="2">
        <v>3</v>
      </c>
      <c r="O1785">
        <v>0</v>
      </c>
      <c r="P1785">
        <v>1</v>
      </c>
      <c r="Q1785" s="4" t="str">
        <f t="shared" si="244"/>
        <v>2016/2017-Ganjil</v>
      </c>
      <c r="R1785" t="s">
        <v>260</v>
      </c>
      <c r="S1785" t="str">
        <f t="shared" si="241"/>
        <v>PA</v>
      </c>
    </row>
    <row r="1786" spans="1:19" x14ac:dyDescent="0.3">
      <c r="A1786" t="s">
        <v>12</v>
      </c>
      <c r="B1786">
        <v>2016110048</v>
      </c>
      <c r="C1786" t="s">
        <v>59</v>
      </c>
      <c r="E1786" t="s">
        <v>279</v>
      </c>
      <c r="F1786" t="s">
        <v>280</v>
      </c>
      <c r="G1786">
        <v>2</v>
      </c>
      <c r="H1786" t="s">
        <v>438</v>
      </c>
      <c r="I1786" s="4">
        <f t="shared" si="242"/>
        <v>3</v>
      </c>
      <c r="J1786">
        <f t="shared" si="243"/>
        <v>6</v>
      </c>
      <c r="K1786">
        <v>42</v>
      </c>
      <c r="L1786">
        <v>18</v>
      </c>
      <c r="M1786" s="2">
        <v>2.33</v>
      </c>
      <c r="N1786" s="2">
        <v>3</v>
      </c>
      <c r="O1786">
        <v>0</v>
      </c>
      <c r="P1786">
        <v>2</v>
      </c>
      <c r="Q1786" s="4" t="str">
        <f t="shared" si="244"/>
        <v>2016/2017-Genap</v>
      </c>
      <c r="R1786" t="s">
        <v>260</v>
      </c>
      <c r="S1786" t="str">
        <f t="shared" si="241"/>
        <v>PA</v>
      </c>
    </row>
    <row r="1787" spans="1:19" x14ac:dyDescent="0.3">
      <c r="A1787" t="s">
        <v>12</v>
      </c>
      <c r="B1787">
        <v>2016110048</v>
      </c>
      <c r="C1787" t="s">
        <v>59</v>
      </c>
      <c r="E1787" t="s">
        <v>382</v>
      </c>
      <c r="F1787" t="s">
        <v>383</v>
      </c>
      <c r="G1787">
        <v>4</v>
      </c>
      <c r="H1787" t="s">
        <v>438</v>
      </c>
      <c r="I1787" s="4">
        <f t="shared" si="242"/>
        <v>3</v>
      </c>
      <c r="J1787">
        <f t="shared" si="243"/>
        <v>12</v>
      </c>
      <c r="K1787">
        <v>56</v>
      </c>
      <c r="L1787">
        <v>20</v>
      </c>
      <c r="M1787" s="2">
        <v>2.8</v>
      </c>
      <c r="N1787" s="2">
        <v>3</v>
      </c>
      <c r="O1787">
        <v>0</v>
      </c>
      <c r="P1787">
        <v>7</v>
      </c>
      <c r="Q1787" s="4" t="str">
        <f t="shared" si="244"/>
        <v>2019/2020-Ganjil</v>
      </c>
      <c r="R1787" t="s">
        <v>260</v>
      </c>
      <c r="S1787" t="str">
        <f t="shared" si="241"/>
        <v>PA</v>
      </c>
    </row>
    <row r="1788" spans="1:19" x14ac:dyDescent="0.3">
      <c r="A1788" t="s">
        <v>12</v>
      </c>
      <c r="B1788">
        <v>2016110048</v>
      </c>
      <c r="C1788" t="s">
        <v>59</v>
      </c>
      <c r="E1788" t="s">
        <v>236</v>
      </c>
      <c r="F1788" t="s">
        <v>237</v>
      </c>
      <c r="G1788">
        <v>2</v>
      </c>
      <c r="H1788" t="s">
        <v>438</v>
      </c>
      <c r="I1788" s="4">
        <f t="shared" si="242"/>
        <v>3</v>
      </c>
      <c r="J1788">
        <f t="shared" si="243"/>
        <v>6</v>
      </c>
      <c r="K1788">
        <v>46</v>
      </c>
      <c r="L1788">
        <v>16</v>
      </c>
      <c r="M1788" s="2">
        <v>2.88</v>
      </c>
      <c r="N1788" s="2">
        <v>3</v>
      </c>
      <c r="O1788">
        <v>0</v>
      </c>
      <c r="P1788">
        <v>5</v>
      </c>
      <c r="Q1788" s="4" t="str">
        <f t="shared" si="244"/>
        <v>2018/2019-Ganjil</v>
      </c>
      <c r="R1788" t="s">
        <v>260</v>
      </c>
      <c r="S1788" t="str">
        <f t="shared" si="241"/>
        <v>PA</v>
      </c>
    </row>
    <row r="1789" spans="1:19" x14ac:dyDescent="0.3">
      <c r="A1789" t="s">
        <v>12</v>
      </c>
      <c r="B1789">
        <v>2016110048</v>
      </c>
      <c r="C1789" t="s">
        <v>59</v>
      </c>
      <c r="E1789" t="s">
        <v>290</v>
      </c>
      <c r="F1789" t="s">
        <v>327</v>
      </c>
      <c r="G1789">
        <v>4</v>
      </c>
      <c r="H1789" t="s">
        <v>438</v>
      </c>
      <c r="I1789" s="4">
        <f t="shared" si="242"/>
        <v>3</v>
      </c>
      <c r="J1789">
        <f t="shared" si="243"/>
        <v>12</v>
      </c>
      <c r="K1789">
        <v>42</v>
      </c>
      <c r="L1789">
        <v>18</v>
      </c>
      <c r="M1789" s="2">
        <v>2.33</v>
      </c>
      <c r="N1789" s="2">
        <v>3</v>
      </c>
      <c r="O1789">
        <v>0</v>
      </c>
      <c r="P1789">
        <v>2</v>
      </c>
      <c r="Q1789" s="4" t="str">
        <f t="shared" si="244"/>
        <v>2016/2017-Genap</v>
      </c>
      <c r="R1789" t="s">
        <v>260</v>
      </c>
      <c r="S1789" t="str">
        <f t="shared" si="241"/>
        <v>PA</v>
      </c>
    </row>
    <row r="1790" spans="1:19" x14ac:dyDescent="0.3">
      <c r="A1790" t="s">
        <v>12</v>
      </c>
      <c r="B1790">
        <v>2016110048</v>
      </c>
      <c r="C1790" t="s">
        <v>59</v>
      </c>
      <c r="E1790" t="s">
        <v>344</v>
      </c>
      <c r="F1790" t="s">
        <v>345</v>
      </c>
      <c r="G1790">
        <v>2</v>
      </c>
      <c r="H1790" t="s">
        <v>438</v>
      </c>
      <c r="I1790" s="4">
        <f t="shared" si="242"/>
        <v>3</v>
      </c>
      <c r="J1790">
        <f t="shared" si="243"/>
        <v>6</v>
      </c>
      <c r="K1790">
        <v>56</v>
      </c>
      <c r="L1790">
        <v>20</v>
      </c>
      <c r="M1790" s="2">
        <v>2.8</v>
      </c>
      <c r="N1790" s="2">
        <v>3</v>
      </c>
      <c r="O1790">
        <v>0</v>
      </c>
      <c r="P1790">
        <v>7</v>
      </c>
      <c r="Q1790" s="4" t="str">
        <f t="shared" si="244"/>
        <v>2019/2020-Ganjil</v>
      </c>
      <c r="R1790" t="s">
        <v>260</v>
      </c>
      <c r="S1790" t="str">
        <f t="shared" si="241"/>
        <v>PA</v>
      </c>
    </row>
    <row r="1791" spans="1:19" x14ac:dyDescent="0.3">
      <c r="A1791" t="s">
        <v>12</v>
      </c>
      <c r="B1791">
        <v>2016110048</v>
      </c>
      <c r="C1791" t="s">
        <v>59</v>
      </c>
      <c r="E1791" t="s">
        <v>192</v>
      </c>
      <c r="F1791" t="s">
        <v>106</v>
      </c>
      <c r="G1791">
        <v>2</v>
      </c>
      <c r="I1791" s="4"/>
      <c r="J1791">
        <f t="shared" si="235"/>
        <v>0</v>
      </c>
      <c r="K1791">
        <v>56</v>
      </c>
      <c r="L1791">
        <v>20</v>
      </c>
      <c r="M1791" s="2">
        <v>2.8</v>
      </c>
      <c r="N1791" s="2">
        <v>3</v>
      </c>
      <c r="O1791">
        <v>1</v>
      </c>
      <c r="P1791">
        <v>7</v>
      </c>
      <c r="Q1791" s="4" t="str">
        <f t="shared" si="244"/>
        <v>2019/2020-Ganjil</v>
      </c>
      <c r="R1791" t="s">
        <v>260</v>
      </c>
      <c r="S1791" t="s">
        <v>595</v>
      </c>
    </row>
    <row r="1792" spans="1:19" x14ac:dyDescent="0.3">
      <c r="A1792" t="s">
        <v>12</v>
      </c>
      <c r="B1792">
        <v>2016110048</v>
      </c>
      <c r="C1792" t="s">
        <v>59</v>
      </c>
      <c r="E1792" t="s">
        <v>192</v>
      </c>
      <c r="F1792" t="s">
        <v>106</v>
      </c>
      <c r="G1792">
        <v>2</v>
      </c>
      <c r="H1792" t="s">
        <v>438</v>
      </c>
      <c r="I1792" s="4">
        <f t="shared" si="236"/>
        <v>3</v>
      </c>
      <c r="J1792">
        <f t="shared" si="235"/>
        <v>6</v>
      </c>
      <c r="K1792">
        <v>46</v>
      </c>
      <c r="L1792">
        <v>16</v>
      </c>
      <c r="M1792" s="2">
        <v>2.88</v>
      </c>
      <c r="N1792" s="2">
        <v>3</v>
      </c>
      <c r="O1792">
        <v>0</v>
      </c>
      <c r="P1792">
        <v>5</v>
      </c>
      <c r="Q1792" s="4" t="str">
        <f t="shared" si="244"/>
        <v>2018/2019-Ganjil</v>
      </c>
      <c r="R1792" t="s">
        <v>260</v>
      </c>
      <c r="S1792" t="str">
        <f t="shared" ref="S1792:S1808" si="245">IF(OR(H1792="A",H1792="B",H1792="C"),"PA","FA")</f>
        <v>PA</v>
      </c>
    </row>
    <row r="1793" spans="1:19" x14ac:dyDescent="0.3">
      <c r="A1793" t="s">
        <v>12</v>
      </c>
      <c r="B1793">
        <v>2016110048</v>
      </c>
      <c r="C1793" t="s">
        <v>59</v>
      </c>
      <c r="E1793" t="s">
        <v>39</v>
      </c>
      <c r="F1793" t="s">
        <v>11</v>
      </c>
      <c r="G1793">
        <v>2</v>
      </c>
      <c r="H1793" t="s">
        <v>438</v>
      </c>
      <c r="I1793" s="4">
        <f t="shared" ref="I1793:I1808" si="246">IF(H1793="A",4,IF(H1793="B",3,IF(H1793="C",2,IF(H1793="D",1,0))))</f>
        <v>3</v>
      </c>
      <c r="J1793">
        <f t="shared" ref="J1793:J1808" si="247">G1793*I1793</f>
        <v>6</v>
      </c>
      <c r="K1793">
        <v>36</v>
      </c>
      <c r="L1793">
        <v>12</v>
      </c>
      <c r="M1793" s="2">
        <v>3</v>
      </c>
      <c r="N1793" s="2">
        <v>3</v>
      </c>
      <c r="O1793">
        <v>0</v>
      </c>
      <c r="P1793">
        <v>8</v>
      </c>
      <c r="Q1793" s="4" t="str">
        <f t="shared" si="244"/>
        <v>2019/2020-Genap</v>
      </c>
      <c r="R1793" t="s">
        <v>260</v>
      </c>
      <c r="S1793" t="str">
        <f t="shared" si="245"/>
        <v>PA</v>
      </c>
    </row>
    <row r="1794" spans="1:19" x14ac:dyDescent="0.3">
      <c r="A1794" t="s">
        <v>12</v>
      </c>
      <c r="B1794">
        <v>2016110048</v>
      </c>
      <c r="C1794" t="s">
        <v>59</v>
      </c>
      <c r="E1794" t="s">
        <v>427</v>
      </c>
      <c r="F1794" t="s">
        <v>428</v>
      </c>
      <c r="G1794">
        <v>2</v>
      </c>
      <c r="H1794" t="s">
        <v>438</v>
      </c>
      <c r="I1794" s="4">
        <f t="shared" si="246"/>
        <v>3</v>
      </c>
      <c r="J1794">
        <f t="shared" si="247"/>
        <v>6</v>
      </c>
      <c r="K1794">
        <v>66</v>
      </c>
      <c r="L1794">
        <v>22</v>
      </c>
      <c r="M1794" s="2">
        <v>3</v>
      </c>
      <c r="N1794" s="2">
        <v>3</v>
      </c>
      <c r="O1794">
        <v>0</v>
      </c>
      <c r="P1794">
        <v>6</v>
      </c>
      <c r="Q1794" s="4" t="str">
        <f t="shared" si="244"/>
        <v>2018/2019-Genap</v>
      </c>
      <c r="R1794" t="s">
        <v>260</v>
      </c>
      <c r="S1794" t="str">
        <f t="shared" si="245"/>
        <v>PA</v>
      </c>
    </row>
    <row r="1795" spans="1:19" x14ac:dyDescent="0.3">
      <c r="A1795" t="s">
        <v>12</v>
      </c>
      <c r="B1795">
        <v>2016110048</v>
      </c>
      <c r="C1795" t="s">
        <v>59</v>
      </c>
      <c r="E1795" t="s">
        <v>170</v>
      </c>
      <c r="F1795" t="s">
        <v>171</v>
      </c>
      <c r="G1795">
        <v>4</v>
      </c>
      <c r="H1795" t="s">
        <v>438</v>
      </c>
      <c r="I1795" s="4">
        <f t="shared" si="246"/>
        <v>3</v>
      </c>
      <c r="J1795">
        <f t="shared" si="247"/>
        <v>12</v>
      </c>
      <c r="K1795">
        <v>46</v>
      </c>
      <c r="L1795">
        <v>14</v>
      </c>
      <c r="M1795" s="2">
        <v>3.29</v>
      </c>
      <c r="N1795" s="2">
        <v>3</v>
      </c>
      <c r="O1795">
        <v>0</v>
      </c>
      <c r="P1795">
        <v>3</v>
      </c>
      <c r="Q1795" s="4" t="str">
        <f t="shared" si="244"/>
        <v>2017/2018-Ganjil</v>
      </c>
      <c r="R1795" t="s">
        <v>260</v>
      </c>
      <c r="S1795" t="str">
        <f t="shared" si="245"/>
        <v>PA</v>
      </c>
    </row>
    <row r="1796" spans="1:19" x14ac:dyDescent="0.3">
      <c r="A1796" t="s">
        <v>12</v>
      </c>
      <c r="B1796">
        <v>2016110048</v>
      </c>
      <c r="C1796" t="s">
        <v>59</v>
      </c>
      <c r="E1796" t="s">
        <v>348</v>
      </c>
      <c r="F1796" t="s">
        <v>493</v>
      </c>
      <c r="G1796">
        <v>4</v>
      </c>
      <c r="H1796" t="s">
        <v>438</v>
      </c>
      <c r="I1796" s="4">
        <f t="shared" si="246"/>
        <v>3</v>
      </c>
      <c r="J1796">
        <f t="shared" si="247"/>
        <v>12</v>
      </c>
      <c r="K1796">
        <v>36</v>
      </c>
      <c r="L1796">
        <v>12</v>
      </c>
      <c r="M1796" s="2">
        <v>3</v>
      </c>
      <c r="N1796" s="2">
        <v>3</v>
      </c>
      <c r="O1796">
        <v>0</v>
      </c>
      <c r="P1796">
        <v>8</v>
      </c>
      <c r="Q1796" s="4" t="str">
        <f t="shared" si="244"/>
        <v>2019/2020-Genap</v>
      </c>
      <c r="R1796" t="s">
        <v>260</v>
      </c>
      <c r="S1796" t="str">
        <f t="shared" si="245"/>
        <v>PA</v>
      </c>
    </row>
    <row r="1797" spans="1:19" x14ac:dyDescent="0.3">
      <c r="A1797" t="s">
        <v>12</v>
      </c>
      <c r="B1797">
        <v>2016110048</v>
      </c>
      <c r="C1797" t="s">
        <v>59</v>
      </c>
      <c r="E1797" t="s">
        <v>372</v>
      </c>
      <c r="F1797" t="s">
        <v>373</v>
      </c>
      <c r="G1797">
        <v>2</v>
      </c>
      <c r="H1797" t="s">
        <v>438</v>
      </c>
      <c r="I1797" s="4">
        <f t="shared" si="246"/>
        <v>3</v>
      </c>
      <c r="J1797">
        <f t="shared" si="247"/>
        <v>6</v>
      </c>
      <c r="K1797">
        <v>66</v>
      </c>
      <c r="L1797">
        <v>22</v>
      </c>
      <c r="M1797" s="2">
        <v>3</v>
      </c>
      <c r="N1797" s="2">
        <v>3</v>
      </c>
      <c r="O1797">
        <v>0</v>
      </c>
      <c r="P1797">
        <v>6</v>
      </c>
      <c r="Q1797" s="4" t="str">
        <f t="shared" si="244"/>
        <v>2018/2019-Genap</v>
      </c>
      <c r="R1797" t="s">
        <v>260</v>
      </c>
      <c r="S1797" t="str">
        <f t="shared" si="245"/>
        <v>PA</v>
      </c>
    </row>
    <row r="1798" spans="1:19" x14ac:dyDescent="0.3">
      <c r="A1798" t="s">
        <v>12</v>
      </c>
      <c r="B1798">
        <v>2016110048</v>
      </c>
      <c r="C1798" t="s">
        <v>59</v>
      </c>
      <c r="E1798" t="s">
        <v>234</v>
      </c>
      <c r="F1798" t="s">
        <v>235</v>
      </c>
      <c r="G1798">
        <v>4</v>
      </c>
      <c r="H1798" t="s">
        <v>438</v>
      </c>
      <c r="I1798" s="4">
        <f t="shared" si="246"/>
        <v>3</v>
      </c>
      <c r="J1798">
        <f t="shared" si="247"/>
        <v>12</v>
      </c>
      <c r="K1798">
        <v>46</v>
      </c>
      <c r="L1798">
        <v>14</v>
      </c>
      <c r="M1798" s="2">
        <v>3.29</v>
      </c>
      <c r="N1798" s="2">
        <v>3</v>
      </c>
      <c r="O1798">
        <v>0</v>
      </c>
      <c r="P1798">
        <v>3</v>
      </c>
      <c r="Q1798" s="4" t="str">
        <f t="shared" si="244"/>
        <v>2017/2018-Ganjil</v>
      </c>
      <c r="R1798" t="s">
        <v>260</v>
      </c>
      <c r="S1798" t="str">
        <f t="shared" si="245"/>
        <v>PA</v>
      </c>
    </row>
    <row r="1799" spans="1:19" x14ac:dyDescent="0.3">
      <c r="A1799" t="s">
        <v>12</v>
      </c>
      <c r="B1799">
        <v>2016110048</v>
      </c>
      <c r="C1799" t="s">
        <v>59</v>
      </c>
      <c r="E1799" t="s">
        <v>316</v>
      </c>
      <c r="F1799" t="s">
        <v>317</v>
      </c>
      <c r="G1799">
        <v>2</v>
      </c>
      <c r="H1799" t="s">
        <v>438</v>
      </c>
      <c r="I1799" s="4">
        <f t="shared" si="246"/>
        <v>3</v>
      </c>
      <c r="J1799">
        <f t="shared" si="247"/>
        <v>6</v>
      </c>
      <c r="K1799">
        <v>18</v>
      </c>
      <c r="L1799">
        <v>6</v>
      </c>
      <c r="M1799" s="2">
        <v>3</v>
      </c>
      <c r="N1799" s="2">
        <v>3</v>
      </c>
      <c r="O1799">
        <v>0</v>
      </c>
      <c r="P1799">
        <v>9</v>
      </c>
      <c r="Q1799" s="4" t="str">
        <f t="shared" si="244"/>
        <v>2020/2021-Ganjil</v>
      </c>
      <c r="R1799" t="s">
        <v>260</v>
      </c>
      <c r="S1799" t="str">
        <f t="shared" si="245"/>
        <v>PA</v>
      </c>
    </row>
    <row r="1800" spans="1:19" x14ac:dyDescent="0.3">
      <c r="A1800" t="s">
        <v>12</v>
      </c>
      <c r="B1800">
        <v>2016110048</v>
      </c>
      <c r="C1800" t="s">
        <v>59</v>
      </c>
      <c r="E1800" t="s">
        <v>446</v>
      </c>
      <c r="F1800" t="s">
        <v>447</v>
      </c>
      <c r="G1800">
        <v>2</v>
      </c>
      <c r="H1800" t="s">
        <v>438</v>
      </c>
      <c r="I1800" s="4">
        <f t="shared" si="246"/>
        <v>3</v>
      </c>
      <c r="J1800">
        <f t="shared" si="247"/>
        <v>6</v>
      </c>
      <c r="K1800">
        <v>66</v>
      </c>
      <c r="L1800">
        <v>22</v>
      </c>
      <c r="M1800" s="2">
        <v>3</v>
      </c>
      <c r="N1800" s="2">
        <v>3</v>
      </c>
      <c r="O1800">
        <v>0</v>
      </c>
      <c r="P1800">
        <v>6</v>
      </c>
      <c r="Q1800" s="4" t="str">
        <f t="shared" si="244"/>
        <v>2018/2019-Genap</v>
      </c>
      <c r="R1800" t="s">
        <v>260</v>
      </c>
      <c r="S1800" t="str">
        <f t="shared" si="245"/>
        <v>PA</v>
      </c>
    </row>
    <row r="1801" spans="1:19" x14ac:dyDescent="0.3">
      <c r="A1801" t="s">
        <v>12</v>
      </c>
      <c r="B1801">
        <v>2016110048</v>
      </c>
      <c r="C1801" t="s">
        <v>59</v>
      </c>
      <c r="E1801" t="s">
        <v>165</v>
      </c>
      <c r="F1801" t="s">
        <v>166</v>
      </c>
      <c r="G1801">
        <v>2</v>
      </c>
      <c r="H1801" t="s">
        <v>438</v>
      </c>
      <c r="I1801" s="4">
        <f t="shared" si="246"/>
        <v>3</v>
      </c>
      <c r="J1801">
        <f t="shared" si="247"/>
        <v>6</v>
      </c>
      <c r="K1801">
        <v>54</v>
      </c>
      <c r="L1801">
        <v>20</v>
      </c>
      <c r="M1801" s="2">
        <v>2.7</v>
      </c>
      <c r="N1801" s="2">
        <v>3</v>
      </c>
      <c r="O1801">
        <v>0</v>
      </c>
      <c r="P1801">
        <v>1</v>
      </c>
      <c r="Q1801" s="4" t="str">
        <f t="shared" si="244"/>
        <v>2016/2017-Ganjil</v>
      </c>
      <c r="R1801" t="s">
        <v>260</v>
      </c>
      <c r="S1801" t="str">
        <f t="shared" si="245"/>
        <v>PA</v>
      </c>
    </row>
    <row r="1802" spans="1:19" x14ac:dyDescent="0.3">
      <c r="A1802" t="s">
        <v>12</v>
      </c>
      <c r="B1802">
        <v>2016110048</v>
      </c>
      <c r="C1802" t="s">
        <v>59</v>
      </c>
      <c r="E1802" t="s">
        <v>302</v>
      </c>
      <c r="F1802" t="s">
        <v>303</v>
      </c>
      <c r="G1802">
        <v>2</v>
      </c>
      <c r="H1802" t="s">
        <v>438</v>
      </c>
      <c r="I1802" s="4">
        <f t="shared" si="246"/>
        <v>3</v>
      </c>
      <c r="J1802">
        <f t="shared" si="247"/>
        <v>6</v>
      </c>
      <c r="K1802">
        <v>66</v>
      </c>
      <c r="L1802">
        <v>22</v>
      </c>
      <c r="M1802" s="2">
        <v>3</v>
      </c>
      <c r="N1802" s="2">
        <v>3</v>
      </c>
      <c r="O1802">
        <v>0</v>
      </c>
      <c r="P1802">
        <v>6</v>
      </c>
      <c r="Q1802" s="4" t="str">
        <f t="shared" si="244"/>
        <v>2018/2019-Genap</v>
      </c>
      <c r="R1802" t="s">
        <v>260</v>
      </c>
      <c r="S1802" t="str">
        <f t="shared" si="245"/>
        <v>PA</v>
      </c>
    </row>
    <row r="1803" spans="1:19" x14ac:dyDescent="0.3">
      <c r="A1803" t="s">
        <v>12</v>
      </c>
      <c r="B1803">
        <v>2016110048</v>
      </c>
      <c r="C1803" t="s">
        <v>59</v>
      </c>
      <c r="E1803" t="s">
        <v>131</v>
      </c>
      <c r="F1803" t="s">
        <v>132</v>
      </c>
      <c r="G1803">
        <v>2</v>
      </c>
      <c r="H1803" t="s">
        <v>438</v>
      </c>
      <c r="I1803" s="4">
        <f t="shared" si="246"/>
        <v>3</v>
      </c>
      <c r="J1803">
        <f t="shared" si="247"/>
        <v>6</v>
      </c>
      <c r="K1803">
        <v>54</v>
      </c>
      <c r="L1803">
        <v>20</v>
      </c>
      <c r="M1803" s="2">
        <v>2.7</v>
      </c>
      <c r="N1803" s="2">
        <v>3</v>
      </c>
      <c r="O1803">
        <v>0</v>
      </c>
      <c r="P1803">
        <v>1</v>
      </c>
      <c r="Q1803" s="4" t="str">
        <f t="shared" si="244"/>
        <v>2016/2017-Ganjil</v>
      </c>
      <c r="R1803" t="s">
        <v>260</v>
      </c>
      <c r="S1803" t="str">
        <f t="shared" si="245"/>
        <v>PA</v>
      </c>
    </row>
    <row r="1804" spans="1:19" x14ac:dyDescent="0.3">
      <c r="A1804" t="s">
        <v>12</v>
      </c>
      <c r="B1804">
        <v>2016110048</v>
      </c>
      <c r="C1804" t="s">
        <v>59</v>
      </c>
      <c r="E1804" t="s">
        <v>244</v>
      </c>
      <c r="F1804" t="s">
        <v>228</v>
      </c>
      <c r="G1804">
        <v>2</v>
      </c>
      <c r="H1804" t="s">
        <v>438</v>
      </c>
      <c r="I1804" s="4">
        <f t="shared" si="246"/>
        <v>3</v>
      </c>
      <c r="J1804">
        <f t="shared" si="247"/>
        <v>6</v>
      </c>
      <c r="K1804">
        <v>32</v>
      </c>
      <c r="L1804">
        <v>14</v>
      </c>
      <c r="M1804" s="2">
        <v>2.29</v>
      </c>
      <c r="N1804" s="2">
        <v>3</v>
      </c>
      <c r="O1804">
        <v>0</v>
      </c>
      <c r="P1804">
        <v>4</v>
      </c>
      <c r="Q1804" s="4" t="str">
        <f t="shared" si="244"/>
        <v>2017/2018-Genap</v>
      </c>
      <c r="R1804" t="s">
        <v>260</v>
      </c>
      <c r="S1804" t="str">
        <f t="shared" si="245"/>
        <v>PA</v>
      </c>
    </row>
    <row r="1805" spans="1:19" x14ac:dyDescent="0.3">
      <c r="A1805" t="s">
        <v>12</v>
      </c>
      <c r="B1805">
        <v>2016110048</v>
      </c>
      <c r="C1805" t="s">
        <v>59</v>
      </c>
      <c r="E1805" t="s">
        <v>330</v>
      </c>
      <c r="F1805" t="s">
        <v>108</v>
      </c>
      <c r="G1805">
        <v>2</v>
      </c>
      <c r="H1805" t="s">
        <v>438</v>
      </c>
      <c r="I1805" s="4">
        <f t="shared" si="246"/>
        <v>3</v>
      </c>
      <c r="J1805">
        <f t="shared" si="247"/>
        <v>6</v>
      </c>
      <c r="K1805">
        <v>56</v>
      </c>
      <c r="L1805">
        <v>20</v>
      </c>
      <c r="M1805" s="2">
        <v>2.8</v>
      </c>
      <c r="N1805" s="2">
        <v>3</v>
      </c>
      <c r="O1805">
        <v>0</v>
      </c>
      <c r="P1805">
        <v>7</v>
      </c>
      <c r="Q1805" s="4" t="str">
        <f t="shared" si="244"/>
        <v>2019/2020-Ganjil</v>
      </c>
      <c r="R1805" t="s">
        <v>260</v>
      </c>
      <c r="S1805" t="str">
        <f t="shared" si="245"/>
        <v>PA</v>
      </c>
    </row>
    <row r="1806" spans="1:19" x14ac:dyDescent="0.3">
      <c r="A1806" t="s">
        <v>12</v>
      </c>
      <c r="B1806">
        <v>2016110048</v>
      </c>
      <c r="C1806" t="s">
        <v>59</v>
      </c>
      <c r="E1806" t="s">
        <v>90</v>
      </c>
      <c r="F1806" t="s">
        <v>91</v>
      </c>
      <c r="G1806">
        <v>2</v>
      </c>
      <c r="H1806" t="s">
        <v>438</v>
      </c>
      <c r="I1806" s="4">
        <f t="shared" si="246"/>
        <v>3</v>
      </c>
      <c r="J1806">
        <f t="shared" si="247"/>
        <v>6</v>
      </c>
      <c r="K1806">
        <v>54</v>
      </c>
      <c r="L1806">
        <v>20</v>
      </c>
      <c r="M1806" s="2">
        <v>2.7</v>
      </c>
      <c r="N1806" s="2">
        <v>3</v>
      </c>
      <c r="O1806">
        <v>0</v>
      </c>
      <c r="P1806">
        <v>1</v>
      </c>
      <c r="Q1806" s="4" t="str">
        <f t="shared" si="244"/>
        <v>2016/2017-Ganjil</v>
      </c>
      <c r="R1806" t="s">
        <v>260</v>
      </c>
      <c r="S1806" t="str">
        <f t="shared" si="245"/>
        <v>PA</v>
      </c>
    </row>
    <row r="1807" spans="1:19" x14ac:dyDescent="0.3">
      <c r="A1807" t="s">
        <v>12</v>
      </c>
      <c r="B1807">
        <v>2016110048</v>
      </c>
      <c r="C1807" t="s">
        <v>59</v>
      </c>
      <c r="E1807" t="s">
        <v>208</v>
      </c>
      <c r="F1807" t="s">
        <v>209</v>
      </c>
      <c r="G1807">
        <v>2</v>
      </c>
      <c r="H1807" t="s">
        <v>438</v>
      </c>
      <c r="I1807" s="4">
        <f t="shared" si="246"/>
        <v>3</v>
      </c>
      <c r="J1807">
        <f t="shared" si="247"/>
        <v>6</v>
      </c>
      <c r="K1807">
        <v>46</v>
      </c>
      <c r="L1807">
        <v>16</v>
      </c>
      <c r="M1807" s="2">
        <v>2.88</v>
      </c>
      <c r="N1807" s="2">
        <v>3</v>
      </c>
      <c r="O1807">
        <v>0</v>
      </c>
      <c r="P1807">
        <v>5</v>
      </c>
      <c r="Q1807" s="4" t="str">
        <f t="shared" si="244"/>
        <v>2018/2019-Ganjil</v>
      </c>
      <c r="R1807" t="s">
        <v>260</v>
      </c>
      <c r="S1807" t="str">
        <f t="shared" si="245"/>
        <v>PA</v>
      </c>
    </row>
    <row r="1808" spans="1:19" x14ac:dyDescent="0.3">
      <c r="A1808" t="s">
        <v>12</v>
      </c>
      <c r="B1808">
        <v>2016110048</v>
      </c>
      <c r="C1808" t="s">
        <v>59</v>
      </c>
      <c r="E1808" t="s">
        <v>97</v>
      </c>
      <c r="F1808" t="s">
        <v>98</v>
      </c>
      <c r="G1808">
        <v>4</v>
      </c>
      <c r="H1808" t="s">
        <v>438</v>
      </c>
      <c r="I1808" s="4">
        <f t="shared" si="246"/>
        <v>3</v>
      </c>
      <c r="J1808">
        <f t="shared" si="247"/>
        <v>12</v>
      </c>
      <c r="K1808">
        <v>42</v>
      </c>
      <c r="L1808">
        <v>18</v>
      </c>
      <c r="M1808" s="2">
        <v>2.33</v>
      </c>
      <c r="N1808" s="2">
        <v>3</v>
      </c>
      <c r="O1808">
        <v>0</v>
      </c>
      <c r="P1808">
        <v>2</v>
      </c>
      <c r="Q1808" s="4" t="str">
        <f t="shared" si="244"/>
        <v>2016/2017-Genap</v>
      </c>
      <c r="R1808" t="s">
        <v>260</v>
      </c>
      <c r="S1808" t="str">
        <f t="shared" si="245"/>
        <v>PA</v>
      </c>
    </row>
    <row r="1809" spans="1:19" x14ac:dyDescent="0.3">
      <c r="A1809" t="s">
        <v>12</v>
      </c>
      <c r="B1809">
        <v>2016110048</v>
      </c>
      <c r="C1809" t="s">
        <v>59</v>
      </c>
      <c r="E1809" t="s">
        <v>97</v>
      </c>
      <c r="F1809" t="s">
        <v>98</v>
      </c>
      <c r="G1809">
        <v>4</v>
      </c>
      <c r="I1809" s="4"/>
      <c r="J1809">
        <f t="shared" ref="J1809:J1835" si="248">G1809*I1809</f>
        <v>0</v>
      </c>
      <c r="K1809">
        <v>32</v>
      </c>
      <c r="L1809">
        <v>14</v>
      </c>
      <c r="M1809" s="2">
        <v>2.29</v>
      </c>
      <c r="N1809" s="2">
        <v>3</v>
      </c>
      <c r="O1809">
        <v>1</v>
      </c>
      <c r="P1809">
        <v>4</v>
      </c>
      <c r="Q1809" s="4" t="str">
        <f t="shared" si="244"/>
        <v>2017/2018-Genap</v>
      </c>
      <c r="R1809" t="s">
        <v>260</v>
      </c>
      <c r="S1809" t="s">
        <v>595</v>
      </c>
    </row>
    <row r="1810" spans="1:19" x14ac:dyDescent="0.3">
      <c r="A1810" t="s">
        <v>12</v>
      </c>
      <c r="B1810">
        <v>2016110048</v>
      </c>
      <c r="C1810" t="s">
        <v>59</v>
      </c>
      <c r="E1810" t="s">
        <v>241</v>
      </c>
      <c r="F1810" t="s">
        <v>45</v>
      </c>
      <c r="G1810">
        <v>2</v>
      </c>
      <c r="H1810" t="s">
        <v>438</v>
      </c>
      <c r="I1810" s="4">
        <f t="shared" ref="I1810:I1835" si="249">IF(H1810="A",4,IF(H1810="B",3,IF(H1810="C",2,IF(H1810="D",1,0))))</f>
        <v>3</v>
      </c>
      <c r="J1810">
        <f t="shared" si="248"/>
        <v>6</v>
      </c>
      <c r="K1810">
        <v>56</v>
      </c>
      <c r="L1810">
        <v>20</v>
      </c>
      <c r="M1810" s="2">
        <v>2.8</v>
      </c>
      <c r="N1810" s="2">
        <v>3</v>
      </c>
      <c r="O1810">
        <v>0</v>
      </c>
      <c r="P1810">
        <v>7</v>
      </c>
      <c r="Q1810" s="4" t="str">
        <f t="shared" si="244"/>
        <v>2019/2020-Ganjil</v>
      </c>
      <c r="R1810" t="s">
        <v>260</v>
      </c>
      <c r="S1810" t="str">
        <f t="shared" ref="S1810:S1833" si="250">IF(OR(H1810="A",H1810="B",H1810="C"),"PA","FA")</f>
        <v>PA</v>
      </c>
    </row>
    <row r="1811" spans="1:19" x14ac:dyDescent="0.3">
      <c r="A1811" t="s">
        <v>12</v>
      </c>
      <c r="B1811">
        <v>2016110048</v>
      </c>
      <c r="C1811" t="s">
        <v>59</v>
      </c>
      <c r="E1811" t="s">
        <v>283</v>
      </c>
      <c r="F1811" t="s">
        <v>284</v>
      </c>
      <c r="G1811">
        <v>2</v>
      </c>
      <c r="H1811" t="s">
        <v>438</v>
      </c>
      <c r="I1811" s="4">
        <f t="shared" ref="I1811:I1833" si="251">IF(H1811="A",4,IF(H1811="B",3,IF(H1811="C",2,IF(H1811="D",1,0))))</f>
        <v>3</v>
      </c>
      <c r="J1811">
        <f t="shared" ref="J1811:J1833" si="252">G1811*I1811</f>
        <v>6</v>
      </c>
      <c r="K1811">
        <v>56</v>
      </c>
      <c r="L1811">
        <v>20</v>
      </c>
      <c r="M1811" s="2">
        <v>2.8</v>
      </c>
      <c r="N1811" s="2">
        <v>3</v>
      </c>
      <c r="O1811">
        <v>0</v>
      </c>
      <c r="P1811">
        <v>7</v>
      </c>
      <c r="Q1811" s="4" t="str">
        <f t="shared" si="244"/>
        <v>2019/2020-Ganjil</v>
      </c>
      <c r="R1811" t="s">
        <v>260</v>
      </c>
      <c r="S1811" t="str">
        <f t="shared" si="250"/>
        <v>PA</v>
      </c>
    </row>
    <row r="1812" spans="1:19" x14ac:dyDescent="0.3">
      <c r="A1812" t="s">
        <v>12</v>
      </c>
      <c r="B1812">
        <v>2016110048</v>
      </c>
      <c r="C1812" t="s">
        <v>59</v>
      </c>
      <c r="E1812" t="s">
        <v>370</v>
      </c>
      <c r="F1812" t="s">
        <v>371</v>
      </c>
      <c r="G1812">
        <v>2</v>
      </c>
      <c r="H1812" t="s">
        <v>438</v>
      </c>
      <c r="I1812" s="4">
        <f t="shared" si="251"/>
        <v>3</v>
      </c>
      <c r="J1812">
        <f t="shared" si="252"/>
        <v>6</v>
      </c>
      <c r="K1812">
        <v>46</v>
      </c>
      <c r="L1812">
        <v>16</v>
      </c>
      <c r="M1812" s="2">
        <v>2.88</v>
      </c>
      <c r="N1812" s="2">
        <v>3</v>
      </c>
      <c r="O1812">
        <v>0</v>
      </c>
      <c r="P1812">
        <v>5</v>
      </c>
      <c r="Q1812" s="4" t="str">
        <f t="shared" si="244"/>
        <v>2018/2019-Ganjil</v>
      </c>
      <c r="R1812" t="s">
        <v>260</v>
      </c>
      <c r="S1812" t="str">
        <f t="shared" si="250"/>
        <v>PA</v>
      </c>
    </row>
    <row r="1813" spans="1:19" x14ac:dyDescent="0.3">
      <c r="A1813" t="s">
        <v>12</v>
      </c>
      <c r="B1813">
        <v>2016110048</v>
      </c>
      <c r="C1813" t="s">
        <v>59</v>
      </c>
      <c r="E1813" t="s">
        <v>100</v>
      </c>
      <c r="F1813" t="s">
        <v>101</v>
      </c>
      <c r="G1813">
        <v>4</v>
      </c>
      <c r="H1813" t="s">
        <v>438</v>
      </c>
      <c r="I1813" s="4">
        <f t="shared" si="251"/>
        <v>3</v>
      </c>
      <c r="J1813">
        <f t="shared" si="252"/>
        <v>12</v>
      </c>
      <c r="K1813">
        <v>42</v>
      </c>
      <c r="L1813">
        <v>18</v>
      </c>
      <c r="M1813" s="2">
        <v>2.33</v>
      </c>
      <c r="N1813" s="2">
        <v>3</v>
      </c>
      <c r="O1813">
        <v>0</v>
      </c>
      <c r="P1813">
        <v>2</v>
      </c>
      <c r="Q1813" s="4" t="str">
        <f t="shared" si="244"/>
        <v>2016/2017-Genap</v>
      </c>
      <c r="R1813" t="s">
        <v>260</v>
      </c>
      <c r="S1813" t="str">
        <f t="shared" si="250"/>
        <v>PA</v>
      </c>
    </row>
    <row r="1814" spans="1:19" x14ac:dyDescent="0.3">
      <c r="A1814" t="s">
        <v>12</v>
      </c>
      <c r="B1814">
        <v>2016110048</v>
      </c>
      <c r="C1814" t="s">
        <v>59</v>
      </c>
      <c r="E1814" t="s">
        <v>205</v>
      </c>
      <c r="F1814" t="s">
        <v>116</v>
      </c>
      <c r="G1814">
        <v>4</v>
      </c>
      <c r="H1814" t="s">
        <v>438</v>
      </c>
      <c r="I1814" s="4">
        <f t="shared" si="251"/>
        <v>3</v>
      </c>
      <c r="J1814">
        <f t="shared" si="252"/>
        <v>12</v>
      </c>
      <c r="K1814">
        <v>56</v>
      </c>
      <c r="L1814">
        <v>20</v>
      </c>
      <c r="M1814" s="2">
        <v>2.8</v>
      </c>
      <c r="N1814" s="2">
        <v>3</v>
      </c>
      <c r="O1814">
        <v>0</v>
      </c>
      <c r="P1814">
        <v>7</v>
      </c>
      <c r="Q1814" s="4" t="str">
        <f t="shared" si="244"/>
        <v>2019/2020-Ganjil</v>
      </c>
      <c r="R1814" t="s">
        <v>260</v>
      </c>
      <c r="S1814" t="str">
        <f t="shared" si="250"/>
        <v>PA</v>
      </c>
    </row>
    <row r="1815" spans="1:19" x14ac:dyDescent="0.3">
      <c r="A1815" t="s">
        <v>12</v>
      </c>
      <c r="B1815">
        <v>2016110048</v>
      </c>
      <c r="C1815" t="s">
        <v>59</v>
      </c>
      <c r="E1815" t="s">
        <v>306</v>
      </c>
      <c r="F1815" t="s">
        <v>307</v>
      </c>
      <c r="G1815">
        <v>2</v>
      </c>
      <c r="H1815" t="s">
        <v>438</v>
      </c>
      <c r="I1815" s="4">
        <f t="shared" si="251"/>
        <v>3</v>
      </c>
      <c r="J1815">
        <f t="shared" si="252"/>
        <v>6</v>
      </c>
      <c r="K1815">
        <v>46</v>
      </c>
      <c r="L1815">
        <v>16</v>
      </c>
      <c r="M1815" s="2">
        <v>2.88</v>
      </c>
      <c r="N1815" s="2">
        <v>3</v>
      </c>
      <c r="O1815">
        <v>0</v>
      </c>
      <c r="P1815">
        <v>5</v>
      </c>
      <c r="Q1815" s="4" t="str">
        <f t="shared" ref="Q1815:Q1825" si="253">IF(P1815=1,"2016/2017-Ganjil",IF(P1815=2,"2016/2017-Genap",IF(P1815=3,"2017/2018-Ganjil",IF(P1815=4,"2017/2018-Genap",IF(P1815=5,"2018/2019-Ganjil",IF(P1815=6,"2018/2019-Genap",IF(P1815=7,"2019/2020-Ganjil",IF(P1815=8,"2019/2020-Genap",IF(P1815=9,"2020/2021-Ganjil","2020/2021-Genap")))))))))</f>
        <v>2018/2019-Ganjil</v>
      </c>
      <c r="R1815" t="s">
        <v>260</v>
      </c>
      <c r="S1815" t="str">
        <f t="shared" si="250"/>
        <v>PA</v>
      </c>
    </row>
    <row r="1816" spans="1:19" x14ac:dyDescent="0.3">
      <c r="A1816" t="s">
        <v>12</v>
      </c>
      <c r="B1816">
        <v>2016110048</v>
      </c>
      <c r="C1816" t="s">
        <v>59</v>
      </c>
      <c r="E1816" t="s">
        <v>173</v>
      </c>
      <c r="F1816" t="s">
        <v>8</v>
      </c>
      <c r="G1816">
        <v>2</v>
      </c>
      <c r="H1816" t="s">
        <v>438</v>
      </c>
      <c r="I1816" s="4">
        <f t="shared" si="251"/>
        <v>3</v>
      </c>
      <c r="J1816">
        <f t="shared" si="252"/>
        <v>6</v>
      </c>
      <c r="K1816">
        <v>46</v>
      </c>
      <c r="L1816">
        <v>14</v>
      </c>
      <c r="M1816" s="2">
        <v>3.29</v>
      </c>
      <c r="N1816" s="2">
        <v>3</v>
      </c>
      <c r="O1816">
        <v>0</v>
      </c>
      <c r="P1816">
        <v>3</v>
      </c>
      <c r="Q1816" s="4" t="str">
        <f t="shared" si="253"/>
        <v>2017/2018-Ganjil</v>
      </c>
      <c r="R1816" t="s">
        <v>260</v>
      </c>
      <c r="S1816" t="str">
        <f t="shared" si="250"/>
        <v>PA</v>
      </c>
    </row>
    <row r="1817" spans="1:19" x14ac:dyDescent="0.3">
      <c r="A1817" t="s">
        <v>12</v>
      </c>
      <c r="B1817">
        <v>2016110048</v>
      </c>
      <c r="C1817" t="s">
        <v>59</v>
      </c>
      <c r="E1817" t="s">
        <v>432</v>
      </c>
      <c r="F1817" t="s">
        <v>433</v>
      </c>
      <c r="G1817">
        <v>4</v>
      </c>
      <c r="H1817" t="s">
        <v>438</v>
      </c>
      <c r="I1817" s="4">
        <f t="shared" si="251"/>
        <v>3</v>
      </c>
      <c r="J1817">
        <f t="shared" si="252"/>
        <v>12</v>
      </c>
      <c r="K1817">
        <v>36</v>
      </c>
      <c r="L1817">
        <v>12</v>
      </c>
      <c r="M1817" s="2">
        <v>3</v>
      </c>
      <c r="N1817" s="2">
        <v>3</v>
      </c>
      <c r="O1817">
        <v>0</v>
      </c>
      <c r="P1817">
        <v>8</v>
      </c>
      <c r="Q1817" s="4" t="str">
        <f t="shared" si="253"/>
        <v>2019/2020-Genap</v>
      </c>
      <c r="R1817" t="s">
        <v>260</v>
      </c>
      <c r="S1817" t="str">
        <f t="shared" si="250"/>
        <v>PA</v>
      </c>
    </row>
    <row r="1818" spans="1:19" x14ac:dyDescent="0.3">
      <c r="A1818" t="s">
        <v>12</v>
      </c>
      <c r="B1818">
        <v>2016110048</v>
      </c>
      <c r="C1818" t="s">
        <v>59</v>
      </c>
      <c r="E1818" t="s">
        <v>273</v>
      </c>
      <c r="F1818" t="s">
        <v>274</v>
      </c>
      <c r="G1818">
        <v>2</v>
      </c>
      <c r="H1818" t="s">
        <v>438</v>
      </c>
      <c r="I1818" s="4">
        <f t="shared" si="251"/>
        <v>3</v>
      </c>
      <c r="J1818">
        <f t="shared" si="252"/>
        <v>6</v>
      </c>
      <c r="K1818">
        <v>66</v>
      </c>
      <c r="L1818">
        <v>22</v>
      </c>
      <c r="M1818" s="2">
        <v>3</v>
      </c>
      <c r="N1818" s="2">
        <v>3</v>
      </c>
      <c r="O1818">
        <v>0</v>
      </c>
      <c r="P1818">
        <v>6</v>
      </c>
      <c r="Q1818" s="4" t="str">
        <f t="shared" si="253"/>
        <v>2018/2019-Genap</v>
      </c>
      <c r="R1818" t="s">
        <v>260</v>
      </c>
      <c r="S1818" t="str">
        <f t="shared" si="250"/>
        <v>PA</v>
      </c>
    </row>
    <row r="1819" spans="1:19" x14ac:dyDescent="0.3">
      <c r="A1819" t="s">
        <v>12</v>
      </c>
      <c r="B1819">
        <v>2016110048</v>
      </c>
      <c r="C1819" t="s">
        <v>59</v>
      </c>
      <c r="E1819" t="s">
        <v>357</v>
      </c>
      <c r="F1819" t="s">
        <v>358</v>
      </c>
      <c r="G1819">
        <v>4</v>
      </c>
      <c r="H1819" t="s">
        <v>438</v>
      </c>
      <c r="I1819" s="4">
        <f t="shared" si="251"/>
        <v>3</v>
      </c>
      <c r="J1819">
        <f t="shared" si="252"/>
        <v>12</v>
      </c>
      <c r="K1819">
        <v>18</v>
      </c>
      <c r="L1819">
        <v>6</v>
      </c>
      <c r="M1819" s="2">
        <v>3</v>
      </c>
      <c r="N1819" s="2">
        <v>3</v>
      </c>
      <c r="O1819">
        <v>0</v>
      </c>
      <c r="P1819">
        <v>9</v>
      </c>
      <c r="Q1819" s="4" t="str">
        <f t="shared" si="253"/>
        <v>2020/2021-Ganjil</v>
      </c>
      <c r="R1819" t="s">
        <v>260</v>
      </c>
      <c r="S1819" t="str">
        <f t="shared" si="250"/>
        <v>PA</v>
      </c>
    </row>
    <row r="1820" spans="1:19" x14ac:dyDescent="0.3">
      <c r="A1820" t="s">
        <v>12</v>
      </c>
      <c r="B1820">
        <v>2016110048</v>
      </c>
      <c r="C1820" t="s">
        <v>59</v>
      </c>
      <c r="E1820" t="s">
        <v>257</v>
      </c>
      <c r="F1820" t="s">
        <v>258</v>
      </c>
      <c r="G1820">
        <v>4</v>
      </c>
      <c r="H1820" t="s">
        <v>438</v>
      </c>
      <c r="I1820" s="4">
        <f t="shared" si="251"/>
        <v>3</v>
      </c>
      <c r="J1820">
        <f t="shared" si="252"/>
        <v>12</v>
      </c>
      <c r="K1820">
        <v>66</v>
      </c>
      <c r="L1820">
        <v>22</v>
      </c>
      <c r="M1820" s="2">
        <v>3</v>
      </c>
      <c r="N1820" s="2">
        <v>3</v>
      </c>
      <c r="O1820">
        <v>0</v>
      </c>
      <c r="P1820">
        <v>6</v>
      </c>
      <c r="Q1820" s="4" t="str">
        <f t="shared" si="253"/>
        <v>2018/2019-Genap</v>
      </c>
      <c r="R1820" t="s">
        <v>260</v>
      </c>
      <c r="S1820" t="str">
        <f t="shared" si="250"/>
        <v>PA</v>
      </c>
    </row>
    <row r="1821" spans="1:19" x14ac:dyDescent="0.3">
      <c r="A1821" t="s">
        <v>12</v>
      </c>
      <c r="B1821">
        <v>2016110048</v>
      </c>
      <c r="C1821" t="s">
        <v>59</v>
      </c>
      <c r="E1821" t="s">
        <v>151</v>
      </c>
      <c r="F1821" t="s">
        <v>152</v>
      </c>
      <c r="G1821">
        <v>2</v>
      </c>
      <c r="H1821" t="s">
        <v>438</v>
      </c>
      <c r="I1821" s="4">
        <f t="shared" si="251"/>
        <v>3</v>
      </c>
      <c r="J1821">
        <f t="shared" si="252"/>
        <v>6</v>
      </c>
      <c r="K1821">
        <v>54</v>
      </c>
      <c r="L1821">
        <v>20</v>
      </c>
      <c r="M1821" s="2">
        <v>2.7</v>
      </c>
      <c r="N1821" s="2">
        <v>3</v>
      </c>
      <c r="O1821">
        <v>0</v>
      </c>
      <c r="P1821">
        <v>1</v>
      </c>
      <c r="Q1821" s="4" t="str">
        <f t="shared" si="253"/>
        <v>2016/2017-Ganjil</v>
      </c>
      <c r="R1821" t="s">
        <v>260</v>
      </c>
      <c r="S1821" t="str">
        <f t="shared" si="250"/>
        <v>PA</v>
      </c>
    </row>
    <row r="1822" spans="1:19" x14ac:dyDescent="0.3">
      <c r="A1822" t="s">
        <v>12</v>
      </c>
      <c r="B1822">
        <v>2016110048</v>
      </c>
      <c r="C1822" t="s">
        <v>59</v>
      </c>
      <c r="E1822" t="s">
        <v>374</v>
      </c>
      <c r="F1822" t="s">
        <v>375</v>
      </c>
      <c r="G1822">
        <v>2</v>
      </c>
      <c r="H1822" t="s">
        <v>438</v>
      </c>
      <c r="I1822" s="4">
        <f t="shared" si="251"/>
        <v>3</v>
      </c>
      <c r="J1822">
        <f t="shared" si="252"/>
        <v>6</v>
      </c>
      <c r="K1822">
        <v>32</v>
      </c>
      <c r="L1822">
        <v>14</v>
      </c>
      <c r="M1822" s="2">
        <v>2.29</v>
      </c>
      <c r="N1822" s="2">
        <v>3</v>
      </c>
      <c r="O1822">
        <v>0</v>
      </c>
      <c r="P1822">
        <v>4</v>
      </c>
      <c r="Q1822" s="4" t="str">
        <f t="shared" si="253"/>
        <v>2017/2018-Genap</v>
      </c>
      <c r="R1822" t="s">
        <v>260</v>
      </c>
      <c r="S1822" t="str">
        <f t="shared" si="250"/>
        <v>PA</v>
      </c>
    </row>
    <row r="1823" spans="1:19" x14ac:dyDescent="0.3">
      <c r="A1823" t="s">
        <v>12</v>
      </c>
      <c r="B1823">
        <v>2016110048</v>
      </c>
      <c r="C1823" t="s">
        <v>59</v>
      </c>
      <c r="E1823" t="s">
        <v>248</v>
      </c>
      <c r="F1823" t="s">
        <v>249</v>
      </c>
      <c r="G1823">
        <v>2</v>
      </c>
      <c r="H1823" t="s">
        <v>524</v>
      </c>
      <c r="I1823" s="4">
        <f t="shared" si="251"/>
        <v>2</v>
      </c>
      <c r="J1823">
        <f t="shared" si="252"/>
        <v>4</v>
      </c>
      <c r="K1823">
        <v>32</v>
      </c>
      <c r="L1823">
        <v>14</v>
      </c>
      <c r="M1823" s="2">
        <v>2.29</v>
      </c>
      <c r="N1823" s="2">
        <v>3</v>
      </c>
      <c r="O1823">
        <v>0</v>
      </c>
      <c r="P1823">
        <v>4</v>
      </c>
      <c r="Q1823" s="4" t="str">
        <f t="shared" si="253"/>
        <v>2017/2018-Genap</v>
      </c>
      <c r="R1823" t="s">
        <v>260</v>
      </c>
      <c r="S1823" t="str">
        <f t="shared" si="250"/>
        <v>PA</v>
      </c>
    </row>
    <row r="1824" spans="1:19" x14ac:dyDescent="0.3">
      <c r="A1824" t="s">
        <v>12</v>
      </c>
      <c r="B1824">
        <v>2016110048</v>
      </c>
      <c r="C1824" t="s">
        <v>59</v>
      </c>
      <c r="E1824" t="s">
        <v>248</v>
      </c>
      <c r="F1824" t="s">
        <v>249</v>
      </c>
      <c r="G1824">
        <v>2</v>
      </c>
      <c r="H1824" t="s">
        <v>438</v>
      </c>
      <c r="I1824" s="4">
        <f t="shared" si="251"/>
        <v>3</v>
      </c>
      <c r="J1824">
        <f t="shared" si="252"/>
        <v>6</v>
      </c>
      <c r="K1824">
        <v>36</v>
      </c>
      <c r="L1824">
        <v>12</v>
      </c>
      <c r="M1824" s="2">
        <v>3</v>
      </c>
      <c r="N1824" s="2">
        <v>3</v>
      </c>
      <c r="O1824">
        <v>1</v>
      </c>
      <c r="P1824">
        <v>8</v>
      </c>
      <c r="Q1824" s="4" t="str">
        <f t="shared" si="253"/>
        <v>2019/2020-Genap</v>
      </c>
      <c r="R1824" t="s">
        <v>260</v>
      </c>
      <c r="S1824" t="str">
        <f t="shared" si="250"/>
        <v>PA</v>
      </c>
    </row>
    <row r="1825" spans="1:19" x14ac:dyDescent="0.3">
      <c r="A1825" t="s">
        <v>12</v>
      </c>
      <c r="B1825">
        <v>2016110048</v>
      </c>
      <c r="C1825" t="s">
        <v>59</v>
      </c>
      <c r="E1825" t="s">
        <v>211</v>
      </c>
      <c r="F1825" t="s">
        <v>186</v>
      </c>
      <c r="G1825">
        <v>4</v>
      </c>
      <c r="H1825" t="s">
        <v>524</v>
      </c>
      <c r="I1825" s="4">
        <f t="shared" si="251"/>
        <v>2</v>
      </c>
      <c r="J1825">
        <f t="shared" si="252"/>
        <v>8</v>
      </c>
      <c r="K1825">
        <v>46</v>
      </c>
      <c r="L1825">
        <v>16</v>
      </c>
      <c r="M1825" s="2">
        <v>2.88</v>
      </c>
      <c r="N1825" s="2">
        <v>3</v>
      </c>
      <c r="O1825">
        <v>0</v>
      </c>
      <c r="P1825">
        <v>5</v>
      </c>
      <c r="Q1825" s="4" t="str">
        <f t="shared" si="253"/>
        <v>2018/2019-Ganjil</v>
      </c>
      <c r="R1825" t="s">
        <v>260</v>
      </c>
      <c r="S1825" t="str">
        <f t="shared" si="250"/>
        <v>PA</v>
      </c>
    </row>
    <row r="1826" spans="1:19" x14ac:dyDescent="0.3">
      <c r="A1826" t="s">
        <v>12</v>
      </c>
      <c r="B1826">
        <v>2016110048</v>
      </c>
      <c r="C1826" t="s">
        <v>59</v>
      </c>
      <c r="E1826" t="s">
        <v>211</v>
      </c>
      <c r="F1826" t="s">
        <v>186</v>
      </c>
      <c r="G1826">
        <v>4</v>
      </c>
      <c r="H1826" t="s">
        <v>524</v>
      </c>
      <c r="I1826" s="4">
        <f t="shared" si="251"/>
        <v>2</v>
      </c>
      <c r="J1826">
        <f t="shared" si="252"/>
        <v>8</v>
      </c>
      <c r="K1826">
        <v>48</v>
      </c>
      <c r="L1826">
        <v>16</v>
      </c>
      <c r="M1826" s="2">
        <v>3</v>
      </c>
      <c r="N1826" s="2">
        <v>3</v>
      </c>
      <c r="O1826">
        <v>1</v>
      </c>
      <c r="P1826">
        <v>8</v>
      </c>
      <c r="Q1826" s="4" t="s">
        <v>571</v>
      </c>
      <c r="R1826" t="s">
        <v>260</v>
      </c>
      <c r="S1826" t="str">
        <f t="shared" si="250"/>
        <v>PA</v>
      </c>
    </row>
    <row r="1827" spans="1:19" x14ac:dyDescent="0.3">
      <c r="A1827" t="s">
        <v>12</v>
      </c>
      <c r="B1827">
        <v>2016110048</v>
      </c>
      <c r="C1827" t="s">
        <v>59</v>
      </c>
      <c r="E1827" t="s">
        <v>264</v>
      </c>
      <c r="F1827" t="s">
        <v>265</v>
      </c>
      <c r="G1827">
        <v>2</v>
      </c>
      <c r="H1827" t="s">
        <v>535</v>
      </c>
      <c r="I1827" s="4">
        <f t="shared" si="251"/>
        <v>1</v>
      </c>
      <c r="J1827">
        <f t="shared" si="252"/>
        <v>2</v>
      </c>
      <c r="K1827">
        <v>56</v>
      </c>
      <c r="L1827">
        <v>20</v>
      </c>
      <c r="M1827" s="2">
        <v>2.8</v>
      </c>
      <c r="N1827" s="2">
        <v>3</v>
      </c>
      <c r="O1827">
        <v>0</v>
      </c>
      <c r="P1827">
        <v>7</v>
      </c>
      <c r="Q1827" s="4" t="str">
        <f>IF(P1827=1,"2016/2017-Ganjil",IF(P1827=2,"2016/2017-Genap",IF(P1827=3,"2017/2018-Ganjil",IF(P1827=4,"2017/2018-Genap",IF(P1827=5,"2018/2019-Ganjil",IF(P1827=6,"2018/2019-Genap",IF(P1827=7,"2019/2020-Ganjil",IF(P1827=8,"2019/2020-Genap",IF(P1827=9,"2020/2021-Ganjil","2020/2021-Genap")))))))))</f>
        <v>2019/2020-Ganjil</v>
      </c>
      <c r="R1827" t="s">
        <v>260</v>
      </c>
      <c r="S1827" t="str">
        <f t="shared" si="250"/>
        <v>FA</v>
      </c>
    </row>
    <row r="1828" spans="1:19" x14ac:dyDescent="0.3">
      <c r="A1828" t="s">
        <v>12</v>
      </c>
      <c r="B1828">
        <v>2016110048</v>
      </c>
      <c r="C1828" t="s">
        <v>59</v>
      </c>
      <c r="E1828" t="s">
        <v>122</v>
      </c>
      <c r="F1828" t="s">
        <v>123</v>
      </c>
      <c r="G1828">
        <v>4</v>
      </c>
      <c r="H1828" t="s">
        <v>535</v>
      </c>
      <c r="I1828" s="4">
        <f t="shared" si="251"/>
        <v>1</v>
      </c>
      <c r="J1828">
        <f t="shared" si="252"/>
        <v>4</v>
      </c>
      <c r="K1828">
        <v>54</v>
      </c>
      <c r="L1828">
        <v>20</v>
      </c>
      <c r="M1828" s="2">
        <v>2.7</v>
      </c>
      <c r="N1828" s="2">
        <v>3</v>
      </c>
      <c r="O1828">
        <v>0</v>
      </c>
      <c r="P1828">
        <v>1</v>
      </c>
      <c r="Q1828" s="4" t="str">
        <f>IF(P1828=1,"2016/2017-Ganjil",IF(P1828=2,"2016/2017-Genap",IF(P1828=3,"2017/2018-Ganjil",IF(P1828=4,"2017/2018-Genap",IF(P1828=5,"2018/2019-Ganjil",IF(P1828=6,"2018/2019-Genap",IF(P1828=7,"2019/2020-Ganjil",IF(P1828=8,"2019/2020-Genap",IF(P1828=9,"2020/2021-Ganjil","2020/2021-Genap")))))))))</f>
        <v>2016/2017-Ganjil</v>
      </c>
      <c r="R1828" t="s">
        <v>260</v>
      </c>
      <c r="S1828" t="str">
        <f t="shared" si="250"/>
        <v>FA</v>
      </c>
    </row>
    <row r="1829" spans="1:19" x14ac:dyDescent="0.3">
      <c r="A1829" t="s">
        <v>12</v>
      </c>
      <c r="B1829">
        <v>2016110048</v>
      </c>
      <c r="C1829" t="s">
        <v>59</v>
      </c>
      <c r="E1829" t="s">
        <v>309</v>
      </c>
      <c r="F1829" t="s">
        <v>310</v>
      </c>
      <c r="G1829">
        <v>4</v>
      </c>
      <c r="H1829" t="s">
        <v>535</v>
      </c>
      <c r="I1829" s="4">
        <f t="shared" si="251"/>
        <v>1</v>
      </c>
      <c r="J1829">
        <f t="shared" si="252"/>
        <v>4</v>
      </c>
      <c r="K1829">
        <v>32</v>
      </c>
      <c r="L1829">
        <v>14</v>
      </c>
      <c r="M1829" s="2">
        <v>2.29</v>
      </c>
      <c r="N1829" s="2">
        <v>3</v>
      </c>
      <c r="O1829">
        <v>0</v>
      </c>
      <c r="P1829">
        <v>4</v>
      </c>
      <c r="Q1829" s="4" t="str">
        <f>IF(P1829=1,"2016/2017-Ganjil",IF(P1829=2,"2016/2017-Genap",IF(P1829=3,"2017/2018-Ganjil",IF(P1829=4,"2017/2018-Genap",IF(P1829=5,"2018/2019-Ganjil",IF(P1829=6,"2018/2019-Genap",IF(P1829=7,"2019/2020-Ganjil",IF(P1829=8,"2019/2020-Genap",IF(P1829=9,"2020/2021-Ganjil","2020/2021-Genap")))))))))</f>
        <v>2017/2018-Genap</v>
      </c>
      <c r="R1829" t="s">
        <v>260</v>
      </c>
      <c r="S1829" t="str">
        <f t="shared" si="250"/>
        <v>FA</v>
      </c>
    </row>
    <row r="1830" spans="1:19" x14ac:dyDescent="0.3">
      <c r="A1830" t="s">
        <v>12</v>
      </c>
      <c r="B1830">
        <v>2016110048</v>
      </c>
      <c r="C1830" t="s">
        <v>59</v>
      </c>
      <c r="E1830" t="s">
        <v>103</v>
      </c>
      <c r="F1830" t="s">
        <v>104</v>
      </c>
      <c r="G1830">
        <v>4</v>
      </c>
      <c r="H1830" t="s">
        <v>539</v>
      </c>
      <c r="I1830" s="4">
        <f t="shared" si="251"/>
        <v>0</v>
      </c>
      <c r="J1830">
        <f t="shared" si="252"/>
        <v>0</v>
      </c>
      <c r="K1830">
        <v>42</v>
      </c>
      <c r="L1830">
        <v>18</v>
      </c>
      <c r="M1830" s="2">
        <v>2.33</v>
      </c>
      <c r="N1830" s="2">
        <v>3</v>
      </c>
      <c r="O1830">
        <v>0</v>
      </c>
      <c r="P1830">
        <v>2</v>
      </c>
      <c r="Q1830" s="4" t="str">
        <f>IF(P1830=1,"2016/2017-Ganjil",IF(P1830=2,"2016/2017-Genap",IF(P1830=3,"2017/2018-Ganjil",IF(P1830=4,"2017/2018-Genap",IF(P1830=5,"2018/2019-Ganjil",IF(P1830=6,"2018/2019-Genap",IF(P1830=7,"2019/2020-Ganjil",IF(P1830=8,"2019/2020-Genap",IF(P1830=9,"2020/2021-Ganjil","2020/2021-Genap")))))))))</f>
        <v>2016/2017-Genap</v>
      </c>
      <c r="R1830" t="s">
        <v>260</v>
      </c>
      <c r="S1830" t="str">
        <f t="shared" si="250"/>
        <v>FA</v>
      </c>
    </row>
    <row r="1831" spans="1:19" x14ac:dyDescent="0.3">
      <c r="A1831" t="s">
        <v>12</v>
      </c>
      <c r="B1831">
        <v>2016110048</v>
      </c>
      <c r="C1831" t="s">
        <v>59</v>
      </c>
      <c r="E1831" t="s">
        <v>122</v>
      </c>
      <c r="F1831" t="s">
        <v>123</v>
      </c>
      <c r="G1831">
        <v>4</v>
      </c>
      <c r="H1831" t="s">
        <v>438</v>
      </c>
      <c r="I1831" s="4">
        <f t="shared" si="251"/>
        <v>3</v>
      </c>
      <c r="J1831">
        <f t="shared" si="252"/>
        <v>12</v>
      </c>
      <c r="K1831">
        <v>48</v>
      </c>
      <c r="L1831">
        <v>16</v>
      </c>
      <c r="M1831" s="2">
        <v>3</v>
      </c>
      <c r="N1831" s="2">
        <v>3</v>
      </c>
      <c r="O1831">
        <v>1</v>
      </c>
      <c r="P1831">
        <v>8</v>
      </c>
      <c r="Q1831" s="4" t="s">
        <v>571</v>
      </c>
      <c r="R1831" t="s">
        <v>260</v>
      </c>
      <c r="S1831" t="str">
        <f t="shared" si="250"/>
        <v>PA</v>
      </c>
    </row>
    <row r="1832" spans="1:19" x14ac:dyDescent="0.3">
      <c r="A1832" t="s">
        <v>12</v>
      </c>
      <c r="B1832">
        <v>2016110048</v>
      </c>
      <c r="C1832" t="s">
        <v>59</v>
      </c>
      <c r="E1832" t="s">
        <v>309</v>
      </c>
      <c r="F1832" t="s">
        <v>310</v>
      </c>
      <c r="G1832">
        <v>4</v>
      </c>
      <c r="H1832" t="s">
        <v>260</v>
      </c>
      <c r="I1832" s="4">
        <f t="shared" si="251"/>
        <v>4</v>
      </c>
      <c r="J1832">
        <f t="shared" si="252"/>
        <v>16</v>
      </c>
      <c r="K1832">
        <v>48</v>
      </c>
      <c r="L1832">
        <v>16</v>
      </c>
      <c r="M1832" s="2">
        <v>3</v>
      </c>
      <c r="N1832" s="2">
        <v>3</v>
      </c>
      <c r="O1832">
        <v>1</v>
      </c>
      <c r="P1832">
        <v>8</v>
      </c>
      <c r="Q1832" s="4" t="s">
        <v>571</v>
      </c>
      <c r="R1832" t="s">
        <v>260</v>
      </c>
      <c r="S1832" t="str">
        <f t="shared" si="250"/>
        <v>PA</v>
      </c>
    </row>
    <row r="1833" spans="1:19" x14ac:dyDescent="0.3">
      <c r="A1833" t="s">
        <v>12</v>
      </c>
      <c r="B1833">
        <v>2016110048</v>
      </c>
      <c r="C1833" t="s">
        <v>59</v>
      </c>
      <c r="E1833" t="s">
        <v>103</v>
      </c>
      <c r="F1833" t="s">
        <v>104</v>
      </c>
      <c r="G1833">
        <v>4</v>
      </c>
      <c r="H1833" t="s">
        <v>438</v>
      </c>
      <c r="I1833" s="4">
        <f t="shared" si="251"/>
        <v>3</v>
      </c>
      <c r="J1833">
        <f t="shared" si="252"/>
        <v>12</v>
      </c>
      <c r="K1833">
        <v>48</v>
      </c>
      <c r="L1833">
        <v>16</v>
      </c>
      <c r="M1833" s="2">
        <v>3</v>
      </c>
      <c r="N1833" s="2">
        <v>3</v>
      </c>
      <c r="O1833">
        <v>1</v>
      </c>
      <c r="P1833">
        <v>8</v>
      </c>
      <c r="Q1833" s="4" t="s">
        <v>571</v>
      </c>
      <c r="R1833" t="s">
        <v>260</v>
      </c>
      <c r="S1833" t="str">
        <f t="shared" si="250"/>
        <v>PA</v>
      </c>
    </row>
    <row r="1834" spans="1:19" x14ac:dyDescent="0.3">
      <c r="A1834" t="s">
        <v>12</v>
      </c>
      <c r="B1834">
        <v>2016110048</v>
      </c>
      <c r="C1834" t="s">
        <v>59</v>
      </c>
      <c r="E1834" t="s">
        <v>139</v>
      </c>
      <c r="F1834" t="s">
        <v>140</v>
      </c>
      <c r="G1834">
        <v>2</v>
      </c>
      <c r="I1834" s="4"/>
      <c r="J1834">
        <f t="shared" si="248"/>
        <v>0</v>
      </c>
      <c r="K1834">
        <v>42</v>
      </c>
      <c r="L1834">
        <v>18</v>
      </c>
      <c r="M1834" s="2">
        <v>2.33</v>
      </c>
      <c r="N1834" s="2">
        <v>3</v>
      </c>
      <c r="O1834">
        <v>0</v>
      </c>
      <c r="P1834">
        <v>2</v>
      </c>
      <c r="Q1834" s="4" t="str">
        <f>IF(P1834=1,"2016/2017-Ganjil",IF(P1834=2,"2016/2017-Genap",IF(P1834=3,"2017/2018-Ganjil",IF(P1834=4,"2017/2018-Genap",IF(P1834=5,"2018/2019-Ganjil",IF(P1834=6,"2018/2019-Genap",IF(P1834=7,"2019/2020-Ganjil",IF(P1834=8,"2019/2020-Genap",IF(P1834=9,"2020/2021-Ganjil","2020/2021-Genap")))))))))</f>
        <v>2016/2017-Genap</v>
      </c>
      <c r="R1834" t="s">
        <v>260</v>
      </c>
      <c r="S1834" t="s">
        <v>595</v>
      </c>
    </row>
    <row r="1835" spans="1:19" x14ac:dyDescent="0.3">
      <c r="A1835" t="s">
        <v>12</v>
      </c>
      <c r="B1835">
        <v>2016110048</v>
      </c>
      <c r="C1835" t="s">
        <v>59</v>
      </c>
      <c r="E1835" t="s">
        <v>139</v>
      </c>
      <c r="F1835" t="s">
        <v>140</v>
      </c>
      <c r="G1835">
        <v>2</v>
      </c>
      <c r="H1835" t="s">
        <v>438</v>
      </c>
      <c r="I1835" s="4">
        <f t="shared" si="249"/>
        <v>3</v>
      </c>
      <c r="J1835">
        <f t="shared" si="248"/>
        <v>6</v>
      </c>
      <c r="K1835">
        <v>66</v>
      </c>
      <c r="L1835">
        <v>22</v>
      </c>
      <c r="M1835" s="2">
        <v>3</v>
      </c>
      <c r="N1835" s="2">
        <v>3</v>
      </c>
      <c r="O1835">
        <v>1</v>
      </c>
      <c r="P1835">
        <v>6</v>
      </c>
      <c r="Q1835" s="4" t="str">
        <f>IF(P1835=1,"2016/2017-Ganjil",IF(P1835=2,"2016/2017-Genap",IF(P1835=3,"2017/2018-Ganjil",IF(P1835=4,"2017/2018-Genap",IF(P1835=5,"2018/2019-Ganjil",IF(P1835=6,"2018/2019-Genap",IF(P1835=7,"2019/2020-Ganjil",IF(P1835=8,"2019/2020-Genap",IF(P1835=9,"2020/2021-Ganjil","2020/2021-Genap")))))))))</f>
        <v>2018/2019-Genap</v>
      </c>
      <c r="R1835" t="s">
        <v>260</v>
      </c>
      <c r="S1835" t="str">
        <f>IF(OR(H1835="A",H1835="B",H1835="C"),"PA","FA")</f>
        <v>PA</v>
      </c>
    </row>
    <row r="1836" spans="1:19" x14ac:dyDescent="0.3">
      <c r="A1836" t="s">
        <v>12</v>
      </c>
      <c r="B1836">
        <v>2016110049</v>
      </c>
      <c r="C1836" t="s">
        <v>201</v>
      </c>
      <c r="E1836" t="s">
        <v>100</v>
      </c>
      <c r="F1836" t="s">
        <v>101</v>
      </c>
      <c r="G1836">
        <v>4</v>
      </c>
      <c r="I1836" s="4"/>
      <c r="J1836">
        <f t="shared" ref="J1836:J1849" si="254">G1836*I1836</f>
        <v>0</v>
      </c>
      <c r="K1836">
        <v>0</v>
      </c>
      <c r="L1836">
        <v>6</v>
      </c>
      <c r="M1836" s="2">
        <v>0</v>
      </c>
      <c r="N1836" s="2">
        <v>2.15</v>
      </c>
      <c r="O1836">
        <v>0</v>
      </c>
      <c r="P1836">
        <v>2</v>
      </c>
      <c r="Q1836" s="4" t="str">
        <f t="shared" ref="Q1836:Q1838" si="255">IF(P1836=1,"2016/2017-Ganjil",IF(P1836=2,"2016/2017-Genap",IF(P1836=3,"2017/2018-Ganjil",IF(P1836=4,"2017/2018-Genap",IF(P1836=5,"2018/2019-Ganjil",IF(P1836=6,"2018/2019-Genap",IF(P1836=7,"2019/2020-Ganjil",IF(P1836=8,"2019/2020-Genap",IF(P1836=9,"2020/2021-Ganjil","2020/2021-Genap")))))))))</f>
        <v>2016/2017-Genap</v>
      </c>
      <c r="R1836" t="s">
        <v>535</v>
      </c>
      <c r="S1836" t="s">
        <v>595</v>
      </c>
    </row>
    <row r="1837" spans="1:19" x14ac:dyDescent="0.3">
      <c r="A1837" t="s">
        <v>12</v>
      </c>
      <c r="B1837">
        <v>2016110049</v>
      </c>
      <c r="C1837" t="s">
        <v>201</v>
      </c>
      <c r="E1837" t="s">
        <v>103</v>
      </c>
      <c r="F1837" t="s">
        <v>104</v>
      </c>
      <c r="G1837">
        <v>4</v>
      </c>
      <c r="I1837" s="4"/>
      <c r="J1837">
        <f t="shared" si="254"/>
        <v>0</v>
      </c>
      <c r="K1837">
        <v>0</v>
      </c>
      <c r="L1837">
        <v>6</v>
      </c>
      <c r="M1837" s="2">
        <v>0</v>
      </c>
      <c r="N1837" s="2">
        <v>2.15</v>
      </c>
      <c r="O1837">
        <v>0</v>
      </c>
      <c r="P1837">
        <v>2</v>
      </c>
      <c r="Q1837" s="4" t="str">
        <f t="shared" si="255"/>
        <v>2016/2017-Genap</v>
      </c>
      <c r="R1837" t="s">
        <v>535</v>
      </c>
      <c r="S1837" t="s">
        <v>595</v>
      </c>
    </row>
    <row r="1838" spans="1:19" x14ac:dyDescent="0.3">
      <c r="A1838" t="s">
        <v>12</v>
      </c>
      <c r="B1838">
        <v>2016110049</v>
      </c>
      <c r="C1838" t="s">
        <v>201</v>
      </c>
      <c r="E1838" t="s">
        <v>139</v>
      </c>
      <c r="F1838" t="s">
        <v>140</v>
      </c>
      <c r="G1838">
        <v>2</v>
      </c>
      <c r="I1838" s="4"/>
      <c r="J1838">
        <f t="shared" si="254"/>
        <v>0</v>
      </c>
      <c r="K1838">
        <v>0</v>
      </c>
      <c r="L1838">
        <v>6</v>
      </c>
      <c r="M1838" s="2">
        <v>0</v>
      </c>
      <c r="N1838" s="2">
        <v>2.15</v>
      </c>
      <c r="O1838">
        <v>0</v>
      </c>
      <c r="P1838">
        <v>2</v>
      </c>
      <c r="Q1838" s="4" t="str">
        <f t="shared" si="255"/>
        <v>2016/2017-Genap</v>
      </c>
      <c r="R1838" t="s">
        <v>535</v>
      </c>
      <c r="S1838" t="s">
        <v>595</v>
      </c>
    </row>
    <row r="1839" spans="1:19" x14ac:dyDescent="0.3">
      <c r="A1839" t="s">
        <v>12</v>
      </c>
      <c r="B1839">
        <v>2016110049</v>
      </c>
      <c r="C1839" t="s">
        <v>201</v>
      </c>
      <c r="E1839" t="s">
        <v>165</v>
      </c>
      <c r="F1839" t="s">
        <v>166</v>
      </c>
      <c r="G1839">
        <v>2</v>
      </c>
      <c r="H1839" t="s">
        <v>260</v>
      </c>
      <c r="I1839" s="4">
        <f t="shared" ref="I1839" si="256">IF(H1839="A",4,IF(H1839="B",3,IF(H1839="C",2,IF(H1839="D",1,0))))</f>
        <v>4</v>
      </c>
      <c r="J1839">
        <f t="shared" si="254"/>
        <v>8</v>
      </c>
      <c r="K1839">
        <v>56</v>
      </c>
      <c r="L1839">
        <v>20</v>
      </c>
      <c r="M1839" s="2">
        <v>2.8</v>
      </c>
      <c r="N1839" s="2">
        <v>2.15</v>
      </c>
      <c r="O1839">
        <v>0</v>
      </c>
      <c r="P1839">
        <v>1</v>
      </c>
      <c r="Q1839" s="4" t="str">
        <f>IF(P1839=1,"2016/2017-Ganjil",IF(P1839=2,"2016/2017-Genap",IF(P1839=3,"2017/2018-Ganjil",IF(P1839=4,"2017/2018-Genap",IF(P1839=5,"2018/2019-Ganjil",IF(P1839=6,"2018/2019-Genap",IF(P1839=7,"2019/2020-Ganjil",IF(P1839=8,"2019/2020-Genap",IF(P1839=9,"2020/2021-Ganjil","2020/2021-Genap")))))))))</f>
        <v>2016/2017-Ganjil</v>
      </c>
      <c r="R1839" t="s">
        <v>260</v>
      </c>
      <c r="S1839" t="str">
        <f t="shared" ref="S1839:S1848" si="257">IF(OR(H1839="A",H1839="B",H1839="C"),"PA","FA")</f>
        <v>PA</v>
      </c>
    </row>
    <row r="1840" spans="1:19" x14ac:dyDescent="0.3">
      <c r="A1840" t="s">
        <v>12</v>
      </c>
      <c r="B1840">
        <v>2016110049</v>
      </c>
      <c r="C1840" t="s">
        <v>201</v>
      </c>
      <c r="E1840" t="s">
        <v>77</v>
      </c>
      <c r="F1840" t="s">
        <v>78</v>
      </c>
      <c r="G1840">
        <v>2</v>
      </c>
      <c r="H1840" t="s">
        <v>260</v>
      </c>
      <c r="I1840" s="4">
        <f t="shared" ref="I1840:I1848" si="258">IF(H1840="A",4,IF(H1840="B",3,IF(H1840="C",2,IF(H1840="D",1,0))))</f>
        <v>4</v>
      </c>
      <c r="J1840">
        <f t="shared" ref="J1840:J1848" si="259">G1840*I1840</f>
        <v>8</v>
      </c>
      <c r="K1840">
        <v>56</v>
      </c>
      <c r="L1840">
        <v>20</v>
      </c>
      <c r="M1840" s="2">
        <v>2.8</v>
      </c>
      <c r="N1840" s="2">
        <v>2.15</v>
      </c>
      <c r="O1840">
        <v>0</v>
      </c>
      <c r="P1840">
        <v>1</v>
      </c>
      <c r="Q1840" s="4" t="str">
        <f t="shared" ref="Q1840:Q1848" si="260">IF(P1840=1,"2016/2017-Ganjil",IF(P1840=2,"2016/2017-Genap",IF(P1840=3,"2017/2018-Ganjil",IF(P1840=4,"2017/2018-Genap",IF(P1840=5,"2018/2019-Ganjil",IF(P1840=6,"2018/2019-Genap",IF(P1840=7,"2019/2020-Ganjil",IF(P1840=8,"2019/2020-Genap",IF(P1840=9,"2020/2021-Ganjil","2020/2021-Genap")))))))))</f>
        <v>2016/2017-Ganjil</v>
      </c>
      <c r="R1840" t="s">
        <v>260</v>
      </c>
      <c r="S1840" t="str">
        <f t="shared" si="257"/>
        <v>PA</v>
      </c>
    </row>
    <row r="1841" spans="1:19" x14ac:dyDescent="0.3">
      <c r="A1841" t="s">
        <v>12</v>
      </c>
      <c r="B1841">
        <v>2016110049</v>
      </c>
      <c r="C1841" t="s">
        <v>201</v>
      </c>
      <c r="E1841" t="s">
        <v>131</v>
      </c>
      <c r="F1841" t="s">
        <v>132</v>
      </c>
      <c r="G1841">
        <v>2</v>
      </c>
      <c r="H1841" t="s">
        <v>260</v>
      </c>
      <c r="I1841" s="4">
        <f t="shared" si="258"/>
        <v>4</v>
      </c>
      <c r="J1841">
        <f t="shared" si="259"/>
        <v>8</v>
      </c>
      <c r="K1841">
        <v>56</v>
      </c>
      <c r="L1841">
        <v>20</v>
      </c>
      <c r="M1841" s="2">
        <v>2.8</v>
      </c>
      <c r="N1841" s="2">
        <v>2.15</v>
      </c>
      <c r="O1841">
        <v>0</v>
      </c>
      <c r="P1841">
        <v>1</v>
      </c>
      <c r="Q1841" s="4" t="str">
        <f t="shared" si="260"/>
        <v>2016/2017-Ganjil</v>
      </c>
      <c r="R1841" t="s">
        <v>260</v>
      </c>
      <c r="S1841" t="str">
        <f t="shared" si="257"/>
        <v>PA</v>
      </c>
    </row>
    <row r="1842" spans="1:19" x14ac:dyDescent="0.3">
      <c r="A1842" t="s">
        <v>12</v>
      </c>
      <c r="B1842">
        <v>2016110049</v>
      </c>
      <c r="C1842" t="s">
        <v>201</v>
      </c>
      <c r="E1842" t="s">
        <v>437</v>
      </c>
      <c r="F1842" t="s">
        <v>169</v>
      </c>
      <c r="G1842">
        <v>4</v>
      </c>
      <c r="H1842" t="s">
        <v>438</v>
      </c>
      <c r="I1842" s="4">
        <f t="shared" si="258"/>
        <v>3</v>
      </c>
      <c r="J1842">
        <f t="shared" si="259"/>
        <v>12</v>
      </c>
      <c r="K1842">
        <v>56</v>
      </c>
      <c r="L1842">
        <v>20</v>
      </c>
      <c r="M1842" s="2">
        <v>2.8</v>
      </c>
      <c r="N1842" s="2">
        <v>2.15</v>
      </c>
      <c r="O1842">
        <v>0</v>
      </c>
      <c r="P1842">
        <v>1</v>
      </c>
      <c r="Q1842" s="4" t="str">
        <f t="shared" si="260"/>
        <v>2016/2017-Ganjil</v>
      </c>
      <c r="R1842" t="s">
        <v>260</v>
      </c>
      <c r="S1842" t="str">
        <f t="shared" si="257"/>
        <v>PA</v>
      </c>
    </row>
    <row r="1843" spans="1:19" x14ac:dyDescent="0.3">
      <c r="A1843" t="s">
        <v>12</v>
      </c>
      <c r="B1843">
        <v>2016110049</v>
      </c>
      <c r="C1843" t="s">
        <v>201</v>
      </c>
      <c r="E1843" t="s">
        <v>122</v>
      </c>
      <c r="F1843" t="s">
        <v>123</v>
      </c>
      <c r="G1843">
        <v>4</v>
      </c>
      <c r="H1843" t="s">
        <v>524</v>
      </c>
      <c r="I1843" s="4">
        <f t="shared" si="258"/>
        <v>2</v>
      </c>
      <c r="J1843">
        <f t="shared" si="259"/>
        <v>8</v>
      </c>
      <c r="K1843">
        <v>56</v>
      </c>
      <c r="L1843">
        <v>20</v>
      </c>
      <c r="M1843" s="2">
        <v>2.8</v>
      </c>
      <c r="N1843" s="2">
        <v>2.15</v>
      </c>
      <c r="O1843">
        <v>0</v>
      </c>
      <c r="P1843">
        <v>1</v>
      </c>
      <c r="Q1843" s="4" t="str">
        <f t="shared" si="260"/>
        <v>2016/2017-Ganjil</v>
      </c>
      <c r="R1843" t="s">
        <v>260</v>
      </c>
      <c r="S1843" t="str">
        <f t="shared" si="257"/>
        <v>PA</v>
      </c>
    </row>
    <row r="1844" spans="1:19" x14ac:dyDescent="0.3">
      <c r="A1844" t="s">
        <v>12</v>
      </c>
      <c r="B1844">
        <v>2016110049</v>
      </c>
      <c r="C1844" t="s">
        <v>201</v>
      </c>
      <c r="E1844" t="s">
        <v>142</v>
      </c>
      <c r="F1844" t="s">
        <v>143</v>
      </c>
      <c r="G1844">
        <v>2</v>
      </c>
      <c r="H1844" t="s">
        <v>524</v>
      </c>
      <c r="I1844" s="4">
        <f t="shared" si="258"/>
        <v>2</v>
      </c>
      <c r="J1844">
        <f t="shared" si="259"/>
        <v>4</v>
      </c>
      <c r="K1844">
        <v>56</v>
      </c>
      <c r="L1844">
        <v>20</v>
      </c>
      <c r="M1844" s="2">
        <v>2.8</v>
      </c>
      <c r="N1844" s="2">
        <v>2.15</v>
      </c>
      <c r="O1844">
        <v>0</v>
      </c>
      <c r="P1844">
        <v>1</v>
      </c>
      <c r="Q1844" s="4" t="str">
        <f t="shared" si="260"/>
        <v>2016/2017-Ganjil</v>
      </c>
      <c r="R1844" t="s">
        <v>260</v>
      </c>
      <c r="S1844" t="str">
        <f t="shared" si="257"/>
        <v>PA</v>
      </c>
    </row>
    <row r="1845" spans="1:19" x14ac:dyDescent="0.3">
      <c r="A1845" t="s">
        <v>12</v>
      </c>
      <c r="B1845">
        <v>2016110049</v>
      </c>
      <c r="C1845" t="s">
        <v>201</v>
      </c>
      <c r="E1845" t="s">
        <v>151</v>
      </c>
      <c r="F1845" t="s">
        <v>152</v>
      </c>
      <c r="G1845">
        <v>2</v>
      </c>
      <c r="H1845" t="s">
        <v>524</v>
      </c>
      <c r="I1845" s="4">
        <f t="shared" si="258"/>
        <v>2</v>
      </c>
      <c r="J1845">
        <f t="shared" si="259"/>
        <v>4</v>
      </c>
      <c r="K1845">
        <v>56</v>
      </c>
      <c r="L1845">
        <v>20</v>
      </c>
      <c r="M1845" s="2">
        <v>2.8</v>
      </c>
      <c r="N1845" s="2">
        <v>2.15</v>
      </c>
      <c r="O1845">
        <v>0</v>
      </c>
      <c r="P1845">
        <v>1</v>
      </c>
      <c r="Q1845" s="4" t="str">
        <f t="shared" si="260"/>
        <v>2016/2017-Ganjil</v>
      </c>
      <c r="R1845" t="s">
        <v>260</v>
      </c>
      <c r="S1845" t="str">
        <f t="shared" si="257"/>
        <v>PA</v>
      </c>
    </row>
    <row r="1846" spans="1:19" x14ac:dyDescent="0.3">
      <c r="A1846" t="s">
        <v>12</v>
      </c>
      <c r="B1846">
        <v>2016110049</v>
      </c>
      <c r="C1846" t="s">
        <v>201</v>
      </c>
      <c r="E1846" t="s">
        <v>90</v>
      </c>
      <c r="F1846" t="s">
        <v>91</v>
      </c>
      <c r="G1846">
        <v>2</v>
      </c>
      <c r="H1846" t="s">
        <v>524</v>
      </c>
      <c r="I1846" s="4">
        <f t="shared" si="258"/>
        <v>2</v>
      </c>
      <c r="J1846">
        <f t="shared" si="259"/>
        <v>4</v>
      </c>
      <c r="K1846">
        <v>56</v>
      </c>
      <c r="L1846">
        <v>20</v>
      </c>
      <c r="M1846" s="2">
        <v>2.8</v>
      </c>
      <c r="N1846" s="2">
        <v>2.15</v>
      </c>
      <c r="O1846">
        <v>0</v>
      </c>
      <c r="P1846">
        <v>1</v>
      </c>
      <c r="Q1846" s="4" t="str">
        <f t="shared" si="260"/>
        <v>2016/2017-Ganjil</v>
      </c>
      <c r="R1846" t="s">
        <v>260</v>
      </c>
      <c r="S1846" t="str">
        <f t="shared" si="257"/>
        <v>PA</v>
      </c>
    </row>
    <row r="1847" spans="1:19" x14ac:dyDescent="0.3">
      <c r="A1847" t="s">
        <v>12</v>
      </c>
      <c r="B1847">
        <v>2016110049</v>
      </c>
      <c r="C1847" t="s">
        <v>201</v>
      </c>
      <c r="E1847" t="s">
        <v>279</v>
      </c>
      <c r="F1847" t="s">
        <v>280</v>
      </c>
      <c r="G1847">
        <v>2</v>
      </c>
      <c r="H1847" t="s">
        <v>539</v>
      </c>
      <c r="I1847" s="4">
        <f t="shared" si="258"/>
        <v>0</v>
      </c>
      <c r="J1847">
        <f t="shared" si="259"/>
        <v>0</v>
      </c>
      <c r="K1847">
        <v>0</v>
      </c>
      <c r="L1847">
        <v>6</v>
      </c>
      <c r="M1847" s="2">
        <v>0</v>
      </c>
      <c r="N1847" s="2">
        <v>2.15</v>
      </c>
      <c r="O1847">
        <v>0</v>
      </c>
      <c r="P1847">
        <v>2</v>
      </c>
      <c r="Q1847" s="4" t="str">
        <f t="shared" si="260"/>
        <v>2016/2017-Genap</v>
      </c>
      <c r="R1847" t="s">
        <v>535</v>
      </c>
      <c r="S1847" t="str">
        <f t="shared" si="257"/>
        <v>FA</v>
      </c>
    </row>
    <row r="1848" spans="1:19" x14ac:dyDescent="0.3">
      <c r="A1848" t="s">
        <v>12</v>
      </c>
      <c r="B1848">
        <v>2016110049</v>
      </c>
      <c r="C1848" t="s">
        <v>201</v>
      </c>
      <c r="E1848" t="s">
        <v>290</v>
      </c>
      <c r="F1848" t="s">
        <v>327</v>
      </c>
      <c r="G1848">
        <v>4</v>
      </c>
      <c r="H1848" t="s">
        <v>539</v>
      </c>
      <c r="I1848" s="4">
        <f t="shared" si="258"/>
        <v>0</v>
      </c>
      <c r="J1848">
        <f t="shared" si="259"/>
        <v>0</v>
      </c>
      <c r="K1848">
        <v>0</v>
      </c>
      <c r="L1848">
        <v>6</v>
      </c>
      <c r="M1848" s="2">
        <v>0</v>
      </c>
      <c r="N1848" s="2">
        <v>2.15</v>
      </c>
      <c r="O1848">
        <v>0</v>
      </c>
      <c r="P1848">
        <v>2</v>
      </c>
      <c r="Q1848" s="4" t="str">
        <f t="shared" si="260"/>
        <v>2016/2017-Genap</v>
      </c>
      <c r="R1848" t="s">
        <v>535</v>
      </c>
      <c r="S1848" t="str">
        <f t="shared" si="257"/>
        <v>FA</v>
      </c>
    </row>
    <row r="1849" spans="1:19" x14ac:dyDescent="0.3">
      <c r="A1849" t="s">
        <v>12</v>
      </c>
      <c r="B1849">
        <v>2016110050</v>
      </c>
      <c r="C1849" t="s">
        <v>229</v>
      </c>
      <c r="E1849" t="s">
        <v>90</v>
      </c>
      <c r="F1849" t="s">
        <v>91</v>
      </c>
      <c r="G1849">
        <v>2</v>
      </c>
      <c r="I1849" s="4"/>
      <c r="J1849">
        <f t="shared" si="254"/>
        <v>0</v>
      </c>
      <c r="K1849">
        <v>6</v>
      </c>
      <c r="L1849">
        <v>18</v>
      </c>
      <c r="M1849" s="2">
        <v>0.33</v>
      </c>
      <c r="N1849" s="2">
        <v>0.33</v>
      </c>
      <c r="O1849">
        <v>0</v>
      </c>
      <c r="P1849">
        <v>1</v>
      </c>
      <c r="Q1849" s="4" t="str">
        <f>IF(P1849=1,"2016/2017-Ganjil",IF(P1849=2,"2016/2017-Genap",IF(P1849=3,"2017/2018-Ganjil",IF(P1849=4,"2017/2018-Genap",IF(P1849=5,"2018/2019-Ganjil",IF(P1849=6,"2018/2019-Genap",IF(P1849=7,"2019/2020-Ganjil",IF(P1849=8,"2019/2020-Genap",IF(P1849=9,"2020/2021-Ganjil","2020/2021-Genap")))))))))</f>
        <v>2016/2017-Ganjil</v>
      </c>
      <c r="R1849" t="s">
        <v>535</v>
      </c>
      <c r="S1849" t="s">
        <v>595</v>
      </c>
    </row>
    <row r="1850" spans="1:19" x14ac:dyDescent="0.3">
      <c r="A1850" t="s">
        <v>12</v>
      </c>
      <c r="B1850">
        <v>2016110050</v>
      </c>
      <c r="C1850" t="s">
        <v>229</v>
      </c>
      <c r="E1850" t="s">
        <v>77</v>
      </c>
      <c r="F1850" t="s">
        <v>78</v>
      </c>
      <c r="G1850">
        <v>2</v>
      </c>
      <c r="H1850" t="s">
        <v>535</v>
      </c>
      <c r="I1850" s="4">
        <f t="shared" ref="I1850" si="261">IF(H1850="A",4,IF(H1850="B",3,IF(H1850="C",2,IF(H1850="D",1,0))))</f>
        <v>1</v>
      </c>
      <c r="J1850">
        <f t="shared" ref="J1850" si="262">G1850*I1850</f>
        <v>2</v>
      </c>
      <c r="K1850">
        <v>6</v>
      </c>
      <c r="L1850">
        <v>18</v>
      </c>
      <c r="M1850" s="2">
        <v>0.33</v>
      </c>
      <c r="N1850" s="2">
        <v>0.33</v>
      </c>
      <c r="O1850">
        <v>0</v>
      </c>
      <c r="P1850">
        <v>1</v>
      </c>
      <c r="Q1850" s="4" t="str">
        <f t="shared" ref="Q1850:Q1856" si="263">IF(P1850=1,"2016/2017-Ganjil",IF(P1850=2,"2016/2017-Genap",IF(P1850=3,"2017/2018-Ganjil",IF(P1850=4,"2017/2018-Genap",IF(P1850=5,"2018/2019-Ganjil",IF(P1850=6,"2018/2019-Genap",IF(P1850=7,"2019/2020-Ganjil",IF(P1850=8,"2019/2020-Genap",IF(P1850=9,"2020/2021-Ganjil","2020/2021-Genap")))))))))</f>
        <v>2016/2017-Ganjil</v>
      </c>
      <c r="R1850" t="s">
        <v>535</v>
      </c>
      <c r="S1850" t="str">
        <f t="shared" ref="S1850:S1856" si="264">IF(OR(H1850="A",H1850="B",H1850="C"),"PA","FA")</f>
        <v>FA</v>
      </c>
    </row>
    <row r="1851" spans="1:19" x14ac:dyDescent="0.3">
      <c r="A1851" t="s">
        <v>12</v>
      </c>
      <c r="B1851">
        <v>2016110050</v>
      </c>
      <c r="C1851" t="s">
        <v>229</v>
      </c>
      <c r="E1851" t="s">
        <v>165</v>
      </c>
      <c r="F1851" t="s">
        <v>166</v>
      </c>
      <c r="G1851">
        <v>2</v>
      </c>
      <c r="H1851" t="s">
        <v>535</v>
      </c>
      <c r="I1851" s="4">
        <f t="shared" ref="I1851:I1856" si="265">IF(H1851="A",4,IF(H1851="B",3,IF(H1851="C",2,IF(H1851="D",1,0))))</f>
        <v>1</v>
      </c>
      <c r="J1851">
        <f t="shared" ref="J1851:J1856" si="266">G1851*I1851</f>
        <v>2</v>
      </c>
      <c r="K1851">
        <v>6</v>
      </c>
      <c r="L1851">
        <v>18</v>
      </c>
      <c r="M1851" s="2">
        <v>0.33</v>
      </c>
      <c r="N1851" s="2">
        <v>0.33</v>
      </c>
      <c r="O1851">
        <v>0</v>
      </c>
      <c r="P1851">
        <v>1</v>
      </c>
      <c r="Q1851" s="4" t="str">
        <f t="shared" si="263"/>
        <v>2016/2017-Ganjil</v>
      </c>
      <c r="R1851" t="s">
        <v>535</v>
      </c>
      <c r="S1851" t="str">
        <f t="shared" si="264"/>
        <v>FA</v>
      </c>
    </row>
    <row r="1852" spans="1:19" x14ac:dyDescent="0.3">
      <c r="A1852" t="s">
        <v>12</v>
      </c>
      <c r="B1852">
        <v>2016110050</v>
      </c>
      <c r="C1852" t="s">
        <v>229</v>
      </c>
      <c r="E1852" t="s">
        <v>142</v>
      </c>
      <c r="F1852" t="s">
        <v>143</v>
      </c>
      <c r="G1852">
        <v>2</v>
      </c>
      <c r="H1852" t="s">
        <v>535</v>
      </c>
      <c r="I1852" s="4">
        <f t="shared" si="265"/>
        <v>1</v>
      </c>
      <c r="J1852">
        <f t="shared" si="266"/>
        <v>2</v>
      </c>
      <c r="K1852">
        <v>6</v>
      </c>
      <c r="L1852">
        <v>18</v>
      </c>
      <c r="M1852" s="2">
        <v>0.33</v>
      </c>
      <c r="N1852" s="2">
        <v>0.33</v>
      </c>
      <c r="O1852">
        <v>0</v>
      </c>
      <c r="P1852">
        <v>1</v>
      </c>
      <c r="Q1852" s="4" t="str">
        <f t="shared" si="263"/>
        <v>2016/2017-Ganjil</v>
      </c>
      <c r="R1852" t="s">
        <v>535</v>
      </c>
      <c r="S1852" t="str">
        <f t="shared" si="264"/>
        <v>FA</v>
      </c>
    </row>
    <row r="1853" spans="1:19" x14ac:dyDescent="0.3">
      <c r="A1853" t="s">
        <v>12</v>
      </c>
      <c r="B1853">
        <v>2016110050</v>
      </c>
      <c r="C1853" t="s">
        <v>229</v>
      </c>
      <c r="E1853" t="s">
        <v>437</v>
      </c>
      <c r="F1853" t="s">
        <v>169</v>
      </c>
      <c r="G1853">
        <v>4</v>
      </c>
      <c r="H1853" t="s">
        <v>539</v>
      </c>
      <c r="I1853" s="4">
        <f t="shared" si="265"/>
        <v>0</v>
      </c>
      <c r="J1853">
        <f t="shared" si="266"/>
        <v>0</v>
      </c>
      <c r="K1853">
        <v>6</v>
      </c>
      <c r="L1853">
        <v>18</v>
      </c>
      <c r="M1853" s="2">
        <v>0.33</v>
      </c>
      <c r="N1853" s="2">
        <v>0.33</v>
      </c>
      <c r="O1853">
        <v>0</v>
      </c>
      <c r="P1853">
        <v>1</v>
      </c>
      <c r="Q1853" s="4" t="str">
        <f t="shared" si="263"/>
        <v>2016/2017-Ganjil</v>
      </c>
      <c r="R1853" t="s">
        <v>535</v>
      </c>
      <c r="S1853" t="str">
        <f t="shared" si="264"/>
        <v>FA</v>
      </c>
    </row>
    <row r="1854" spans="1:19" x14ac:dyDescent="0.3">
      <c r="A1854" t="s">
        <v>12</v>
      </c>
      <c r="B1854">
        <v>2016110050</v>
      </c>
      <c r="C1854" t="s">
        <v>229</v>
      </c>
      <c r="E1854" t="s">
        <v>122</v>
      </c>
      <c r="F1854" t="s">
        <v>123</v>
      </c>
      <c r="G1854">
        <v>4</v>
      </c>
      <c r="H1854" t="s">
        <v>539</v>
      </c>
      <c r="I1854" s="4">
        <f t="shared" si="265"/>
        <v>0</v>
      </c>
      <c r="J1854">
        <f t="shared" si="266"/>
        <v>0</v>
      </c>
      <c r="K1854">
        <v>6</v>
      </c>
      <c r="L1854">
        <v>18</v>
      </c>
      <c r="M1854" s="2">
        <v>0.33</v>
      </c>
      <c r="N1854" s="2">
        <v>0.33</v>
      </c>
      <c r="O1854">
        <v>0</v>
      </c>
      <c r="P1854">
        <v>1</v>
      </c>
      <c r="Q1854" s="4" t="str">
        <f t="shared" si="263"/>
        <v>2016/2017-Ganjil</v>
      </c>
      <c r="R1854" t="s">
        <v>535</v>
      </c>
      <c r="S1854" t="str">
        <f t="shared" si="264"/>
        <v>FA</v>
      </c>
    </row>
    <row r="1855" spans="1:19" x14ac:dyDescent="0.3">
      <c r="A1855" t="s">
        <v>12</v>
      </c>
      <c r="B1855">
        <v>2016110050</v>
      </c>
      <c r="C1855" t="s">
        <v>229</v>
      </c>
      <c r="E1855" t="s">
        <v>131</v>
      </c>
      <c r="F1855" t="s">
        <v>132</v>
      </c>
      <c r="G1855">
        <v>2</v>
      </c>
      <c r="H1855" t="s">
        <v>539</v>
      </c>
      <c r="I1855" s="4">
        <f t="shared" si="265"/>
        <v>0</v>
      </c>
      <c r="J1855">
        <f t="shared" si="266"/>
        <v>0</v>
      </c>
      <c r="K1855">
        <v>6</v>
      </c>
      <c r="L1855">
        <v>18</v>
      </c>
      <c r="M1855" s="2">
        <v>0.33</v>
      </c>
      <c r="N1855" s="2">
        <v>0.33</v>
      </c>
      <c r="O1855">
        <v>0</v>
      </c>
      <c r="P1855">
        <v>1</v>
      </c>
      <c r="Q1855" s="4" t="str">
        <f t="shared" si="263"/>
        <v>2016/2017-Ganjil</v>
      </c>
      <c r="R1855" t="s">
        <v>535</v>
      </c>
      <c r="S1855" t="str">
        <f t="shared" si="264"/>
        <v>FA</v>
      </c>
    </row>
    <row r="1856" spans="1:19" x14ac:dyDescent="0.3">
      <c r="A1856" t="s">
        <v>12</v>
      </c>
      <c r="B1856">
        <v>2016110050</v>
      </c>
      <c r="C1856" t="s">
        <v>229</v>
      </c>
      <c r="E1856" t="s">
        <v>151</v>
      </c>
      <c r="F1856" t="s">
        <v>152</v>
      </c>
      <c r="G1856">
        <v>2</v>
      </c>
      <c r="H1856" t="s">
        <v>539</v>
      </c>
      <c r="I1856" s="4">
        <f t="shared" si="265"/>
        <v>0</v>
      </c>
      <c r="J1856">
        <f t="shared" si="266"/>
        <v>0</v>
      </c>
      <c r="K1856">
        <v>6</v>
      </c>
      <c r="L1856">
        <v>18</v>
      </c>
      <c r="M1856" s="2">
        <v>0.33</v>
      </c>
      <c r="N1856" s="2">
        <v>0.33</v>
      </c>
      <c r="O1856">
        <v>0</v>
      </c>
      <c r="P1856">
        <v>1</v>
      </c>
      <c r="Q1856" s="4" t="str">
        <f t="shared" si="263"/>
        <v>2016/2017-Ganjil</v>
      </c>
      <c r="R1856" t="s">
        <v>535</v>
      </c>
      <c r="S1856" t="str">
        <f t="shared" si="264"/>
        <v>FA</v>
      </c>
    </row>
    <row r="1857" spans="1:19" x14ac:dyDescent="0.3">
      <c r="A1857" t="s">
        <v>12</v>
      </c>
      <c r="B1857">
        <v>2016110051</v>
      </c>
      <c r="C1857" t="s">
        <v>99</v>
      </c>
      <c r="E1857" t="s">
        <v>100</v>
      </c>
      <c r="F1857" t="s">
        <v>101</v>
      </c>
      <c r="G1857">
        <v>4</v>
      </c>
      <c r="I1857" s="4"/>
      <c r="J1857">
        <f t="shared" ref="J1857:J1871" si="267">G1857*I1857</f>
        <v>0</v>
      </c>
      <c r="K1857">
        <v>22</v>
      </c>
      <c r="L1857">
        <v>12</v>
      </c>
      <c r="M1857" s="2">
        <v>1.83</v>
      </c>
      <c r="N1857" s="2">
        <v>2.31</v>
      </c>
      <c r="O1857">
        <v>0</v>
      </c>
      <c r="P1857">
        <v>2</v>
      </c>
      <c r="Q1857" s="4" t="str">
        <f t="shared" ref="Q1857:Q1871" si="268">IF(P1857=1,"2016/2017-Ganjil",IF(P1857=2,"2016/2017-Genap",IF(P1857=3,"2017/2018-Ganjil",IF(P1857=4,"2017/2018-Genap",IF(P1857=5,"2018/2019-Ganjil",IF(P1857=6,"2018/2019-Genap",IF(P1857=7,"2019/2020-Ganjil",IF(P1857=8,"2019/2020-Genap",IF(P1857=9,"2020/2021-Ganjil","2020/2021-Genap")))))))))</f>
        <v>2016/2017-Genap</v>
      </c>
      <c r="R1857" t="s">
        <v>535</v>
      </c>
      <c r="S1857" t="s">
        <v>595</v>
      </c>
    </row>
    <row r="1858" spans="1:19" x14ac:dyDescent="0.3">
      <c r="A1858" t="s">
        <v>12</v>
      </c>
      <c r="B1858">
        <v>2016110051</v>
      </c>
      <c r="C1858" t="s">
        <v>99</v>
      </c>
      <c r="E1858" t="s">
        <v>103</v>
      </c>
      <c r="F1858" t="s">
        <v>104</v>
      </c>
      <c r="G1858">
        <v>4</v>
      </c>
      <c r="I1858" s="4"/>
      <c r="J1858">
        <f t="shared" si="267"/>
        <v>0</v>
      </c>
      <c r="K1858">
        <v>22</v>
      </c>
      <c r="L1858">
        <v>12</v>
      </c>
      <c r="M1858" s="2">
        <v>1.83</v>
      </c>
      <c r="N1858" s="2">
        <v>2.31</v>
      </c>
      <c r="O1858">
        <v>0</v>
      </c>
      <c r="P1858">
        <v>2</v>
      </c>
      <c r="Q1858" s="4" t="str">
        <f t="shared" si="268"/>
        <v>2016/2017-Genap</v>
      </c>
      <c r="R1858" t="s">
        <v>535</v>
      </c>
      <c r="S1858" t="s">
        <v>595</v>
      </c>
    </row>
    <row r="1859" spans="1:19" x14ac:dyDescent="0.3">
      <c r="A1859" t="s">
        <v>12</v>
      </c>
      <c r="B1859">
        <v>2016110051</v>
      </c>
      <c r="C1859" t="s">
        <v>99</v>
      </c>
      <c r="E1859" t="s">
        <v>77</v>
      </c>
      <c r="F1859" t="s">
        <v>78</v>
      </c>
      <c r="G1859">
        <v>2</v>
      </c>
      <c r="H1859" t="s">
        <v>260</v>
      </c>
      <c r="I1859" s="4">
        <f t="shared" ref="I1859" si="269">IF(H1859="A",4,IF(H1859="B",3,IF(H1859="C",2,IF(H1859="D",1,0))))</f>
        <v>4</v>
      </c>
      <c r="J1859">
        <f t="shared" si="267"/>
        <v>8</v>
      </c>
      <c r="K1859">
        <v>52</v>
      </c>
      <c r="L1859">
        <v>20</v>
      </c>
      <c r="M1859" s="2">
        <v>2.6</v>
      </c>
      <c r="N1859" s="2">
        <v>2.31</v>
      </c>
      <c r="O1859">
        <v>0</v>
      </c>
      <c r="P1859">
        <v>1</v>
      </c>
      <c r="Q1859" s="4" t="str">
        <f t="shared" si="268"/>
        <v>2016/2017-Ganjil</v>
      </c>
      <c r="R1859" t="s">
        <v>260</v>
      </c>
      <c r="S1859" t="str">
        <f t="shared" ref="S1859:S1870" si="270">IF(OR(H1859="A",H1859="B",H1859="C"),"PA","FA")</f>
        <v>PA</v>
      </c>
    </row>
    <row r="1860" spans="1:19" x14ac:dyDescent="0.3">
      <c r="A1860" t="s">
        <v>12</v>
      </c>
      <c r="B1860">
        <v>2016110051</v>
      </c>
      <c r="C1860" t="s">
        <v>99</v>
      </c>
      <c r="E1860" t="s">
        <v>151</v>
      </c>
      <c r="F1860" t="s">
        <v>152</v>
      </c>
      <c r="G1860">
        <v>2</v>
      </c>
      <c r="H1860" t="s">
        <v>438</v>
      </c>
      <c r="I1860" s="4">
        <f t="shared" ref="I1860:I1870" si="271">IF(H1860="A",4,IF(H1860="B",3,IF(H1860="C",2,IF(H1860="D",1,0))))</f>
        <v>3</v>
      </c>
      <c r="J1860">
        <f t="shared" ref="J1860:J1870" si="272">G1860*I1860</f>
        <v>6</v>
      </c>
      <c r="K1860">
        <v>52</v>
      </c>
      <c r="L1860">
        <v>20</v>
      </c>
      <c r="M1860" s="2">
        <v>2.6</v>
      </c>
      <c r="N1860" s="2">
        <v>2.31</v>
      </c>
      <c r="O1860">
        <v>0</v>
      </c>
      <c r="P1860">
        <v>1</v>
      </c>
      <c r="Q1860" s="4" t="str">
        <f t="shared" si="268"/>
        <v>2016/2017-Ganjil</v>
      </c>
      <c r="R1860" t="s">
        <v>260</v>
      </c>
      <c r="S1860" t="str">
        <f t="shared" si="270"/>
        <v>PA</v>
      </c>
    </row>
    <row r="1861" spans="1:19" x14ac:dyDescent="0.3">
      <c r="A1861" t="s">
        <v>12</v>
      </c>
      <c r="B1861">
        <v>2016110051</v>
      </c>
      <c r="C1861" t="s">
        <v>99</v>
      </c>
      <c r="E1861" t="s">
        <v>131</v>
      </c>
      <c r="F1861" t="s">
        <v>132</v>
      </c>
      <c r="G1861">
        <v>2</v>
      </c>
      <c r="H1861" t="s">
        <v>438</v>
      </c>
      <c r="I1861" s="4">
        <f t="shared" si="271"/>
        <v>3</v>
      </c>
      <c r="J1861">
        <f t="shared" si="272"/>
        <v>6</v>
      </c>
      <c r="K1861">
        <v>52</v>
      </c>
      <c r="L1861">
        <v>20</v>
      </c>
      <c r="M1861" s="2">
        <v>2.6</v>
      </c>
      <c r="N1861" s="2">
        <v>2.31</v>
      </c>
      <c r="O1861">
        <v>0</v>
      </c>
      <c r="P1861">
        <v>1</v>
      </c>
      <c r="Q1861" s="4" t="str">
        <f t="shared" si="268"/>
        <v>2016/2017-Ganjil</v>
      </c>
      <c r="R1861" t="s">
        <v>260</v>
      </c>
      <c r="S1861" t="str">
        <f t="shared" si="270"/>
        <v>PA</v>
      </c>
    </row>
    <row r="1862" spans="1:19" x14ac:dyDescent="0.3">
      <c r="A1862" t="s">
        <v>12</v>
      </c>
      <c r="B1862">
        <v>2016110051</v>
      </c>
      <c r="C1862" t="s">
        <v>99</v>
      </c>
      <c r="E1862" t="s">
        <v>290</v>
      </c>
      <c r="F1862" t="s">
        <v>327</v>
      </c>
      <c r="G1862">
        <v>4</v>
      </c>
      <c r="H1862" t="s">
        <v>438</v>
      </c>
      <c r="I1862" s="4">
        <f t="shared" si="271"/>
        <v>3</v>
      </c>
      <c r="J1862">
        <f t="shared" si="272"/>
        <v>12</v>
      </c>
      <c r="K1862">
        <v>22</v>
      </c>
      <c r="L1862">
        <v>12</v>
      </c>
      <c r="M1862" s="2">
        <v>1.83</v>
      </c>
      <c r="N1862" s="2">
        <v>2.31</v>
      </c>
      <c r="O1862">
        <v>0</v>
      </c>
      <c r="P1862">
        <v>2</v>
      </c>
      <c r="Q1862" s="4" t="str">
        <f t="shared" si="268"/>
        <v>2016/2017-Genap</v>
      </c>
      <c r="R1862" t="s">
        <v>535</v>
      </c>
      <c r="S1862" t="str">
        <f t="shared" si="270"/>
        <v>PA</v>
      </c>
    </row>
    <row r="1863" spans="1:19" x14ac:dyDescent="0.3">
      <c r="A1863" t="s">
        <v>12</v>
      </c>
      <c r="B1863">
        <v>2016110051</v>
      </c>
      <c r="C1863" t="s">
        <v>99</v>
      </c>
      <c r="E1863" t="s">
        <v>165</v>
      </c>
      <c r="F1863" t="s">
        <v>166</v>
      </c>
      <c r="G1863">
        <v>2</v>
      </c>
      <c r="H1863" t="s">
        <v>438</v>
      </c>
      <c r="I1863" s="4">
        <f t="shared" si="271"/>
        <v>3</v>
      </c>
      <c r="J1863">
        <f t="shared" si="272"/>
        <v>6</v>
      </c>
      <c r="K1863">
        <v>52</v>
      </c>
      <c r="L1863">
        <v>20</v>
      </c>
      <c r="M1863" s="2">
        <v>2.6</v>
      </c>
      <c r="N1863" s="2">
        <v>2.31</v>
      </c>
      <c r="O1863">
        <v>0</v>
      </c>
      <c r="P1863">
        <v>1</v>
      </c>
      <c r="Q1863" s="4" t="str">
        <f t="shared" si="268"/>
        <v>2016/2017-Ganjil</v>
      </c>
      <c r="R1863" t="s">
        <v>260</v>
      </c>
      <c r="S1863" t="str">
        <f t="shared" si="270"/>
        <v>PA</v>
      </c>
    </row>
    <row r="1864" spans="1:19" x14ac:dyDescent="0.3">
      <c r="A1864" t="s">
        <v>12</v>
      </c>
      <c r="B1864">
        <v>2016110051</v>
      </c>
      <c r="C1864" t="s">
        <v>99</v>
      </c>
      <c r="E1864" t="s">
        <v>142</v>
      </c>
      <c r="F1864" t="s">
        <v>143</v>
      </c>
      <c r="G1864">
        <v>2</v>
      </c>
      <c r="H1864" t="s">
        <v>438</v>
      </c>
      <c r="I1864" s="4">
        <f t="shared" si="271"/>
        <v>3</v>
      </c>
      <c r="J1864">
        <f t="shared" si="272"/>
        <v>6</v>
      </c>
      <c r="K1864">
        <v>52</v>
      </c>
      <c r="L1864">
        <v>20</v>
      </c>
      <c r="M1864" s="2">
        <v>2.6</v>
      </c>
      <c r="N1864" s="2">
        <v>2.31</v>
      </c>
      <c r="O1864">
        <v>0</v>
      </c>
      <c r="P1864">
        <v>1</v>
      </c>
      <c r="Q1864" s="4" t="str">
        <f t="shared" si="268"/>
        <v>2016/2017-Ganjil</v>
      </c>
      <c r="R1864" t="s">
        <v>260</v>
      </c>
      <c r="S1864" t="str">
        <f t="shared" si="270"/>
        <v>PA</v>
      </c>
    </row>
    <row r="1865" spans="1:19" x14ac:dyDescent="0.3">
      <c r="A1865" t="s">
        <v>12</v>
      </c>
      <c r="B1865">
        <v>2016110051</v>
      </c>
      <c r="C1865" t="s">
        <v>99</v>
      </c>
      <c r="E1865" t="s">
        <v>279</v>
      </c>
      <c r="F1865" t="s">
        <v>280</v>
      </c>
      <c r="G1865">
        <v>2</v>
      </c>
      <c r="H1865" t="s">
        <v>524</v>
      </c>
      <c r="I1865" s="4">
        <f t="shared" si="271"/>
        <v>2</v>
      </c>
      <c r="J1865">
        <f t="shared" si="272"/>
        <v>4</v>
      </c>
      <c r="K1865">
        <v>22</v>
      </c>
      <c r="L1865">
        <v>12</v>
      </c>
      <c r="M1865" s="2">
        <v>1.83</v>
      </c>
      <c r="N1865" s="2">
        <v>2.31</v>
      </c>
      <c r="O1865">
        <v>0</v>
      </c>
      <c r="P1865">
        <v>2</v>
      </c>
      <c r="Q1865" s="4" t="str">
        <f t="shared" si="268"/>
        <v>2016/2017-Genap</v>
      </c>
      <c r="R1865" t="s">
        <v>535</v>
      </c>
      <c r="S1865" t="str">
        <f t="shared" si="270"/>
        <v>PA</v>
      </c>
    </row>
    <row r="1866" spans="1:19" x14ac:dyDescent="0.3">
      <c r="A1866" t="s">
        <v>12</v>
      </c>
      <c r="B1866">
        <v>2016110051</v>
      </c>
      <c r="C1866" t="s">
        <v>99</v>
      </c>
      <c r="E1866" t="s">
        <v>90</v>
      </c>
      <c r="F1866" t="s">
        <v>91</v>
      </c>
      <c r="G1866">
        <v>2</v>
      </c>
      <c r="H1866" t="s">
        <v>524</v>
      </c>
      <c r="I1866" s="4">
        <f t="shared" si="271"/>
        <v>2</v>
      </c>
      <c r="J1866">
        <f t="shared" si="272"/>
        <v>4</v>
      </c>
      <c r="K1866">
        <v>52</v>
      </c>
      <c r="L1866">
        <v>20</v>
      </c>
      <c r="M1866" s="2">
        <v>2.6</v>
      </c>
      <c r="N1866" s="2">
        <v>2.31</v>
      </c>
      <c r="O1866">
        <v>0</v>
      </c>
      <c r="P1866">
        <v>1</v>
      </c>
      <c r="Q1866" s="4" t="str">
        <f t="shared" si="268"/>
        <v>2016/2017-Ganjil</v>
      </c>
      <c r="R1866" t="s">
        <v>260</v>
      </c>
      <c r="S1866" t="str">
        <f t="shared" si="270"/>
        <v>PA</v>
      </c>
    </row>
    <row r="1867" spans="1:19" x14ac:dyDescent="0.3">
      <c r="A1867" t="s">
        <v>12</v>
      </c>
      <c r="B1867">
        <v>2016110051</v>
      </c>
      <c r="C1867" t="s">
        <v>99</v>
      </c>
      <c r="E1867" t="s">
        <v>122</v>
      </c>
      <c r="F1867" t="s">
        <v>123</v>
      </c>
      <c r="G1867">
        <v>4</v>
      </c>
      <c r="H1867" t="s">
        <v>524</v>
      </c>
      <c r="I1867" s="4">
        <f t="shared" si="271"/>
        <v>2</v>
      </c>
      <c r="J1867">
        <f t="shared" si="272"/>
        <v>8</v>
      </c>
      <c r="K1867">
        <v>52</v>
      </c>
      <c r="L1867">
        <v>20</v>
      </c>
      <c r="M1867" s="2">
        <v>2.6</v>
      </c>
      <c r="N1867" s="2">
        <v>2.31</v>
      </c>
      <c r="O1867">
        <v>0</v>
      </c>
      <c r="P1867">
        <v>1</v>
      </c>
      <c r="Q1867" s="4" t="str">
        <f t="shared" si="268"/>
        <v>2016/2017-Ganjil</v>
      </c>
      <c r="R1867" t="s">
        <v>260</v>
      </c>
      <c r="S1867" t="str">
        <f t="shared" si="270"/>
        <v>PA</v>
      </c>
    </row>
    <row r="1868" spans="1:19" x14ac:dyDescent="0.3">
      <c r="A1868" t="s">
        <v>12</v>
      </c>
      <c r="B1868">
        <v>2016110051</v>
      </c>
      <c r="C1868" t="s">
        <v>99</v>
      </c>
      <c r="E1868" t="s">
        <v>437</v>
      </c>
      <c r="F1868" t="s">
        <v>169</v>
      </c>
      <c r="G1868">
        <v>4</v>
      </c>
      <c r="H1868" t="s">
        <v>524</v>
      </c>
      <c r="I1868" s="4">
        <f t="shared" si="271"/>
        <v>2</v>
      </c>
      <c r="J1868">
        <f t="shared" si="272"/>
        <v>8</v>
      </c>
      <c r="K1868">
        <v>52</v>
      </c>
      <c r="L1868">
        <v>20</v>
      </c>
      <c r="M1868" s="2">
        <v>2.6</v>
      </c>
      <c r="N1868" s="2">
        <v>2.31</v>
      </c>
      <c r="O1868">
        <v>0</v>
      </c>
      <c r="P1868">
        <v>1</v>
      </c>
      <c r="Q1868" s="4" t="str">
        <f t="shared" si="268"/>
        <v>2016/2017-Ganjil</v>
      </c>
      <c r="R1868" t="s">
        <v>260</v>
      </c>
      <c r="S1868" t="str">
        <f t="shared" si="270"/>
        <v>PA</v>
      </c>
    </row>
    <row r="1869" spans="1:19" x14ac:dyDescent="0.3">
      <c r="A1869" t="s">
        <v>12</v>
      </c>
      <c r="B1869">
        <v>2016110051</v>
      </c>
      <c r="C1869" t="s">
        <v>99</v>
      </c>
      <c r="E1869" t="s">
        <v>97</v>
      </c>
      <c r="F1869" t="s">
        <v>98</v>
      </c>
      <c r="G1869">
        <v>4</v>
      </c>
      <c r="H1869" t="s">
        <v>535</v>
      </c>
      <c r="I1869" s="4">
        <f t="shared" si="271"/>
        <v>1</v>
      </c>
      <c r="J1869">
        <f t="shared" si="272"/>
        <v>4</v>
      </c>
      <c r="K1869">
        <v>22</v>
      </c>
      <c r="L1869">
        <v>12</v>
      </c>
      <c r="M1869" s="2">
        <v>1.83</v>
      </c>
      <c r="N1869" s="2">
        <v>2.31</v>
      </c>
      <c r="O1869">
        <v>0</v>
      </c>
      <c r="P1869">
        <v>2</v>
      </c>
      <c r="Q1869" s="4" t="str">
        <f t="shared" si="268"/>
        <v>2016/2017-Genap</v>
      </c>
      <c r="R1869" t="s">
        <v>535</v>
      </c>
      <c r="S1869" t="str">
        <f t="shared" si="270"/>
        <v>FA</v>
      </c>
    </row>
    <row r="1870" spans="1:19" x14ac:dyDescent="0.3">
      <c r="A1870" t="s">
        <v>12</v>
      </c>
      <c r="B1870">
        <v>2016110051</v>
      </c>
      <c r="C1870" t="s">
        <v>99</v>
      </c>
      <c r="E1870" t="s">
        <v>139</v>
      </c>
      <c r="F1870" t="s">
        <v>140</v>
      </c>
      <c r="G1870">
        <v>2</v>
      </c>
      <c r="H1870" t="s">
        <v>535</v>
      </c>
      <c r="I1870" s="4">
        <f t="shared" si="271"/>
        <v>1</v>
      </c>
      <c r="J1870">
        <f t="shared" si="272"/>
        <v>2</v>
      </c>
      <c r="K1870">
        <v>22</v>
      </c>
      <c r="L1870">
        <v>12</v>
      </c>
      <c r="M1870" s="2">
        <v>1.83</v>
      </c>
      <c r="N1870" s="2">
        <v>2.31</v>
      </c>
      <c r="O1870">
        <v>0</v>
      </c>
      <c r="P1870">
        <v>2</v>
      </c>
      <c r="Q1870" s="4" t="str">
        <f t="shared" si="268"/>
        <v>2016/2017-Genap</v>
      </c>
      <c r="R1870" t="s">
        <v>535</v>
      </c>
      <c r="S1870" t="str">
        <f t="shared" si="270"/>
        <v>FA</v>
      </c>
    </row>
    <row r="1871" spans="1:19" x14ac:dyDescent="0.3">
      <c r="A1871" t="s">
        <v>12</v>
      </c>
      <c r="B1871">
        <v>2016110052</v>
      </c>
      <c r="C1871" t="s">
        <v>161</v>
      </c>
      <c r="E1871" t="s">
        <v>142</v>
      </c>
      <c r="F1871" t="s">
        <v>143</v>
      </c>
      <c r="G1871">
        <v>2</v>
      </c>
      <c r="I1871" s="4"/>
      <c r="J1871">
        <f t="shared" si="267"/>
        <v>0</v>
      </c>
      <c r="K1871">
        <v>0</v>
      </c>
      <c r="L1871">
        <v>6</v>
      </c>
      <c r="M1871" s="2">
        <v>0</v>
      </c>
      <c r="N1871" s="2">
        <v>0</v>
      </c>
      <c r="O1871">
        <v>0</v>
      </c>
      <c r="P1871">
        <v>1</v>
      </c>
      <c r="Q1871" s="4" t="str">
        <f t="shared" si="268"/>
        <v>2016/2017-Ganjil</v>
      </c>
      <c r="R1871" t="s">
        <v>535</v>
      </c>
      <c r="S1871" t="s">
        <v>595</v>
      </c>
    </row>
    <row r="1872" spans="1:19" x14ac:dyDescent="0.3">
      <c r="A1872" t="s">
        <v>12</v>
      </c>
      <c r="B1872">
        <v>2016110052</v>
      </c>
      <c r="C1872" t="s">
        <v>161</v>
      </c>
      <c r="E1872" t="s">
        <v>165</v>
      </c>
      <c r="F1872" t="s">
        <v>166</v>
      </c>
      <c r="G1872">
        <v>2</v>
      </c>
      <c r="I1872" s="4"/>
      <c r="J1872">
        <f t="shared" ref="J1872:J1878" si="273">G1872*I1872</f>
        <v>0</v>
      </c>
      <c r="K1872">
        <v>0</v>
      </c>
      <c r="L1872">
        <v>6</v>
      </c>
      <c r="M1872" s="2">
        <v>0</v>
      </c>
      <c r="N1872" s="2">
        <v>0</v>
      </c>
      <c r="O1872">
        <v>0</v>
      </c>
      <c r="P1872">
        <v>1</v>
      </c>
      <c r="Q1872" s="4" t="str">
        <f t="shared" ref="Q1872:Q1878" si="274">IF(P1872=1,"2016/2017-Ganjil",IF(P1872=2,"2016/2017-Genap",IF(P1872=3,"2017/2018-Ganjil",IF(P1872=4,"2017/2018-Genap",IF(P1872=5,"2018/2019-Ganjil",IF(P1872=6,"2018/2019-Genap",IF(P1872=7,"2019/2020-Ganjil",IF(P1872=8,"2019/2020-Genap",IF(P1872=9,"2020/2021-Ganjil","2020/2021-Genap")))))))))</f>
        <v>2016/2017-Ganjil</v>
      </c>
      <c r="R1872" t="s">
        <v>535</v>
      </c>
      <c r="S1872" t="s">
        <v>595</v>
      </c>
    </row>
    <row r="1873" spans="1:19" x14ac:dyDescent="0.3">
      <c r="A1873" t="s">
        <v>12</v>
      </c>
      <c r="B1873">
        <v>2016110052</v>
      </c>
      <c r="C1873" t="s">
        <v>161</v>
      </c>
      <c r="E1873" t="s">
        <v>77</v>
      </c>
      <c r="F1873" t="s">
        <v>78</v>
      </c>
      <c r="G1873">
        <v>2</v>
      </c>
      <c r="I1873" s="4"/>
      <c r="J1873">
        <f t="shared" si="273"/>
        <v>0</v>
      </c>
      <c r="K1873">
        <v>0</v>
      </c>
      <c r="L1873">
        <v>6</v>
      </c>
      <c r="M1873" s="2">
        <v>0</v>
      </c>
      <c r="N1873" s="2">
        <v>0</v>
      </c>
      <c r="O1873">
        <v>0</v>
      </c>
      <c r="P1873">
        <v>1</v>
      </c>
      <c r="Q1873" s="4" t="str">
        <f t="shared" si="274"/>
        <v>2016/2017-Ganjil</v>
      </c>
      <c r="R1873" t="s">
        <v>535</v>
      </c>
      <c r="S1873" t="s">
        <v>595</v>
      </c>
    </row>
    <row r="1874" spans="1:19" x14ac:dyDescent="0.3">
      <c r="A1874" t="s">
        <v>12</v>
      </c>
      <c r="B1874">
        <v>2016110052</v>
      </c>
      <c r="C1874" t="s">
        <v>161</v>
      </c>
      <c r="E1874" t="s">
        <v>122</v>
      </c>
      <c r="F1874" t="s">
        <v>123</v>
      </c>
      <c r="G1874">
        <v>4</v>
      </c>
      <c r="I1874" s="4"/>
      <c r="J1874">
        <f t="shared" si="273"/>
        <v>0</v>
      </c>
      <c r="K1874">
        <v>0</v>
      </c>
      <c r="L1874">
        <v>6</v>
      </c>
      <c r="M1874" s="2">
        <v>0</v>
      </c>
      <c r="N1874" s="2">
        <v>0</v>
      </c>
      <c r="O1874">
        <v>0</v>
      </c>
      <c r="P1874">
        <v>1</v>
      </c>
      <c r="Q1874" s="4" t="str">
        <f t="shared" si="274"/>
        <v>2016/2017-Ganjil</v>
      </c>
      <c r="R1874" t="s">
        <v>535</v>
      </c>
      <c r="S1874" t="s">
        <v>595</v>
      </c>
    </row>
    <row r="1875" spans="1:19" x14ac:dyDescent="0.3">
      <c r="A1875" t="s">
        <v>12</v>
      </c>
      <c r="B1875">
        <v>2016110052</v>
      </c>
      <c r="C1875" t="s">
        <v>161</v>
      </c>
      <c r="E1875" t="s">
        <v>151</v>
      </c>
      <c r="F1875" t="s">
        <v>152</v>
      </c>
      <c r="G1875">
        <v>2</v>
      </c>
      <c r="I1875" s="4"/>
      <c r="J1875">
        <f t="shared" si="273"/>
        <v>0</v>
      </c>
      <c r="K1875">
        <v>0</v>
      </c>
      <c r="L1875">
        <v>6</v>
      </c>
      <c r="M1875" s="2">
        <v>0</v>
      </c>
      <c r="N1875" s="2">
        <v>0</v>
      </c>
      <c r="O1875">
        <v>0</v>
      </c>
      <c r="P1875">
        <v>1</v>
      </c>
      <c r="Q1875" s="4" t="str">
        <f t="shared" si="274"/>
        <v>2016/2017-Ganjil</v>
      </c>
      <c r="R1875" t="s">
        <v>535</v>
      </c>
      <c r="S1875" t="s">
        <v>595</v>
      </c>
    </row>
    <row r="1876" spans="1:19" x14ac:dyDescent="0.3">
      <c r="A1876" t="s">
        <v>12</v>
      </c>
      <c r="B1876">
        <v>2016110052</v>
      </c>
      <c r="C1876" t="s">
        <v>161</v>
      </c>
      <c r="E1876" t="s">
        <v>90</v>
      </c>
      <c r="F1876" t="s">
        <v>91</v>
      </c>
      <c r="G1876">
        <v>2</v>
      </c>
      <c r="I1876" s="4"/>
      <c r="J1876">
        <f t="shared" si="273"/>
        <v>0</v>
      </c>
      <c r="K1876">
        <v>0</v>
      </c>
      <c r="L1876">
        <v>6</v>
      </c>
      <c r="M1876" s="2">
        <v>0</v>
      </c>
      <c r="N1876" s="2">
        <v>0</v>
      </c>
      <c r="O1876">
        <v>0</v>
      </c>
      <c r="P1876">
        <v>1</v>
      </c>
      <c r="Q1876" s="4" t="str">
        <f t="shared" si="274"/>
        <v>2016/2017-Ganjil</v>
      </c>
      <c r="R1876" t="s">
        <v>535</v>
      </c>
      <c r="S1876" t="s">
        <v>595</v>
      </c>
    </row>
    <row r="1877" spans="1:19" x14ac:dyDescent="0.3">
      <c r="A1877" t="s">
        <v>12</v>
      </c>
      <c r="B1877">
        <v>2016110052</v>
      </c>
      <c r="C1877" t="s">
        <v>161</v>
      </c>
      <c r="E1877" t="s">
        <v>437</v>
      </c>
      <c r="F1877" t="s">
        <v>169</v>
      </c>
      <c r="G1877">
        <v>4</v>
      </c>
      <c r="H1877" t="s">
        <v>539</v>
      </c>
      <c r="I1877" s="4">
        <f t="shared" ref="I1877:I1878" si="275">IF(H1877="A",4,IF(H1877="B",3,IF(H1877="C",2,IF(H1877="D",1,0))))</f>
        <v>0</v>
      </c>
      <c r="J1877">
        <f t="shared" si="273"/>
        <v>0</v>
      </c>
      <c r="K1877">
        <v>0</v>
      </c>
      <c r="L1877">
        <v>6</v>
      </c>
      <c r="M1877" s="2">
        <v>0</v>
      </c>
      <c r="N1877" s="2">
        <v>0</v>
      </c>
      <c r="O1877">
        <v>0</v>
      </c>
      <c r="P1877">
        <v>1</v>
      </c>
      <c r="Q1877" s="4" t="str">
        <f t="shared" si="274"/>
        <v>2016/2017-Ganjil</v>
      </c>
      <c r="R1877" t="s">
        <v>535</v>
      </c>
      <c r="S1877" t="str">
        <f t="shared" ref="S1877:S1939" si="276">IF(OR(H1877="A",H1877="B",H1877="C"),"PA","FA")</f>
        <v>FA</v>
      </c>
    </row>
    <row r="1878" spans="1:19" x14ac:dyDescent="0.3">
      <c r="A1878" t="s">
        <v>12</v>
      </c>
      <c r="B1878">
        <v>2016110052</v>
      </c>
      <c r="C1878" t="s">
        <v>161</v>
      </c>
      <c r="E1878" t="s">
        <v>131</v>
      </c>
      <c r="F1878" t="s">
        <v>132</v>
      </c>
      <c r="G1878">
        <v>2</v>
      </c>
      <c r="H1878" t="s">
        <v>539</v>
      </c>
      <c r="I1878" s="4">
        <f t="shared" si="275"/>
        <v>0</v>
      </c>
      <c r="J1878">
        <f t="shared" si="273"/>
        <v>0</v>
      </c>
      <c r="K1878">
        <v>0</v>
      </c>
      <c r="L1878">
        <v>6</v>
      </c>
      <c r="M1878" s="2">
        <v>0</v>
      </c>
      <c r="N1878" s="2">
        <v>0</v>
      </c>
      <c r="O1878">
        <v>0</v>
      </c>
      <c r="P1878">
        <v>1</v>
      </c>
      <c r="Q1878" s="4" t="str">
        <f t="shared" si="274"/>
        <v>2016/2017-Ganjil</v>
      </c>
      <c r="R1878" t="s">
        <v>535</v>
      </c>
      <c r="S1878" t="str">
        <f t="shared" si="276"/>
        <v>FA</v>
      </c>
    </row>
    <row r="1879" spans="1:19" x14ac:dyDescent="0.3">
      <c r="A1879" t="s">
        <v>12</v>
      </c>
      <c r="B1879">
        <v>2016110053</v>
      </c>
      <c r="C1879" t="s">
        <v>72</v>
      </c>
      <c r="E1879" t="s">
        <v>73</v>
      </c>
      <c r="F1879" t="s">
        <v>74</v>
      </c>
      <c r="G1879">
        <v>0</v>
      </c>
      <c r="H1879" t="s">
        <v>539</v>
      </c>
      <c r="I1879" s="4">
        <f t="shared" ref="I1879:I1880" si="277">IF(H1879="A",4,IF(H1879="B",3,IF(H1879="C",2,IF(H1879="D",1,0))))</f>
        <v>0</v>
      </c>
      <c r="J1879">
        <f t="shared" ref="J1879:J1880" si="278">G1879*I1879</f>
        <v>0</v>
      </c>
      <c r="K1879">
        <v>54</v>
      </c>
      <c r="L1879">
        <v>22</v>
      </c>
      <c r="M1879" s="2">
        <v>2.4500000000000002</v>
      </c>
      <c r="N1879" s="2">
        <v>3.03</v>
      </c>
      <c r="O1879">
        <v>0</v>
      </c>
      <c r="P1879">
        <v>5</v>
      </c>
      <c r="Q1879" s="4" t="str">
        <f t="shared" ref="Q1879:Q1910" si="279">IF(P1879=1,"2016/2017-Ganjil",IF(P1879=2,"2016/2017-Genap",IF(P1879=3,"2017/2018-Ganjil",IF(P1879=4,"2017/2018-Genap",IF(P1879=5,"2018/2019-Ganjil",IF(P1879=6,"2018/2019-Genap",IF(P1879=7,"2019/2020-Ganjil",IF(P1879=8,"2019/2020-Genap",IF(P1879=9,"2020/2021-Ganjil","2020/2021-Genap")))))))))</f>
        <v>2018/2019-Ganjil</v>
      </c>
      <c r="R1879" t="s">
        <v>260</v>
      </c>
      <c r="S1879" t="str">
        <f t="shared" si="276"/>
        <v>FA</v>
      </c>
    </row>
    <row r="1880" spans="1:19" x14ac:dyDescent="0.3">
      <c r="A1880" t="s">
        <v>12</v>
      </c>
      <c r="B1880">
        <v>2016110053</v>
      </c>
      <c r="C1880" t="s">
        <v>72</v>
      </c>
      <c r="E1880" t="s">
        <v>77</v>
      </c>
      <c r="F1880" t="s">
        <v>78</v>
      </c>
      <c r="G1880">
        <v>2</v>
      </c>
      <c r="H1880" t="s">
        <v>260</v>
      </c>
      <c r="I1880" s="4">
        <f t="shared" si="277"/>
        <v>4</v>
      </c>
      <c r="J1880">
        <f t="shared" si="278"/>
        <v>8</v>
      </c>
      <c r="K1880">
        <v>62</v>
      </c>
      <c r="L1880">
        <v>20</v>
      </c>
      <c r="M1880" s="2">
        <v>3.1</v>
      </c>
      <c r="N1880" s="2">
        <v>3.03</v>
      </c>
      <c r="O1880">
        <v>0</v>
      </c>
      <c r="P1880">
        <v>1</v>
      </c>
      <c r="Q1880" s="4" t="str">
        <f t="shared" si="279"/>
        <v>2016/2017-Ganjil</v>
      </c>
      <c r="R1880" t="s">
        <v>260</v>
      </c>
      <c r="S1880" t="str">
        <f t="shared" si="276"/>
        <v>PA</v>
      </c>
    </row>
    <row r="1881" spans="1:19" x14ac:dyDescent="0.3">
      <c r="A1881" t="s">
        <v>12</v>
      </c>
      <c r="B1881">
        <v>2016110053</v>
      </c>
      <c r="C1881" t="s">
        <v>72</v>
      </c>
      <c r="E1881" t="s">
        <v>290</v>
      </c>
      <c r="F1881" t="s">
        <v>327</v>
      </c>
      <c r="G1881">
        <v>4</v>
      </c>
      <c r="H1881" t="s">
        <v>260</v>
      </c>
      <c r="I1881" s="4">
        <f t="shared" ref="I1881:I1939" si="280">IF(H1881="A",4,IF(H1881="B",3,IF(H1881="C",2,IF(H1881="D",1,0))))</f>
        <v>4</v>
      </c>
      <c r="J1881">
        <f t="shared" ref="J1881:J1939" si="281">G1881*I1881</f>
        <v>16</v>
      </c>
      <c r="K1881">
        <v>38</v>
      </c>
      <c r="L1881">
        <v>16</v>
      </c>
      <c r="M1881" s="2">
        <v>2.38</v>
      </c>
      <c r="N1881" s="2">
        <v>3.03</v>
      </c>
      <c r="O1881">
        <v>0</v>
      </c>
      <c r="P1881">
        <v>2</v>
      </c>
      <c r="Q1881" s="4" t="str">
        <f t="shared" si="279"/>
        <v>2016/2017-Genap</v>
      </c>
      <c r="R1881" t="s">
        <v>260</v>
      </c>
      <c r="S1881" t="str">
        <f t="shared" si="276"/>
        <v>PA</v>
      </c>
    </row>
    <row r="1882" spans="1:19" x14ac:dyDescent="0.3">
      <c r="A1882" t="s">
        <v>12</v>
      </c>
      <c r="B1882">
        <v>2016110053</v>
      </c>
      <c r="C1882" t="s">
        <v>72</v>
      </c>
      <c r="E1882" t="s">
        <v>264</v>
      </c>
      <c r="F1882" t="s">
        <v>265</v>
      </c>
      <c r="G1882">
        <v>2</v>
      </c>
      <c r="H1882" t="s">
        <v>260</v>
      </c>
      <c r="I1882" s="4">
        <f t="shared" si="280"/>
        <v>4</v>
      </c>
      <c r="J1882">
        <f t="shared" si="281"/>
        <v>8</v>
      </c>
      <c r="K1882">
        <v>54</v>
      </c>
      <c r="L1882">
        <v>22</v>
      </c>
      <c r="M1882" s="2">
        <v>2.4500000000000002</v>
      </c>
      <c r="N1882" s="2">
        <v>3.03</v>
      </c>
      <c r="O1882">
        <v>0</v>
      </c>
      <c r="P1882">
        <v>5</v>
      </c>
      <c r="Q1882" s="4" t="str">
        <f t="shared" si="279"/>
        <v>2018/2019-Ganjil</v>
      </c>
      <c r="R1882" t="s">
        <v>260</v>
      </c>
      <c r="S1882" t="str">
        <f t="shared" si="276"/>
        <v>PA</v>
      </c>
    </row>
    <row r="1883" spans="1:19" x14ac:dyDescent="0.3">
      <c r="A1883" t="s">
        <v>12</v>
      </c>
      <c r="B1883">
        <v>2016110053</v>
      </c>
      <c r="C1883" t="s">
        <v>72</v>
      </c>
      <c r="E1883" t="s">
        <v>241</v>
      </c>
      <c r="F1883" t="s">
        <v>45</v>
      </c>
      <c r="G1883">
        <v>2</v>
      </c>
      <c r="H1883" t="s">
        <v>260</v>
      </c>
      <c r="I1883" s="4">
        <f t="shared" si="280"/>
        <v>4</v>
      </c>
      <c r="J1883">
        <f t="shared" si="281"/>
        <v>8</v>
      </c>
      <c r="K1883">
        <v>56</v>
      </c>
      <c r="L1883">
        <v>18</v>
      </c>
      <c r="M1883" s="2">
        <v>3.11</v>
      </c>
      <c r="N1883" s="2">
        <v>3.03</v>
      </c>
      <c r="O1883">
        <v>0</v>
      </c>
      <c r="P1883">
        <v>3</v>
      </c>
      <c r="Q1883" s="4" t="str">
        <f t="shared" si="279"/>
        <v>2017/2018-Ganjil</v>
      </c>
      <c r="R1883" t="s">
        <v>260</v>
      </c>
      <c r="S1883" t="str">
        <f t="shared" si="276"/>
        <v>PA</v>
      </c>
    </row>
    <row r="1884" spans="1:19" x14ac:dyDescent="0.3">
      <c r="A1884" t="s">
        <v>12</v>
      </c>
      <c r="B1884">
        <v>2016110053</v>
      </c>
      <c r="C1884" t="s">
        <v>72</v>
      </c>
      <c r="E1884" t="s">
        <v>151</v>
      </c>
      <c r="F1884" t="s">
        <v>152</v>
      </c>
      <c r="G1884">
        <v>2</v>
      </c>
      <c r="H1884" t="s">
        <v>260</v>
      </c>
      <c r="I1884" s="4">
        <f t="shared" si="280"/>
        <v>4</v>
      </c>
      <c r="J1884">
        <f t="shared" si="281"/>
        <v>8</v>
      </c>
      <c r="K1884">
        <v>62</v>
      </c>
      <c r="L1884">
        <v>20</v>
      </c>
      <c r="M1884" s="2">
        <v>3.1</v>
      </c>
      <c r="N1884" s="2">
        <v>3.03</v>
      </c>
      <c r="O1884">
        <v>0</v>
      </c>
      <c r="P1884">
        <v>1</v>
      </c>
      <c r="Q1884" s="4" t="str">
        <f t="shared" si="279"/>
        <v>2016/2017-Ganjil</v>
      </c>
      <c r="R1884" t="s">
        <v>260</v>
      </c>
      <c r="S1884" t="str">
        <f t="shared" si="276"/>
        <v>PA</v>
      </c>
    </row>
    <row r="1885" spans="1:19" x14ac:dyDescent="0.3">
      <c r="A1885" t="s">
        <v>12</v>
      </c>
      <c r="B1885">
        <v>2016110053</v>
      </c>
      <c r="C1885" t="s">
        <v>72</v>
      </c>
      <c r="E1885" t="s">
        <v>131</v>
      </c>
      <c r="F1885" t="s">
        <v>132</v>
      </c>
      <c r="G1885">
        <v>2</v>
      </c>
      <c r="H1885" t="s">
        <v>260</v>
      </c>
      <c r="I1885" s="4">
        <f t="shared" si="280"/>
        <v>4</v>
      </c>
      <c r="J1885">
        <f t="shared" si="281"/>
        <v>8</v>
      </c>
      <c r="K1885">
        <v>62</v>
      </c>
      <c r="L1885">
        <v>20</v>
      </c>
      <c r="M1885" s="2">
        <v>3.1</v>
      </c>
      <c r="N1885" s="2">
        <v>3.03</v>
      </c>
      <c r="O1885">
        <v>0</v>
      </c>
      <c r="P1885">
        <v>1</v>
      </c>
      <c r="Q1885" s="4" t="str">
        <f t="shared" si="279"/>
        <v>2016/2017-Ganjil</v>
      </c>
      <c r="R1885" t="s">
        <v>260</v>
      </c>
      <c r="S1885" t="str">
        <f t="shared" si="276"/>
        <v>PA</v>
      </c>
    </row>
    <row r="1886" spans="1:19" x14ac:dyDescent="0.3">
      <c r="A1886" t="s">
        <v>12</v>
      </c>
      <c r="B1886">
        <v>2016110053</v>
      </c>
      <c r="C1886" t="s">
        <v>72</v>
      </c>
      <c r="E1886" t="s">
        <v>297</v>
      </c>
      <c r="F1886" t="s">
        <v>342</v>
      </c>
      <c r="G1886">
        <v>4</v>
      </c>
      <c r="H1886" t="s">
        <v>260</v>
      </c>
      <c r="I1886" s="4">
        <f t="shared" si="280"/>
        <v>4</v>
      </c>
      <c r="J1886">
        <f t="shared" si="281"/>
        <v>16</v>
      </c>
      <c r="K1886">
        <v>56</v>
      </c>
      <c r="L1886">
        <v>20</v>
      </c>
      <c r="M1886" s="2">
        <v>2.8</v>
      </c>
      <c r="N1886" s="2">
        <v>3.03</v>
      </c>
      <c r="O1886">
        <v>0</v>
      </c>
      <c r="P1886">
        <v>6</v>
      </c>
      <c r="Q1886" s="4" t="str">
        <f t="shared" si="279"/>
        <v>2018/2019-Genap</v>
      </c>
      <c r="R1886" t="s">
        <v>260</v>
      </c>
      <c r="S1886" t="str">
        <f t="shared" si="276"/>
        <v>PA</v>
      </c>
    </row>
    <row r="1887" spans="1:19" x14ac:dyDescent="0.3">
      <c r="A1887" t="s">
        <v>12</v>
      </c>
      <c r="B1887">
        <v>2016110053</v>
      </c>
      <c r="C1887" t="s">
        <v>72</v>
      </c>
      <c r="E1887" t="s">
        <v>344</v>
      </c>
      <c r="F1887" t="s">
        <v>345</v>
      </c>
      <c r="G1887">
        <v>2</v>
      </c>
      <c r="H1887" t="s">
        <v>260</v>
      </c>
      <c r="I1887" s="4">
        <f t="shared" si="280"/>
        <v>4</v>
      </c>
      <c r="J1887">
        <f t="shared" si="281"/>
        <v>8</v>
      </c>
      <c r="K1887">
        <v>54</v>
      </c>
      <c r="L1887">
        <v>20</v>
      </c>
      <c r="M1887" s="2">
        <v>2.7</v>
      </c>
      <c r="N1887" s="2">
        <v>3.03</v>
      </c>
      <c r="O1887">
        <v>0</v>
      </c>
      <c r="P1887">
        <v>7</v>
      </c>
      <c r="Q1887" s="4" t="str">
        <f t="shared" si="279"/>
        <v>2019/2020-Ganjil</v>
      </c>
      <c r="R1887" t="s">
        <v>260</v>
      </c>
      <c r="S1887" t="str">
        <f t="shared" si="276"/>
        <v>PA</v>
      </c>
    </row>
    <row r="1888" spans="1:19" x14ac:dyDescent="0.3">
      <c r="A1888" t="s">
        <v>12</v>
      </c>
      <c r="B1888">
        <v>2016110053</v>
      </c>
      <c r="C1888" t="s">
        <v>72</v>
      </c>
      <c r="E1888" t="s">
        <v>192</v>
      </c>
      <c r="F1888" t="s">
        <v>106</v>
      </c>
      <c r="G1888">
        <v>2</v>
      </c>
      <c r="H1888" t="s">
        <v>260</v>
      </c>
      <c r="I1888" s="4">
        <f t="shared" si="280"/>
        <v>4</v>
      </c>
      <c r="J1888">
        <f t="shared" si="281"/>
        <v>8</v>
      </c>
      <c r="K1888">
        <v>56</v>
      </c>
      <c r="L1888">
        <v>18</v>
      </c>
      <c r="M1888" s="2">
        <v>3.11</v>
      </c>
      <c r="N1888" s="2">
        <v>3.03</v>
      </c>
      <c r="O1888">
        <v>0</v>
      </c>
      <c r="P1888">
        <v>3</v>
      </c>
      <c r="Q1888" s="4" t="str">
        <f t="shared" si="279"/>
        <v>2017/2018-Ganjil</v>
      </c>
      <c r="R1888" t="s">
        <v>260</v>
      </c>
      <c r="S1888" t="str">
        <f t="shared" si="276"/>
        <v>PA</v>
      </c>
    </row>
    <row r="1889" spans="1:19" x14ac:dyDescent="0.3">
      <c r="A1889" t="s">
        <v>12</v>
      </c>
      <c r="B1889">
        <v>2016110053</v>
      </c>
      <c r="C1889" t="s">
        <v>72</v>
      </c>
      <c r="E1889" t="s">
        <v>316</v>
      </c>
      <c r="F1889" t="s">
        <v>317</v>
      </c>
      <c r="G1889">
        <v>2</v>
      </c>
      <c r="H1889" t="s">
        <v>260</v>
      </c>
      <c r="I1889" s="4">
        <f t="shared" si="280"/>
        <v>4</v>
      </c>
      <c r="J1889">
        <f t="shared" si="281"/>
        <v>8</v>
      </c>
      <c r="K1889">
        <v>54</v>
      </c>
      <c r="L1889">
        <v>20</v>
      </c>
      <c r="M1889" s="2">
        <v>2.7</v>
      </c>
      <c r="N1889" s="2">
        <v>3.03</v>
      </c>
      <c r="O1889">
        <v>0</v>
      </c>
      <c r="P1889">
        <v>7</v>
      </c>
      <c r="Q1889" s="4" t="str">
        <f t="shared" si="279"/>
        <v>2019/2020-Ganjil</v>
      </c>
      <c r="R1889" t="s">
        <v>260</v>
      </c>
      <c r="S1889" t="str">
        <f t="shared" si="276"/>
        <v>PA</v>
      </c>
    </row>
    <row r="1890" spans="1:19" x14ac:dyDescent="0.3">
      <c r="A1890" t="s">
        <v>12</v>
      </c>
      <c r="B1890">
        <v>2016110053</v>
      </c>
      <c r="C1890" t="s">
        <v>72</v>
      </c>
      <c r="E1890" t="s">
        <v>173</v>
      </c>
      <c r="F1890" t="s">
        <v>8</v>
      </c>
      <c r="G1890">
        <v>2</v>
      </c>
      <c r="H1890" t="s">
        <v>260</v>
      </c>
      <c r="I1890" s="4">
        <f t="shared" si="280"/>
        <v>4</v>
      </c>
      <c r="J1890">
        <f t="shared" si="281"/>
        <v>8</v>
      </c>
      <c r="K1890">
        <v>56</v>
      </c>
      <c r="L1890">
        <v>18</v>
      </c>
      <c r="M1890" s="2">
        <v>3.11</v>
      </c>
      <c r="N1890" s="2">
        <v>3.03</v>
      </c>
      <c r="O1890">
        <v>0</v>
      </c>
      <c r="P1890">
        <v>3</v>
      </c>
      <c r="Q1890" s="4" t="str">
        <f t="shared" si="279"/>
        <v>2017/2018-Ganjil</v>
      </c>
      <c r="R1890" t="s">
        <v>260</v>
      </c>
      <c r="S1890" t="str">
        <f t="shared" si="276"/>
        <v>PA</v>
      </c>
    </row>
    <row r="1891" spans="1:19" x14ac:dyDescent="0.3">
      <c r="A1891" t="s">
        <v>12</v>
      </c>
      <c r="B1891">
        <v>2016110053</v>
      </c>
      <c r="C1891" t="s">
        <v>72</v>
      </c>
      <c r="E1891" t="s">
        <v>142</v>
      </c>
      <c r="F1891" t="s">
        <v>143</v>
      </c>
      <c r="G1891">
        <v>2</v>
      </c>
      <c r="H1891" t="s">
        <v>260</v>
      </c>
      <c r="I1891" s="4">
        <f t="shared" si="280"/>
        <v>4</v>
      </c>
      <c r="J1891">
        <f t="shared" si="281"/>
        <v>8</v>
      </c>
      <c r="K1891">
        <v>62</v>
      </c>
      <c r="L1891">
        <v>20</v>
      </c>
      <c r="M1891" s="2">
        <v>3.1</v>
      </c>
      <c r="N1891" s="2">
        <v>3.03</v>
      </c>
      <c r="O1891">
        <v>0</v>
      </c>
      <c r="P1891">
        <v>1</v>
      </c>
      <c r="Q1891" s="4" t="str">
        <f t="shared" si="279"/>
        <v>2016/2017-Ganjil</v>
      </c>
      <c r="R1891" t="s">
        <v>260</v>
      </c>
      <c r="S1891" t="str">
        <f t="shared" si="276"/>
        <v>PA</v>
      </c>
    </row>
    <row r="1892" spans="1:19" x14ac:dyDescent="0.3">
      <c r="A1892" t="s">
        <v>12</v>
      </c>
      <c r="B1892">
        <v>2016110053</v>
      </c>
      <c r="C1892" t="s">
        <v>72</v>
      </c>
      <c r="E1892" t="s">
        <v>165</v>
      </c>
      <c r="F1892" t="s">
        <v>166</v>
      </c>
      <c r="G1892">
        <v>2</v>
      </c>
      <c r="H1892" t="s">
        <v>438</v>
      </c>
      <c r="I1892" s="4">
        <f t="shared" si="280"/>
        <v>3</v>
      </c>
      <c r="J1892">
        <f t="shared" si="281"/>
        <v>6</v>
      </c>
      <c r="K1892">
        <v>62</v>
      </c>
      <c r="L1892">
        <v>20</v>
      </c>
      <c r="M1892" s="2">
        <v>3.1</v>
      </c>
      <c r="N1892" s="2">
        <v>3.03</v>
      </c>
      <c r="O1892">
        <v>0</v>
      </c>
      <c r="P1892">
        <v>1</v>
      </c>
      <c r="Q1892" s="4" t="str">
        <f t="shared" si="279"/>
        <v>2016/2017-Ganjil</v>
      </c>
      <c r="R1892" t="s">
        <v>260</v>
      </c>
      <c r="S1892" t="str">
        <f t="shared" si="276"/>
        <v>PA</v>
      </c>
    </row>
    <row r="1893" spans="1:19" x14ac:dyDescent="0.3">
      <c r="A1893" t="s">
        <v>12</v>
      </c>
      <c r="B1893">
        <v>2016110053</v>
      </c>
      <c r="C1893" t="s">
        <v>72</v>
      </c>
      <c r="E1893" t="s">
        <v>446</v>
      </c>
      <c r="F1893" t="s">
        <v>447</v>
      </c>
      <c r="G1893">
        <v>2</v>
      </c>
      <c r="H1893" t="s">
        <v>438</v>
      </c>
      <c r="I1893" s="4">
        <f t="shared" si="280"/>
        <v>3</v>
      </c>
      <c r="J1893">
        <f t="shared" si="281"/>
        <v>6</v>
      </c>
      <c r="K1893">
        <v>56</v>
      </c>
      <c r="L1893">
        <v>20</v>
      </c>
      <c r="M1893" s="2">
        <v>2.8</v>
      </c>
      <c r="N1893" s="2">
        <v>3.03</v>
      </c>
      <c r="O1893">
        <v>0</v>
      </c>
      <c r="P1893">
        <v>6</v>
      </c>
      <c r="Q1893" s="4" t="str">
        <f t="shared" si="279"/>
        <v>2018/2019-Genap</v>
      </c>
      <c r="R1893" t="s">
        <v>260</v>
      </c>
      <c r="S1893" t="str">
        <f t="shared" si="276"/>
        <v>PA</v>
      </c>
    </row>
    <row r="1894" spans="1:19" x14ac:dyDescent="0.3">
      <c r="A1894" t="s">
        <v>12</v>
      </c>
      <c r="B1894">
        <v>2016110053</v>
      </c>
      <c r="C1894" t="s">
        <v>72</v>
      </c>
      <c r="E1894" t="s">
        <v>244</v>
      </c>
      <c r="F1894" t="s">
        <v>228</v>
      </c>
      <c r="G1894">
        <v>2</v>
      </c>
      <c r="H1894" t="s">
        <v>438</v>
      </c>
      <c r="I1894" s="4">
        <f t="shared" si="280"/>
        <v>3</v>
      </c>
      <c r="J1894">
        <f t="shared" si="281"/>
        <v>6</v>
      </c>
      <c r="K1894">
        <v>66</v>
      </c>
      <c r="L1894">
        <v>24</v>
      </c>
      <c r="M1894" s="2">
        <v>2.75</v>
      </c>
      <c r="N1894" s="2">
        <v>3.03</v>
      </c>
      <c r="O1894">
        <v>0</v>
      </c>
      <c r="P1894">
        <v>4</v>
      </c>
      <c r="Q1894" s="4" t="str">
        <f t="shared" si="279"/>
        <v>2017/2018-Genap</v>
      </c>
      <c r="R1894" t="s">
        <v>260</v>
      </c>
      <c r="S1894" t="str">
        <f t="shared" si="276"/>
        <v>PA</v>
      </c>
    </row>
    <row r="1895" spans="1:19" x14ac:dyDescent="0.3">
      <c r="A1895" t="s">
        <v>12</v>
      </c>
      <c r="B1895">
        <v>2016110053</v>
      </c>
      <c r="C1895" t="s">
        <v>72</v>
      </c>
      <c r="E1895" t="s">
        <v>97</v>
      </c>
      <c r="F1895" t="s">
        <v>416</v>
      </c>
      <c r="G1895">
        <v>4</v>
      </c>
      <c r="H1895" t="s">
        <v>438</v>
      </c>
      <c r="I1895" s="4">
        <f t="shared" si="280"/>
        <v>3</v>
      </c>
      <c r="J1895">
        <f t="shared" si="281"/>
        <v>12</v>
      </c>
      <c r="K1895">
        <v>52</v>
      </c>
      <c r="L1895">
        <v>20</v>
      </c>
      <c r="M1895" s="2">
        <v>2.6</v>
      </c>
      <c r="N1895" s="2">
        <v>3.03</v>
      </c>
      <c r="O1895">
        <v>0</v>
      </c>
      <c r="P1895">
        <v>8</v>
      </c>
      <c r="Q1895" s="4" t="str">
        <f t="shared" si="279"/>
        <v>2019/2020-Genap</v>
      </c>
      <c r="R1895" t="s">
        <v>596</v>
      </c>
      <c r="S1895" t="str">
        <f t="shared" si="276"/>
        <v>PA</v>
      </c>
    </row>
    <row r="1896" spans="1:19" x14ac:dyDescent="0.3">
      <c r="A1896" t="s">
        <v>12</v>
      </c>
      <c r="B1896">
        <v>2016110053</v>
      </c>
      <c r="C1896" t="s">
        <v>72</v>
      </c>
      <c r="E1896" t="s">
        <v>374</v>
      </c>
      <c r="F1896" t="s">
        <v>375</v>
      </c>
      <c r="G1896">
        <v>2</v>
      </c>
      <c r="H1896" t="s">
        <v>438</v>
      </c>
      <c r="I1896" s="4">
        <f t="shared" si="280"/>
        <v>3</v>
      </c>
      <c r="J1896">
        <f t="shared" si="281"/>
        <v>6</v>
      </c>
      <c r="K1896">
        <v>66</v>
      </c>
      <c r="L1896">
        <v>24</v>
      </c>
      <c r="M1896" s="2">
        <v>2.75</v>
      </c>
      <c r="N1896" s="2">
        <v>3.03</v>
      </c>
      <c r="O1896">
        <v>0</v>
      </c>
      <c r="P1896">
        <v>4</v>
      </c>
      <c r="Q1896" s="4" t="str">
        <f t="shared" si="279"/>
        <v>2017/2018-Genap</v>
      </c>
      <c r="R1896" t="s">
        <v>260</v>
      </c>
      <c r="S1896" t="str">
        <f t="shared" si="276"/>
        <v>PA</v>
      </c>
    </row>
    <row r="1897" spans="1:19" x14ac:dyDescent="0.3">
      <c r="A1897" t="s">
        <v>12</v>
      </c>
      <c r="B1897">
        <v>2016110053</v>
      </c>
      <c r="C1897" t="s">
        <v>72</v>
      </c>
      <c r="E1897" t="s">
        <v>465</v>
      </c>
      <c r="F1897" t="s">
        <v>198</v>
      </c>
      <c r="G1897">
        <v>2</v>
      </c>
      <c r="H1897" t="s">
        <v>438</v>
      </c>
      <c r="I1897" s="4">
        <f t="shared" si="280"/>
        <v>3</v>
      </c>
      <c r="J1897">
        <f t="shared" si="281"/>
        <v>6</v>
      </c>
      <c r="K1897">
        <v>56</v>
      </c>
      <c r="L1897">
        <v>20</v>
      </c>
      <c r="M1897" s="2">
        <v>2.8</v>
      </c>
      <c r="N1897" s="2">
        <v>3.03</v>
      </c>
      <c r="O1897">
        <v>0</v>
      </c>
      <c r="P1897">
        <v>6</v>
      </c>
      <c r="Q1897" s="4" t="str">
        <f t="shared" si="279"/>
        <v>2018/2019-Genap</v>
      </c>
      <c r="R1897" t="s">
        <v>260</v>
      </c>
      <c r="S1897" t="str">
        <f t="shared" si="276"/>
        <v>PA</v>
      </c>
    </row>
    <row r="1898" spans="1:19" x14ac:dyDescent="0.3">
      <c r="A1898" t="s">
        <v>12</v>
      </c>
      <c r="B1898">
        <v>2016110053</v>
      </c>
      <c r="C1898" t="s">
        <v>72</v>
      </c>
      <c r="E1898" t="s">
        <v>273</v>
      </c>
      <c r="F1898" t="s">
        <v>274</v>
      </c>
      <c r="G1898">
        <v>2</v>
      </c>
      <c r="H1898" t="s">
        <v>438</v>
      </c>
      <c r="I1898" s="4">
        <f t="shared" si="280"/>
        <v>3</v>
      </c>
      <c r="J1898">
        <f t="shared" si="281"/>
        <v>6</v>
      </c>
      <c r="K1898">
        <v>56</v>
      </c>
      <c r="L1898">
        <v>20</v>
      </c>
      <c r="M1898" s="2">
        <v>2.8</v>
      </c>
      <c r="N1898" s="2">
        <v>3.03</v>
      </c>
      <c r="O1898">
        <v>0</v>
      </c>
      <c r="P1898">
        <v>6</v>
      </c>
      <c r="Q1898" s="4" t="str">
        <f t="shared" si="279"/>
        <v>2018/2019-Genap</v>
      </c>
      <c r="R1898" t="s">
        <v>260</v>
      </c>
      <c r="S1898" t="str">
        <f t="shared" si="276"/>
        <v>PA</v>
      </c>
    </row>
    <row r="1899" spans="1:19" x14ac:dyDescent="0.3">
      <c r="A1899" t="s">
        <v>12</v>
      </c>
      <c r="B1899">
        <v>2016110053</v>
      </c>
      <c r="C1899" t="s">
        <v>72</v>
      </c>
      <c r="E1899" t="s">
        <v>236</v>
      </c>
      <c r="F1899" t="s">
        <v>237</v>
      </c>
      <c r="G1899">
        <v>2</v>
      </c>
      <c r="H1899" t="s">
        <v>438</v>
      </c>
      <c r="I1899" s="4">
        <f t="shared" si="280"/>
        <v>3</v>
      </c>
      <c r="J1899">
        <f t="shared" si="281"/>
        <v>6</v>
      </c>
      <c r="K1899">
        <v>54</v>
      </c>
      <c r="L1899">
        <v>22</v>
      </c>
      <c r="M1899" s="2">
        <v>2.4500000000000002</v>
      </c>
      <c r="N1899" s="2">
        <v>3.03</v>
      </c>
      <c r="O1899">
        <v>0</v>
      </c>
      <c r="P1899">
        <v>5</v>
      </c>
      <c r="Q1899" s="4" t="str">
        <f t="shared" si="279"/>
        <v>2018/2019-Ganjil</v>
      </c>
      <c r="R1899" t="s">
        <v>260</v>
      </c>
      <c r="S1899" t="str">
        <f t="shared" si="276"/>
        <v>PA</v>
      </c>
    </row>
    <row r="1900" spans="1:19" x14ac:dyDescent="0.3">
      <c r="A1900" t="s">
        <v>12</v>
      </c>
      <c r="B1900">
        <v>2016110053</v>
      </c>
      <c r="C1900" t="s">
        <v>72</v>
      </c>
      <c r="E1900" t="s">
        <v>306</v>
      </c>
      <c r="F1900" t="s">
        <v>307</v>
      </c>
      <c r="G1900">
        <v>2</v>
      </c>
      <c r="H1900" t="s">
        <v>438</v>
      </c>
      <c r="I1900" s="4">
        <f t="shared" si="280"/>
        <v>3</v>
      </c>
      <c r="J1900">
        <f t="shared" si="281"/>
        <v>6</v>
      </c>
      <c r="K1900">
        <v>54</v>
      </c>
      <c r="L1900">
        <v>20</v>
      </c>
      <c r="M1900" s="2">
        <v>2.7</v>
      </c>
      <c r="N1900" s="2">
        <v>3.03</v>
      </c>
      <c r="O1900">
        <v>0</v>
      </c>
      <c r="P1900">
        <v>7</v>
      </c>
      <c r="Q1900" s="4" t="str">
        <f t="shared" si="279"/>
        <v>2019/2020-Ganjil</v>
      </c>
      <c r="R1900" t="s">
        <v>260</v>
      </c>
      <c r="S1900" t="str">
        <f t="shared" si="276"/>
        <v>PA</v>
      </c>
    </row>
    <row r="1901" spans="1:19" x14ac:dyDescent="0.3">
      <c r="A1901" t="s">
        <v>12</v>
      </c>
      <c r="B1901">
        <v>2016110053</v>
      </c>
      <c r="C1901" t="s">
        <v>72</v>
      </c>
      <c r="E1901" t="s">
        <v>205</v>
      </c>
      <c r="F1901" t="s">
        <v>116</v>
      </c>
      <c r="G1901">
        <v>4</v>
      </c>
      <c r="H1901" t="s">
        <v>438</v>
      </c>
      <c r="I1901" s="4">
        <f t="shared" si="280"/>
        <v>3</v>
      </c>
      <c r="J1901">
        <f t="shared" si="281"/>
        <v>12</v>
      </c>
      <c r="K1901">
        <v>56</v>
      </c>
      <c r="L1901">
        <v>18</v>
      </c>
      <c r="M1901" s="2">
        <v>3.11</v>
      </c>
      <c r="N1901" s="2">
        <v>3.03</v>
      </c>
      <c r="O1901">
        <v>0</v>
      </c>
      <c r="P1901">
        <v>3</v>
      </c>
      <c r="Q1901" s="4" t="str">
        <f t="shared" si="279"/>
        <v>2017/2018-Ganjil</v>
      </c>
      <c r="R1901" t="s">
        <v>260</v>
      </c>
      <c r="S1901" t="str">
        <f t="shared" si="276"/>
        <v>PA</v>
      </c>
    </row>
    <row r="1902" spans="1:19" x14ac:dyDescent="0.3">
      <c r="A1902" t="s">
        <v>12</v>
      </c>
      <c r="B1902">
        <v>2016110053</v>
      </c>
      <c r="C1902" t="s">
        <v>72</v>
      </c>
      <c r="E1902" t="s">
        <v>283</v>
      </c>
      <c r="F1902" t="s">
        <v>284</v>
      </c>
      <c r="G1902">
        <v>2</v>
      </c>
      <c r="H1902" t="s">
        <v>438</v>
      </c>
      <c r="I1902" s="4">
        <f t="shared" si="280"/>
        <v>3</v>
      </c>
      <c r="J1902">
        <f t="shared" si="281"/>
        <v>6</v>
      </c>
      <c r="K1902">
        <v>54</v>
      </c>
      <c r="L1902">
        <v>20</v>
      </c>
      <c r="M1902" s="2">
        <v>2.7</v>
      </c>
      <c r="N1902" s="2">
        <v>3.03</v>
      </c>
      <c r="O1902">
        <v>0</v>
      </c>
      <c r="P1902">
        <v>7</v>
      </c>
      <c r="Q1902" s="4" t="str">
        <f t="shared" si="279"/>
        <v>2019/2020-Ganjil</v>
      </c>
      <c r="R1902" t="s">
        <v>260</v>
      </c>
      <c r="S1902" t="str">
        <f t="shared" si="276"/>
        <v>PA</v>
      </c>
    </row>
    <row r="1903" spans="1:19" x14ac:dyDescent="0.3">
      <c r="A1903" t="s">
        <v>12</v>
      </c>
      <c r="B1903">
        <v>2016110053</v>
      </c>
      <c r="C1903" t="s">
        <v>72</v>
      </c>
      <c r="E1903" t="s">
        <v>211</v>
      </c>
      <c r="F1903" t="s">
        <v>186</v>
      </c>
      <c r="G1903">
        <v>4</v>
      </c>
      <c r="H1903" t="s">
        <v>438</v>
      </c>
      <c r="I1903" s="4">
        <f t="shared" si="280"/>
        <v>3</v>
      </c>
      <c r="J1903">
        <f t="shared" si="281"/>
        <v>12</v>
      </c>
      <c r="K1903">
        <v>54</v>
      </c>
      <c r="L1903">
        <v>22</v>
      </c>
      <c r="M1903" s="2">
        <v>2.4500000000000002</v>
      </c>
      <c r="N1903" s="2">
        <v>3.03</v>
      </c>
      <c r="O1903">
        <v>0</v>
      </c>
      <c r="P1903">
        <v>5</v>
      </c>
      <c r="Q1903" s="4" t="str">
        <f t="shared" si="279"/>
        <v>2018/2019-Ganjil</v>
      </c>
      <c r="R1903" t="s">
        <v>260</v>
      </c>
      <c r="S1903" t="str">
        <f t="shared" si="276"/>
        <v>PA</v>
      </c>
    </row>
    <row r="1904" spans="1:19" x14ac:dyDescent="0.3">
      <c r="A1904" t="s">
        <v>12</v>
      </c>
      <c r="B1904">
        <v>2016110053</v>
      </c>
      <c r="C1904" t="s">
        <v>72</v>
      </c>
      <c r="E1904" t="s">
        <v>170</v>
      </c>
      <c r="F1904" t="s">
        <v>171</v>
      </c>
      <c r="G1904">
        <v>4</v>
      </c>
      <c r="H1904" t="s">
        <v>438</v>
      </c>
      <c r="I1904" s="4">
        <f t="shared" si="280"/>
        <v>3</v>
      </c>
      <c r="J1904">
        <f t="shared" si="281"/>
        <v>12</v>
      </c>
      <c r="K1904">
        <v>56</v>
      </c>
      <c r="L1904">
        <v>18</v>
      </c>
      <c r="M1904" s="2">
        <v>3.11</v>
      </c>
      <c r="N1904" s="2">
        <v>3.03</v>
      </c>
      <c r="O1904">
        <v>0</v>
      </c>
      <c r="P1904">
        <v>3</v>
      </c>
      <c r="Q1904" s="4" t="str">
        <f t="shared" si="279"/>
        <v>2017/2018-Ganjil</v>
      </c>
      <c r="R1904" t="s">
        <v>260</v>
      </c>
      <c r="S1904" t="str">
        <f t="shared" si="276"/>
        <v>PA</v>
      </c>
    </row>
    <row r="1905" spans="1:19" x14ac:dyDescent="0.3">
      <c r="A1905" t="s">
        <v>12</v>
      </c>
      <c r="B1905">
        <v>2016110053</v>
      </c>
      <c r="C1905" t="s">
        <v>72</v>
      </c>
      <c r="E1905" t="s">
        <v>437</v>
      </c>
      <c r="F1905" t="s">
        <v>169</v>
      </c>
      <c r="G1905">
        <v>4</v>
      </c>
      <c r="H1905" t="s">
        <v>438</v>
      </c>
      <c r="I1905" s="4">
        <f t="shared" si="280"/>
        <v>3</v>
      </c>
      <c r="J1905">
        <f t="shared" si="281"/>
        <v>12</v>
      </c>
      <c r="K1905">
        <v>62</v>
      </c>
      <c r="L1905">
        <v>20</v>
      </c>
      <c r="M1905" s="2">
        <v>3.1</v>
      </c>
      <c r="N1905" s="2">
        <v>3.03</v>
      </c>
      <c r="O1905">
        <v>0</v>
      </c>
      <c r="P1905">
        <v>1</v>
      </c>
      <c r="Q1905" s="4" t="str">
        <f t="shared" si="279"/>
        <v>2016/2017-Ganjil</v>
      </c>
      <c r="R1905" t="s">
        <v>260</v>
      </c>
      <c r="S1905" t="str">
        <f t="shared" si="276"/>
        <v>PA</v>
      </c>
    </row>
    <row r="1906" spans="1:19" x14ac:dyDescent="0.3">
      <c r="A1906" t="s">
        <v>12</v>
      </c>
      <c r="B1906">
        <v>2016110053</v>
      </c>
      <c r="C1906" t="s">
        <v>72</v>
      </c>
      <c r="E1906" t="s">
        <v>276</v>
      </c>
      <c r="F1906" t="s">
        <v>137</v>
      </c>
      <c r="G1906">
        <v>4</v>
      </c>
      <c r="H1906" t="s">
        <v>438</v>
      </c>
      <c r="I1906" s="4">
        <f t="shared" si="280"/>
        <v>3</v>
      </c>
      <c r="J1906">
        <f t="shared" si="281"/>
        <v>12</v>
      </c>
      <c r="K1906">
        <v>52</v>
      </c>
      <c r="L1906">
        <v>20</v>
      </c>
      <c r="M1906" s="2">
        <v>2.6</v>
      </c>
      <c r="N1906" s="2">
        <v>3.03</v>
      </c>
      <c r="O1906">
        <v>0</v>
      </c>
      <c r="P1906">
        <v>8</v>
      </c>
      <c r="Q1906" s="4" t="str">
        <f t="shared" si="279"/>
        <v>2019/2020-Genap</v>
      </c>
      <c r="R1906" t="s">
        <v>596</v>
      </c>
      <c r="S1906" t="str">
        <f t="shared" si="276"/>
        <v>PA</v>
      </c>
    </row>
    <row r="1907" spans="1:19" x14ac:dyDescent="0.3">
      <c r="A1907" t="s">
        <v>12</v>
      </c>
      <c r="B1907">
        <v>2016110053</v>
      </c>
      <c r="C1907" t="s">
        <v>72</v>
      </c>
      <c r="E1907" t="s">
        <v>427</v>
      </c>
      <c r="F1907" t="s">
        <v>428</v>
      </c>
      <c r="G1907">
        <v>2</v>
      </c>
      <c r="H1907" t="s">
        <v>438</v>
      </c>
      <c r="I1907" s="4">
        <f t="shared" si="280"/>
        <v>3</v>
      </c>
      <c r="J1907">
        <f t="shared" si="281"/>
        <v>6</v>
      </c>
      <c r="K1907">
        <v>56</v>
      </c>
      <c r="L1907">
        <v>20</v>
      </c>
      <c r="M1907" s="2">
        <v>2.8</v>
      </c>
      <c r="N1907" s="2">
        <v>3.03</v>
      </c>
      <c r="O1907">
        <v>0</v>
      </c>
      <c r="P1907">
        <v>6</v>
      </c>
      <c r="Q1907" s="4" t="str">
        <f t="shared" si="279"/>
        <v>2018/2019-Genap</v>
      </c>
      <c r="R1907" t="s">
        <v>260</v>
      </c>
      <c r="S1907" t="str">
        <f t="shared" si="276"/>
        <v>PA</v>
      </c>
    </row>
    <row r="1908" spans="1:19" x14ac:dyDescent="0.3">
      <c r="A1908" t="s">
        <v>12</v>
      </c>
      <c r="B1908">
        <v>2016110053</v>
      </c>
      <c r="C1908" t="s">
        <v>72</v>
      </c>
      <c r="E1908" t="s">
        <v>248</v>
      </c>
      <c r="F1908" t="s">
        <v>249</v>
      </c>
      <c r="G1908">
        <v>2</v>
      </c>
      <c r="H1908" t="s">
        <v>438</v>
      </c>
      <c r="I1908" s="4">
        <f t="shared" si="280"/>
        <v>3</v>
      </c>
      <c r="J1908">
        <f t="shared" si="281"/>
        <v>6</v>
      </c>
      <c r="K1908">
        <v>66</v>
      </c>
      <c r="L1908">
        <v>24</v>
      </c>
      <c r="M1908" s="2">
        <v>2.75</v>
      </c>
      <c r="N1908" s="2">
        <v>3.03</v>
      </c>
      <c r="O1908">
        <v>0</v>
      </c>
      <c r="P1908">
        <v>4</v>
      </c>
      <c r="Q1908" s="4" t="str">
        <f t="shared" si="279"/>
        <v>2017/2018-Genap</v>
      </c>
      <c r="R1908" t="s">
        <v>260</v>
      </c>
      <c r="S1908" t="str">
        <f t="shared" si="276"/>
        <v>PA</v>
      </c>
    </row>
    <row r="1909" spans="1:19" x14ac:dyDescent="0.3">
      <c r="A1909" t="s">
        <v>12</v>
      </c>
      <c r="B1909">
        <v>2016110053</v>
      </c>
      <c r="C1909" t="s">
        <v>72</v>
      </c>
      <c r="E1909" t="s">
        <v>39</v>
      </c>
      <c r="F1909" t="s">
        <v>11</v>
      </c>
      <c r="G1909">
        <v>2</v>
      </c>
      <c r="H1909" t="s">
        <v>438</v>
      </c>
      <c r="I1909" s="4">
        <f t="shared" si="280"/>
        <v>3</v>
      </c>
      <c r="J1909">
        <f t="shared" si="281"/>
        <v>6</v>
      </c>
      <c r="K1909">
        <v>56</v>
      </c>
      <c r="L1909">
        <v>20</v>
      </c>
      <c r="M1909" s="2">
        <v>2.8</v>
      </c>
      <c r="N1909" s="2">
        <v>3.03</v>
      </c>
      <c r="O1909">
        <v>0</v>
      </c>
      <c r="P1909">
        <v>6</v>
      </c>
      <c r="Q1909" s="4" t="str">
        <f t="shared" si="279"/>
        <v>2018/2019-Genap</v>
      </c>
      <c r="R1909" t="s">
        <v>260</v>
      </c>
      <c r="S1909" t="str">
        <f t="shared" si="276"/>
        <v>PA</v>
      </c>
    </row>
    <row r="1910" spans="1:19" x14ac:dyDescent="0.3">
      <c r="A1910" t="s">
        <v>12</v>
      </c>
      <c r="B1910">
        <v>2016110053</v>
      </c>
      <c r="C1910" t="s">
        <v>72</v>
      </c>
      <c r="E1910" t="s">
        <v>279</v>
      </c>
      <c r="F1910" t="s">
        <v>280</v>
      </c>
      <c r="G1910">
        <v>2</v>
      </c>
      <c r="H1910" t="s">
        <v>438</v>
      </c>
      <c r="I1910" s="4">
        <f t="shared" si="280"/>
        <v>3</v>
      </c>
      <c r="J1910">
        <f t="shared" si="281"/>
        <v>6</v>
      </c>
      <c r="K1910">
        <v>38</v>
      </c>
      <c r="L1910">
        <v>16</v>
      </c>
      <c r="M1910" s="2">
        <v>2.38</v>
      </c>
      <c r="N1910" s="2">
        <v>3.03</v>
      </c>
      <c r="O1910">
        <v>0</v>
      </c>
      <c r="P1910">
        <v>2</v>
      </c>
      <c r="Q1910" s="4" t="str">
        <f t="shared" si="279"/>
        <v>2016/2017-Genap</v>
      </c>
      <c r="R1910" t="s">
        <v>260</v>
      </c>
      <c r="S1910" t="str">
        <f t="shared" si="276"/>
        <v>PA</v>
      </c>
    </row>
    <row r="1911" spans="1:19" x14ac:dyDescent="0.3">
      <c r="A1911" t="s">
        <v>12</v>
      </c>
      <c r="B1911">
        <v>2016110053</v>
      </c>
      <c r="C1911" t="s">
        <v>72</v>
      </c>
      <c r="E1911" t="s">
        <v>262</v>
      </c>
      <c r="F1911" t="s">
        <v>263</v>
      </c>
      <c r="G1911">
        <v>2</v>
      </c>
      <c r="H1911" t="s">
        <v>438</v>
      </c>
      <c r="I1911" s="4">
        <f t="shared" si="280"/>
        <v>3</v>
      </c>
      <c r="J1911">
        <f t="shared" si="281"/>
        <v>6</v>
      </c>
      <c r="K1911">
        <v>56</v>
      </c>
      <c r="L1911">
        <v>20</v>
      </c>
      <c r="M1911" s="2">
        <v>2.8</v>
      </c>
      <c r="N1911" s="2">
        <v>3.03</v>
      </c>
      <c r="O1911">
        <v>0</v>
      </c>
      <c r="P1911">
        <v>6</v>
      </c>
      <c r="Q1911" s="4" t="str">
        <f t="shared" ref="Q1911:Q1927" si="282">IF(P1911=1,"2016/2017-Ganjil",IF(P1911=2,"2016/2017-Genap",IF(P1911=3,"2017/2018-Ganjil",IF(P1911=4,"2017/2018-Genap",IF(P1911=5,"2018/2019-Ganjil",IF(P1911=6,"2018/2019-Genap",IF(P1911=7,"2019/2020-Ganjil",IF(P1911=8,"2019/2020-Genap",IF(P1911=9,"2020/2021-Ganjil","2020/2021-Genap")))))))))</f>
        <v>2018/2019-Genap</v>
      </c>
      <c r="R1911" t="s">
        <v>260</v>
      </c>
      <c r="S1911" t="str">
        <f t="shared" si="276"/>
        <v>PA</v>
      </c>
    </row>
    <row r="1912" spans="1:19" x14ac:dyDescent="0.3">
      <c r="A1912" t="s">
        <v>12</v>
      </c>
      <c r="B1912">
        <v>2016110053</v>
      </c>
      <c r="C1912" t="s">
        <v>72</v>
      </c>
      <c r="E1912" t="s">
        <v>334</v>
      </c>
      <c r="F1912" t="s">
        <v>335</v>
      </c>
      <c r="G1912">
        <v>2</v>
      </c>
      <c r="H1912" t="s">
        <v>438</v>
      </c>
      <c r="I1912" s="4">
        <f t="shared" si="280"/>
        <v>3</v>
      </c>
      <c r="J1912">
        <f t="shared" si="281"/>
        <v>6</v>
      </c>
      <c r="K1912">
        <v>54</v>
      </c>
      <c r="L1912">
        <v>22</v>
      </c>
      <c r="M1912" s="2">
        <v>2.4500000000000002</v>
      </c>
      <c r="N1912" s="2">
        <v>3.03</v>
      </c>
      <c r="O1912">
        <v>0</v>
      </c>
      <c r="P1912">
        <v>5</v>
      </c>
      <c r="Q1912" s="4" t="str">
        <f t="shared" si="282"/>
        <v>2018/2019-Ganjil</v>
      </c>
      <c r="R1912" t="s">
        <v>260</v>
      </c>
      <c r="S1912" t="str">
        <f t="shared" si="276"/>
        <v>PA</v>
      </c>
    </row>
    <row r="1913" spans="1:19" x14ac:dyDescent="0.3">
      <c r="A1913" t="s">
        <v>12</v>
      </c>
      <c r="B1913">
        <v>2016110053</v>
      </c>
      <c r="C1913" t="s">
        <v>72</v>
      </c>
      <c r="E1913" t="s">
        <v>330</v>
      </c>
      <c r="F1913" t="s">
        <v>108</v>
      </c>
      <c r="G1913">
        <v>2</v>
      </c>
      <c r="H1913" t="s">
        <v>438</v>
      </c>
      <c r="I1913" s="4">
        <f t="shared" si="280"/>
        <v>3</v>
      </c>
      <c r="J1913">
        <f t="shared" si="281"/>
        <v>6</v>
      </c>
      <c r="K1913">
        <v>54</v>
      </c>
      <c r="L1913">
        <v>20</v>
      </c>
      <c r="M1913" s="2">
        <v>2.7</v>
      </c>
      <c r="N1913" s="2">
        <v>3.03</v>
      </c>
      <c r="O1913">
        <v>0</v>
      </c>
      <c r="P1913">
        <v>7</v>
      </c>
      <c r="Q1913" s="4" t="str">
        <f t="shared" si="282"/>
        <v>2019/2020-Ganjil</v>
      </c>
      <c r="R1913" t="s">
        <v>260</v>
      </c>
      <c r="S1913" t="str">
        <f t="shared" si="276"/>
        <v>PA</v>
      </c>
    </row>
    <row r="1914" spans="1:19" x14ac:dyDescent="0.3">
      <c r="A1914" t="s">
        <v>12</v>
      </c>
      <c r="B1914">
        <v>2016110053</v>
      </c>
      <c r="C1914" t="s">
        <v>72</v>
      </c>
      <c r="E1914" t="s">
        <v>14</v>
      </c>
      <c r="F1914" t="s">
        <v>15</v>
      </c>
      <c r="G1914">
        <v>2</v>
      </c>
      <c r="H1914" t="s">
        <v>438</v>
      </c>
      <c r="I1914" s="4">
        <f t="shared" si="280"/>
        <v>3</v>
      </c>
      <c r="J1914">
        <f t="shared" si="281"/>
        <v>6</v>
      </c>
      <c r="K1914">
        <v>52</v>
      </c>
      <c r="L1914">
        <v>20</v>
      </c>
      <c r="M1914" s="2">
        <v>2.6</v>
      </c>
      <c r="N1914" s="2">
        <v>3.03</v>
      </c>
      <c r="O1914">
        <v>0</v>
      </c>
      <c r="P1914">
        <v>8</v>
      </c>
      <c r="Q1914" s="4" t="str">
        <f t="shared" si="282"/>
        <v>2019/2020-Genap</v>
      </c>
      <c r="R1914" t="s">
        <v>596</v>
      </c>
      <c r="S1914" t="str">
        <f t="shared" si="276"/>
        <v>PA</v>
      </c>
    </row>
    <row r="1915" spans="1:19" x14ac:dyDescent="0.3">
      <c r="A1915" t="s">
        <v>12</v>
      </c>
      <c r="B1915">
        <v>2016110053</v>
      </c>
      <c r="C1915" t="s">
        <v>72</v>
      </c>
      <c r="E1915" t="s">
        <v>370</v>
      </c>
      <c r="F1915" t="s">
        <v>371</v>
      </c>
      <c r="G1915">
        <v>2</v>
      </c>
      <c r="H1915" t="s">
        <v>438</v>
      </c>
      <c r="I1915" s="4">
        <f t="shared" si="280"/>
        <v>3</v>
      </c>
      <c r="J1915">
        <f t="shared" si="281"/>
        <v>6</v>
      </c>
      <c r="K1915">
        <v>54</v>
      </c>
      <c r="L1915">
        <v>22</v>
      </c>
      <c r="M1915" s="2">
        <v>2.4500000000000002</v>
      </c>
      <c r="N1915" s="2">
        <v>3.03</v>
      </c>
      <c r="O1915">
        <v>0</v>
      </c>
      <c r="P1915">
        <v>5</v>
      </c>
      <c r="Q1915" s="4" t="str">
        <f t="shared" si="282"/>
        <v>2018/2019-Ganjil</v>
      </c>
      <c r="R1915" t="s">
        <v>260</v>
      </c>
      <c r="S1915" t="str">
        <f t="shared" si="276"/>
        <v>PA</v>
      </c>
    </row>
    <row r="1916" spans="1:19" x14ac:dyDescent="0.3">
      <c r="A1916" t="s">
        <v>12</v>
      </c>
      <c r="B1916">
        <v>2016110053</v>
      </c>
      <c r="C1916" t="s">
        <v>72</v>
      </c>
      <c r="E1916" t="s">
        <v>348</v>
      </c>
      <c r="F1916" t="s">
        <v>402</v>
      </c>
      <c r="G1916">
        <v>4</v>
      </c>
      <c r="H1916" t="s">
        <v>438</v>
      </c>
      <c r="I1916" s="4">
        <f t="shared" si="280"/>
        <v>3</v>
      </c>
      <c r="J1916">
        <f t="shared" si="281"/>
        <v>12</v>
      </c>
      <c r="K1916">
        <v>66</v>
      </c>
      <c r="L1916">
        <v>24</v>
      </c>
      <c r="M1916" s="2">
        <v>2.75</v>
      </c>
      <c r="N1916" s="2">
        <v>3.03</v>
      </c>
      <c r="O1916">
        <v>0</v>
      </c>
      <c r="P1916">
        <v>4</v>
      </c>
      <c r="Q1916" s="4" t="str">
        <f t="shared" si="282"/>
        <v>2017/2018-Genap</v>
      </c>
      <c r="R1916" t="s">
        <v>260</v>
      </c>
      <c r="S1916" t="str">
        <f t="shared" si="276"/>
        <v>PA</v>
      </c>
    </row>
    <row r="1917" spans="1:19" x14ac:dyDescent="0.3">
      <c r="A1917" t="s">
        <v>12</v>
      </c>
      <c r="B1917">
        <v>2016110053</v>
      </c>
      <c r="C1917" t="s">
        <v>72</v>
      </c>
      <c r="E1917" t="s">
        <v>387</v>
      </c>
      <c r="F1917" t="s">
        <v>388</v>
      </c>
      <c r="G1917">
        <v>2</v>
      </c>
      <c r="H1917" t="s">
        <v>438</v>
      </c>
      <c r="I1917" s="4">
        <f t="shared" si="280"/>
        <v>3</v>
      </c>
      <c r="J1917">
        <f t="shared" si="281"/>
        <v>6</v>
      </c>
      <c r="K1917">
        <v>52</v>
      </c>
      <c r="L1917">
        <v>20</v>
      </c>
      <c r="M1917" s="2">
        <v>2.6</v>
      </c>
      <c r="N1917" s="2">
        <v>3.03</v>
      </c>
      <c r="O1917">
        <v>0</v>
      </c>
      <c r="P1917">
        <v>8</v>
      </c>
      <c r="Q1917" s="4" t="str">
        <f t="shared" si="282"/>
        <v>2019/2020-Genap</v>
      </c>
      <c r="R1917" t="s">
        <v>596</v>
      </c>
      <c r="S1917" t="str">
        <f t="shared" si="276"/>
        <v>PA</v>
      </c>
    </row>
    <row r="1918" spans="1:19" x14ac:dyDescent="0.3">
      <c r="A1918" t="s">
        <v>12</v>
      </c>
      <c r="B1918">
        <v>2016110053</v>
      </c>
      <c r="C1918" t="s">
        <v>72</v>
      </c>
      <c r="E1918" t="s">
        <v>360</v>
      </c>
      <c r="F1918" t="s">
        <v>361</v>
      </c>
      <c r="G1918">
        <v>2</v>
      </c>
      <c r="H1918" t="s">
        <v>524</v>
      </c>
      <c r="I1918" s="4">
        <f t="shared" si="280"/>
        <v>2</v>
      </c>
      <c r="J1918">
        <f t="shared" si="281"/>
        <v>4</v>
      </c>
      <c r="K1918">
        <v>66</v>
      </c>
      <c r="L1918">
        <v>24</v>
      </c>
      <c r="M1918" s="2">
        <v>2.75</v>
      </c>
      <c r="N1918" s="2">
        <v>3.03</v>
      </c>
      <c r="O1918">
        <v>0</v>
      </c>
      <c r="P1918">
        <v>4</v>
      </c>
      <c r="Q1918" s="4" t="str">
        <f t="shared" si="282"/>
        <v>2017/2018-Genap</v>
      </c>
      <c r="R1918" t="s">
        <v>260</v>
      </c>
      <c r="S1918" t="str">
        <f t="shared" si="276"/>
        <v>PA</v>
      </c>
    </row>
    <row r="1919" spans="1:19" x14ac:dyDescent="0.3">
      <c r="A1919" t="s">
        <v>12</v>
      </c>
      <c r="B1919">
        <v>2016110053</v>
      </c>
      <c r="C1919" t="s">
        <v>72</v>
      </c>
      <c r="E1919" t="s">
        <v>139</v>
      </c>
      <c r="F1919" t="s">
        <v>140</v>
      </c>
      <c r="G1919">
        <v>2</v>
      </c>
      <c r="H1919" t="s">
        <v>524</v>
      </c>
      <c r="I1919" s="4">
        <f t="shared" si="280"/>
        <v>2</v>
      </c>
      <c r="J1919">
        <f t="shared" si="281"/>
        <v>4</v>
      </c>
      <c r="K1919">
        <v>38</v>
      </c>
      <c r="L1919">
        <v>16</v>
      </c>
      <c r="M1919" s="2">
        <v>2.38</v>
      </c>
      <c r="N1919" s="2">
        <v>3.03</v>
      </c>
      <c r="O1919">
        <v>0</v>
      </c>
      <c r="P1919">
        <v>2</v>
      </c>
      <c r="Q1919" s="4" t="str">
        <f t="shared" si="282"/>
        <v>2016/2017-Genap</v>
      </c>
      <c r="R1919" t="s">
        <v>260</v>
      </c>
      <c r="S1919" t="str">
        <f t="shared" si="276"/>
        <v>PA</v>
      </c>
    </row>
    <row r="1920" spans="1:19" x14ac:dyDescent="0.3">
      <c r="A1920" t="s">
        <v>12</v>
      </c>
      <c r="B1920">
        <v>2016110053</v>
      </c>
      <c r="C1920" t="s">
        <v>72</v>
      </c>
      <c r="E1920" t="s">
        <v>103</v>
      </c>
      <c r="F1920" t="s">
        <v>104</v>
      </c>
      <c r="G1920">
        <v>4</v>
      </c>
      <c r="H1920" t="s">
        <v>524</v>
      </c>
      <c r="I1920" s="4">
        <f t="shared" si="280"/>
        <v>2</v>
      </c>
      <c r="J1920">
        <f t="shared" si="281"/>
        <v>8</v>
      </c>
      <c r="K1920">
        <v>38</v>
      </c>
      <c r="L1920">
        <v>16</v>
      </c>
      <c r="M1920" s="2">
        <v>2.38</v>
      </c>
      <c r="N1920" s="2">
        <v>3.03</v>
      </c>
      <c r="O1920">
        <v>0</v>
      </c>
      <c r="P1920">
        <v>2</v>
      </c>
      <c r="Q1920" s="4" t="str">
        <f t="shared" si="282"/>
        <v>2016/2017-Genap</v>
      </c>
      <c r="R1920" t="s">
        <v>260</v>
      </c>
      <c r="S1920" t="str">
        <f t="shared" si="276"/>
        <v>PA</v>
      </c>
    </row>
    <row r="1921" spans="1:19" x14ac:dyDescent="0.3">
      <c r="A1921" t="s">
        <v>12</v>
      </c>
      <c r="B1921">
        <v>2016110053</v>
      </c>
      <c r="C1921" t="s">
        <v>72</v>
      </c>
      <c r="E1921" t="s">
        <v>103</v>
      </c>
      <c r="F1921" t="s">
        <v>104</v>
      </c>
      <c r="G1921">
        <v>4</v>
      </c>
      <c r="H1921" t="s">
        <v>260</v>
      </c>
      <c r="I1921" s="4">
        <f t="shared" si="280"/>
        <v>4</v>
      </c>
      <c r="J1921">
        <f t="shared" si="281"/>
        <v>16</v>
      </c>
      <c r="K1921">
        <v>66</v>
      </c>
      <c r="L1921">
        <v>24</v>
      </c>
      <c r="M1921" s="2">
        <v>2.75</v>
      </c>
      <c r="N1921" s="2">
        <v>3.03</v>
      </c>
      <c r="O1921">
        <v>1</v>
      </c>
      <c r="P1921">
        <v>4</v>
      </c>
      <c r="Q1921" s="4" t="str">
        <f t="shared" si="282"/>
        <v>2017/2018-Genap</v>
      </c>
      <c r="R1921" t="s">
        <v>260</v>
      </c>
      <c r="S1921" t="str">
        <f t="shared" si="276"/>
        <v>PA</v>
      </c>
    </row>
    <row r="1922" spans="1:19" x14ac:dyDescent="0.3">
      <c r="A1922" t="s">
        <v>12</v>
      </c>
      <c r="B1922">
        <v>2016110053</v>
      </c>
      <c r="C1922" t="s">
        <v>72</v>
      </c>
      <c r="E1922" t="s">
        <v>234</v>
      </c>
      <c r="F1922" t="s">
        <v>235</v>
      </c>
      <c r="G1922">
        <v>4</v>
      </c>
      <c r="H1922" t="s">
        <v>524</v>
      </c>
      <c r="I1922" s="4">
        <f t="shared" si="280"/>
        <v>2</v>
      </c>
      <c r="J1922">
        <f t="shared" si="281"/>
        <v>8</v>
      </c>
      <c r="K1922">
        <v>54</v>
      </c>
      <c r="L1922">
        <v>20</v>
      </c>
      <c r="M1922" s="2">
        <v>2.7</v>
      </c>
      <c r="N1922" s="2">
        <v>3.03</v>
      </c>
      <c r="O1922">
        <v>0</v>
      </c>
      <c r="P1922">
        <v>7</v>
      </c>
      <c r="Q1922" s="4" t="str">
        <f t="shared" si="282"/>
        <v>2019/2020-Ganjil</v>
      </c>
      <c r="R1922" t="s">
        <v>260</v>
      </c>
      <c r="S1922" t="str">
        <f t="shared" si="276"/>
        <v>PA</v>
      </c>
    </row>
    <row r="1923" spans="1:19" x14ac:dyDescent="0.3">
      <c r="A1923" t="s">
        <v>12</v>
      </c>
      <c r="B1923">
        <v>2016110053</v>
      </c>
      <c r="C1923" t="s">
        <v>72</v>
      </c>
      <c r="E1923" t="s">
        <v>382</v>
      </c>
      <c r="F1923" t="s">
        <v>383</v>
      </c>
      <c r="G1923">
        <v>4</v>
      </c>
      <c r="H1923" t="s">
        <v>524</v>
      </c>
      <c r="I1923" s="4">
        <f t="shared" si="280"/>
        <v>2</v>
      </c>
      <c r="J1923">
        <f t="shared" si="281"/>
        <v>8</v>
      </c>
      <c r="K1923">
        <v>54</v>
      </c>
      <c r="L1923">
        <v>22</v>
      </c>
      <c r="M1923" s="2">
        <v>2.4500000000000002</v>
      </c>
      <c r="N1923" s="2">
        <v>3.03</v>
      </c>
      <c r="O1923">
        <v>0</v>
      </c>
      <c r="P1923">
        <v>5</v>
      </c>
      <c r="Q1923" s="4" t="str">
        <f t="shared" si="282"/>
        <v>2018/2019-Ganjil</v>
      </c>
      <c r="R1923" t="s">
        <v>260</v>
      </c>
      <c r="S1923" t="str">
        <f t="shared" si="276"/>
        <v>PA</v>
      </c>
    </row>
    <row r="1924" spans="1:19" x14ac:dyDescent="0.3">
      <c r="A1924" t="s">
        <v>12</v>
      </c>
      <c r="B1924">
        <v>2016110053</v>
      </c>
      <c r="C1924" t="s">
        <v>72</v>
      </c>
      <c r="E1924" t="s">
        <v>31</v>
      </c>
      <c r="F1924" t="s">
        <v>20</v>
      </c>
      <c r="G1924">
        <v>4</v>
      </c>
      <c r="H1924" t="s">
        <v>524</v>
      </c>
      <c r="I1924" s="4">
        <f t="shared" si="280"/>
        <v>2</v>
      </c>
      <c r="J1924">
        <f t="shared" si="281"/>
        <v>8</v>
      </c>
      <c r="K1924">
        <v>52</v>
      </c>
      <c r="L1924">
        <v>20</v>
      </c>
      <c r="M1924" s="2">
        <v>2.6</v>
      </c>
      <c r="N1924" s="2">
        <v>3.03</v>
      </c>
      <c r="O1924">
        <v>0</v>
      </c>
      <c r="P1924">
        <v>8</v>
      </c>
      <c r="Q1924" s="4" t="str">
        <f t="shared" si="282"/>
        <v>2019/2020-Genap</v>
      </c>
      <c r="R1924" t="s">
        <v>596</v>
      </c>
      <c r="S1924" t="str">
        <f t="shared" si="276"/>
        <v>PA</v>
      </c>
    </row>
    <row r="1925" spans="1:19" x14ac:dyDescent="0.3">
      <c r="A1925" t="s">
        <v>12</v>
      </c>
      <c r="B1925">
        <v>2016110053</v>
      </c>
      <c r="C1925" t="s">
        <v>72</v>
      </c>
      <c r="E1925" t="s">
        <v>90</v>
      </c>
      <c r="F1925" t="s">
        <v>91</v>
      </c>
      <c r="G1925">
        <v>2</v>
      </c>
      <c r="H1925" t="s">
        <v>524</v>
      </c>
      <c r="I1925" s="4">
        <f t="shared" si="280"/>
        <v>2</v>
      </c>
      <c r="J1925">
        <f t="shared" si="281"/>
        <v>4</v>
      </c>
      <c r="K1925">
        <v>54</v>
      </c>
      <c r="L1925">
        <v>20</v>
      </c>
      <c r="M1925" s="2">
        <v>2.7</v>
      </c>
      <c r="N1925" s="2">
        <v>3.03</v>
      </c>
      <c r="O1925">
        <v>1</v>
      </c>
      <c r="P1925">
        <v>7</v>
      </c>
      <c r="Q1925" s="4" t="str">
        <f t="shared" si="282"/>
        <v>2019/2020-Ganjil</v>
      </c>
      <c r="R1925" t="s">
        <v>260</v>
      </c>
      <c r="S1925" t="str">
        <f t="shared" si="276"/>
        <v>PA</v>
      </c>
    </row>
    <row r="1926" spans="1:19" x14ac:dyDescent="0.3">
      <c r="A1926" t="s">
        <v>12</v>
      </c>
      <c r="B1926">
        <v>2016110053</v>
      </c>
      <c r="C1926" t="s">
        <v>72</v>
      </c>
      <c r="E1926" t="s">
        <v>90</v>
      </c>
      <c r="F1926" t="s">
        <v>91</v>
      </c>
      <c r="G1926">
        <v>2</v>
      </c>
      <c r="H1926" t="s">
        <v>524</v>
      </c>
      <c r="I1926" s="4">
        <f t="shared" si="280"/>
        <v>2</v>
      </c>
      <c r="J1926">
        <f t="shared" si="281"/>
        <v>4</v>
      </c>
      <c r="K1926">
        <v>62</v>
      </c>
      <c r="L1926">
        <v>20</v>
      </c>
      <c r="M1926" s="2">
        <v>3.1</v>
      </c>
      <c r="N1926" s="2">
        <v>3.03</v>
      </c>
      <c r="O1926">
        <v>0</v>
      </c>
      <c r="P1926">
        <v>1</v>
      </c>
      <c r="Q1926" s="4" t="str">
        <f t="shared" si="282"/>
        <v>2016/2017-Ganjil</v>
      </c>
      <c r="R1926" t="s">
        <v>260</v>
      </c>
      <c r="S1926" t="str">
        <f t="shared" si="276"/>
        <v>PA</v>
      </c>
    </row>
    <row r="1927" spans="1:19" x14ac:dyDescent="0.3">
      <c r="A1927" t="s">
        <v>12</v>
      </c>
      <c r="B1927">
        <v>2016110053</v>
      </c>
      <c r="C1927" t="s">
        <v>72</v>
      </c>
      <c r="E1927" t="s">
        <v>309</v>
      </c>
      <c r="F1927" t="s">
        <v>310</v>
      </c>
      <c r="G1927">
        <v>4</v>
      </c>
      <c r="H1927" t="s">
        <v>524</v>
      </c>
      <c r="I1927" s="4">
        <f t="shared" si="280"/>
        <v>2</v>
      </c>
      <c r="J1927">
        <f t="shared" si="281"/>
        <v>8</v>
      </c>
      <c r="K1927">
        <v>66</v>
      </c>
      <c r="L1927">
        <v>24</v>
      </c>
      <c r="M1927" s="2">
        <v>2.75</v>
      </c>
      <c r="N1927" s="2">
        <v>3.03</v>
      </c>
      <c r="O1927">
        <v>0</v>
      </c>
      <c r="P1927">
        <v>4</v>
      </c>
      <c r="Q1927" s="4" t="str">
        <f t="shared" si="282"/>
        <v>2017/2018-Genap</v>
      </c>
      <c r="R1927" t="s">
        <v>260</v>
      </c>
      <c r="S1927" t="str">
        <f t="shared" si="276"/>
        <v>PA</v>
      </c>
    </row>
    <row r="1928" spans="1:19" x14ac:dyDescent="0.3">
      <c r="A1928" t="s">
        <v>12</v>
      </c>
      <c r="B1928">
        <v>2016110053</v>
      </c>
      <c r="C1928" t="s">
        <v>72</v>
      </c>
      <c r="E1928" t="s">
        <v>309</v>
      </c>
      <c r="F1928" t="s">
        <v>310</v>
      </c>
      <c r="G1928">
        <v>4</v>
      </c>
      <c r="H1928" t="s">
        <v>260</v>
      </c>
      <c r="I1928" s="4">
        <f t="shared" si="280"/>
        <v>4</v>
      </c>
      <c r="J1928">
        <f t="shared" si="281"/>
        <v>16</v>
      </c>
      <c r="K1928">
        <v>44</v>
      </c>
      <c r="L1928">
        <v>12</v>
      </c>
      <c r="M1928" s="2">
        <v>3.67</v>
      </c>
      <c r="N1928" s="2">
        <v>3.03</v>
      </c>
      <c r="O1928">
        <v>1</v>
      </c>
      <c r="P1928">
        <v>6</v>
      </c>
      <c r="Q1928" s="4" t="s">
        <v>572</v>
      </c>
      <c r="R1928" t="s">
        <v>260</v>
      </c>
      <c r="S1928" t="str">
        <f t="shared" si="276"/>
        <v>PA</v>
      </c>
    </row>
    <row r="1929" spans="1:19" x14ac:dyDescent="0.3">
      <c r="A1929" t="s">
        <v>12</v>
      </c>
      <c r="B1929">
        <v>2016110053</v>
      </c>
      <c r="C1929" t="s">
        <v>72</v>
      </c>
      <c r="E1929" t="s">
        <v>432</v>
      </c>
      <c r="F1929" t="s">
        <v>433</v>
      </c>
      <c r="G1929">
        <v>4</v>
      </c>
      <c r="H1929" t="s">
        <v>524</v>
      </c>
      <c r="I1929" s="4">
        <f t="shared" si="280"/>
        <v>2</v>
      </c>
      <c r="J1929">
        <f t="shared" si="281"/>
        <v>8</v>
      </c>
      <c r="K1929">
        <v>66</v>
      </c>
      <c r="L1929">
        <v>24</v>
      </c>
      <c r="M1929" s="2">
        <v>2.75</v>
      </c>
      <c r="N1929" s="2">
        <v>3.03</v>
      </c>
      <c r="O1929">
        <v>0</v>
      </c>
      <c r="P1929">
        <v>4</v>
      </c>
      <c r="Q1929" s="4" t="str">
        <f t="shared" ref="Q1929:Q1937" si="283">IF(P1929=1,"2016/2017-Ganjil",IF(P1929=2,"2016/2017-Genap",IF(P1929=3,"2017/2018-Ganjil",IF(P1929=4,"2017/2018-Genap",IF(P1929=5,"2018/2019-Ganjil",IF(P1929=6,"2018/2019-Genap",IF(P1929=7,"2019/2020-Ganjil",IF(P1929=8,"2019/2020-Genap",IF(P1929=9,"2020/2021-Ganjil","2020/2021-Genap")))))))))</f>
        <v>2017/2018-Genap</v>
      </c>
      <c r="R1929" t="s">
        <v>260</v>
      </c>
      <c r="S1929" t="str">
        <f t="shared" si="276"/>
        <v>PA</v>
      </c>
    </row>
    <row r="1930" spans="1:19" x14ac:dyDescent="0.3">
      <c r="A1930" t="s">
        <v>12</v>
      </c>
      <c r="B1930">
        <v>2016110053</v>
      </c>
      <c r="C1930" t="s">
        <v>72</v>
      </c>
      <c r="E1930" t="s">
        <v>293</v>
      </c>
      <c r="F1930" t="s">
        <v>294</v>
      </c>
      <c r="G1930">
        <v>2</v>
      </c>
      <c r="H1930" t="s">
        <v>524</v>
      </c>
      <c r="I1930" s="4">
        <f t="shared" si="280"/>
        <v>2</v>
      </c>
      <c r="J1930">
        <f t="shared" si="281"/>
        <v>4</v>
      </c>
      <c r="K1930">
        <v>54</v>
      </c>
      <c r="L1930">
        <v>22</v>
      </c>
      <c r="M1930" s="2">
        <v>2.4500000000000002</v>
      </c>
      <c r="N1930" s="2">
        <v>3.03</v>
      </c>
      <c r="O1930">
        <v>0</v>
      </c>
      <c r="P1930">
        <v>5</v>
      </c>
      <c r="Q1930" s="4" t="str">
        <f t="shared" si="283"/>
        <v>2018/2019-Ganjil</v>
      </c>
      <c r="R1930" t="s">
        <v>260</v>
      </c>
      <c r="S1930" t="str">
        <f t="shared" si="276"/>
        <v>PA</v>
      </c>
    </row>
    <row r="1931" spans="1:19" x14ac:dyDescent="0.3">
      <c r="A1931" t="s">
        <v>12</v>
      </c>
      <c r="B1931">
        <v>2016110053</v>
      </c>
      <c r="C1931" t="s">
        <v>72</v>
      </c>
      <c r="E1931" t="s">
        <v>190</v>
      </c>
      <c r="F1931" t="s">
        <v>191</v>
      </c>
      <c r="G1931">
        <v>4</v>
      </c>
      <c r="H1931" t="s">
        <v>524</v>
      </c>
      <c r="I1931" s="4">
        <f t="shared" si="280"/>
        <v>2</v>
      </c>
      <c r="J1931">
        <f t="shared" si="281"/>
        <v>8</v>
      </c>
      <c r="K1931">
        <v>56</v>
      </c>
      <c r="L1931">
        <v>18</v>
      </c>
      <c r="M1931" s="2">
        <v>3.11</v>
      </c>
      <c r="N1931" s="2">
        <v>3.03</v>
      </c>
      <c r="O1931">
        <v>0</v>
      </c>
      <c r="P1931">
        <v>3</v>
      </c>
      <c r="Q1931" s="4" t="str">
        <f t="shared" si="283"/>
        <v>2017/2018-Ganjil</v>
      </c>
      <c r="R1931" t="s">
        <v>260</v>
      </c>
      <c r="S1931" t="str">
        <f t="shared" si="276"/>
        <v>PA</v>
      </c>
    </row>
    <row r="1932" spans="1:19" x14ac:dyDescent="0.3">
      <c r="A1932" t="s">
        <v>12</v>
      </c>
      <c r="B1932">
        <v>2016110053</v>
      </c>
      <c r="C1932" t="s">
        <v>72</v>
      </c>
      <c r="E1932" t="s">
        <v>122</v>
      </c>
      <c r="F1932" t="s">
        <v>123</v>
      </c>
      <c r="G1932">
        <v>4</v>
      </c>
      <c r="H1932" t="s">
        <v>524</v>
      </c>
      <c r="I1932" s="4">
        <f t="shared" si="280"/>
        <v>2</v>
      </c>
      <c r="J1932">
        <f t="shared" si="281"/>
        <v>8</v>
      </c>
      <c r="K1932">
        <v>54</v>
      </c>
      <c r="L1932">
        <v>20</v>
      </c>
      <c r="M1932" s="2">
        <v>2.7</v>
      </c>
      <c r="N1932" s="2">
        <v>3.03</v>
      </c>
      <c r="O1932">
        <v>1</v>
      </c>
      <c r="P1932">
        <v>7</v>
      </c>
      <c r="Q1932" s="4" t="str">
        <f t="shared" si="283"/>
        <v>2019/2020-Ganjil</v>
      </c>
      <c r="R1932" t="s">
        <v>260</v>
      </c>
      <c r="S1932" t="str">
        <f t="shared" si="276"/>
        <v>PA</v>
      </c>
    </row>
    <row r="1933" spans="1:19" x14ac:dyDescent="0.3">
      <c r="A1933" t="s">
        <v>12</v>
      </c>
      <c r="B1933">
        <v>2016110053</v>
      </c>
      <c r="C1933" t="s">
        <v>72</v>
      </c>
      <c r="E1933" t="s">
        <v>122</v>
      </c>
      <c r="F1933" t="s">
        <v>123</v>
      </c>
      <c r="G1933">
        <v>4</v>
      </c>
      <c r="H1933" t="s">
        <v>524</v>
      </c>
      <c r="I1933" s="4">
        <f t="shared" si="280"/>
        <v>2</v>
      </c>
      <c r="J1933">
        <f t="shared" si="281"/>
        <v>8</v>
      </c>
      <c r="K1933">
        <v>62</v>
      </c>
      <c r="L1933">
        <v>20</v>
      </c>
      <c r="M1933" s="2">
        <v>3.1</v>
      </c>
      <c r="N1933" s="2">
        <v>3.03</v>
      </c>
      <c r="O1933">
        <v>0</v>
      </c>
      <c r="P1933">
        <v>1</v>
      </c>
      <c r="Q1933" s="4" t="str">
        <f t="shared" si="283"/>
        <v>2016/2017-Ganjil</v>
      </c>
      <c r="R1933" t="s">
        <v>260</v>
      </c>
      <c r="S1933" t="str">
        <f t="shared" si="276"/>
        <v>PA</v>
      </c>
    </row>
    <row r="1934" spans="1:19" x14ac:dyDescent="0.3">
      <c r="A1934" t="s">
        <v>12</v>
      </c>
      <c r="B1934">
        <v>2016110053</v>
      </c>
      <c r="C1934" t="s">
        <v>72</v>
      </c>
      <c r="E1934" t="s">
        <v>257</v>
      </c>
      <c r="F1934" t="s">
        <v>258</v>
      </c>
      <c r="G1934">
        <v>4</v>
      </c>
      <c r="H1934" t="s">
        <v>524</v>
      </c>
      <c r="I1934" s="4">
        <f t="shared" si="280"/>
        <v>2</v>
      </c>
      <c r="J1934">
        <f t="shared" si="281"/>
        <v>8</v>
      </c>
      <c r="K1934">
        <v>52</v>
      </c>
      <c r="L1934">
        <v>20</v>
      </c>
      <c r="M1934" s="2">
        <v>2.6</v>
      </c>
      <c r="N1934" s="2">
        <v>3.03</v>
      </c>
      <c r="O1934">
        <v>1</v>
      </c>
      <c r="P1934">
        <v>8</v>
      </c>
      <c r="Q1934" s="4" t="str">
        <f t="shared" si="283"/>
        <v>2019/2020-Genap</v>
      </c>
      <c r="R1934" t="s">
        <v>596</v>
      </c>
      <c r="S1934" t="str">
        <f t="shared" si="276"/>
        <v>PA</v>
      </c>
    </row>
    <row r="1935" spans="1:19" x14ac:dyDescent="0.3">
      <c r="A1935" t="s">
        <v>12</v>
      </c>
      <c r="B1935">
        <v>2016110053</v>
      </c>
      <c r="C1935" t="s">
        <v>72</v>
      </c>
      <c r="E1935" t="s">
        <v>257</v>
      </c>
      <c r="F1935" t="s">
        <v>258</v>
      </c>
      <c r="G1935">
        <v>4</v>
      </c>
      <c r="H1935" t="s">
        <v>535</v>
      </c>
      <c r="I1935" s="4">
        <f t="shared" si="280"/>
        <v>1</v>
      </c>
      <c r="J1935">
        <f t="shared" si="281"/>
        <v>4</v>
      </c>
      <c r="K1935">
        <v>56</v>
      </c>
      <c r="L1935">
        <v>20</v>
      </c>
      <c r="M1935" s="2">
        <v>2.8</v>
      </c>
      <c r="N1935" s="2">
        <v>3.03</v>
      </c>
      <c r="O1935">
        <v>0</v>
      </c>
      <c r="P1935">
        <v>6</v>
      </c>
      <c r="Q1935" s="4" t="str">
        <f t="shared" si="283"/>
        <v>2018/2019-Genap</v>
      </c>
      <c r="R1935" t="s">
        <v>260</v>
      </c>
      <c r="S1935" t="str">
        <f t="shared" si="276"/>
        <v>FA</v>
      </c>
    </row>
    <row r="1936" spans="1:19" x14ac:dyDescent="0.3">
      <c r="A1936" t="s">
        <v>12</v>
      </c>
      <c r="B1936">
        <v>2016110053</v>
      </c>
      <c r="C1936" t="s">
        <v>72</v>
      </c>
      <c r="E1936" t="s">
        <v>100</v>
      </c>
      <c r="F1936" t="s">
        <v>101</v>
      </c>
      <c r="G1936">
        <v>4</v>
      </c>
      <c r="H1936" t="s">
        <v>535</v>
      </c>
      <c r="I1936" s="4">
        <f t="shared" si="280"/>
        <v>1</v>
      </c>
      <c r="J1936">
        <f t="shared" si="281"/>
        <v>4</v>
      </c>
      <c r="K1936">
        <v>38</v>
      </c>
      <c r="L1936">
        <v>16</v>
      </c>
      <c r="M1936" s="2">
        <v>2.38</v>
      </c>
      <c r="N1936" s="2">
        <v>3.03</v>
      </c>
      <c r="O1936">
        <v>0</v>
      </c>
      <c r="P1936">
        <v>2</v>
      </c>
      <c r="Q1936" s="4" t="str">
        <f t="shared" si="283"/>
        <v>2016/2017-Genap</v>
      </c>
      <c r="R1936" t="s">
        <v>260</v>
      </c>
      <c r="S1936" t="str">
        <f t="shared" si="276"/>
        <v>FA</v>
      </c>
    </row>
    <row r="1937" spans="1:19" x14ac:dyDescent="0.3">
      <c r="A1937" t="s">
        <v>12</v>
      </c>
      <c r="B1937">
        <v>2016110053</v>
      </c>
      <c r="C1937" t="s">
        <v>72</v>
      </c>
      <c r="E1937" t="s">
        <v>357</v>
      </c>
      <c r="F1937" t="s">
        <v>358</v>
      </c>
      <c r="G1937">
        <v>4</v>
      </c>
      <c r="H1937" t="s">
        <v>535</v>
      </c>
      <c r="I1937" s="4">
        <f t="shared" si="280"/>
        <v>1</v>
      </c>
      <c r="J1937">
        <f t="shared" si="281"/>
        <v>4</v>
      </c>
      <c r="K1937">
        <v>54</v>
      </c>
      <c r="L1937">
        <v>22</v>
      </c>
      <c r="M1937" s="2">
        <v>2.4500000000000002</v>
      </c>
      <c r="N1937" s="2">
        <v>3.03</v>
      </c>
      <c r="O1937">
        <v>0</v>
      </c>
      <c r="P1937">
        <v>5</v>
      </c>
      <c r="Q1937" s="4" t="str">
        <f t="shared" si="283"/>
        <v>2018/2019-Ganjil</v>
      </c>
      <c r="R1937" t="s">
        <v>260</v>
      </c>
      <c r="S1937" t="str">
        <f t="shared" si="276"/>
        <v>FA</v>
      </c>
    </row>
    <row r="1938" spans="1:19" x14ac:dyDescent="0.3">
      <c r="A1938" t="s">
        <v>12</v>
      </c>
      <c r="B1938">
        <v>2016110053</v>
      </c>
      <c r="C1938" t="s">
        <v>72</v>
      </c>
      <c r="E1938" t="s">
        <v>100</v>
      </c>
      <c r="F1938" t="s">
        <v>101</v>
      </c>
      <c r="G1938">
        <v>4</v>
      </c>
      <c r="H1938" t="s">
        <v>438</v>
      </c>
      <c r="I1938" s="4">
        <f t="shared" si="280"/>
        <v>3</v>
      </c>
      <c r="J1938">
        <f t="shared" si="281"/>
        <v>12</v>
      </c>
      <c r="K1938">
        <v>44</v>
      </c>
      <c r="L1938">
        <v>12</v>
      </c>
      <c r="M1938" s="2">
        <v>3.67</v>
      </c>
      <c r="N1938" s="2">
        <v>3.03</v>
      </c>
      <c r="O1938">
        <v>1</v>
      </c>
      <c r="P1938">
        <v>6</v>
      </c>
      <c r="Q1938" s="4" t="s">
        <v>572</v>
      </c>
      <c r="R1938" t="s">
        <v>260</v>
      </c>
      <c r="S1938" t="str">
        <f t="shared" si="276"/>
        <v>PA</v>
      </c>
    </row>
    <row r="1939" spans="1:19" x14ac:dyDescent="0.3">
      <c r="A1939" t="s">
        <v>12</v>
      </c>
      <c r="B1939">
        <v>2016110053</v>
      </c>
      <c r="C1939" t="s">
        <v>72</v>
      </c>
      <c r="E1939" t="s">
        <v>357</v>
      </c>
      <c r="F1939" t="s">
        <v>358</v>
      </c>
      <c r="G1939">
        <v>4</v>
      </c>
      <c r="H1939" t="s">
        <v>260</v>
      </c>
      <c r="I1939" s="4">
        <f t="shared" si="280"/>
        <v>4</v>
      </c>
      <c r="J1939">
        <f t="shared" si="281"/>
        <v>16</v>
      </c>
      <c r="K1939">
        <v>44</v>
      </c>
      <c r="L1939">
        <v>12</v>
      </c>
      <c r="M1939" s="2">
        <v>3.67</v>
      </c>
      <c r="N1939" s="2">
        <v>3.03</v>
      </c>
      <c r="O1939">
        <v>1</v>
      </c>
      <c r="P1939">
        <v>6</v>
      </c>
      <c r="Q1939" s="4" t="s">
        <v>572</v>
      </c>
      <c r="R1939" t="s">
        <v>260</v>
      </c>
      <c r="S1939" t="str">
        <f t="shared" si="276"/>
        <v>PA</v>
      </c>
    </row>
    <row r="1940" spans="1:19" x14ac:dyDescent="0.3">
      <c r="A1940" t="s">
        <v>12</v>
      </c>
      <c r="B1940">
        <v>2016110054</v>
      </c>
      <c r="C1940" t="s">
        <v>42</v>
      </c>
      <c r="E1940" t="s">
        <v>31</v>
      </c>
      <c r="F1940" t="s">
        <v>20</v>
      </c>
      <c r="G1940">
        <v>4</v>
      </c>
      <c r="I1940" s="4"/>
      <c r="J1940">
        <f t="shared" ref="J1940:J1942" si="284">G1940*I1940</f>
        <v>0</v>
      </c>
      <c r="K1940">
        <v>6</v>
      </c>
      <c r="L1940">
        <v>2</v>
      </c>
      <c r="M1940" s="2">
        <v>3</v>
      </c>
      <c r="N1940" s="2">
        <v>2.92</v>
      </c>
      <c r="O1940">
        <v>1</v>
      </c>
      <c r="P1940">
        <v>9</v>
      </c>
      <c r="Q1940" s="4" t="str">
        <f t="shared" ref="Q1940:Q1984" si="285">IF(P1940=1,"2016/2017-Ganjil",IF(P1940=2,"2016/2017-Genap",IF(P1940=3,"2017/2018-Ganjil",IF(P1940=4,"2017/2018-Genap",IF(P1940=5,"2018/2019-Ganjil",IF(P1940=6,"2018/2019-Genap",IF(P1940=7,"2019/2020-Ganjil",IF(P1940=8,"2019/2020-Genap",IF(P1940=9,"2020/2021-Ganjil","2020/2021-Genap")))))))))</f>
        <v>2020/2021-Ganjil</v>
      </c>
      <c r="R1940" t="s">
        <v>260</v>
      </c>
      <c r="S1940" t="s">
        <v>595</v>
      </c>
    </row>
    <row r="1941" spans="1:19" x14ac:dyDescent="0.3">
      <c r="A1941" t="s">
        <v>12</v>
      </c>
      <c r="B1941">
        <v>2016110054</v>
      </c>
      <c r="C1941" t="s">
        <v>42</v>
      </c>
      <c r="E1941" t="s">
        <v>31</v>
      </c>
      <c r="F1941" t="s">
        <v>20</v>
      </c>
      <c r="G1941">
        <v>4</v>
      </c>
      <c r="H1941" t="s">
        <v>524</v>
      </c>
      <c r="I1941" s="4">
        <f t="shared" ref="I1941:I1942" si="286">IF(H1941="A",4,IF(H1941="B",3,IF(H1941="C",2,IF(H1941="D",1,0))))</f>
        <v>2</v>
      </c>
      <c r="J1941">
        <f t="shared" si="284"/>
        <v>8</v>
      </c>
      <c r="K1941">
        <v>8</v>
      </c>
      <c r="L1941">
        <v>4</v>
      </c>
      <c r="M1941" s="2">
        <v>2</v>
      </c>
      <c r="N1941" s="2">
        <v>2.92</v>
      </c>
      <c r="O1941">
        <v>2</v>
      </c>
      <c r="P1941">
        <v>10</v>
      </c>
      <c r="Q1941" s="4" t="str">
        <f t="shared" si="285"/>
        <v>2020/2021-Genap</v>
      </c>
      <c r="R1941" t="s">
        <v>596</v>
      </c>
      <c r="S1941" t="str">
        <f t="shared" ref="S1941:S1942" si="287">IF(OR(H1941="A",H1941="B",H1941="C"),"PA","FA")</f>
        <v>PA</v>
      </c>
    </row>
    <row r="1942" spans="1:19" x14ac:dyDescent="0.3">
      <c r="A1942" t="s">
        <v>12</v>
      </c>
      <c r="B1942">
        <v>2016110054</v>
      </c>
      <c r="C1942" t="s">
        <v>42</v>
      </c>
      <c r="E1942" t="s">
        <v>14</v>
      </c>
      <c r="F1942" t="s">
        <v>15</v>
      </c>
      <c r="G1942">
        <v>2</v>
      </c>
      <c r="H1942" t="s">
        <v>438</v>
      </c>
      <c r="I1942" s="4">
        <f t="shared" si="286"/>
        <v>3</v>
      </c>
      <c r="J1942">
        <f t="shared" si="284"/>
        <v>6</v>
      </c>
      <c r="K1942">
        <v>6</v>
      </c>
      <c r="L1942">
        <v>2</v>
      </c>
      <c r="M1942" s="2">
        <v>3</v>
      </c>
      <c r="N1942" s="2">
        <v>2.92</v>
      </c>
      <c r="O1942">
        <v>1</v>
      </c>
      <c r="P1942">
        <v>9</v>
      </c>
      <c r="Q1942" s="4" t="str">
        <f t="shared" si="285"/>
        <v>2020/2021-Ganjil</v>
      </c>
      <c r="R1942" t="s">
        <v>260</v>
      </c>
      <c r="S1942" t="str">
        <f t="shared" si="287"/>
        <v>PA</v>
      </c>
    </row>
    <row r="1943" spans="1:19" x14ac:dyDescent="0.3">
      <c r="A1943" t="s">
        <v>12</v>
      </c>
      <c r="B1943">
        <v>2016110054</v>
      </c>
      <c r="C1943" t="s">
        <v>42</v>
      </c>
      <c r="E1943" t="s">
        <v>31</v>
      </c>
      <c r="F1943" t="s">
        <v>20</v>
      </c>
      <c r="G1943">
        <v>4</v>
      </c>
      <c r="I1943" s="4"/>
      <c r="J1943">
        <f t="shared" ref="J1943:J1945" si="288">G1943*I1943</f>
        <v>0</v>
      </c>
      <c r="K1943">
        <v>0</v>
      </c>
      <c r="L1943">
        <v>0</v>
      </c>
      <c r="M1943" s="2" t="s">
        <v>574</v>
      </c>
      <c r="N1943" s="2">
        <v>2.92</v>
      </c>
      <c r="O1943">
        <v>0</v>
      </c>
      <c r="P1943">
        <v>8</v>
      </c>
      <c r="Q1943" s="4" t="str">
        <f t="shared" si="285"/>
        <v>2019/2020-Genap</v>
      </c>
      <c r="R1943" t="s">
        <v>260</v>
      </c>
      <c r="S1943" t="s">
        <v>595</v>
      </c>
    </row>
    <row r="1944" spans="1:19" x14ac:dyDescent="0.3">
      <c r="A1944" t="s">
        <v>12</v>
      </c>
      <c r="B1944">
        <v>2016110054</v>
      </c>
      <c r="C1944" t="s">
        <v>42</v>
      </c>
      <c r="E1944" t="s">
        <v>14</v>
      </c>
      <c r="F1944" t="s">
        <v>15</v>
      </c>
      <c r="G1944">
        <v>2</v>
      </c>
      <c r="I1944" s="4"/>
      <c r="J1944">
        <f t="shared" si="288"/>
        <v>0</v>
      </c>
      <c r="K1944">
        <v>0</v>
      </c>
      <c r="L1944">
        <v>0</v>
      </c>
      <c r="M1944" s="2" t="s">
        <v>574</v>
      </c>
      <c r="N1944" s="2">
        <v>2.92</v>
      </c>
      <c r="O1944">
        <v>0</v>
      </c>
      <c r="P1944">
        <v>8</v>
      </c>
      <c r="Q1944" s="4" t="str">
        <f t="shared" si="285"/>
        <v>2019/2020-Genap</v>
      </c>
      <c r="R1944" t="s">
        <v>260</v>
      </c>
      <c r="S1944" t="s">
        <v>595</v>
      </c>
    </row>
    <row r="1945" spans="1:19" x14ac:dyDescent="0.3">
      <c r="A1945" t="s">
        <v>12</v>
      </c>
      <c r="B1945">
        <v>2016110054</v>
      </c>
      <c r="C1945" t="s">
        <v>42</v>
      </c>
      <c r="E1945" t="s">
        <v>276</v>
      </c>
      <c r="F1945" t="s">
        <v>137</v>
      </c>
      <c r="G1945">
        <v>4</v>
      </c>
      <c r="H1945" t="s">
        <v>260</v>
      </c>
      <c r="I1945" s="4">
        <f t="shared" ref="I1945" si="289">IF(H1945="A",4,IF(H1945="B",3,IF(H1945="C",2,IF(H1945="D",1,0))))</f>
        <v>4</v>
      </c>
      <c r="J1945">
        <f t="shared" si="288"/>
        <v>16</v>
      </c>
      <c r="K1945">
        <v>64</v>
      </c>
      <c r="L1945">
        <v>24</v>
      </c>
      <c r="M1945" s="2">
        <v>2.67</v>
      </c>
      <c r="N1945" s="2">
        <v>2.92</v>
      </c>
      <c r="O1945">
        <v>0</v>
      </c>
      <c r="P1945">
        <v>4</v>
      </c>
      <c r="Q1945" s="4" t="str">
        <f t="shared" si="285"/>
        <v>2017/2018-Genap</v>
      </c>
      <c r="R1945" t="s">
        <v>260</v>
      </c>
      <c r="S1945" t="str">
        <f t="shared" ref="S1945:S1999" si="290">IF(OR(H1945="A",H1945="B",H1945="C"),"PA","FA")</f>
        <v>PA</v>
      </c>
    </row>
    <row r="1946" spans="1:19" x14ac:dyDescent="0.3">
      <c r="A1946" t="s">
        <v>12</v>
      </c>
      <c r="B1946">
        <v>2016110054</v>
      </c>
      <c r="C1946" t="s">
        <v>42</v>
      </c>
      <c r="E1946" t="s">
        <v>77</v>
      </c>
      <c r="F1946" t="s">
        <v>78</v>
      </c>
      <c r="G1946">
        <v>2</v>
      </c>
      <c r="H1946" t="s">
        <v>260</v>
      </c>
      <c r="I1946" s="4">
        <f t="shared" ref="I1946:I1999" si="291">IF(H1946="A",4,IF(H1946="B",3,IF(H1946="C",2,IF(H1946="D",1,0))))</f>
        <v>4</v>
      </c>
      <c r="J1946">
        <f t="shared" ref="J1946:J1999" si="292">G1946*I1946</f>
        <v>8</v>
      </c>
      <c r="K1946">
        <v>62</v>
      </c>
      <c r="L1946">
        <v>20</v>
      </c>
      <c r="M1946" s="2">
        <v>3.1</v>
      </c>
      <c r="N1946" s="2">
        <v>2.92</v>
      </c>
      <c r="O1946">
        <v>0</v>
      </c>
      <c r="P1946">
        <v>1</v>
      </c>
      <c r="Q1946" s="4" t="str">
        <f t="shared" si="285"/>
        <v>2016/2017-Ganjil</v>
      </c>
      <c r="R1946" t="s">
        <v>260</v>
      </c>
      <c r="S1946" t="str">
        <f t="shared" si="290"/>
        <v>PA</v>
      </c>
    </row>
    <row r="1947" spans="1:19" x14ac:dyDescent="0.3">
      <c r="A1947" t="s">
        <v>12</v>
      </c>
      <c r="B1947">
        <v>2016110054</v>
      </c>
      <c r="C1947" t="s">
        <v>42</v>
      </c>
      <c r="E1947" t="s">
        <v>248</v>
      </c>
      <c r="F1947" t="s">
        <v>249</v>
      </c>
      <c r="G1947">
        <v>2</v>
      </c>
      <c r="H1947" t="s">
        <v>260</v>
      </c>
      <c r="I1947" s="4">
        <f t="shared" si="291"/>
        <v>4</v>
      </c>
      <c r="J1947">
        <f t="shared" si="292"/>
        <v>8</v>
      </c>
      <c r="K1947">
        <v>64</v>
      </c>
      <c r="L1947">
        <v>24</v>
      </c>
      <c r="M1947" s="2">
        <v>2.67</v>
      </c>
      <c r="N1947" s="2">
        <v>2.92</v>
      </c>
      <c r="O1947">
        <v>0</v>
      </c>
      <c r="P1947">
        <v>4</v>
      </c>
      <c r="Q1947" s="4" t="str">
        <f t="shared" si="285"/>
        <v>2017/2018-Genap</v>
      </c>
      <c r="R1947" t="s">
        <v>260</v>
      </c>
      <c r="S1947" t="str">
        <f t="shared" si="290"/>
        <v>PA</v>
      </c>
    </row>
    <row r="1948" spans="1:19" x14ac:dyDescent="0.3">
      <c r="A1948" t="s">
        <v>12</v>
      </c>
      <c r="B1948">
        <v>2016110054</v>
      </c>
      <c r="C1948" t="s">
        <v>42</v>
      </c>
      <c r="E1948" t="s">
        <v>205</v>
      </c>
      <c r="F1948" t="s">
        <v>116</v>
      </c>
      <c r="G1948">
        <v>4</v>
      </c>
      <c r="H1948" t="s">
        <v>260</v>
      </c>
      <c r="I1948" s="4">
        <f t="shared" si="291"/>
        <v>4</v>
      </c>
      <c r="J1948">
        <f t="shared" si="292"/>
        <v>16</v>
      </c>
      <c r="K1948">
        <v>66</v>
      </c>
      <c r="L1948">
        <v>22</v>
      </c>
      <c r="M1948" s="2">
        <v>3</v>
      </c>
      <c r="N1948" s="2">
        <v>2.92</v>
      </c>
      <c r="O1948">
        <v>0</v>
      </c>
      <c r="P1948">
        <v>3</v>
      </c>
      <c r="Q1948" s="4" t="str">
        <f t="shared" si="285"/>
        <v>2017/2018-Ganjil</v>
      </c>
      <c r="R1948" t="s">
        <v>260</v>
      </c>
      <c r="S1948" t="str">
        <f t="shared" si="290"/>
        <v>PA</v>
      </c>
    </row>
    <row r="1949" spans="1:19" x14ac:dyDescent="0.3">
      <c r="A1949" t="s">
        <v>12</v>
      </c>
      <c r="B1949">
        <v>2016110054</v>
      </c>
      <c r="C1949" t="s">
        <v>42</v>
      </c>
      <c r="E1949" t="s">
        <v>170</v>
      </c>
      <c r="F1949" t="s">
        <v>171</v>
      </c>
      <c r="G1949">
        <v>4</v>
      </c>
      <c r="H1949" t="s">
        <v>260</v>
      </c>
      <c r="I1949" s="4">
        <f t="shared" si="291"/>
        <v>4</v>
      </c>
      <c r="J1949">
        <f t="shared" si="292"/>
        <v>16</v>
      </c>
      <c r="K1949">
        <v>66</v>
      </c>
      <c r="L1949">
        <v>22</v>
      </c>
      <c r="M1949" s="2">
        <v>3</v>
      </c>
      <c r="N1949" s="2">
        <v>2.92</v>
      </c>
      <c r="O1949">
        <v>0</v>
      </c>
      <c r="P1949">
        <v>3</v>
      </c>
      <c r="Q1949" s="4" t="str">
        <f t="shared" si="285"/>
        <v>2017/2018-Ganjil</v>
      </c>
      <c r="R1949" t="s">
        <v>260</v>
      </c>
      <c r="S1949" t="str">
        <f t="shared" si="290"/>
        <v>PA</v>
      </c>
    </row>
    <row r="1950" spans="1:19" x14ac:dyDescent="0.3">
      <c r="A1950" t="s">
        <v>12</v>
      </c>
      <c r="B1950">
        <v>2016110054</v>
      </c>
      <c r="C1950" t="s">
        <v>42</v>
      </c>
      <c r="E1950" t="s">
        <v>151</v>
      </c>
      <c r="F1950" t="s">
        <v>152</v>
      </c>
      <c r="G1950">
        <v>2</v>
      </c>
      <c r="H1950" t="s">
        <v>260</v>
      </c>
      <c r="I1950" s="4">
        <f t="shared" si="291"/>
        <v>4</v>
      </c>
      <c r="J1950">
        <f t="shared" si="292"/>
        <v>8</v>
      </c>
      <c r="K1950">
        <v>62</v>
      </c>
      <c r="L1950">
        <v>20</v>
      </c>
      <c r="M1950" s="2">
        <v>3.1</v>
      </c>
      <c r="N1950" s="2">
        <v>2.92</v>
      </c>
      <c r="O1950">
        <v>0</v>
      </c>
      <c r="P1950">
        <v>1</v>
      </c>
      <c r="Q1950" s="4" t="str">
        <f t="shared" si="285"/>
        <v>2016/2017-Ganjil</v>
      </c>
      <c r="R1950" t="s">
        <v>260</v>
      </c>
      <c r="S1950" t="str">
        <f t="shared" si="290"/>
        <v>PA</v>
      </c>
    </row>
    <row r="1951" spans="1:19" x14ac:dyDescent="0.3">
      <c r="A1951" t="s">
        <v>12</v>
      </c>
      <c r="B1951">
        <v>2016110054</v>
      </c>
      <c r="C1951" t="s">
        <v>42</v>
      </c>
      <c r="E1951" t="s">
        <v>131</v>
      </c>
      <c r="F1951" t="s">
        <v>132</v>
      </c>
      <c r="G1951">
        <v>2</v>
      </c>
      <c r="H1951" t="s">
        <v>260</v>
      </c>
      <c r="I1951" s="4">
        <f t="shared" si="291"/>
        <v>4</v>
      </c>
      <c r="J1951">
        <f t="shared" si="292"/>
        <v>8</v>
      </c>
      <c r="K1951">
        <v>62</v>
      </c>
      <c r="L1951">
        <v>20</v>
      </c>
      <c r="M1951" s="2">
        <v>3.1</v>
      </c>
      <c r="N1951" s="2">
        <v>2.92</v>
      </c>
      <c r="O1951">
        <v>0</v>
      </c>
      <c r="P1951">
        <v>1</v>
      </c>
      <c r="Q1951" s="4" t="str">
        <f t="shared" si="285"/>
        <v>2016/2017-Ganjil</v>
      </c>
      <c r="R1951" t="s">
        <v>260</v>
      </c>
      <c r="S1951" t="str">
        <f t="shared" si="290"/>
        <v>PA</v>
      </c>
    </row>
    <row r="1952" spans="1:19" x14ac:dyDescent="0.3">
      <c r="A1952" t="s">
        <v>12</v>
      </c>
      <c r="B1952">
        <v>2016110054</v>
      </c>
      <c r="C1952" t="s">
        <v>42</v>
      </c>
      <c r="E1952" t="s">
        <v>244</v>
      </c>
      <c r="F1952" t="s">
        <v>228</v>
      </c>
      <c r="G1952">
        <v>2</v>
      </c>
      <c r="H1952" t="s">
        <v>438</v>
      </c>
      <c r="I1952" s="4">
        <f t="shared" si="291"/>
        <v>3</v>
      </c>
      <c r="J1952">
        <f t="shared" si="292"/>
        <v>6</v>
      </c>
      <c r="K1952">
        <v>64</v>
      </c>
      <c r="L1952">
        <v>24</v>
      </c>
      <c r="M1952" s="2">
        <v>2.67</v>
      </c>
      <c r="N1952" s="2">
        <v>2.92</v>
      </c>
      <c r="O1952">
        <v>0</v>
      </c>
      <c r="P1952">
        <v>4</v>
      </c>
      <c r="Q1952" s="4" t="str">
        <f t="shared" si="285"/>
        <v>2017/2018-Genap</v>
      </c>
      <c r="R1952" t="s">
        <v>260</v>
      </c>
      <c r="S1952" t="str">
        <f t="shared" si="290"/>
        <v>PA</v>
      </c>
    </row>
    <row r="1953" spans="1:19" x14ac:dyDescent="0.3">
      <c r="A1953" t="s">
        <v>12</v>
      </c>
      <c r="B1953">
        <v>2016110054</v>
      </c>
      <c r="C1953" t="s">
        <v>42</v>
      </c>
      <c r="E1953" t="s">
        <v>262</v>
      </c>
      <c r="F1953" t="s">
        <v>263</v>
      </c>
      <c r="G1953">
        <v>2</v>
      </c>
      <c r="H1953" t="s">
        <v>438</v>
      </c>
      <c r="I1953" s="4">
        <f t="shared" si="291"/>
        <v>3</v>
      </c>
      <c r="J1953">
        <f t="shared" si="292"/>
        <v>6</v>
      </c>
      <c r="K1953">
        <v>46</v>
      </c>
      <c r="L1953">
        <v>18</v>
      </c>
      <c r="M1953" s="2">
        <v>2.56</v>
      </c>
      <c r="N1953" s="2">
        <v>2.92</v>
      </c>
      <c r="O1953">
        <v>0</v>
      </c>
      <c r="P1953">
        <v>6</v>
      </c>
      <c r="Q1953" s="4" t="str">
        <f t="shared" si="285"/>
        <v>2018/2019-Genap</v>
      </c>
      <c r="R1953" t="s">
        <v>260</v>
      </c>
      <c r="S1953" t="str">
        <f t="shared" si="290"/>
        <v>PA</v>
      </c>
    </row>
    <row r="1954" spans="1:19" x14ac:dyDescent="0.3">
      <c r="A1954" t="s">
        <v>12</v>
      </c>
      <c r="B1954">
        <v>2016110054</v>
      </c>
      <c r="C1954" t="s">
        <v>42</v>
      </c>
      <c r="E1954" t="s">
        <v>290</v>
      </c>
      <c r="F1954" t="s">
        <v>327</v>
      </c>
      <c r="G1954">
        <v>4</v>
      </c>
      <c r="H1954" t="s">
        <v>438</v>
      </c>
      <c r="I1954" s="4">
        <f t="shared" si="291"/>
        <v>3</v>
      </c>
      <c r="J1954">
        <f t="shared" si="292"/>
        <v>12</v>
      </c>
      <c r="K1954">
        <v>52</v>
      </c>
      <c r="L1954">
        <v>20</v>
      </c>
      <c r="M1954" s="2">
        <v>2.6</v>
      </c>
      <c r="N1954" s="2">
        <v>2.92</v>
      </c>
      <c r="O1954">
        <v>0</v>
      </c>
      <c r="P1954">
        <v>2</v>
      </c>
      <c r="Q1954" s="4" t="str">
        <f t="shared" si="285"/>
        <v>2016/2017-Genap</v>
      </c>
      <c r="R1954" t="s">
        <v>260</v>
      </c>
      <c r="S1954" t="str">
        <f t="shared" si="290"/>
        <v>PA</v>
      </c>
    </row>
    <row r="1955" spans="1:19" x14ac:dyDescent="0.3">
      <c r="A1955" t="s">
        <v>12</v>
      </c>
      <c r="B1955">
        <v>2016110054</v>
      </c>
      <c r="C1955" t="s">
        <v>42</v>
      </c>
      <c r="E1955" t="s">
        <v>306</v>
      </c>
      <c r="F1955" t="s">
        <v>307</v>
      </c>
      <c r="G1955">
        <v>2</v>
      </c>
      <c r="H1955" t="s">
        <v>438</v>
      </c>
      <c r="I1955" s="4">
        <f t="shared" si="291"/>
        <v>3</v>
      </c>
      <c r="J1955">
        <f t="shared" si="292"/>
        <v>6</v>
      </c>
      <c r="K1955">
        <v>34</v>
      </c>
      <c r="L1955">
        <v>12</v>
      </c>
      <c r="M1955" s="2">
        <v>2.83</v>
      </c>
      <c r="N1955" s="2">
        <v>2.92</v>
      </c>
      <c r="O1955">
        <v>0</v>
      </c>
      <c r="P1955">
        <v>7</v>
      </c>
      <c r="Q1955" s="4" t="str">
        <f t="shared" si="285"/>
        <v>2019/2020-Ganjil</v>
      </c>
      <c r="R1955" t="s">
        <v>260</v>
      </c>
      <c r="S1955" t="str">
        <f t="shared" si="290"/>
        <v>PA</v>
      </c>
    </row>
    <row r="1956" spans="1:19" x14ac:dyDescent="0.3">
      <c r="A1956" t="s">
        <v>12</v>
      </c>
      <c r="B1956">
        <v>2016110054</v>
      </c>
      <c r="C1956" t="s">
        <v>42</v>
      </c>
      <c r="E1956" t="s">
        <v>100</v>
      </c>
      <c r="F1956" t="s">
        <v>101</v>
      </c>
      <c r="G1956">
        <v>4</v>
      </c>
      <c r="H1956" t="s">
        <v>438</v>
      </c>
      <c r="I1956" s="4">
        <f t="shared" si="291"/>
        <v>3</v>
      </c>
      <c r="J1956">
        <f t="shared" si="292"/>
        <v>12</v>
      </c>
      <c r="K1956">
        <v>52</v>
      </c>
      <c r="L1956">
        <v>20</v>
      </c>
      <c r="M1956" s="2">
        <v>2.6</v>
      </c>
      <c r="N1956" s="2">
        <v>2.92</v>
      </c>
      <c r="O1956">
        <v>0</v>
      </c>
      <c r="P1956">
        <v>2</v>
      </c>
      <c r="Q1956" s="4" t="str">
        <f t="shared" si="285"/>
        <v>2016/2017-Genap</v>
      </c>
      <c r="R1956" t="s">
        <v>260</v>
      </c>
      <c r="S1956" t="str">
        <f t="shared" si="290"/>
        <v>PA</v>
      </c>
    </row>
    <row r="1957" spans="1:19" x14ac:dyDescent="0.3">
      <c r="A1957" t="s">
        <v>12</v>
      </c>
      <c r="B1957">
        <v>2016110054</v>
      </c>
      <c r="C1957" t="s">
        <v>42</v>
      </c>
      <c r="E1957" t="s">
        <v>236</v>
      </c>
      <c r="F1957" t="s">
        <v>237</v>
      </c>
      <c r="G1957">
        <v>2</v>
      </c>
      <c r="H1957" t="s">
        <v>438</v>
      </c>
      <c r="I1957" s="4">
        <f t="shared" si="291"/>
        <v>3</v>
      </c>
      <c r="J1957">
        <f t="shared" si="292"/>
        <v>6</v>
      </c>
      <c r="K1957">
        <v>58</v>
      </c>
      <c r="L1957">
        <v>22</v>
      </c>
      <c r="M1957" s="2">
        <v>2.64</v>
      </c>
      <c r="N1957" s="2">
        <v>2.92</v>
      </c>
      <c r="O1957">
        <v>0</v>
      </c>
      <c r="P1957">
        <v>5</v>
      </c>
      <c r="Q1957" s="4" t="str">
        <f t="shared" si="285"/>
        <v>2018/2019-Ganjil</v>
      </c>
      <c r="R1957" t="s">
        <v>260</v>
      </c>
      <c r="S1957" t="str">
        <f t="shared" si="290"/>
        <v>PA</v>
      </c>
    </row>
    <row r="1958" spans="1:19" x14ac:dyDescent="0.3">
      <c r="A1958" t="s">
        <v>12</v>
      </c>
      <c r="B1958">
        <v>2016110054</v>
      </c>
      <c r="C1958" t="s">
        <v>42</v>
      </c>
      <c r="E1958" t="s">
        <v>283</v>
      </c>
      <c r="F1958" t="s">
        <v>284</v>
      </c>
      <c r="G1958">
        <v>2</v>
      </c>
      <c r="H1958" t="s">
        <v>438</v>
      </c>
      <c r="I1958" s="4">
        <f t="shared" si="291"/>
        <v>3</v>
      </c>
      <c r="J1958">
        <f t="shared" si="292"/>
        <v>6</v>
      </c>
      <c r="K1958">
        <v>34</v>
      </c>
      <c r="L1958">
        <v>12</v>
      </c>
      <c r="M1958" s="2">
        <v>2.83</v>
      </c>
      <c r="N1958" s="2">
        <v>2.92</v>
      </c>
      <c r="O1958">
        <v>0</v>
      </c>
      <c r="P1958">
        <v>7</v>
      </c>
      <c r="Q1958" s="4" t="str">
        <f t="shared" si="285"/>
        <v>2019/2020-Ganjil</v>
      </c>
      <c r="R1958" t="s">
        <v>260</v>
      </c>
      <c r="S1958" t="str">
        <f t="shared" si="290"/>
        <v>PA</v>
      </c>
    </row>
    <row r="1959" spans="1:19" x14ac:dyDescent="0.3">
      <c r="A1959" t="s">
        <v>12</v>
      </c>
      <c r="B1959">
        <v>2016110054</v>
      </c>
      <c r="C1959" t="s">
        <v>42</v>
      </c>
      <c r="E1959" t="s">
        <v>241</v>
      </c>
      <c r="F1959" t="s">
        <v>45</v>
      </c>
      <c r="G1959">
        <v>2</v>
      </c>
      <c r="H1959" t="s">
        <v>438</v>
      </c>
      <c r="I1959" s="4">
        <f t="shared" si="291"/>
        <v>3</v>
      </c>
      <c r="J1959">
        <f t="shared" si="292"/>
        <v>6</v>
      </c>
      <c r="K1959">
        <v>66</v>
      </c>
      <c r="L1959">
        <v>22</v>
      </c>
      <c r="M1959" s="2">
        <v>3</v>
      </c>
      <c r="N1959" s="2">
        <v>2.92</v>
      </c>
      <c r="O1959">
        <v>0</v>
      </c>
      <c r="P1959">
        <v>3</v>
      </c>
      <c r="Q1959" s="4" t="str">
        <f t="shared" si="285"/>
        <v>2017/2018-Ganjil</v>
      </c>
      <c r="R1959" t="s">
        <v>260</v>
      </c>
      <c r="S1959" t="str">
        <f t="shared" si="290"/>
        <v>PA</v>
      </c>
    </row>
    <row r="1960" spans="1:19" x14ac:dyDescent="0.3">
      <c r="A1960" t="s">
        <v>12</v>
      </c>
      <c r="B1960">
        <v>2016110054</v>
      </c>
      <c r="C1960" t="s">
        <v>42</v>
      </c>
      <c r="E1960" t="s">
        <v>264</v>
      </c>
      <c r="F1960" t="s">
        <v>265</v>
      </c>
      <c r="G1960">
        <v>2</v>
      </c>
      <c r="H1960" t="s">
        <v>438</v>
      </c>
      <c r="I1960" s="4">
        <f t="shared" si="291"/>
        <v>3</v>
      </c>
      <c r="J1960">
        <f t="shared" si="292"/>
        <v>6</v>
      </c>
      <c r="K1960">
        <v>58</v>
      </c>
      <c r="L1960">
        <v>22</v>
      </c>
      <c r="M1960" s="2">
        <v>2.64</v>
      </c>
      <c r="N1960" s="2">
        <v>2.92</v>
      </c>
      <c r="O1960">
        <v>0</v>
      </c>
      <c r="P1960">
        <v>5</v>
      </c>
      <c r="Q1960" s="4" t="str">
        <f t="shared" si="285"/>
        <v>2018/2019-Ganjil</v>
      </c>
      <c r="R1960" t="s">
        <v>260</v>
      </c>
      <c r="S1960" t="str">
        <f t="shared" si="290"/>
        <v>PA</v>
      </c>
    </row>
    <row r="1961" spans="1:19" x14ac:dyDescent="0.3">
      <c r="A1961" t="s">
        <v>12</v>
      </c>
      <c r="B1961">
        <v>2016110054</v>
      </c>
      <c r="C1961" t="s">
        <v>42</v>
      </c>
      <c r="E1961" t="s">
        <v>330</v>
      </c>
      <c r="F1961" t="s">
        <v>108</v>
      </c>
      <c r="G1961">
        <v>2</v>
      </c>
      <c r="H1961" t="s">
        <v>438</v>
      </c>
      <c r="I1961" s="4">
        <f t="shared" si="291"/>
        <v>3</v>
      </c>
      <c r="J1961">
        <f t="shared" si="292"/>
        <v>6</v>
      </c>
      <c r="K1961">
        <v>34</v>
      </c>
      <c r="L1961">
        <v>12</v>
      </c>
      <c r="M1961" s="2">
        <v>2.83</v>
      </c>
      <c r="N1961" s="2">
        <v>2.92</v>
      </c>
      <c r="O1961">
        <v>0</v>
      </c>
      <c r="P1961">
        <v>7</v>
      </c>
      <c r="Q1961" s="4" t="str">
        <f t="shared" si="285"/>
        <v>2019/2020-Ganjil</v>
      </c>
      <c r="R1961" t="s">
        <v>260</v>
      </c>
      <c r="S1961" t="str">
        <f t="shared" si="290"/>
        <v>PA</v>
      </c>
    </row>
    <row r="1962" spans="1:19" x14ac:dyDescent="0.3">
      <c r="A1962" t="s">
        <v>12</v>
      </c>
      <c r="B1962">
        <v>2016110054</v>
      </c>
      <c r="C1962" t="s">
        <v>42</v>
      </c>
      <c r="E1962" t="s">
        <v>173</v>
      </c>
      <c r="F1962" t="s">
        <v>8</v>
      </c>
      <c r="G1962">
        <v>2</v>
      </c>
      <c r="H1962" t="s">
        <v>438</v>
      </c>
      <c r="I1962" s="4">
        <f t="shared" si="291"/>
        <v>3</v>
      </c>
      <c r="J1962">
        <f t="shared" si="292"/>
        <v>6</v>
      </c>
      <c r="K1962">
        <v>66</v>
      </c>
      <c r="L1962">
        <v>22</v>
      </c>
      <c r="M1962" s="2">
        <v>3</v>
      </c>
      <c r="N1962" s="2">
        <v>2.92</v>
      </c>
      <c r="O1962">
        <v>0</v>
      </c>
      <c r="P1962">
        <v>3</v>
      </c>
      <c r="Q1962" s="4" t="str">
        <f t="shared" si="285"/>
        <v>2017/2018-Ganjil</v>
      </c>
      <c r="R1962" t="s">
        <v>260</v>
      </c>
      <c r="S1962" t="str">
        <f t="shared" si="290"/>
        <v>PA</v>
      </c>
    </row>
    <row r="1963" spans="1:19" x14ac:dyDescent="0.3">
      <c r="A1963" t="s">
        <v>12</v>
      </c>
      <c r="B1963">
        <v>2016110054</v>
      </c>
      <c r="C1963" t="s">
        <v>42</v>
      </c>
      <c r="E1963" t="s">
        <v>357</v>
      </c>
      <c r="F1963" t="s">
        <v>358</v>
      </c>
      <c r="G1963">
        <v>4</v>
      </c>
      <c r="H1963" t="s">
        <v>438</v>
      </c>
      <c r="I1963" s="4">
        <f t="shared" si="291"/>
        <v>3</v>
      </c>
      <c r="J1963">
        <f t="shared" si="292"/>
        <v>12</v>
      </c>
      <c r="K1963">
        <v>58</v>
      </c>
      <c r="L1963">
        <v>22</v>
      </c>
      <c r="M1963" s="2">
        <v>2.64</v>
      </c>
      <c r="N1963" s="2">
        <v>2.92</v>
      </c>
      <c r="O1963">
        <v>0</v>
      </c>
      <c r="P1963">
        <v>5</v>
      </c>
      <c r="Q1963" s="4" t="str">
        <f t="shared" si="285"/>
        <v>2018/2019-Ganjil</v>
      </c>
      <c r="R1963" t="s">
        <v>260</v>
      </c>
      <c r="S1963" t="str">
        <f t="shared" si="290"/>
        <v>PA</v>
      </c>
    </row>
    <row r="1964" spans="1:19" x14ac:dyDescent="0.3">
      <c r="A1964" t="s">
        <v>12</v>
      </c>
      <c r="B1964">
        <v>2016110054</v>
      </c>
      <c r="C1964" t="s">
        <v>42</v>
      </c>
      <c r="E1964" t="s">
        <v>142</v>
      </c>
      <c r="F1964" t="s">
        <v>143</v>
      </c>
      <c r="G1964">
        <v>2</v>
      </c>
      <c r="H1964" t="s">
        <v>438</v>
      </c>
      <c r="I1964" s="4">
        <f t="shared" si="291"/>
        <v>3</v>
      </c>
      <c r="J1964">
        <f t="shared" si="292"/>
        <v>6</v>
      </c>
      <c r="K1964">
        <v>62</v>
      </c>
      <c r="L1964">
        <v>20</v>
      </c>
      <c r="M1964" s="2">
        <v>3.1</v>
      </c>
      <c r="N1964" s="2">
        <v>2.92</v>
      </c>
      <c r="O1964">
        <v>0</v>
      </c>
      <c r="P1964">
        <v>1</v>
      </c>
      <c r="Q1964" s="4" t="str">
        <f t="shared" si="285"/>
        <v>2016/2017-Ganjil</v>
      </c>
      <c r="R1964" t="s">
        <v>260</v>
      </c>
      <c r="S1964" t="str">
        <f t="shared" si="290"/>
        <v>PA</v>
      </c>
    </row>
    <row r="1965" spans="1:19" x14ac:dyDescent="0.3">
      <c r="A1965" t="s">
        <v>12</v>
      </c>
      <c r="B1965">
        <v>2016110054</v>
      </c>
      <c r="C1965" t="s">
        <v>42</v>
      </c>
      <c r="E1965" t="s">
        <v>165</v>
      </c>
      <c r="F1965" t="s">
        <v>166</v>
      </c>
      <c r="G1965">
        <v>2</v>
      </c>
      <c r="H1965" t="s">
        <v>438</v>
      </c>
      <c r="I1965" s="4">
        <f t="shared" si="291"/>
        <v>3</v>
      </c>
      <c r="J1965">
        <f t="shared" si="292"/>
        <v>6</v>
      </c>
      <c r="K1965">
        <v>62</v>
      </c>
      <c r="L1965">
        <v>20</v>
      </c>
      <c r="M1965" s="2">
        <v>3.1</v>
      </c>
      <c r="N1965" s="2">
        <v>2.92</v>
      </c>
      <c r="O1965">
        <v>0</v>
      </c>
      <c r="P1965">
        <v>1</v>
      </c>
      <c r="Q1965" s="4" t="str">
        <f t="shared" si="285"/>
        <v>2016/2017-Ganjil</v>
      </c>
      <c r="R1965" t="s">
        <v>260</v>
      </c>
      <c r="S1965" t="str">
        <f t="shared" si="290"/>
        <v>PA</v>
      </c>
    </row>
    <row r="1966" spans="1:19" x14ac:dyDescent="0.3">
      <c r="A1966" t="s">
        <v>12</v>
      </c>
      <c r="B1966">
        <v>2016110054</v>
      </c>
      <c r="C1966" t="s">
        <v>42</v>
      </c>
      <c r="E1966" t="s">
        <v>192</v>
      </c>
      <c r="F1966" t="s">
        <v>106</v>
      </c>
      <c r="G1966">
        <v>2</v>
      </c>
      <c r="H1966" t="s">
        <v>438</v>
      </c>
      <c r="I1966" s="4">
        <f t="shared" si="291"/>
        <v>3</v>
      </c>
      <c r="J1966">
        <f t="shared" si="292"/>
        <v>6</v>
      </c>
      <c r="K1966">
        <v>66</v>
      </c>
      <c r="L1966">
        <v>22</v>
      </c>
      <c r="M1966" s="2">
        <v>3</v>
      </c>
      <c r="N1966" s="2">
        <v>2.92</v>
      </c>
      <c r="O1966">
        <v>0</v>
      </c>
      <c r="P1966">
        <v>3</v>
      </c>
      <c r="Q1966" s="4" t="str">
        <f t="shared" si="285"/>
        <v>2017/2018-Ganjil</v>
      </c>
      <c r="R1966" t="s">
        <v>260</v>
      </c>
      <c r="S1966" t="str">
        <f t="shared" si="290"/>
        <v>PA</v>
      </c>
    </row>
    <row r="1967" spans="1:19" x14ac:dyDescent="0.3">
      <c r="A1967" t="s">
        <v>12</v>
      </c>
      <c r="B1967">
        <v>2016110054</v>
      </c>
      <c r="C1967" t="s">
        <v>42</v>
      </c>
      <c r="E1967" t="s">
        <v>427</v>
      </c>
      <c r="F1967" t="s">
        <v>428</v>
      </c>
      <c r="G1967">
        <v>2</v>
      </c>
      <c r="H1967" t="s">
        <v>438</v>
      </c>
      <c r="I1967" s="4">
        <f t="shared" si="291"/>
        <v>3</v>
      </c>
      <c r="J1967">
        <f t="shared" si="292"/>
        <v>6</v>
      </c>
      <c r="K1967">
        <v>46</v>
      </c>
      <c r="L1967">
        <v>18</v>
      </c>
      <c r="M1967" s="2">
        <v>2.56</v>
      </c>
      <c r="N1967" s="2">
        <v>2.92</v>
      </c>
      <c r="O1967">
        <v>0</v>
      </c>
      <c r="P1967">
        <v>6</v>
      </c>
      <c r="Q1967" s="4" t="str">
        <f t="shared" si="285"/>
        <v>2018/2019-Genap</v>
      </c>
      <c r="R1967" t="s">
        <v>260</v>
      </c>
      <c r="S1967" t="str">
        <f t="shared" si="290"/>
        <v>PA</v>
      </c>
    </row>
    <row r="1968" spans="1:19" x14ac:dyDescent="0.3">
      <c r="A1968" t="s">
        <v>12</v>
      </c>
      <c r="B1968">
        <v>2016110054</v>
      </c>
      <c r="C1968" t="s">
        <v>42</v>
      </c>
      <c r="E1968" t="s">
        <v>446</v>
      </c>
      <c r="F1968" t="s">
        <v>447</v>
      </c>
      <c r="G1968">
        <v>2</v>
      </c>
      <c r="H1968" t="s">
        <v>438</v>
      </c>
      <c r="I1968" s="4">
        <f t="shared" si="291"/>
        <v>3</v>
      </c>
      <c r="J1968">
        <f t="shared" si="292"/>
        <v>6</v>
      </c>
      <c r="K1968">
        <v>46</v>
      </c>
      <c r="L1968">
        <v>18</v>
      </c>
      <c r="M1968" s="2">
        <v>2.56</v>
      </c>
      <c r="N1968" s="2">
        <v>2.92</v>
      </c>
      <c r="O1968">
        <v>0</v>
      </c>
      <c r="P1968">
        <v>6</v>
      </c>
      <c r="Q1968" s="4" t="str">
        <f t="shared" si="285"/>
        <v>2018/2019-Genap</v>
      </c>
      <c r="R1968" t="s">
        <v>260</v>
      </c>
      <c r="S1968" t="str">
        <f t="shared" si="290"/>
        <v>PA</v>
      </c>
    </row>
    <row r="1969" spans="1:19" x14ac:dyDescent="0.3">
      <c r="A1969" t="s">
        <v>12</v>
      </c>
      <c r="B1969">
        <v>2016110054</v>
      </c>
      <c r="C1969" t="s">
        <v>42</v>
      </c>
      <c r="E1969" t="s">
        <v>432</v>
      </c>
      <c r="F1969" t="s">
        <v>433</v>
      </c>
      <c r="G1969">
        <v>4</v>
      </c>
      <c r="H1969" t="s">
        <v>438</v>
      </c>
      <c r="I1969" s="4">
        <f t="shared" si="291"/>
        <v>3</v>
      </c>
      <c r="J1969">
        <f t="shared" si="292"/>
        <v>12</v>
      </c>
      <c r="K1969">
        <v>64</v>
      </c>
      <c r="L1969">
        <v>24</v>
      </c>
      <c r="M1969" s="2">
        <v>2.67</v>
      </c>
      <c r="N1969" s="2">
        <v>2.92</v>
      </c>
      <c r="O1969">
        <v>0</v>
      </c>
      <c r="P1969">
        <v>4</v>
      </c>
      <c r="Q1969" s="4" t="str">
        <f t="shared" si="285"/>
        <v>2017/2018-Genap</v>
      </c>
      <c r="R1969" t="s">
        <v>260</v>
      </c>
      <c r="S1969" t="str">
        <f t="shared" si="290"/>
        <v>PA</v>
      </c>
    </row>
    <row r="1970" spans="1:19" x14ac:dyDescent="0.3">
      <c r="A1970" t="s">
        <v>12</v>
      </c>
      <c r="B1970">
        <v>2016110054</v>
      </c>
      <c r="C1970" t="s">
        <v>42</v>
      </c>
      <c r="E1970" t="s">
        <v>139</v>
      </c>
      <c r="F1970" t="s">
        <v>140</v>
      </c>
      <c r="G1970">
        <v>2</v>
      </c>
      <c r="H1970" t="s">
        <v>438</v>
      </c>
      <c r="I1970" s="4">
        <f t="shared" si="291"/>
        <v>3</v>
      </c>
      <c r="J1970">
        <f t="shared" si="292"/>
        <v>6</v>
      </c>
      <c r="K1970">
        <v>52</v>
      </c>
      <c r="L1970">
        <v>20</v>
      </c>
      <c r="M1970" s="2">
        <v>2.6</v>
      </c>
      <c r="N1970" s="2">
        <v>2.92</v>
      </c>
      <c r="O1970">
        <v>0</v>
      </c>
      <c r="P1970">
        <v>2</v>
      </c>
      <c r="Q1970" s="4" t="str">
        <f t="shared" si="285"/>
        <v>2016/2017-Genap</v>
      </c>
      <c r="R1970" t="s">
        <v>260</v>
      </c>
      <c r="S1970" t="str">
        <f t="shared" si="290"/>
        <v>PA</v>
      </c>
    </row>
    <row r="1971" spans="1:19" x14ac:dyDescent="0.3">
      <c r="A1971" t="s">
        <v>12</v>
      </c>
      <c r="B1971">
        <v>2016110054</v>
      </c>
      <c r="C1971" t="s">
        <v>42</v>
      </c>
      <c r="E1971" t="s">
        <v>302</v>
      </c>
      <c r="F1971" t="s">
        <v>303</v>
      </c>
      <c r="G1971">
        <v>2</v>
      </c>
      <c r="H1971" t="s">
        <v>438</v>
      </c>
      <c r="I1971" s="4">
        <f t="shared" si="291"/>
        <v>3</v>
      </c>
      <c r="J1971">
        <f t="shared" si="292"/>
        <v>6</v>
      </c>
      <c r="K1971">
        <v>46</v>
      </c>
      <c r="L1971">
        <v>18</v>
      </c>
      <c r="M1971" s="2">
        <v>2.56</v>
      </c>
      <c r="N1971" s="2">
        <v>2.92</v>
      </c>
      <c r="O1971">
        <v>0</v>
      </c>
      <c r="P1971">
        <v>6</v>
      </c>
      <c r="Q1971" s="4" t="str">
        <f t="shared" si="285"/>
        <v>2018/2019-Genap</v>
      </c>
      <c r="R1971" t="s">
        <v>260</v>
      </c>
      <c r="S1971" t="str">
        <f t="shared" si="290"/>
        <v>PA</v>
      </c>
    </row>
    <row r="1972" spans="1:19" x14ac:dyDescent="0.3">
      <c r="A1972" t="s">
        <v>12</v>
      </c>
      <c r="B1972">
        <v>2016110054</v>
      </c>
      <c r="C1972" t="s">
        <v>42</v>
      </c>
      <c r="E1972" t="s">
        <v>279</v>
      </c>
      <c r="F1972" t="s">
        <v>280</v>
      </c>
      <c r="G1972">
        <v>2</v>
      </c>
      <c r="H1972" t="s">
        <v>438</v>
      </c>
      <c r="I1972" s="4">
        <f t="shared" si="291"/>
        <v>3</v>
      </c>
      <c r="J1972">
        <f t="shared" si="292"/>
        <v>6</v>
      </c>
      <c r="K1972">
        <v>52</v>
      </c>
      <c r="L1972">
        <v>20</v>
      </c>
      <c r="M1972" s="2">
        <v>2.6</v>
      </c>
      <c r="N1972" s="2">
        <v>2.92</v>
      </c>
      <c r="O1972">
        <v>0</v>
      </c>
      <c r="P1972">
        <v>2</v>
      </c>
      <c r="Q1972" s="4" t="str">
        <f t="shared" si="285"/>
        <v>2016/2017-Genap</v>
      </c>
      <c r="R1972" t="s">
        <v>260</v>
      </c>
      <c r="S1972" t="str">
        <f t="shared" si="290"/>
        <v>PA</v>
      </c>
    </row>
    <row r="1973" spans="1:19" x14ac:dyDescent="0.3">
      <c r="A1973" t="s">
        <v>12</v>
      </c>
      <c r="B1973">
        <v>2016110054</v>
      </c>
      <c r="C1973" t="s">
        <v>42</v>
      </c>
      <c r="E1973" t="s">
        <v>316</v>
      </c>
      <c r="F1973" t="s">
        <v>317</v>
      </c>
      <c r="G1973">
        <v>2</v>
      </c>
      <c r="H1973" t="s">
        <v>438</v>
      </c>
      <c r="I1973" s="4">
        <f t="shared" si="291"/>
        <v>3</v>
      </c>
      <c r="J1973">
        <f t="shared" si="292"/>
        <v>6</v>
      </c>
      <c r="K1973">
        <v>34</v>
      </c>
      <c r="L1973">
        <v>12</v>
      </c>
      <c r="M1973" s="2">
        <v>2.83</v>
      </c>
      <c r="N1973" s="2">
        <v>2.92</v>
      </c>
      <c r="O1973">
        <v>0</v>
      </c>
      <c r="P1973">
        <v>7</v>
      </c>
      <c r="Q1973" s="4" t="str">
        <f t="shared" si="285"/>
        <v>2019/2020-Ganjil</v>
      </c>
      <c r="R1973" t="s">
        <v>260</v>
      </c>
      <c r="S1973" t="str">
        <f t="shared" si="290"/>
        <v>PA</v>
      </c>
    </row>
    <row r="1974" spans="1:19" x14ac:dyDescent="0.3">
      <c r="A1974" t="s">
        <v>12</v>
      </c>
      <c r="B1974">
        <v>2016110054</v>
      </c>
      <c r="C1974" t="s">
        <v>42</v>
      </c>
      <c r="E1974" t="s">
        <v>208</v>
      </c>
      <c r="F1974" t="s">
        <v>209</v>
      </c>
      <c r="G1974">
        <v>2</v>
      </c>
      <c r="H1974" t="s">
        <v>438</v>
      </c>
      <c r="I1974" s="4">
        <f t="shared" si="291"/>
        <v>3</v>
      </c>
      <c r="J1974">
        <f t="shared" si="292"/>
        <v>6</v>
      </c>
      <c r="K1974">
        <v>58</v>
      </c>
      <c r="L1974">
        <v>22</v>
      </c>
      <c r="M1974" s="2">
        <v>2.64</v>
      </c>
      <c r="N1974" s="2">
        <v>2.92</v>
      </c>
      <c r="O1974">
        <v>0</v>
      </c>
      <c r="P1974">
        <v>5</v>
      </c>
      <c r="Q1974" s="4" t="str">
        <f t="shared" si="285"/>
        <v>2018/2019-Ganjil</v>
      </c>
      <c r="R1974" t="s">
        <v>260</v>
      </c>
      <c r="S1974" t="str">
        <f t="shared" si="290"/>
        <v>PA</v>
      </c>
    </row>
    <row r="1975" spans="1:19" x14ac:dyDescent="0.3">
      <c r="A1975" t="s">
        <v>12</v>
      </c>
      <c r="B1975">
        <v>2016110054</v>
      </c>
      <c r="C1975" t="s">
        <v>42</v>
      </c>
      <c r="E1975" t="s">
        <v>337</v>
      </c>
      <c r="F1975" t="s">
        <v>338</v>
      </c>
      <c r="G1975">
        <v>2</v>
      </c>
      <c r="H1975" t="s">
        <v>438</v>
      </c>
      <c r="I1975" s="4">
        <f t="shared" si="291"/>
        <v>3</v>
      </c>
      <c r="J1975">
        <f t="shared" si="292"/>
        <v>6</v>
      </c>
      <c r="K1975">
        <v>58</v>
      </c>
      <c r="L1975">
        <v>22</v>
      </c>
      <c r="M1975" s="2">
        <v>2.64</v>
      </c>
      <c r="N1975" s="2">
        <v>2.92</v>
      </c>
      <c r="O1975">
        <v>0</v>
      </c>
      <c r="P1975">
        <v>5</v>
      </c>
      <c r="Q1975" s="4" t="str">
        <f t="shared" si="285"/>
        <v>2018/2019-Ganjil</v>
      </c>
      <c r="R1975" t="s">
        <v>260</v>
      </c>
      <c r="S1975" t="str">
        <f t="shared" si="290"/>
        <v>PA</v>
      </c>
    </row>
    <row r="1976" spans="1:19" x14ac:dyDescent="0.3">
      <c r="A1976" t="s">
        <v>12</v>
      </c>
      <c r="B1976">
        <v>2016110054</v>
      </c>
      <c r="C1976" t="s">
        <v>42</v>
      </c>
      <c r="E1976" t="s">
        <v>122</v>
      </c>
      <c r="F1976" t="s">
        <v>123</v>
      </c>
      <c r="G1976">
        <v>4</v>
      </c>
      <c r="H1976" t="s">
        <v>438</v>
      </c>
      <c r="I1976" s="4">
        <f t="shared" si="291"/>
        <v>3</v>
      </c>
      <c r="J1976">
        <f t="shared" si="292"/>
        <v>12</v>
      </c>
      <c r="K1976">
        <v>62</v>
      </c>
      <c r="L1976">
        <v>20</v>
      </c>
      <c r="M1976" s="2">
        <v>3.1</v>
      </c>
      <c r="N1976" s="2">
        <v>2.92</v>
      </c>
      <c r="O1976">
        <v>0</v>
      </c>
      <c r="P1976">
        <v>1</v>
      </c>
      <c r="Q1976" s="4" t="str">
        <f t="shared" si="285"/>
        <v>2016/2017-Ganjil</v>
      </c>
      <c r="R1976" t="s">
        <v>260</v>
      </c>
      <c r="S1976" t="str">
        <f t="shared" si="290"/>
        <v>PA</v>
      </c>
    </row>
    <row r="1977" spans="1:19" x14ac:dyDescent="0.3">
      <c r="A1977" t="s">
        <v>12</v>
      </c>
      <c r="B1977">
        <v>2016110054</v>
      </c>
      <c r="C1977" t="s">
        <v>42</v>
      </c>
      <c r="E1977" t="s">
        <v>39</v>
      </c>
      <c r="F1977" t="s">
        <v>11</v>
      </c>
      <c r="G1977">
        <v>2</v>
      </c>
      <c r="H1977" t="s">
        <v>438</v>
      </c>
      <c r="I1977" s="4">
        <f t="shared" si="291"/>
        <v>3</v>
      </c>
      <c r="J1977">
        <f t="shared" si="292"/>
        <v>6</v>
      </c>
      <c r="K1977">
        <v>34</v>
      </c>
      <c r="L1977">
        <v>12</v>
      </c>
      <c r="M1977" s="2">
        <v>2.83</v>
      </c>
      <c r="N1977" s="2">
        <v>2.92</v>
      </c>
      <c r="O1977">
        <v>0</v>
      </c>
      <c r="P1977">
        <v>7</v>
      </c>
      <c r="Q1977" s="4" t="str">
        <f t="shared" si="285"/>
        <v>2019/2020-Ganjil</v>
      </c>
      <c r="R1977" t="s">
        <v>260</v>
      </c>
      <c r="S1977" t="str">
        <f t="shared" si="290"/>
        <v>PA</v>
      </c>
    </row>
    <row r="1978" spans="1:19" x14ac:dyDescent="0.3">
      <c r="A1978" t="s">
        <v>12</v>
      </c>
      <c r="B1978">
        <v>2016110054</v>
      </c>
      <c r="C1978" t="s">
        <v>42</v>
      </c>
      <c r="E1978" t="s">
        <v>370</v>
      </c>
      <c r="F1978" t="s">
        <v>371</v>
      </c>
      <c r="G1978">
        <v>2</v>
      </c>
      <c r="H1978" t="s">
        <v>438</v>
      </c>
      <c r="I1978" s="4">
        <f t="shared" si="291"/>
        <v>3</v>
      </c>
      <c r="J1978">
        <f t="shared" si="292"/>
        <v>6</v>
      </c>
      <c r="K1978">
        <v>58</v>
      </c>
      <c r="L1978">
        <v>22</v>
      </c>
      <c r="M1978" s="2">
        <v>2.64</v>
      </c>
      <c r="N1978" s="2">
        <v>2.92</v>
      </c>
      <c r="O1978">
        <v>0</v>
      </c>
      <c r="P1978">
        <v>5</v>
      </c>
      <c r="Q1978" s="4" t="str">
        <f t="shared" si="285"/>
        <v>2018/2019-Ganjil</v>
      </c>
      <c r="R1978" t="s">
        <v>260</v>
      </c>
      <c r="S1978" t="str">
        <f t="shared" si="290"/>
        <v>PA</v>
      </c>
    </row>
    <row r="1979" spans="1:19" x14ac:dyDescent="0.3">
      <c r="A1979" t="s">
        <v>12</v>
      </c>
      <c r="B1979">
        <v>2016110054</v>
      </c>
      <c r="C1979" t="s">
        <v>42</v>
      </c>
      <c r="E1979" t="s">
        <v>90</v>
      </c>
      <c r="F1979" t="s">
        <v>91</v>
      </c>
      <c r="G1979">
        <v>2</v>
      </c>
      <c r="H1979" t="s">
        <v>438</v>
      </c>
      <c r="I1979" s="4">
        <f t="shared" si="291"/>
        <v>3</v>
      </c>
      <c r="J1979">
        <f t="shared" si="292"/>
        <v>6</v>
      </c>
      <c r="K1979">
        <v>62</v>
      </c>
      <c r="L1979">
        <v>20</v>
      </c>
      <c r="M1979" s="2">
        <v>3.1</v>
      </c>
      <c r="N1979" s="2">
        <v>2.92</v>
      </c>
      <c r="O1979">
        <v>0</v>
      </c>
      <c r="P1979">
        <v>1</v>
      </c>
      <c r="Q1979" s="4" t="str">
        <f t="shared" si="285"/>
        <v>2016/2017-Ganjil</v>
      </c>
      <c r="R1979" t="s">
        <v>260</v>
      </c>
      <c r="S1979" t="str">
        <f t="shared" si="290"/>
        <v>PA</v>
      </c>
    </row>
    <row r="1980" spans="1:19" x14ac:dyDescent="0.3">
      <c r="A1980" t="s">
        <v>12</v>
      </c>
      <c r="B1980">
        <v>2016110054</v>
      </c>
      <c r="C1980" t="s">
        <v>42</v>
      </c>
      <c r="E1980" t="s">
        <v>372</v>
      </c>
      <c r="F1980" t="s">
        <v>373</v>
      </c>
      <c r="G1980">
        <v>2</v>
      </c>
      <c r="H1980" t="s">
        <v>438</v>
      </c>
      <c r="I1980" s="4">
        <f t="shared" si="291"/>
        <v>3</v>
      </c>
      <c r="J1980">
        <f t="shared" si="292"/>
        <v>6</v>
      </c>
      <c r="K1980">
        <v>46</v>
      </c>
      <c r="L1980">
        <v>18</v>
      </c>
      <c r="M1980" s="2">
        <v>2.56</v>
      </c>
      <c r="N1980" s="2">
        <v>2.92</v>
      </c>
      <c r="O1980">
        <v>0</v>
      </c>
      <c r="P1980">
        <v>6</v>
      </c>
      <c r="Q1980" s="4" t="str">
        <f t="shared" si="285"/>
        <v>2018/2019-Genap</v>
      </c>
      <c r="R1980" t="s">
        <v>260</v>
      </c>
      <c r="S1980" t="str">
        <f t="shared" si="290"/>
        <v>PA</v>
      </c>
    </row>
    <row r="1981" spans="1:19" x14ac:dyDescent="0.3">
      <c r="A1981" t="s">
        <v>12</v>
      </c>
      <c r="B1981">
        <v>2016110054</v>
      </c>
      <c r="C1981" t="s">
        <v>42</v>
      </c>
      <c r="E1981" t="s">
        <v>374</v>
      </c>
      <c r="F1981" t="s">
        <v>375</v>
      </c>
      <c r="G1981">
        <v>2</v>
      </c>
      <c r="H1981" t="s">
        <v>438</v>
      </c>
      <c r="I1981" s="4">
        <f t="shared" si="291"/>
        <v>3</v>
      </c>
      <c r="J1981">
        <f t="shared" si="292"/>
        <v>6</v>
      </c>
      <c r="K1981">
        <v>64</v>
      </c>
      <c r="L1981">
        <v>24</v>
      </c>
      <c r="M1981" s="2">
        <v>2.67</v>
      </c>
      <c r="N1981" s="2">
        <v>2.92</v>
      </c>
      <c r="O1981">
        <v>0</v>
      </c>
      <c r="P1981">
        <v>4</v>
      </c>
      <c r="Q1981" s="4" t="str">
        <f t="shared" si="285"/>
        <v>2017/2018-Genap</v>
      </c>
      <c r="R1981" t="s">
        <v>260</v>
      </c>
      <c r="S1981" t="str">
        <f t="shared" si="290"/>
        <v>PA</v>
      </c>
    </row>
    <row r="1982" spans="1:19" x14ac:dyDescent="0.3">
      <c r="A1982" t="s">
        <v>12</v>
      </c>
      <c r="B1982">
        <v>2016110054</v>
      </c>
      <c r="C1982" t="s">
        <v>42</v>
      </c>
      <c r="E1982" t="s">
        <v>297</v>
      </c>
      <c r="F1982" t="s">
        <v>342</v>
      </c>
      <c r="G1982">
        <v>4</v>
      </c>
      <c r="H1982" t="s">
        <v>524</v>
      </c>
      <c r="I1982" s="4">
        <f t="shared" si="291"/>
        <v>2</v>
      </c>
      <c r="J1982">
        <f t="shared" si="292"/>
        <v>8</v>
      </c>
      <c r="K1982">
        <v>46</v>
      </c>
      <c r="L1982">
        <v>18</v>
      </c>
      <c r="M1982" s="2">
        <v>2.56</v>
      </c>
      <c r="N1982" s="2">
        <v>2.92</v>
      </c>
      <c r="O1982">
        <v>0</v>
      </c>
      <c r="P1982">
        <v>6</v>
      </c>
      <c r="Q1982" s="4" t="str">
        <f t="shared" si="285"/>
        <v>2018/2019-Genap</v>
      </c>
      <c r="R1982" t="s">
        <v>260</v>
      </c>
      <c r="S1982" t="str">
        <f t="shared" si="290"/>
        <v>PA</v>
      </c>
    </row>
    <row r="1983" spans="1:19" x14ac:dyDescent="0.3">
      <c r="A1983" t="s">
        <v>12</v>
      </c>
      <c r="B1983">
        <v>2016110054</v>
      </c>
      <c r="C1983" t="s">
        <v>42</v>
      </c>
      <c r="E1983" t="s">
        <v>97</v>
      </c>
      <c r="F1983" t="s">
        <v>98</v>
      </c>
      <c r="G1983">
        <v>4</v>
      </c>
      <c r="H1983" t="s">
        <v>524</v>
      </c>
      <c r="I1983" s="4">
        <f t="shared" si="291"/>
        <v>2</v>
      </c>
      <c r="J1983">
        <f t="shared" si="292"/>
        <v>8</v>
      </c>
      <c r="K1983">
        <v>52</v>
      </c>
      <c r="L1983">
        <v>20</v>
      </c>
      <c r="M1983" s="2">
        <v>2.6</v>
      </c>
      <c r="N1983" s="2">
        <v>2.92</v>
      </c>
      <c r="O1983">
        <v>0</v>
      </c>
      <c r="P1983">
        <v>2</v>
      </c>
      <c r="Q1983" s="4" t="str">
        <f t="shared" si="285"/>
        <v>2016/2017-Genap</v>
      </c>
      <c r="R1983" t="s">
        <v>260</v>
      </c>
      <c r="S1983" t="str">
        <f t="shared" si="290"/>
        <v>PA</v>
      </c>
    </row>
    <row r="1984" spans="1:19" x14ac:dyDescent="0.3">
      <c r="A1984" t="s">
        <v>12</v>
      </c>
      <c r="B1984">
        <v>2016110054</v>
      </c>
      <c r="C1984" t="s">
        <v>42</v>
      </c>
      <c r="E1984" t="s">
        <v>190</v>
      </c>
      <c r="F1984" t="s">
        <v>191</v>
      </c>
      <c r="G1984">
        <v>4</v>
      </c>
      <c r="H1984" t="s">
        <v>524</v>
      </c>
      <c r="I1984" s="4">
        <f t="shared" si="291"/>
        <v>2</v>
      </c>
      <c r="J1984">
        <f t="shared" si="292"/>
        <v>8</v>
      </c>
      <c r="K1984">
        <v>66</v>
      </c>
      <c r="L1984">
        <v>22</v>
      </c>
      <c r="M1984" s="2">
        <v>3</v>
      </c>
      <c r="N1984" s="2">
        <v>2.92</v>
      </c>
      <c r="O1984">
        <v>0</v>
      </c>
      <c r="P1984">
        <v>3</v>
      </c>
      <c r="Q1984" s="4" t="str">
        <f t="shared" si="285"/>
        <v>2017/2018-Ganjil</v>
      </c>
      <c r="R1984" t="s">
        <v>260</v>
      </c>
      <c r="S1984" t="str">
        <f t="shared" si="290"/>
        <v>PA</v>
      </c>
    </row>
    <row r="1985" spans="1:19" x14ac:dyDescent="0.3">
      <c r="A1985" t="s">
        <v>12</v>
      </c>
      <c r="B1985">
        <v>2016110054</v>
      </c>
      <c r="C1985" t="s">
        <v>42</v>
      </c>
      <c r="E1985" t="s">
        <v>97</v>
      </c>
      <c r="F1985" t="s">
        <v>98</v>
      </c>
      <c r="G1985">
        <v>4</v>
      </c>
      <c r="H1985" t="s">
        <v>438</v>
      </c>
      <c r="I1985" s="4">
        <f t="shared" si="291"/>
        <v>3</v>
      </c>
      <c r="J1985">
        <f t="shared" si="292"/>
        <v>12</v>
      </c>
      <c r="K1985">
        <v>60</v>
      </c>
      <c r="L1985">
        <v>20</v>
      </c>
      <c r="M1985" s="2">
        <v>3</v>
      </c>
      <c r="N1985" s="2">
        <v>2.92</v>
      </c>
      <c r="O1985">
        <v>1</v>
      </c>
      <c r="P1985">
        <v>8</v>
      </c>
      <c r="Q1985" s="4" t="s">
        <v>571</v>
      </c>
      <c r="R1985" t="s">
        <v>260</v>
      </c>
      <c r="S1985" t="str">
        <f t="shared" si="290"/>
        <v>PA</v>
      </c>
    </row>
    <row r="1986" spans="1:19" x14ac:dyDescent="0.3">
      <c r="A1986" t="s">
        <v>12</v>
      </c>
      <c r="B1986">
        <v>2016110054</v>
      </c>
      <c r="C1986" t="s">
        <v>42</v>
      </c>
      <c r="E1986" t="s">
        <v>190</v>
      </c>
      <c r="F1986" t="s">
        <v>191</v>
      </c>
      <c r="G1986">
        <v>4</v>
      </c>
      <c r="H1986" t="s">
        <v>438</v>
      </c>
      <c r="I1986" s="4">
        <f t="shared" si="291"/>
        <v>3</v>
      </c>
      <c r="J1986">
        <f t="shared" si="292"/>
        <v>12</v>
      </c>
      <c r="K1986">
        <v>60</v>
      </c>
      <c r="L1986">
        <v>20</v>
      </c>
      <c r="M1986" s="2">
        <v>3</v>
      </c>
      <c r="N1986" s="2">
        <v>2.92</v>
      </c>
      <c r="O1986">
        <v>1</v>
      </c>
      <c r="P1986">
        <v>8</v>
      </c>
      <c r="Q1986" s="4" t="s">
        <v>571</v>
      </c>
      <c r="R1986" t="s">
        <v>260</v>
      </c>
      <c r="S1986" t="str">
        <f t="shared" si="290"/>
        <v>PA</v>
      </c>
    </row>
    <row r="1987" spans="1:19" x14ac:dyDescent="0.3">
      <c r="A1987" t="s">
        <v>12</v>
      </c>
      <c r="B1987">
        <v>2016110054</v>
      </c>
      <c r="C1987" t="s">
        <v>42</v>
      </c>
      <c r="E1987" t="s">
        <v>382</v>
      </c>
      <c r="F1987" t="s">
        <v>383</v>
      </c>
      <c r="G1987">
        <v>4</v>
      </c>
      <c r="H1987" t="s">
        <v>524</v>
      </c>
      <c r="I1987" s="4">
        <f t="shared" si="291"/>
        <v>2</v>
      </c>
      <c r="J1987">
        <f t="shared" si="292"/>
        <v>8</v>
      </c>
      <c r="K1987">
        <v>58</v>
      </c>
      <c r="L1987">
        <v>22</v>
      </c>
      <c r="M1987" s="2">
        <v>2.64</v>
      </c>
      <c r="N1987" s="2">
        <v>2.92</v>
      </c>
      <c r="O1987">
        <v>0</v>
      </c>
      <c r="P1987">
        <v>5</v>
      </c>
      <c r="Q1987" s="4" t="str">
        <f>IF(P1987=1,"2016/2017-Ganjil",IF(P1987=2,"2016/2017-Genap",IF(P1987=3,"2017/2018-Ganjil",IF(P1987=4,"2017/2018-Genap",IF(P1987=5,"2018/2019-Ganjil",IF(P1987=6,"2018/2019-Genap",IF(P1987=7,"2019/2020-Ganjil",IF(P1987=8,"2019/2020-Genap",IF(P1987=9,"2020/2021-Ganjil","2020/2021-Genap")))))))))</f>
        <v>2018/2019-Ganjil</v>
      </c>
      <c r="R1987" t="s">
        <v>260</v>
      </c>
      <c r="S1987" t="str">
        <f t="shared" si="290"/>
        <v>PA</v>
      </c>
    </row>
    <row r="1988" spans="1:19" x14ac:dyDescent="0.3">
      <c r="A1988" t="s">
        <v>12</v>
      </c>
      <c r="B1988">
        <v>2016110054</v>
      </c>
      <c r="C1988" t="s">
        <v>42</v>
      </c>
      <c r="E1988" t="s">
        <v>348</v>
      </c>
      <c r="F1988" t="s">
        <v>402</v>
      </c>
      <c r="G1988">
        <v>4</v>
      </c>
      <c r="H1988" t="s">
        <v>524</v>
      </c>
      <c r="I1988" s="4">
        <f t="shared" si="291"/>
        <v>2</v>
      </c>
      <c r="J1988">
        <f t="shared" si="292"/>
        <v>8</v>
      </c>
      <c r="K1988">
        <v>64</v>
      </c>
      <c r="L1988">
        <v>24</v>
      </c>
      <c r="M1988" s="2">
        <v>2.67</v>
      </c>
      <c r="N1988" s="2">
        <v>2.92</v>
      </c>
      <c r="O1988">
        <v>0</v>
      </c>
      <c r="P1988">
        <v>4</v>
      </c>
      <c r="Q1988" s="4" t="str">
        <f>IF(P1988=1,"2016/2017-Ganjil",IF(P1988=2,"2016/2017-Genap",IF(P1988=3,"2017/2018-Ganjil",IF(P1988=4,"2017/2018-Genap",IF(P1988=5,"2018/2019-Ganjil",IF(P1988=6,"2018/2019-Genap",IF(P1988=7,"2019/2020-Ganjil",IF(P1988=8,"2019/2020-Genap",IF(P1988=9,"2020/2021-Ganjil","2020/2021-Genap")))))))))</f>
        <v>2017/2018-Genap</v>
      </c>
      <c r="R1988" t="s">
        <v>260</v>
      </c>
      <c r="S1988" t="str">
        <f t="shared" si="290"/>
        <v>PA</v>
      </c>
    </row>
    <row r="1989" spans="1:19" x14ac:dyDescent="0.3">
      <c r="A1989" t="s">
        <v>12</v>
      </c>
      <c r="B1989">
        <v>2016110054</v>
      </c>
      <c r="C1989" t="s">
        <v>42</v>
      </c>
      <c r="E1989" t="s">
        <v>348</v>
      </c>
      <c r="F1989" t="s">
        <v>402</v>
      </c>
      <c r="G1989">
        <v>4</v>
      </c>
      <c r="H1989" t="s">
        <v>438</v>
      </c>
      <c r="I1989" s="4">
        <f t="shared" si="291"/>
        <v>3</v>
      </c>
      <c r="J1989">
        <f t="shared" si="292"/>
        <v>12</v>
      </c>
      <c r="K1989">
        <v>60</v>
      </c>
      <c r="L1989">
        <v>20</v>
      </c>
      <c r="M1989" s="2">
        <v>3</v>
      </c>
      <c r="N1989" s="2">
        <v>2.92</v>
      </c>
      <c r="O1989">
        <v>1</v>
      </c>
      <c r="P1989">
        <v>8</v>
      </c>
      <c r="Q1989" s="4" t="s">
        <v>571</v>
      </c>
      <c r="R1989" t="s">
        <v>260</v>
      </c>
      <c r="S1989" t="str">
        <f t="shared" si="290"/>
        <v>PA</v>
      </c>
    </row>
    <row r="1990" spans="1:19" x14ac:dyDescent="0.3">
      <c r="A1990" t="s">
        <v>12</v>
      </c>
      <c r="B1990">
        <v>2016110054</v>
      </c>
      <c r="C1990" t="s">
        <v>42</v>
      </c>
      <c r="E1990" t="s">
        <v>437</v>
      </c>
      <c r="F1990" t="s">
        <v>169</v>
      </c>
      <c r="G1990">
        <v>4</v>
      </c>
      <c r="H1990" t="s">
        <v>524</v>
      </c>
      <c r="I1990" s="4">
        <f t="shared" si="291"/>
        <v>2</v>
      </c>
      <c r="J1990">
        <f t="shared" si="292"/>
        <v>8</v>
      </c>
      <c r="K1990">
        <v>62</v>
      </c>
      <c r="L1990">
        <v>20</v>
      </c>
      <c r="M1990" s="2">
        <v>3.1</v>
      </c>
      <c r="N1990" s="2">
        <v>2.92</v>
      </c>
      <c r="O1990">
        <v>0</v>
      </c>
      <c r="P1990">
        <v>1</v>
      </c>
      <c r="Q1990" s="4" t="str">
        <f>IF(P1990=1,"2016/2017-Ganjil",IF(P1990=2,"2016/2017-Genap",IF(P1990=3,"2017/2018-Ganjil",IF(P1990=4,"2017/2018-Genap",IF(P1990=5,"2018/2019-Ganjil",IF(P1990=6,"2018/2019-Genap",IF(P1990=7,"2019/2020-Ganjil",IF(P1990=8,"2019/2020-Genap",IF(P1990=9,"2020/2021-Ganjil","2020/2021-Genap")))))))))</f>
        <v>2016/2017-Ganjil</v>
      </c>
      <c r="R1990" t="s">
        <v>260</v>
      </c>
      <c r="S1990" t="str">
        <f t="shared" si="290"/>
        <v>PA</v>
      </c>
    </row>
    <row r="1991" spans="1:19" x14ac:dyDescent="0.3">
      <c r="A1991" t="s">
        <v>12</v>
      </c>
      <c r="B1991">
        <v>2016110054</v>
      </c>
      <c r="C1991" t="s">
        <v>42</v>
      </c>
      <c r="E1991" t="s">
        <v>257</v>
      </c>
      <c r="F1991" t="s">
        <v>258</v>
      </c>
      <c r="G1991">
        <v>4</v>
      </c>
      <c r="H1991" t="s">
        <v>524</v>
      </c>
      <c r="I1991" s="4">
        <f t="shared" si="291"/>
        <v>2</v>
      </c>
      <c r="J1991">
        <f t="shared" si="292"/>
        <v>8</v>
      </c>
      <c r="K1991">
        <v>46</v>
      </c>
      <c r="L1991">
        <v>18</v>
      </c>
      <c r="M1991" s="2">
        <v>2.56</v>
      </c>
      <c r="N1991" s="2">
        <v>2.92</v>
      </c>
      <c r="O1991">
        <v>0</v>
      </c>
      <c r="P1991">
        <v>6</v>
      </c>
      <c r="Q1991" s="4" t="str">
        <f>IF(P1991=1,"2016/2017-Ganjil",IF(P1991=2,"2016/2017-Genap",IF(P1991=3,"2017/2018-Ganjil",IF(P1991=4,"2017/2018-Genap",IF(P1991=5,"2018/2019-Ganjil",IF(P1991=6,"2018/2019-Genap",IF(P1991=7,"2019/2020-Ganjil",IF(P1991=8,"2019/2020-Genap",IF(P1991=9,"2020/2021-Ganjil","2020/2021-Genap")))))))))</f>
        <v>2018/2019-Genap</v>
      </c>
      <c r="R1991" t="s">
        <v>260</v>
      </c>
      <c r="S1991" t="str">
        <f t="shared" si="290"/>
        <v>PA</v>
      </c>
    </row>
    <row r="1992" spans="1:19" x14ac:dyDescent="0.3">
      <c r="A1992" t="s">
        <v>12</v>
      </c>
      <c r="B1992">
        <v>2016110054</v>
      </c>
      <c r="C1992" t="s">
        <v>42</v>
      </c>
      <c r="E1992" t="s">
        <v>273</v>
      </c>
      <c r="F1992" t="s">
        <v>274</v>
      </c>
      <c r="G1992">
        <v>2</v>
      </c>
      <c r="H1992" t="s">
        <v>524</v>
      </c>
      <c r="I1992" s="4">
        <f t="shared" si="291"/>
        <v>2</v>
      </c>
      <c r="J1992">
        <f t="shared" si="292"/>
        <v>4</v>
      </c>
      <c r="K1992">
        <v>64</v>
      </c>
      <c r="L1992">
        <v>24</v>
      </c>
      <c r="M1992" s="2">
        <v>2.67</v>
      </c>
      <c r="N1992" s="2">
        <v>2.92</v>
      </c>
      <c r="O1992">
        <v>0</v>
      </c>
      <c r="P1992">
        <v>4</v>
      </c>
      <c r="Q1992" s="4" t="str">
        <f>IF(P1992=1,"2016/2017-Ganjil",IF(P1992=2,"2016/2017-Genap",IF(P1992=3,"2017/2018-Ganjil",IF(P1992=4,"2017/2018-Genap",IF(P1992=5,"2018/2019-Ganjil",IF(P1992=6,"2018/2019-Genap",IF(P1992=7,"2019/2020-Ganjil",IF(P1992=8,"2019/2020-Genap",IF(P1992=9,"2020/2021-Ganjil","2020/2021-Genap")))))))))</f>
        <v>2017/2018-Genap</v>
      </c>
      <c r="R1992" t="s">
        <v>260</v>
      </c>
      <c r="S1992" t="str">
        <f t="shared" si="290"/>
        <v>PA</v>
      </c>
    </row>
    <row r="1993" spans="1:19" x14ac:dyDescent="0.3">
      <c r="A1993" t="s">
        <v>12</v>
      </c>
      <c r="B1993">
        <v>2016110054</v>
      </c>
      <c r="C1993" t="s">
        <v>42</v>
      </c>
      <c r="E1993" t="s">
        <v>103</v>
      </c>
      <c r="F1993" t="s">
        <v>104</v>
      </c>
      <c r="G1993">
        <v>4</v>
      </c>
      <c r="H1993" t="s">
        <v>524</v>
      </c>
      <c r="I1993" s="4">
        <f t="shared" si="291"/>
        <v>2</v>
      </c>
      <c r="J1993">
        <f t="shared" si="292"/>
        <v>8</v>
      </c>
      <c r="K1993">
        <v>52</v>
      </c>
      <c r="L1993">
        <v>20</v>
      </c>
      <c r="M1993" s="2">
        <v>2.6</v>
      </c>
      <c r="N1993" s="2">
        <v>2.92</v>
      </c>
      <c r="O1993">
        <v>0</v>
      </c>
      <c r="P1993">
        <v>2</v>
      </c>
      <c r="Q1993" s="4" t="str">
        <f>IF(P1993=1,"2016/2017-Ganjil",IF(P1993=2,"2016/2017-Genap",IF(P1993=3,"2017/2018-Ganjil",IF(P1993=4,"2017/2018-Genap",IF(P1993=5,"2018/2019-Ganjil",IF(P1993=6,"2018/2019-Genap",IF(P1993=7,"2019/2020-Ganjil",IF(P1993=8,"2019/2020-Genap",IF(P1993=9,"2020/2021-Ganjil","2020/2021-Genap")))))))))</f>
        <v>2016/2017-Genap</v>
      </c>
      <c r="R1993" t="s">
        <v>260</v>
      </c>
      <c r="S1993" t="str">
        <f t="shared" si="290"/>
        <v>PA</v>
      </c>
    </row>
    <row r="1994" spans="1:19" x14ac:dyDescent="0.3">
      <c r="A1994" t="s">
        <v>12</v>
      </c>
      <c r="B1994">
        <v>2016110054</v>
      </c>
      <c r="C1994" t="s">
        <v>42</v>
      </c>
      <c r="E1994" t="s">
        <v>103</v>
      </c>
      <c r="F1994" t="s">
        <v>104</v>
      </c>
      <c r="G1994">
        <v>4</v>
      </c>
      <c r="H1994" t="s">
        <v>438</v>
      </c>
      <c r="I1994" s="4">
        <f t="shared" si="291"/>
        <v>3</v>
      </c>
      <c r="J1994">
        <f t="shared" si="292"/>
        <v>12</v>
      </c>
      <c r="K1994">
        <v>60</v>
      </c>
      <c r="L1994">
        <v>20</v>
      </c>
      <c r="M1994" s="2">
        <v>3</v>
      </c>
      <c r="N1994" s="2">
        <v>2.92</v>
      </c>
      <c r="O1994">
        <v>1</v>
      </c>
      <c r="P1994">
        <v>8</v>
      </c>
      <c r="Q1994" s="4" t="s">
        <v>571</v>
      </c>
      <c r="R1994" t="s">
        <v>260</v>
      </c>
      <c r="S1994" t="str">
        <f t="shared" si="290"/>
        <v>PA</v>
      </c>
    </row>
    <row r="1995" spans="1:19" x14ac:dyDescent="0.3">
      <c r="A1995" t="s">
        <v>12</v>
      </c>
      <c r="B1995">
        <v>2016110054</v>
      </c>
      <c r="C1995" t="s">
        <v>42</v>
      </c>
      <c r="E1995" t="s">
        <v>344</v>
      </c>
      <c r="F1995" t="s">
        <v>345</v>
      </c>
      <c r="G1995">
        <v>2</v>
      </c>
      <c r="H1995" t="s">
        <v>524</v>
      </c>
      <c r="I1995" s="4">
        <f t="shared" si="291"/>
        <v>2</v>
      </c>
      <c r="J1995">
        <f t="shared" si="292"/>
        <v>4</v>
      </c>
      <c r="K1995">
        <v>34</v>
      </c>
      <c r="L1995">
        <v>12</v>
      </c>
      <c r="M1995" s="2">
        <v>2.83</v>
      </c>
      <c r="N1995" s="2">
        <v>2.92</v>
      </c>
      <c r="O1995">
        <v>0</v>
      </c>
      <c r="P1995">
        <v>7</v>
      </c>
      <c r="Q1995" s="4" t="str">
        <f>IF(P1995=1,"2016/2017-Ganjil",IF(P1995=2,"2016/2017-Genap",IF(P1995=3,"2017/2018-Ganjil",IF(P1995=4,"2017/2018-Genap",IF(P1995=5,"2018/2019-Ganjil",IF(P1995=6,"2018/2019-Genap",IF(P1995=7,"2019/2020-Ganjil",IF(P1995=8,"2019/2020-Genap",IF(P1995=9,"2020/2021-Ganjil","2020/2021-Genap")))))))))</f>
        <v>2019/2020-Ganjil</v>
      </c>
      <c r="R1995" t="s">
        <v>260</v>
      </c>
      <c r="S1995" t="str">
        <f t="shared" si="290"/>
        <v>PA</v>
      </c>
    </row>
    <row r="1996" spans="1:19" x14ac:dyDescent="0.3">
      <c r="A1996" t="s">
        <v>12</v>
      </c>
      <c r="B1996">
        <v>2016110054</v>
      </c>
      <c r="C1996" t="s">
        <v>42</v>
      </c>
      <c r="E1996" t="s">
        <v>211</v>
      </c>
      <c r="F1996" t="s">
        <v>186</v>
      </c>
      <c r="G1996">
        <v>4</v>
      </c>
      <c r="H1996" t="s">
        <v>524</v>
      </c>
      <c r="I1996" s="4">
        <f t="shared" si="291"/>
        <v>2</v>
      </c>
      <c r="J1996">
        <f t="shared" si="292"/>
        <v>8</v>
      </c>
      <c r="K1996">
        <v>58</v>
      </c>
      <c r="L1996">
        <v>22</v>
      </c>
      <c r="M1996" s="2">
        <v>2.64</v>
      </c>
      <c r="N1996" s="2">
        <v>2.92</v>
      </c>
      <c r="O1996">
        <v>0</v>
      </c>
      <c r="P1996">
        <v>5</v>
      </c>
      <c r="Q1996" s="4" t="str">
        <f>IF(P1996=1,"2016/2017-Ganjil",IF(P1996=2,"2016/2017-Genap",IF(P1996=3,"2017/2018-Ganjil",IF(P1996=4,"2017/2018-Genap",IF(P1996=5,"2018/2019-Ganjil",IF(P1996=6,"2018/2019-Genap",IF(P1996=7,"2019/2020-Ganjil",IF(P1996=8,"2019/2020-Genap",IF(P1996=9,"2020/2021-Ganjil","2020/2021-Genap")))))))))</f>
        <v>2018/2019-Ganjil</v>
      </c>
      <c r="R1996" t="s">
        <v>260</v>
      </c>
      <c r="S1996" t="str">
        <f t="shared" si="290"/>
        <v>PA</v>
      </c>
    </row>
    <row r="1997" spans="1:19" x14ac:dyDescent="0.3">
      <c r="A1997" t="s">
        <v>12</v>
      </c>
      <c r="B1997">
        <v>2016110054</v>
      </c>
      <c r="C1997" t="s">
        <v>42</v>
      </c>
      <c r="E1997" t="s">
        <v>234</v>
      </c>
      <c r="F1997" t="s">
        <v>235</v>
      </c>
      <c r="G1997">
        <v>4</v>
      </c>
      <c r="H1997" t="s">
        <v>524</v>
      </c>
      <c r="I1997" s="4">
        <f t="shared" si="291"/>
        <v>2</v>
      </c>
      <c r="J1997">
        <f t="shared" si="292"/>
        <v>8</v>
      </c>
      <c r="K1997">
        <v>66</v>
      </c>
      <c r="L1997">
        <v>22</v>
      </c>
      <c r="M1997" s="2">
        <v>3</v>
      </c>
      <c r="N1997" s="2">
        <v>2.92</v>
      </c>
      <c r="O1997">
        <v>0</v>
      </c>
      <c r="P1997">
        <v>3</v>
      </c>
      <c r="Q1997" s="4" t="str">
        <f>IF(P1997=1,"2016/2017-Ganjil",IF(P1997=2,"2016/2017-Genap",IF(P1997=3,"2017/2018-Ganjil",IF(P1997=4,"2017/2018-Genap",IF(P1997=5,"2018/2019-Ganjil",IF(P1997=6,"2018/2019-Genap",IF(P1997=7,"2019/2020-Ganjil",IF(P1997=8,"2019/2020-Genap",IF(P1997=9,"2020/2021-Ganjil","2020/2021-Genap")))))))))</f>
        <v>2017/2018-Ganjil</v>
      </c>
      <c r="R1997" t="s">
        <v>260</v>
      </c>
      <c r="S1997" t="str">
        <f t="shared" si="290"/>
        <v>PA</v>
      </c>
    </row>
    <row r="1998" spans="1:19" x14ac:dyDescent="0.3">
      <c r="A1998" t="s">
        <v>12</v>
      </c>
      <c r="B1998">
        <v>2016110054</v>
      </c>
      <c r="C1998" t="s">
        <v>42</v>
      </c>
      <c r="E1998" t="s">
        <v>309</v>
      </c>
      <c r="F1998" t="s">
        <v>310</v>
      </c>
      <c r="G1998">
        <v>4</v>
      </c>
      <c r="H1998" t="s">
        <v>535</v>
      </c>
      <c r="I1998" s="4">
        <f t="shared" si="291"/>
        <v>1</v>
      </c>
      <c r="J1998">
        <f t="shared" si="292"/>
        <v>4</v>
      </c>
      <c r="K1998">
        <v>64</v>
      </c>
      <c r="L1998">
        <v>24</v>
      </c>
      <c r="M1998" s="2">
        <v>2.67</v>
      </c>
      <c r="N1998" s="2">
        <v>2.92</v>
      </c>
      <c r="O1998">
        <v>0</v>
      </c>
      <c r="P1998">
        <v>4</v>
      </c>
      <c r="Q1998" s="4" t="str">
        <f>IF(P1998=1,"2016/2017-Ganjil",IF(P1998=2,"2016/2017-Genap",IF(P1998=3,"2017/2018-Ganjil",IF(P1998=4,"2017/2018-Genap",IF(P1998=5,"2018/2019-Ganjil",IF(P1998=6,"2018/2019-Genap",IF(P1998=7,"2019/2020-Ganjil",IF(P1998=8,"2019/2020-Genap",IF(P1998=9,"2020/2021-Ganjil","2020/2021-Genap")))))))))</f>
        <v>2017/2018-Genap</v>
      </c>
      <c r="R1998" t="s">
        <v>260</v>
      </c>
      <c r="S1998" t="str">
        <f t="shared" si="290"/>
        <v>FA</v>
      </c>
    </row>
    <row r="1999" spans="1:19" x14ac:dyDescent="0.3">
      <c r="A1999" t="s">
        <v>12</v>
      </c>
      <c r="B1999">
        <v>2016110054</v>
      </c>
      <c r="C1999" t="s">
        <v>42</v>
      </c>
      <c r="E1999" t="s">
        <v>309</v>
      </c>
      <c r="F1999" t="s">
        <v>310</v>
      </c>
      <c r="G1999">
        <v>4</v>
      </c>
      <c r="H1999" t="s">
        <v>438</v>
      </c>
      <c r="I1999" s="4">
        <f t="shared" si="291"/>
        <v>3</v>
      </c>
      <c r="J1999">
        <f t="shared" si="292"/>
        <v>12</v>
      </c>
      <c r="K1999">
        <v>60</v>
      </c>
      <c r="L1999">
        <v>20</v>
      </c>
      <c r="M1999" s="2">
        <v>3</v>
      </c>
      <c r="N1999" s="2">
        <v>2.92</v>
      </c>
      <c r="O1999">
        <v>1</v>
      </c>
      <c r="P1999">
        <v>8</v>
      </c>
      <c r="Q1999" s="4" t="s">
        <v>571</v>
      </c>
      <c r="R1999" t="s">
        <v>260</v>
      </c>
      <c r="S1999" t="str">
        <f t="shared" si="290"/>
        <v>PA</v>
      </c>
    </row>
    <row r="2000" spans="1:19" x14ac:dyDescent="0.3">
      <c r="A2000" t="s">
        <v>12</v>
      </c>
      <c r="B2000">
        <v>2016110055</v>
      </c>
      <c r="C2000" t="s">
        <v>89</v>
      </c>
      <c r="E2000" t="s">
        <v>90</v>
      </c>
      <c r="F2000" t="s">
        <v>91</v>
      </c>
      <c r="G2000">
        <v>2</v>
      </c>
      <c r="I2000" s="4"/>
      <c r="J2000">
        <f t="shared" ref="J2000" si="293">G2000*I2000</f>
        <v>0</v>
      </c>
      <c r="K2000">
        <v>0</v>
      </c>
      <c r="L2000">
        <v>4</v>
      </c>
      <c r="M2000" s="2">
        <v>0</v>
      </c>
      <c r="N2000" s="2">
        <v>0</v>
      </c>
      <c r="O2000">
        <v>0</v>
      </c>
      <c r="P2000">
        <v>1</v>
      </c>
      <c r="Q2000" s="4" t="str">
        <f>IF(P2000=1,"2016/2017-Ganjil",IF(P2000=2,"2016/2017-Genap",IF(P2000=3,"2017/2018-Ganjil",IF(P2000=4,"2017/2018-Genap",IF(P2000=5,"2018/2019-Ganjil",IF(P2000=6,"2018/2019-Genap",IF(P2000=7,"2019/2020-Ganjil",IF(P2000=8,"2019/2020-Genap",IF(P2000=9,"2020/2021-Ganjil","2020/2021-Genap")))))))))</f>
        <v>2016/2017-Ganjil</v>
      </c>
      <c r="R2000" t="s">
        <v>535</v>
      </c>
      <c r="S2000" t="s">
        <v>595</v>
      </c>
    </row>
    <row r="2001" spans="1:19" x14ac:dyDescent="0.3">
      <c r="A2001" t="s">
        <v>12</v>
      </c>
      <c r="B2001">
        <v>2016110055</v>
      </c>
      <c r="C2001" t="s">
        <v>89</v>
      </c>
      <c r="E2001" t="s">
        <v>131</v>
      </c>
      <c r="F2001" t="s">
        <v>132</v>
      </c>
      <c r="G2001">
        <v>2</v>
      </c>
      <c r="I2001" s="4"/>
      <c r="J2001">
        <f t="shared" ref="J2001:J2007" si="294">G2001*I2001</f>
        <v>0</v>
      </c>
      <c r="K2001">
        <v>0</v>
      </c>
      <c r="L2001">
        <v>4</v>
      </c>
      <c r="M2001" s="2">
        <v>0</v>
      </c>
      <c r="N2001" s="2">
        <v>0</v>
      </c>
      <c r="O2001">
        <v>0</v>
      </c>
      <c r="P2001">
        <v>1</v>
      </c>
      <c r="Q2001" s="4" t="str">
        <f t="shared" ref="Q2001:Q2007" si="295">IF(P2001=1,"2016/2017-Ganjil",IF(P2001=2,"2016/2017-Genap",IF(P2001=3,"2017/2018-Ganjil",IF(P2001=4,"2017/2018-Genap",IF(P2001=5,"2018/2019-Ganjil",IF(P2001=6,"2018/2019-Genap",IF(P2001=7,"2019/2020-Ganjil",IF(P2001=8,"2019/2020-Genap",IF(P2001=9,"2020/2021-Ganjil","2020/2021-Genap")))))))))</f>
        <v>2016/2017-Ganjil</v>
      </c>
      <c r="R2001" t="s">
        <v>535</v>
      </c>
      <c r="S2001" t="s">
        <v>595</v>
      </c>
    </row>
    <row r="2002" spans="1:19" x14ac:dyDescent="0.3">
      <c r="A2002" t="s">
        <v>12</v>
      </c>
      <c r="B2002">
        <v>2016110055</v>
      </c>
      <c r="C2002" t="s">
        <v>89</v>
      </c>
      <c r="E2002" t="s">
        <v>122</v>
      </c>
      <c r="F2002" t="s">
        <v>123</v>
      </c>
      <c r="G2002">
        <v>4</v>
      </c>
      <c r="I2002" s="4"/>
      <c r="J2002">
        <f t="shared" si="294"/>
        <v>0</v>
      </c>
      <c r="K2002">
        <v>0</v>
      </c>
      <c r="L2002">
        <v>4</v>
      </c>
      <c r="M2002" s="2">
        <v>0</v>
      </c>
      <c r="N2002" s="2">
        <v>0</v>
      </c>
      <c r="O2002">
        <v>0</v>
      </c>
      <c r="P2002">
        <v>1</v>
      </c>
      <c r="Q2002" s="4" t="str">
        <f t="shared" si="295"/>
        <v>2016/2017-Ganjil</v>
      </c>
      <c r="R2002" t="s">
        <v>535</v>
      </c>
      <c r="S2002" t="s">
        <v>595</v>
      </c>
    </row>
    <row r="2003" spans="1:19" x14ac:dyDescent="0.3">
      <c r="A2003" t="s">
        <v>12</v>
      </c>
      <c r="B2003">
        <v>2016110055</v>
      </c>
      <c r="C2003" t="s">
        <v>89</v>
      </c>
      <c r="E2003" t="s">
        <v>142</v>
      </c>
      <c r="F2003" t="s">
        <v>143</v>
      </c>
      <c r="G2003">
        <v>2</v>
      </c>
      <c r="I2003" s="4"/>
      <c r="J2003">
        <f t="shared" si="294"/>
        <v>0</v>
      </c>
      <c r="K2003">
        <v>0</v>
      </c>
      <c r="L2003">
        <v>4</v>
      </c>
      <c r="M2003" s="2">
        <v>0</v>
      </c>
      <c r="N2003" s="2">
        <v>0</v>
      </c>
      <c r="O2003">
        <v>0</v>
      </c>
      <c r="P2003">
        <v>1</v>
      </c>
      <c r="Q2003" s="4" t="str">
        <f t="shared" si="295"/>
        <v>2016/2017-Ganjil</v>
      </c>
      <c r="R2003" t="s">
        <v>535</v>
      </c>
      <c r="S2003" t="s">
        <v>595</v>
      </c>
    </row>
    <row r="2004" spans="1:19" x14ac:dyDescent="0.3">
      <c r="A2004" t="s">
        <v>12</v>
      </c>
      <c r="B2004">
        <v>2016110055</v>
      </c>
      <c r="C2004" t="s">
        <v>89</v>
      </c>
      <c r="E2004" t="s">
        <v>165</v>
      </c>
      <c r="F2004" t="s">
        <v>166</v>
      </c>
      <c r="G2004">
        <v>2</v>
      </c>
      <c r="I2004" s="4"/>
      <c r="J2004">
        <f t="shared" si="294"/>
        <v>0</v>
      </c>
      <c r="K2004">
        <v>0</v>
      </c>
      <c r="L2004">
        <v>4</v>
      </c>
      <c r="M2004" s="2">
        <v>0</v>
      </c>
      <c r="N2004" s="2">
        <v>0</v>
      </c>
      <c r="O2004">
        <v>0</v>
      </c>
      <c r="P2004">
        <v>1</v>
      </c>
      <c r="Q2004" s="4" t="str">
        <f t="shared" si="295"/>
        <v>2016/2017-Ganjil</v>
      </c>
      <c r="R2004" t="s">
        <v>535</v>
      </c>
      <c r="S2004" t="s">
        <v>595</v>
      </c>
    </row>
    <row r="2005" spans="1:19" x14ac:dyDescent="0.3">
      <c r="A2005" t="s">
        <v>12</v>
      </c>
      <c r="B2005">
        <v>2016110055</v>
      </c>
      <c r="C2005" t="s">
        <v>89</v>
      </c>
      <c r="E2005" t="s">
        <v>77</v>
      </c>
      <c r="F2005" t="s">
        <v>78</v>
      </c>
      <c r="G2005">
        <v>2</v>
      </c>
      <c r="I2005" s="4"/>
      <c r="J2005">
        <f t="shared" si="294"/>
        <v>0</v>
      </c>
      <c r="K2005">
        <v>0</v>
      </c>
      <c r="L2005">
        <v>4</v>
      </c>
      <c r="M2005" s="2">
        <v>0</v>
      </c>
      <c r="N2005" s="2">
        <v>0</v>
      </c>
      <c r="O2005">
        <v>0</v>
      </c>
      <c r="P2005">
        <v>1</v>
      </c>
      <c r="Q2005" s="4" t="str">
        <f t="shared" si="295"/>
        <v>2016/2017-Ganjil</v>
      </c>
      <c r="R2005" t="s">
        <v>535</v>
      </c>
      <c r="S2005" t="s">
        <v>595</v>
      </c>
    </row>
    <row r="2006" spans="1:19" x14ac:dyDescent="0.3">
      <c r="A2006" t="s">
        <v>12</v>
      </c>
      <c r="B2006">
        <v>2016110055</v>
      </c>
      <c r="C2006" t="s">
        <v>89</v>
      </c>
      <c r="E2006" t="s">
        <v>151</v>
      </c>
      <c r="F2006" t="s">
        <v>152</v>
      </c>
      <c r="G2006">
        <v>2</v>
      </c>
      <c r="I2006" s="4"/>
      <c r="J2006">
        <f t="shared" si="294"/>
        <v>0</v>
      </c>
      <c r="K2006">
        <v>0</v>
      </c>
      <c r="L2006">
        <v>4</v>
      </c>
      <c r="M2006" s="2">
        <v>0</v>
      </c>
      <c r="N2006" s="2">
        <v>0</v>
      </c>
      <c r="O2006">
        <v>0</v>
      </c>
      <c r="P2006">
        <v>1</v>
      </c>
      <c r="Q2006" s="4" t="str">
        <f t="shared" si="295"/>
        <v>2016/2017-Ganjil</v>
      </c>
      <c r="R2006" t="s">
        <v>535</v>
      </c>
      <c r="S2006" t="s">
        <v>595</v>
      </c>
    </row>
    <row r="2007" spans="1:19" x14ac:dyDescent="0.3">
      <c r="A2007" t="s">
        <v>12</v>
      </c>
      <c r="B2007">
        <v>2016110055</v>
      </c>
      <c r="C2007" t="s">
        <v>89</v>
      </c>
      <c r="E2007" t="s">
        <v>437</v>
      </c>
      <c r="F2007" t="s">
        <v>169</v>
      </c>
      <c r="G2007">
        <v>4</v>
      </c>
      <c r="H2007" t="s">
        <v>539</v>
      </c>
      <c r="I2007" s="4">
        <f t="shared" ref="I2007" si="296">IF(H2007="A",4,IF(H2007="B",3,IF(H2007="C",2,IF(H2007="D",1,0))))</f>
        <v>0</v>
      </c>
      <c r="J2007">
        <f t="shared" si="294"/>
        <v>0</v>
      </c>
      <c r="K2007">
        <v>0</v>
      </c>
      <c r="L2007">
        <v>4</v>
      </c>
      <c r="M2007" s="2">
        <v>0</v>
      </c>
      <c r="N2007" s="2">
        <v>0</v>
      </c>
      <c r="O2007">
        <v>0</v>
      </c>
      <c r="P2007">
        <v>1</v>
      </c>
      <c r="Q2007" s="4" t="str">
        <f t="shared" si="295"/>
        <v>2016/2017-Ganjil</v>
      </c>
      <c r="R2007" t="s">
        <v>535</v>
      </c>
      <c r="S2007" t="str">
        <f t="shared" ref="S2007:S2008" si="297">IF(OR(H2007="A",H2007="B",H2007="C"),"PA","FA")</f>
        <v>FA</v>
      </c>
    </row>
    <row r="2008" spans="1:19" x14ac:dyDescent="0.3">
      <c r="A2008" t="s">
        <v>12</v>
      </c>
      <c r="B2008">
        <v>2016110058</v>
      </c>
      <c r="C2008" t="s">
        <v>256</v>
      </c>
      <c r="E2008" t="s">
        <v>257</v>
      </c>
      <c r="F2008" t="s">
        <v>258</v>
      </c>
      <c r="G2008">
        <v>4</v>
      </c>
      <c r="H2008" t="s">
        <v>524</v>
      </c>
      <c r="I2008" s="4">
        <f t="shared" ref="I2008:I2029" si="298">IF(H2008="A",4,IF(H2008="B",3,IF(H2008="C",2,IF(H2008="D",1,0))))</f>
        <v>2</v>
      </c>
      <c r="J2008">
        <f t="shared" ref="J2008:J2029" si="299">G2008*I2008</f>
        <v>8</v>
      </c>
      <c r="K2008">
        <v>28</v>
      </c>
      <c r="L2008">
        <v>12</v>
      </c>
      <c r="M2008" s="2">
        <v>2.33</v>
      </c>
      <c r="N2008" s="2">
        <v>2.89</v>
      </c>
      <c r="O2008">
        <v>1</v>
      </c>
      <c r="P2008">
        <v>10</v>
      </c>
      <c r="Q2008" s="4" t="str">
        <f t="shared" ref="Q2008:Q2042" si="300">IF(P2008=1,"2016/2017-Ganjil",IF(P2008=2,"2016/2017-Genap",IF(P2008=3,"2017/2018-Ganjil",IF(P2008=4,"2017/2018-Genap",IF(P2008=5,"2018/2019-Ganjil",IF(P2008=6,"2018/2019-Genap",IF(P2008=7,"2019/2020-Ganjil",IF(P2008=8,"2019/2020-Genap",IF(P2008=9,"2020/2021-Ganjil","2020/2021-Genap")))))))))</f>
        <v>2020/2021-Genap</v>
      </c>
      <c r="R2008" t="s">
        <v>260</v>
      </c>
      <c r="S2008" t="str">
        <f t="shared" si="297"/>
        <v>PA</v>
      </c>
    </row>
    <row r="2009" spans="1:19" x14ac:dyDescent="0.3">
      <c r="A2009" t="s">
        <v>12</v>
      </c>
      <c r="B2009">
        <v>2016110058</v>
      </c>
      <c r="C2009" t="s">
        <v>256</v>
      </c>
      <c r="E2009" t="s">
        <v>257</v>
      </c>
      <c r="F2009" t="s">
        <v>258</v>
      </c>
      <c r="G2009">
        <v>4</v>
      </c>
      <c r="I2009" s="4"/>
      <c r="J2009">
        <f t="shared" si="299"/>
        <v>0</v>
      </c>
      <c r="K2009">
        <v>8</v>
      </c>
      <c r="L2009">
        <v>6</v>
      </c>
      <c r="M2009" s="2">
        <v>1.33</v>
      </c>
      <c r="N2009" s="2">
        <v>2.89</v>
      </c>
      <c r="O2009">
        <v>0</v>
      </c>
      <c r="P2009">
        <v>8</v>
      </c>
      <c r="Q2009" s="4" t="str">
        <f t="shared" si="300"/>
        <v>2019/2020-Genap</v>
      </c>
      <c r="R2009" t="s">
        <v>260</v>
      </c>
      <c r="S2009" t="s">
        <v>595</v>
      </c>
    </row>
    <row r="2010" spans="1:19" x14ac:dyDescent="0.3">
      <c r="A2010" t="s">
        <v>12</v>
      </c>
      <c r="B2010">
        <v>2016110058</v>
      </c>
      <c r="C2010" t="s">
        <v>256</v>
      </c>
      <c r="E2010" t="s">
        <v>337</v>
      </c>
      <c r="F2010" t="s">
        <v>338</v>
      </c>
      <c r="G2010">
        <v>2</v>
      </c>
      <c r="H2010" t="s">
        <v>260</v>
      </c>
      <c r="I2010" s="4">
        <f t="shared" si="298"/>
        <v>4</v>
      </c>
      <c r="J2010">
        <f t="shared" si="299"/>
        <v>8</v>
      </c>
      <c r="K2010">
        <v>44</v>
      </c>
      <c r="L2010">
        <v>14</v>
      </c>
      <c r="M2010" s="2">
        <v>3.14</v>
      </c>
      <c r="N2010" s="2">
        <v>2.89</v>
      </c>
      <c r="O2010">
        <v>0</v>
      </c>
      <c r="P2010">
        <v>5</v>
      </c>
      <c r="Q2010" s="4" t="str">
        <f t="shared" si="300"/>
        <v>2018/2019-Ganjil</v>
      </c>
      <c r="R2010" t="s">
        <v>260</v>
      </c>
      <c r="S2010" t="str">
        <f t="shared" ref="S2010:S2027" si="301">IF(OR(H2010="A",H2010="B",H2010="C"),"PA","FA")</f>
        <v>PA</v>
      </c>
    </row>
    <row r="2011" spans="1:19" x14ac:dyDescent="0.3">
      <c r="A2011" t="s">
        <v>12</v>
      </c>
      <c r="B2011">
        <v>2016110058</v>
      </c>
      <c r="C2011" t="s">
        <v>256</v>
      </c>
      <c r="E2011" t="s">
        <v>139</v>
      </c>
      <c r="F2011" t="s">
        <v>140</v>
      </c>
      <c r="G2011">
        <v>2</v>
      </c>
      <c r="H2011" t="s">
        <v>260</v>
      </c>
      <c r="I2011" s="4">
        <f t="shared" ref="I2011:I2027" si="302">IF(H2011="A",4,IF(H2011="B",3,IF(H2011="C",2,IF(H2011="D",1,0))))</f>
        <v>4</v>
      </c>
      <c r="J2011">
        <f t="shared" ref="J2011:J2027" si="303">G2011*I2011</f>
        <v>8</v>
      </c>
      <c r="K2011">
        <v>62</v>
      </c>
      <c r="L2011">
        <v>20</v>
      </c>
      <c r="M2011" s="2">
        <v>3.1</v>
      </c>
      <c r="N2011" s="2">
        <v>2.89</v>
      </c>
      <c r="O2011">
        <v>0</v>
      </c>
      <c r="P2011">
        <v>2</v>
      </c>
      <c r="Q2011" s="4" t="str">
        <f t="shared" si="300"/>
        <v>2016/2017-Genap</v>
      </c>
      <c r="R2011" t="s">
        <v>260</v>
      </c>
      <c r="S2011" t="str">
        <f t="shared" si="301"/>
        <v>PA</v>
      </c>
    </row>
    <row r="2012" spans="1:19" x14ac:dyDescent="0.3">
      <c r="A2012" t="s">
        <v>12</v>
      </c>
      <c r="B2012">
        <v>2016110058</v>
      </c>
      <c r="C2012" t="s">
        <v>256</v>
      </c>
      <c r="E2012" t="s">
        <v>131</v>
      </c>
      <c r="F2012" t="s">
        <v>132</v>
      </c>
      <c r="G2012">
        <v>2</v>
      </c>
      <c r="H2012" t="s">
        <v>260</v>
      </c>
      <c r="I2012" s="4">
        <f t="shared" si="302"/>
        <v>4</v>
      </c>
      <c r="J2012">
        <f t="shared" si="303"/>
        <v>8</v>
      </c>
      <c r="K2012">
        <v>56</v>
      </c>
      <c r="L2012">
        <v>20</v>
      </c>
      <c r="M2012" s="2">
        <v>2.8</v>
      </c>
      <c r="N2012" s="2">
        <v>2.89</v>
      </c>
      <c r="O2012">
        <v>0</v>
      </c>
      <c r="P2012">
        <v>1</v>
      </c>
      <c r="Q2012" s="4" t="str">
        <f t="shared" si="300"/>
        <v>2016/2017-Ganjil</v>
      </c>
      <c r="R2012" t="s">
        <v>260</v>
      </c>
      <c r="S2012" t="str">
        <f t="shared" si="301"/>
        <v>PA</v>
      </c>
    </row>
    <row r="2013" spans="1:19" x14ac:dyDescent="0.3">
      <c r="A2013" t="s">
        <v>12</v>
      </c>
      <c r="B2013">
        <v>2016110058</v>
      </c>
      <c r="C2013" t="s">
        <v>256</v>
      </c>
      <c r="E2013" t="s">
        <v>370</v>
      </c>
      <c r="F2013" t="s">
        <v>371</v>
      </c>
      <c r="G2013">
        <v>2</v>
      </c>
      <c r="H2013" t="s">
        <v>260</v>
      </c>
      <c r="I2013" s="4">
        <f t="shared" si="302"/>
        <v>4</v>
      </c>
      <c r="J2013">
        <f t="shared" si="303"/>
        <v>8</v>
      </c>
      <c r="K2013">
        <v>34</v>
      </c>
      <c r="L2013">
        <v>12</v>
      </c>
      <c r="M2013" s="2">
        <v>2.83</v>
      </c>
      <c r="N2013" s="2">
        <v>2.89</v>
      </c>
      <c r="O2013">
        <v>0</v>
      </c>
      <c r="P2013">
        <v>9</v>
      </c>
      <c r="Q2013" s="4" t="str">
        <f t="shared" si="300"/>
        <v>2020/2021-Ganjil</v>
      </c>
      <c r="R2013" t="s">
        <v>260</v>
      </c>
      <c r="S2013" t="str">
        <f t="shared" si="301"/>
        <v>PA</v>
      </c>
    </row>
    <row r="2014" spans="1:19" x14ac:dyDescent="0.3">
      <c r="A2014" t="s">
        <v>12</v>
      </c>
      <c r="B2014">
        <v>2016110058</v>
      </c>
      <c r="C2014" t="s">
        <v>256</v>
      </c>
      <c r="E2014" t="s">
        <v>173</v>
      </c>
      <c r="F2014" t="s">
        <v>8</v>
      </c>
      <c r="G2014">
        <v>2</v>
      </c>
      <c r="H2014" t="s">
        <v>260</v>
      </c>
      <c r="I2014" s="4">
        <f t="shared" si="302"/>
        <v>4</v>
      </c>
      <c r="J2014">
        <f t="shared" si="303"/>
        <v>8</v>
      </c>
      <c r="K2014">
        <v>56</v>
      </c>
      <c r="L2014">
        <v>18</v>
      </c>
      <c r="M2014" s="2">
        <v>3.11</v>
      </c>
      <c r="N2014" s="2">
        <v>2.89</v>
      </c>
      <c r="O2014">
        <v>0</v>
      </c>
      <c r="P2014">
        <v>3</v>
      </c>
      <c r="Q2014" s="4" t="str">
        <f t="shared" si="300"/>
        <v>2017/2018-Ganjil</v>
      </c>
      <c r="R2014" t="s">
        <v>260</v>
      </c>
      <c r="S2014" t="str">
        <f t="shared" si="301"/>
        <v>PA</v>
      </c>
    </row>
    <row r="2015" spans="1:19" x14ac:dyDescent="0.3">
      <c r="A2015" t="s">
        <v>12</v>
      </c>
      <c r="B2015">
        <v>2016110058</v>
      </c>
      <c r="C2015" t="s">
        <v>256</v>
      </c>
      <c r="E2015" t="s">
        <v>77</v>
      </c>
      <c r="F2015" t="s">
        <v>78</v>
      </c>
      <c r="G2015">
        <v>2</v>
      </c>
      <c r="H2015" t="s">
        <v>260</v>
      </c>
      <c r="I2015" s="4">
        <f t="shared" si="302"/>
        <v>4</v>
      </c>
      <c r="J2015">
        <f t="shared" si="303"/>
        <v>8</v>
      </c>
      <c r="K2015">
        <v>56</v>
      </c>
      <c r="L2015">
        <v>20</v>
      </c>
      <c r="M2015" s="2">
        <v>2.8</v>
      </c>
      <c r="N2015" s="2">
        <v>2.89</v>
      </c>
      <c r="O2015">
        <v>0</v>
      </c>
      <c r="P2015">
        <v>1</v>
      </c>
      <c r="Q2015" s="4" t="str">
        <f t="shared" si="300"/>
        <v>2016/2017-Ganjil</v>
      </c>
      <c r="R2015" t="s">
        <v>260</v>
      </c>
      <c r="S2015" t="str">
        <f t="shared" si="301"/>
        <v>PA</v>
      </c>
    </row>
    <row r="2016" spans="1:19" x14ac:dyDescent="0.3">
      <c r="A2016" t="s">
        <v>12</v>
      </c>
      <c r="B2016">
        <v>2016110058</v>
      </c>
      <c r="C2016" t="s">
        <v>256</v>
      </c>
      <c r="E2016" t="s">
        <v>309</v>
      </c>
      <c r="F2016" t="s">
        <v>310</v>
      </c>
      <c r="G2016">
        <v>4</v>
      </c>
      <c r="H2016" t="s">
        <v>438</v>
      </c>
      <c r="I2016" s="4">
        <f t="shared" si="302"/>
        <v>3</v>
      </c>
      <c r="J2016">
        <f t="shared" si="303"/>
        <v>12</v>
      </c>
      <c r="K2016">
        <v>42</v>
      </c>
      <c r="L2016">
        <v>14</v>
      </c>
      <c r="M2016" s="2">
        <v>3</v>
      </c>
      <c r="N2016" s="2">
        <v>2.89</v>
      </c>
      <c r="O2016">
        <v>0</v>
      </c>
      <c r="P2016">
        <v>4</v>
      </c>
      <c r="Q2016" s="4" t="str">
        <f t="shared" si="300"/>
        <v>2017/2018-Genap</v>
      </c>
      <c r="R2016" t="s">
        <v>260</v>
      </c>
      <c r="S2016" t="str">
        <f t="shared" si="301"/>
        <v>PA</v>
      </c>
    </row>
    <row r="2017" spans="1:19" x14ac:dyDescent="0.3">
      <c r="A2017" t="s">
        <v>12</v>
      </c>
      <c r="B2017">
        <v>2016110058</v>
      </c>
      <c r="C2017" t="s">
        <v>256</v>
      </c>
      <c r="E2017" t="s">
        <v>437</v>
      </c>
      <c r="F2017" t="s">
        <v>169</v>
      </c>
      <c r="G2017">
        <v>4</v>
      </c>
      <c r="H2017" t="s">
        <v>438</v>
      </c>
      <c r="I2017" s="4">
        <f t="shared" si="302"/>
        <v>3</v>
      </c>
      <c r="J2017">
        <f t="shared" si="303"/>
        <v>12</v>
      </c>
      <c r="K2017">
        <v>56</v>
      </c>
      <c r="L2017">
        <v>20</v>
      </c>
      <c r="M2017" s="2">
        <v>2.8</v>
      </c>
      <c r="N2017" s="2">
        <v>2.89</v>
      </c>
      <c r="O2017">
        <v>0</v>
      </c>
      <c r="P2017">
        <v>1</v>
      </c>
      <c r="Q2017" s="4" t="str">
        <f t="shared" si="300"/>
        <v>2016/2017-Ganjil</v>
      </c>
      <c r="R2017" t="s">
        <v>260</v>
      </c>
      <c r="S2017" t="str">
        <f t="shared" si="301"/>
        <v>PA</v>
      </c>
    </row>
    <row r="2018" spans="1:19" x14ac:dyDescent="0.3">
      <c r="A2018" t="s">
        <v>12</v>
      </c>
      <c r="B2018">
        <v>2016110058</v>
      </c>
      <c r="C2018" t="s">
        <v>256</v>
      </c>
      <c r="E2018" t="s">
        <v>273</v>
      </c>
      <c r="F2018" t="s">
        <v>274</v>
      </c>
      <c r="G2018">
        <v>2</v>
      </c>
      <c r="H2018" t="s">
        <v>438</v>
      </c>
      <c r="I2018" s="4">
        <f t="shared" si="302"/>
        <v>3</v>
      </c>
      <c r="J2018">
        <f t="shared" si="303"/>
        <v>6</v>
      </c>
      <c r="K2018">
        <v>42</v>
      </c>
      <c r="L2018">
        <v>14</v>
      </c>
      <c r="M2018" s="2">
        <v>3</v>
      </c>
      <c r="N2018" s="2">
        <v>2.89</v>
      </c>
      <c r="O2018">
        <v>0</v>
      </c>
      <c r="P2018">
        <v>4</v>
      </c>
      <c r="Q2018" s="4" t="str">
        <f t="shared" si="300"/>
        <v>2017/2018-Genap</v>
      </c>
      <c r="R2018" t="s">
        <v>260</v>
      </c>
      <c r="S2018" t="str">
        <f t="shared" si="301"/>
        <v>PA</v>
      </c>
    </row>
    <row r="2019" spans="1:19" x14ac:dyDescent="0.3">
      <c r="A2019" t="s">
        <v>12</v>
      </c>
      <c r="B2019">
        <v>2016110058</v>
      </c>
      <c r="C2019" t="s">
        <v>256</v>
      </c>
      <c r="E2019" t="s">
        <v>279</v>
      </c>
      <c r="F2019" t="s">
        <v>280</v>
      </c>
      <c r="G2019">
        <v>2</v>
      </c>
      <c r="H2019" t="s">
        <v>438</v>
      </c>
      <c r="I2019" s="4">
        <f t="shared" si="302"/>
        <v>3</v>
      </c>
      <c r="J2019">
        <f t="shared" si="303"/>
        <v>6</v>
      </c>
      <c r="K2019">
        <v>62</v>
      </c>
      <c r="L2019">
        <v>20</v>
      </c>
      <c r="M2019" s="2">
        <v>3.1</v>
      </c>
      <c r="N2019" s="2">
        <v>2.89</v>
      </c>
      <c r="O2019">
        <v>0</v>
      </c>
      <c r="P2019">
        <v>2</v>
      </c>
      <c r="Q2019" s="4" t="str">
        <f t="shared" si="300"/>
        <v>2016/2017-Genap</v>
      </c>
      <c r="R2019" t="s">
        <v>260</v>
      </c>
      <c r="S2019" t="str">
        <f t="shared" si="301"/>
        <v>PA</v>
      </c>
    </row>
    <row r="2020" spans="1:19" x14ac:dyDescent="0.3">
      <c r="A2020" t="s">
        <v>12</v>
      </c>
      <c r="B2020">
        <v>2016110058</v>
      </c>
      <c r="C2020" t="s">
        <v>256</v>
      </c>
      <c r="E2020" t="s">
        <v>283</v>
      </c>
      <c r="F2020" t="s">
        <v>284</v>
      </c>
      <c r="G2020">
        <v>2</v>
      </c>
      <c r="H2020" t="s">
        <v>438</v>
      </c>
      <c r="I2020" s="4">
        <f t="shared" si="302"/>
        <v>3</v>
      </c>
      <c r="J2020">
        <f t="shared" si="303"/>
        <v>6</v>
      </c>
      <c r="K2020">
        <v>34</v>
      </c>
      <c r="L2020">
        <v>12</v>
      </c>
      <c r="M2020" s="2">
        <v>2.83</v>
      </c>
      <c r="N2020" s="2">
        <v>2.89</v>
      </c>
      <c r="O2020">
        <v>0</v>
      </c>
      <c r="P2020">
        <v>9</v>
      </c>
      <c r="Q2020" s="4" t="str">
        <f t="shared" si="300"/>
        <v>2020/2021-Ganjil</v>
      </c>
      <c r="R2020" t="s">
        <v>260</v>
      </c>
      <c r="S2020" t="str">
        <f t="shared" si="301"/>
        <v>PA</v>
      </c>
    </row>
    <row r="2021" spans="1:19" x14ac:dyDescent="0.3">
      <c r="A2021" t="s">
        <v>12</v>
      </c>
      <c r="B2021">
        <v>2016110058</v>
      </c>
      <c r="C2021" t="s">
        <v>256</v>
      </c>
      <c r="E2021" t="s">
        <v>100</v>
      </c>
      <c r="F2021" t="s">
        <v>101</v>
      </c>
      <c r="G2021">
        <v>4</v>
      </c>
      <c r="H2021" t="s">
        <v>438</v>
      </c>
      <c r="I2021" s="4">
        <f t="shared" si="302"/>
        <v>3</v>
      </c>
      <c r="J2021">
        <f t="shared" si="303"/>
        <v>12</v>
      </c>
      <c r="K2021">
        <v>62</v>
      </c>
      <c r="L2021">
        <v>20</v>
      </c>
      <c r="M2021" s="2">
        <v>3.1</v>
      </c>
      <c r="N2021" s="2">
        <v>2.89</v>
      </c>
      <c r="O2021">
        <v>0</v>
      </c>
      <c r="P2021">
        <v>2</v>
      </c>
      <c r="Q2021" s="4" t="str">
        <f t="shared" si="300"/>
        <v>2016/2017-Genap</v>
      </c>
      <c r="R2021" t="s">
        <v>260</v>
      </c>
      <c r="S2021" t="str">
        <f t="shared" si="301"/>
        <v>PA</v>
      </c>
    </row>
    <row r="2022" spans="1:19" x14ac:dyDescent="0.3">
      <c r="A2022" t="s">
        <v>12</v>
      </c>
      <c r="B2022">
        <v>2016110058</v>
      </c>
      <c r="C2022" t="s">
        <v>256</v>
      </c>
      <c r="E2022" t="s">
        <v>357</v>
      </c>
      <c r="F2022" t="s">
        <v>358</v>
      </c>
      <c r="G2022">
        <v>4</v>
      </c>
      <c r="H2022" t="s">
        <v>438</v>
      </c>
      <c r="I2022" s="4">
        <f t="shared" si="302"/>
        <v>3</v>
      </c>
      <c r="J2022">
        <f t="shared" si="303"/>
        <v>12</v>
      </c>
      <c r="K2022">
        <v>44</v>
      </c>
      <c r="L2022">
        <v>14</v>
      </c>
      <c r="M2022" s="2">
        <v>3.14</v>
      </c>
      <c r="N2022" s="2">
        <v>2.89</v>
      </c>
      <c r="O2022">
        <v>0</v>
      </c>
      <c r="P2022">
        <v>5</v>
      </c>
      <c r="Q2022" s="4" t="str">
        <f t="shared" si="300"/>
        <v>2018/2019-Ganjil</v>
      </c>
      <c r="R2022" t="s">
        <v>260</v>
      </c>
      <c r="S2022" t="str">
        <f t="shared" si="301"/>
        <v>PA</v>
      </c>
    </row>
    <row r="2023" spans="1:19" x14ac:dyDescent="0.3">
      <c r="A2023" t="s">
        <v>12</v>
      </c>
      <c r="B2023">
        <v>2016110058</v>
      </c>
      <c r="C2023" t="s">
        <v>256</v>
      </c>
      <c r="E2023" t="s">
        <v>234</v>
      </c>
      <c r="F2023" t="s">
        <v>235</v>
      </c>
      <c r="G2023">
        <v>4</v>
      </c>
      <c r="H2023" t="s">
        <v>438</v>
      </c>
      <c r="I2023" s="4">
        <f t="shared" si="302"/>
        <v>3</v>
      </c>
      <c r="J2023">
        <f t="shared" si="303"/>
        <v>12</v>
      </c>
      <c r="K2023">
        <v>56</v>
      </c>
      <c r="L2023">
        <v>18</v>
      </c>
      <c r="M2023" s="2">
        <v>3.11</v>
      </c>
      <c r="N2023" s="2">
        <v>2.89</v>
      </c>
      <c r="O2023">
        <v>0</v>
      </c>
      <c r="P2023">
        <v>3</v>
      </c>
      <c r="Q2023" s="4" t="str">
        <f t="shared" si="300"/>
        <v>2017/2018-Ganjil</v>
      </c>
      <c r="R2023" t="s">
        <v>260</v>
      </c>
      <c r="S2023" t="str">
        <f t="shared" si="301"/>
        <v>PA</v>
      </c>
    </row>
    <row r="2024" spans="1:19" x14ac:dyDescent="0.3">
      <c r="A2024" t="s">
        <v>12</v>
      </c>
      <c r="B2024">
        <v>2016110058</v>
      </c>
      <c r="C2024" t="s">
        <v>256</v>
      </c>
      <c r="E2024" t="s">
        <v>297</v>
      </c>
      <c r="F2024" t="s">
        <v>342</v>
      </c>
      <c r="G2024">
        <v>4</v>
      </c>
      <c r="H2024" t="s">
        <v>438</v>
      </c>
      <c r="I2024" s="4">
        <f t="shared" si="302"/>
        <v>3</v>
      </c>
      <c r="J2024">
        <f t="shared" si="303"/>
        <v>12</v>
      </c>
      <c r="K2024">
        <v>42</v>
      </c>
      <c r="L2024">
        <v>16</v>
      </c>
      <c r="M2024" s="2">
        <v>2.63</v>
      </c>
      <c r="N2024" s="2">
        <v>2.89</v>
      </c>
      <c r="O2024">
        <v>0</v>
      </c>
      <c r="P2024">
        <v>6</v>
      </c>
      <c r="Q2024" s="4" t="str">
        <f t="shared" si="300"/>
        <v>2018/2019-Genap</v>
      </c>
      <c r="R2024" t="s">
        <v>260</v>
      </c>
      <c r="S2024" t="str">
        <f t="shared" si="301"/>
        <v>PA</v>
      </c>
    </row>
    <row r="2025" spans="1:19" x14ac:dyDescent="0.3">
      <c r="A2025" t="s">
        <v>12</v>
      </c>
      <c r="B2025">
        <v>2016110058</v>
      </c>
      <c r="C2025" t="s">
        <v>256</v>
      </c>
      <c r="E2025" t="s">
        <v>192</v>
      </c>
      <c r="F2025" t="s">
        <v>106</v>
      </c>
      <c r="G2025">
        <v>2</v>
      </c>
      <c r="H2025" t="s">
        <v>438</v>
      </c>
      <c r="I2025" s="4">
        <f t="shared" si="302"/>
        <v>3</v>
      </c>
      <c r="J2025">
        <f t="shared" si="303"/>
        <v>6</v>
      </c>
      <c r="K2025">
        <v>56</v>
      </c>
      <c r="L2025">
        <v>18</v>
      </c>
      <c r="M2025" s="2">
        <v>3.11</v>
      </c>
      <c r="N2025" s="2">
        <v>2.89</v>
      </c>
      <c r="O2025">
        <v>0</v>
      </c>
      <c r="P2025">
        <v>3</v>
      </c>
      <c r="Q2025" s="4" t="str">
        <f t="shared" si="300"/>
        <v>2017/2018-Ganjil</v>
      </c>
      <c r="R2025" t="s">
        <v>260</v>
      </c>
      <c r="S2025" t="str">
        <f t="shared" si="301"/>
        <v>PA</v>
      </c>
    </row>
    <row r="2026" spans="1:19" x14ac:dyDescent="0.3">
      <c r="A2026" t="s">
        <v>12</v>
      </c>
      <c r="B2026">
        <v>2016110058</v>
      </c>
      <c r="C2026" t="s">
        <v>256</v>
      </c>
      <c r="E2026" t="s">
        <v>151</v>
      </c>
      <c r="F2026" t="s">
        <v>152</v>
      </c>
      <c r="G2026">
        <v>2</v>
      </c>
      <c r="H2026" t="s">
        <v>438</v>
      </c>
      <c r="I2026" s="4">
        <f t="shared" si="302"/>
        <v>3</v>
      </c>
      <c r="J2026">
        <f t="shared" si="303"/>
        <v>6</v>
      </c>
      <c r="K2026">
        <v>56</v>
      </c>
      <c r="L2026">
        <v>20</v>
      </c>
      <c r="M2026" s="2">
        <v>2.8</v>
      </c>
      <c r="N2026" s="2">
        <v>2.89</v>
      </c>
      <c r="O2026">
        <v>0</v>
      </c>
      <c r="P2026">
        <v>1</v>
      </c>
      <c r="Q2026" s="4" t="str">
        <f t="shared" si="300"/>
        <v>2016/2017-Ganjil</v>
      </c>
      <c r="R2026" t="s">
        <v>260</v>
      </c>
      <c r="S2026" t="str">
        <f t="shared" si="301"/>
        <v>PA</v>
      </c>
    </row>
    <row r="2027" spans="1:19" x14ac:dyDescent="0.3">
      <c r="A2027" t="s">
        <v>12</v>
      </c>
      <c r="B2027">
        <v>2016110058</v>
      </c>
      <c r="C2027" t="s">
        <v>256</v>
      </c>
      <c r="E2027" t="s">
        <v>262</v>
      </c>
      <c r="F2027" t="s">
        <v>263</v>
      </c>
      <c r="G2027">
        <v>2</v>
      </c>
      <c r="H2027" t="s">
        <v>438</v>
      </c>
      <c r="I2027" s="4">
        <f t="shared" si="302"/>
        <v>3</v>
      </c>
      <c r="J2027">
        <f t="shared" si="303"/>
        <v>6</v>
      </c>
      <c r="K2027">
        <v>42</v>
      </c>
      <c r="L2027">
        <v>16</v>
      </c>
      <c r="M2027" s="2">
        <v>2.63</v>
      </c>
      <c r="N2027" s="2">
        <v>2.89</v>
      </c>
      <c r="O2027">
        <v>0</v>
      </c>
      <c r="P2027">
        <v>6</v>
      </c>
      <c r="Q2027" s="4" t="str">
        <f t="shared" si="300"/>
        <v>2018/2019-Genap</v>
      </c>
      <c r="R2027" t="s">
        <v>260</v>
      </c>
      <c r="S2027" t="str">
        <f t="shared" si="301"/>
        <v>PA</v>
      </c>
    </row>
    <row r="2028" spans="1:19" x14ac:dyDescent="0.3">
      <c r="A2028" t="s">
        <v>12</v>
      </c>
      <c r="B2028">
        <v>2016110058</v>
      </c>
      <c r="C2028" t="s">
        <v>256</v>
      </c>
      <c r="E2028" t="s">
        <v>262</v>
      </c>
      <c r="F2028" t="s">
        <v>263</v>
      </c>
      <c r="G2028">
        <v>2</v>
      </c>
      <c r="I2028" s="4"/>
      <c r="J2028">
        <f t="shared" si="299"/>
        <v>0</v>
      </c>
      <c r="K2028">
        <v>8</v>
      </c>
      <c r="L2028">
        <v>6</v>
      </c>
      <c r="M2028" s="2">
        <v>1.33</v>
      </c>
      <c r="N2028" s="2">
        <v>2.89</v>
      </c>
      <c r="O2028">
        <v>1</v>
      </c>
      <c r="P2028">
        <v>8</v>
      </c>
      <c r="Q2028" s="4" t="str">
        <f t="shared" si="300"/>
        <v>2019/2020-Genap</v>
      </c>
      <c r="R2028" t="s">
        <v>260</v>
      </c>
      <c r="S2028" t="s">
        <v>595</v>
      </c>
    </row>
    <row r="2029" spans="1:19" x14ac:dyDescent="0.3">
      <c r="A2029" t="s">
        <v>12</v>
      </c>
      <c r="B2029">
        <v>2016110058</v>
      </c>
      <c r="C2029" t="s">
        <v>256</v>
      </c>
      <c r="E2029" t="s">
        <v>170</v>
      </c>
      <c r="F2029" t="s">
        <v>171</v>
      </c>
      <c r="G2029">
        <v>4</v>
      </c>
      <c r="H2029" t="s">
        <v>438</v>
      </c>
      <c r="I2029" s="4">
        <f t="shared" si="298"/>
        <v>3</v>
      </c>
      <c r="J2029">
        <f t="shared" si="299"/>
        <v>12</v>
      </c>
      <c r="K2029">
        <v>56</v>
      </c>
      <c r="L2029">
        <v>18</v>
      </c>
      <c r="M2029" s="2">
        <v>3.11</v>
      </c>
      <c r="N2029" s="2">
        <v>2.89</v>
      </c>
      <c r="O2029">
        <v>0</v>
      </c>
      <c r="P2029">
        <v>3</v>
      </c>
      <c r="Q2029" s="4" t="str">
        <f t="shared" si="300"/>
        <v>2017/2018-Ganjil</v>
      </c>
      <c r="R2029" t="s">
        <v>260</v>
      </c>
      <c r="S2029" t="str">
        <f t="shared" ref="S2029:S2092" si="304">IF(OR(H2029="A",H2029="B",H2029="C"),"PA","FA")</f>
        <v>PA</v>
      </c>
    </row>
    <row r="2030" spans="1:19" x14ac:dyDescent="0.3">
      <c r="A2030" t="s">
        <v>12</v>
      </c>
      <c r="B2030">
        <v>2016110058</v>
      </c>
      <c r="C2030" t="s">
        <v>256</v>
      </c>
      <c r="E2030" t="s">
        <v>90</v>
      </c>
      <c r="F2030" t="s">
        <v>91</v>
      </c>
      <c r="G2030">
        <v>2</v>
      </c>
      <c r="H2030" t="s">
        <v>438</v>
      </c>
      <c r="I2030" s="4">
        <f t="shared" ref="I2030:I2093" si="305">IF(H2030="A",4,IF(H2030="B",3,IF(H2030="C",2,IF(H2030="D",1,0))))</f>
        <v>3</v>
      </c>
      <c r="J2030">
        <f t="shared" ref="J2030:J2093" si="306">G2030*I2030</f>
        <v>6</v>
      </c>
      <c r="K2030">
        <v>56</v>
      </c>
      <c r="L2030">
        <v>20</v>
      </c>
      <c r="M2030" s="2">
        <v>2.8</v>
      </c>
      <c r="N2030" s="2">
        <v>2.89</v>
      </c>
      <c r="O2030">
        <v>0</v>
      </c>
      <c r="P2030">
        <v>1</v>
      </c>
      <c r="Q2030" s="4" t="str">
        <f t="shared" si="300"/>
        <v>2016/2017-Ganjil</v>
      </c>
      <c r="R2030" t="s">
        <v>260</v>
      </c>
      <c r="S2030" t="str">
        <f t="shared" si="304"/>
        <v>PA</v>
      </c>
    </row>
    <row r="2031" spans="1:19" x14ac:dyDescent="0.3">
      <c r="A2031" t="s">
        <v>12</v>
      </c>
      <c r="B2031">
        <v>2016110058</v>
      </c>
      <c r="C2031" t="s">
        <v>256</v>
      </c>
      <c r="E2031" t="s">
        <v>244</v>
      </c>
      <c r="F2031" t="s">
        <v>228</v>
      </c>
      <c r="G2031">
        <v>2</v>
      </c>
      <c r="H2031" t="s">
        <v>438</v>
      </c>
      <c r="I2031" s="4">
        <f t="shared" si="305"/>
        <v>3</v>
      </c>
      <c r="J2031">
        <f t="shared" si="306"/>
        <v>6</v>
      </c>
      <c r="K2031">
        <v>42</v>
      </c>
      <c r="L2031">
        <v>14</v>
      </c>
      <c r="M2031" s="2">
        <v>3</v>
      </c>
      <c r="N2031" s="2">
        <v>2.89</v>
      </c>
      <c r="O2031">
        <v>0</v>
      </c>
      <c r="P2031">
        <v>4</v>
      </c>
      <c r="Q2031" s="4" t="str">
        <f t="shared" si="300"/>
        <v>2017/2018-Genap</v>
      </c>
      <c r="R2031" t="s">
        <v>260</v>
      </c>
      <c r="S2031" t="str">
        <f t="shared" si="304"/>
        <v>PA</v>
      </c>
    </row>
    <row r="2032" spans="1:19" x14ac:dyDescent="0.3">
      <c r="A2032" t="s">
        <v>12</v>
      </c>
      <c r="B2032">
        <v>2016110058</v>
      </c>
      <c r="C2032" t="s">
        <v>256</v>
      </c>
      <c r="E2032" t="s">
        <v>432</v>
      </c>
      <c r="F2032" t="s">
        <v>433</v>
      </c>
      <c r="G2032">
        <v>4</v>
      </c>
      <c r="H2032" t="s">
        <v>438</v>
      </c>
      <c r="I2032" s="4">
        <f t="shared" si="305"/>
        <v>3</v>
      </c>
      <c r="J2032">
        <f t="shared" si="306"/>
        <v>12</v>
      </c>
      <c r="K2032">
        <v>42</v>
      </c>
      <c r="L2032">
        <v>14</v>
      </c>
      <c r="M2032" s="2">
        <v>3</v>
      </c>
      <c r="N2032" s="2">
        <v>2.89</v>
      </c>
      <c r="O2032">
        <v>0</v>
      </c>
      <c r="P2032">
        <v>4</v>
      </c>
      <c r="Q2032" s="4" t="str">
        <f t="shared" si="300"/>
        <v>2017/2018-Genap</v>
      </c>
      <c r="R2032" t="s">
        <v>260</v>
      </c>
      <c r="S2032" t="str">
        <f t="shared" si="304"/>
        <v>PA</v>
      </c>
    </row>
    <row r="2033" spans="1:19" x14ac:dyDescent="0.3">
      <c r="A2033" t="s">
        <v>12</v>
      </c>
      <c r="B2033">
        <v>2016110058</v>
      </c>
      <c r="C2033" t="s">
        <v>256</v>
      </c>
      <c r="E2033" t="s">
        <v>290</v>
      </c>
      <c r="F2033" t="s">
        <v>327</v>
      </c>
      <c r="G2033">
        <v>4</v>
      </c>
      <c r="H2033" t="s">
        <v>438</v>
      </c>
      <c r="I2033" s="4">
        <f t="shared" si="305"/>
        <v>3</v>
      </c>
      <c r="J2033">
        <f t="shared" si="306"/>
        <v>12</v>
      </c>
      <c r="K2033">
        <v>62</v>
      </c>
      <c r="L2033">
        <v>20</v>
      </c>
      <c r="M2033" s="2">
        <v>3.1</v>
      </c>
      <c r="N2033" s="2">
        <v>2.89</v>
      </c>
      <c r="O2033">
        <v>0</v>
      </c>
      <c r="P2033">
        <v>2</v>
      </c>
      <c r="Q2033" s="4" t="str">
        <f t="shared" si="300"/>
        <v>2016/2017-Genap</v>
      </c>
      <c r="R2033" t="s">
        <v>260</v>
      </c>
      <c r="S2033" t="str">
        <f t="shared" si="304"/>
        <v>PA</v>
      </c>
    </row>
    <row r="2034" spans="1:19" x14ac:dyDescent="0.3">
      <c r="A2034" t="s">
        <v>12</v>
      </c>
      <c r="B2034">
        <v>2016110058</v>
      </c>
      <c r="C2034" t="s">
        <v>256</v>
      </c>
      <c r="E2034" t="s">
        <v>208</v>
      </c>
      <c r="F2034" t="s">
        <v>209</v>
      </c>
      <c r="G2034">
        <v>2</v>
      </c>
      <c r="H2034" t="s">
        <v>438</v>
      </c>
      <c r="I2034" s="4">
        <f t="shared" si="305"/>
        <v>3</v>
      </c>
      <c r="J2034">
        <f t="shared" si="306"/>
        <v>6</v>
      </c>
      <c r="K2034">
        <v>44</v>
      </c>
      <c r="L2034">
        <v>14</v>
      </c>
      <c r="M2034" s="2">
        <v>3.14</v>
      </c>
      <c r="N2034" s="2">
        <v>2.89</v>
      </c>
      <c r="O2034">
        <v>0</v>
      </c>
      <c r="P2034">
        <v>5</v>
      </c>
      <c r="Q2034" s="4" t="str">
        <f t="shared" si="300"/>
        <v>2018/2019-Ganjil</v>
      </c>
      <c r="R2034" t="s">
        <v>260</v>
      </c>
      <c r="S2034" t="str">
        <f t="shared" si="304"/>
        <v>PA</v>
      </c>
    </row>
    <row r="2035" spans="1:19" x14ac:dyDescent="0.3">
      <c r="A2035" t="s">
        <v>12</v>
      </c>
      <c r="B2035">
        <v>2016110058</v>
      </c>
      <c r="C2035" t="s">
        <v>256</v>
      </c>
      <c r="E2035" t="s">
        <v>97</v>
      </c>
      <c r="F2035" t="s">
        <v>98</v>
      </c>
      <c r="G2035">
        <v>4</v>
      </c>
      <c r="H2035" t="s">
        <v>438</v>
      </c>
      <c r="I2035" s="4">
        <f t="shared" si="305"/>
        <v>3</v>
      </c>
      <c r="J2035">
        <f t="shared" si="306"/>
        <v>12</v>
      </c>
      <c r="K2035">
        <v>62</v>
      </c>
      <c r="L2035">
        <v>20</v>
      </c>
      <c r="M2035" s="2">
        <v>3.1</v>
      </c>
      <c r="N2035" s="2">
        <v>2.89</v>
      </c>
      <c r="O2035">
        <v>0</v>
      </c>
      <c r="P2035">
        <v>2</v>
      </c>
      <c r="Q2035" s="4" t="str">
        <f t="shared" si="300"/>
        <v>2016/2017-Genap</v>
      </c>
      <c r="R2035" t="s">
        <v>260</v>
      </c>
      <c r="S2035" t="str">
        <f t="shared" si="304"/>
        <v>PA</v>
      </c>
    </row>
    <row r="2036" spans="1:19" x14ac:dyDescent="0.3">
      <c r="A2036" t="s">
        <v>12</v>
      </c>
      <c r="B2036">
        <v>2016110058</v>
      </c>
      <c r="C2036" t="s">
        <v>256</v>
      </c>
      <c r="E2036" t="s">
        <v>316</v>
      </c>
      <c r="F2036" t="s">
        <v>317</v>
      </c>
      <c r="G2036">
        <v>2</v>
      </c>
      <c r="H2036" t="s">
        <v>438</v>
      </c>
      <c r="I2036" s="4">
        <f t="shared" si="305"/>
        <v>3</v>
      </c>
      <c r="J2036">
        <f t="shared" si="306"/>
        <v>6</v>
      </c>
      <c r="K2036">
        <v>34</v>
      </c>
      <c r="L2036">
        <v>12</v>
      </c>
      <c r="M2036" s="2">
        <v>2.83</v>
      </c>
      <c r="N2036" s="2">
        <v>2.89</v>
      </c>
      <c r="O2036">
        <v>0</v>
      </c>
      <c r="P2036">
        <v>9</v>
      </c>
      <c r="Q2036" s="4" t="str">
        <f t="shared" si="300"/>
        <v>2020/2021-Ganjil</v>
      </c>
      <c r="R2036" t="s">
        <v>260</v>
      </c>
      <c r="S2036" t="str">
        <f t="shared" si="304"/>
        <v>PA</v>
      </c>
    </row>
    <row r="2037" spans="1:19" x14ac:dyDescent="0.3">
      <c r="A2037" t="s">
        <v>12</v>
      </c>
      <c r="B2037">
        <v>2016110058</v>
      </c>
      <c r="C2037" t="s">
        <v>256</v>
      </c>
      <c r="E2037" t="s">
        <v>211</v>
      </c>
      <c r="F2037" t="s">
        <v>186</v>
      </c>
      <c r="G2037">
        <v>4</v>
      </c>
      <c r="H2037" t="s">
        <v>438</v>
      </c>
      <c r="I2037" s="4">
        <f t="shared" si="305"/>
        <v>3</v>
      </c>
      <c r="J2037">
        <f t="shared" si="306"/>
        <v>12</v>
      </c>
      <c r="K2037">
        <v>44</v>
      </c>
      <c r="L2037">
        <v>14</v>
      </c>
      <c r="M2037" s="2">
        <v>3.14</v>
      </c>
      <c r="N2037" s="2">
        <v>2.89</v>
      </c>
      <c r="O2037">
        <v>0</v>
      </c>
      <c r="P2037">
        <v>5</v>
      </c>
      <c r="Q2037" s="4" t="str">
        <f t="shared" si="300"/>
        <v>2018/2019-Ganjil</v>
      </c>
      <c r="R2037" t="s">
        <v>260</v>
      </c>
      <c r="S2037" t="str">
        <f t="shared" si="304"/>
        <v>PA</v>
      </c>
    </row>
    <row r="2038" spans="1:19" x14ac:dyDescent="0.3">
      <c r="A2038" t="s">
        <v>12</v>
      </c>
      <c r="B2038">
        <v>2016110058</v>
      </c>
      <c r="C2038" t="s">
        <v>256</v>
      </c>
      <c r="E2038" t="s">
        <v>103</v>
      </c>
      <c r="F2038" t="s">
        <v>104</v>
      </c>
      <c r="G2038">
        <v>4</v>
      </c>
      <c r="H2038" t="s">
        <v>438</v>
      </c>
      <c r="I2038" s="4">
        <f t="shared" si="305"/>
        <v>3</v>
      </c>
      <c r="J2038">
        <f t="shared" si="306"/>
        <v>12</v>
      </c>
      <c r="K2038">
        <v>62</v>
      </c>
      <c r="L2038">
        <v>20</v>
      </c>
      <c r="M2038" s="2">
        <v>3.1</v>
      </c>
      <c r="N2038" s="2">
        <v>2.89</v>
      </c>
      <c r="O2038">
        <v>0</v>
      </c>
      <c r="P2038">
        <v>2</v>
      </c>
      <c r="Q2038" s="4" t="str">
        <f t="shared" si="300"/>
        <v>2016/2017-Genap</v>
      </c>
      <c r="R2038" t="s">
        <v>260</v>
      </c>
      <c r="S2038" t="str">
        <f t="shared" si="304"/>
        <v>PA</v>
      </c>
    </row>
    <row r="2039" spans="1:19" x14ac:dyDescent="0.3">
      <c r="A2039" t="s">
        <v>12</v>
      </c>
      <c r="B2039">
        <v>2016110058</v>
      </c>
      <c r="C2039" t="s">
        <v>256</v>
      </c>
      <c r="E2039" t="s">
        <v>264</v>
      </c>
      <c r="F2039" t="s">
        <v>265</v>
      </c>
      <c r="G2039">
        <v>2</v>
      </c>
      <c r="H2039" t="s">
        <v>438</v>
      </c>
      <c r="I2039" s="4">
        <f t="shared" si="305"/>
        <v>3</v>
      </c>
      <c r="J2039">
        <f t="shared" si="306"/>
        <v>6</v>
      </c>
      <c r="K2039">
        <v>34</v>
      </c>
      <c r="L2039">
        <v>12</v>
      </c>
      <c r="M2039" s="2">
        <v>2.83</v>
      </c>
      <c r="N2039" s="2">
        <v>2.89</v>
      </c>
      <c r="O2039">
        <v>0</v>
      </c>
      <c r="P2039">
        <v>9</v>
      </c>
      <c r="Q2039" s="4" t="str">
        <f t="shared" si="300"/>
        <v>2020/2021-Ganjil</v>
      </c>
      <c r="R2039" t="s">
        <v>260</v>
      </c>
      <c r="S2039" t="str">
        <f t="shared" si="304"/>
        <v>PA</v>
      </c>
    </row>
    <row r="2040" spans="1:19" x14ac:dyDescent="0.3">
      <c r="A2040" t="s">
        <v>12</v>
      </c>
      <c r="B2040">
        <v>2016110058</v>
      </c>
      <c r="C2040" t="s">
        <v>256</v>
      </c>
      <c r="E2040" t="s">
        <v>306</v>
      </c>
      <c r="F2040" t="s">
        <v>307</v>
      </c>
      <c r="G2040">
        <v>2</v>
      </c>
      <c r="H2040" t="s">
        <v>438</v>
      </c>
      <c r="I2040" s="4">
        <f t="shared" si="305"/>
        <v>3</v>
      </c>
      <c r="J2040">
        <f t="shared" si="306"/>
        <v>6</v>
      </c>
      <c r="K2040">
        <v>44</v>
      </c>
      <c r="L2040">
        <v>14</v>
      </c>
      <c r="M2040" s="2">
        <v>3.14</v>
      </c>
      <c r="N2040" s="2">
        <v>2.89</v>
      </c>
      <c r="O2040">
        <v>0</v>
      </c>
      <c r="P2040">
        <v>5</v>
      </c>
      <c r="Q2040" s="4" t="str">
        <f t="shared" si="300"/>
        <v>2018/2019-Ganjil</v>
      </c>
      <c r="R2040" t="s">
        <v>260</v>
      </c>
      <c r="S2040" t="str">
        <f t="shared" si="304"/>
        <v>PA</v>
      </c>
    </row>
    <row r="2041" spans="1:19" x14ac:dyDescent="0.3">
      <c r="A2041" t="s">
        <v>12</v>
      </c>
      <c r="B2041">
        <v>2016110058</v>
      </c>
      <c r="C2041" t="s">
        <v>256</v>
      </c>
      <c r="E2041" t="s">
        <v>241</v>
      </c>
      <c r="F2041" t="s">
        <v>45</v>
      </c>
      <c r="G2041">
        <v>2</v>
      </c>
      <c r="H2041" t="s">
        <v>438</v>
      </c>
      <c r="I2041" s="4">
        <f t="shared" si="305"/>
        <v>3</v>
      </c>
      <c r="J2041">
        <f t="shared" si="306"/>
        <v>6</v>
      </c>
      <c r="K2041">
        <v>56</v>
      </c>
      <c r="L2041">
        <v>18</v>
      </c>
      <c r="M2041" s="2">
        <v>3.11</v>
      </c>
      <c r="N2041" s="2">
        <v>2.89</v>
      </c>
      <c r="O2041">
        <v>0</v>
      </c>
      <c r="P2041">
        <v>3</v>
      </c>
      <c r="Q2041" s="4" t="str">
        <f t="shared" si="300"/>
        <v>2017/2018-Ganjil</v>
      </c>
      <c r="R2041" t="s">
        <v>260</v>
      </c>
      <c r="S2041" t="str">
        <f t="shared" si="304"/>
        <v>PA</v>
      </c>
    </row>
    <row r="2042" spans="1:19" x14ac:dyDescent="0.3">
      <c r="A2042" t="s">
        <v>12</v>
      </c>
      <c r="B2042">
        <v>2016110058</v>
      </c>
      <c r="C2042" t="s">
        <v>256</v>
      </c>
      <c r="E2042" t="s">
        <v>372</v>
      </c>
      <c r="F2042" t="s">
        <v>373</v>
      </c>
      <c r="G2042">
        <v>2</v>
      </c>
      <c r="H2042" t="s">
        <v>438</v>
      </c>
      <c r="I2042" s="4">
        <f t="shared" si="305"/>
        <v>3</v>
      </c>
      <c r="J2042">
        <f t="shared" si="306"/>
        <v>6</v>
      </c>
      <c r="K2042">
        <v>42</v>
      </c>
      <c r="L2042">
        <v>16</v>
      </c>
      <c r="M2042" s="2">
        <v>2.63</v>
      </c>
      <c r="N2042" s="2">
        <v>2.89</v>
      </c>
      <c r="O2042">
        <v>0</v>
      </c>
      <c r="P2042">
        <v>6</v>
      </c>
      <c r="Q2042" s="4" t="str">
        <f t="shared" si="300"/>
        <v>2018/2019-Genap</v>
      </c>
      <c r="R2042" t="s">
        <v>260</v>
      </c>
      <c r="S2042" t="str">
        <f t="shared" si="304"/>
        <v>PA</v>
      </c>
    </row>
    <row r="2043" spans="1:19" x14ac:dyDescent="0.3">
      <c r="A2043" t="s">
        <v>12</v>
      </c>
      <c r="B2043">
        <v>2016110058</v>
      </c>
      <c r="C2043" t="s">
        <v>256</v>
      </c>
      <c r="E2043" t="s">
        <v>344</v>
      </c>
      <c r="F2043" t="s">
        <v>345</v>
      </c>
      <c r="G2043">
        <v>2</v>
      </c>
      <c r="H2043" t="s">
        <v>438</v>
      </c>
      <c r="I2043" s="4">
        <f t="shared" si="305"/>
        <v>3</v>
      </c>
      <c r="J2043">
        <f t="shared" si="306"/>
        <v>6</v>
      </c>
      <c r="K2043">
        <v>22</v>
      </c>
      <c r="L2043">
        <v>10</v>
      </c>
      <c r="M2043" s="2">
        <v>2.2000000000000002</v>
      </c>
      <c r="N2043" s="2">
        <v>2.89</v>
      </c>
      <c r="O2043">
        <v>0</v>
      </c>
      <c r="P2043">
        <v>11</v>
      </c>
      <c r="Q2043" s="4" t="s">
        <v>573</v>
      </c>
      <c r="R2043" t="s">
        <v>260</v>
      </c>
      <c r="S2043" t="str">
        <f t="shared" si="304"/>
        <v>PA</v>
      </c>
    </row>
    <row r="2044" spans="1:19" x14ac:dyDescent="0.3">
      <c r="A2044" t="s">
        <v>12</v>
      </c>
      <c r="B2044">
        <v>2016110058</v>
      </c>
      <c r="C2044" t="s">
        <v>256</v>
      </c>
      <c r="E2044" t="s">
        <v>142</v>
      </c>
      <c r="F2044" t="s">
        <v>143</v>
      </c>
      <c r="G2044">
        <v>2</v>
      </c>
      <c r="H2044" t="s">
        <v>438</v>
      </c>
      <c r="I2044" s="4">
        <f t="shared" si="305"/>
        <v>3</v>
      </c>
      <c r="J2044">
        <f t="shared" si="306"/>
        <v>6</v>
      </c>
      <c r="K2044">
        <v>56</v>
      </c>
      <c r="L2044">
        <v>20</v>
      </c>
      <c r="M2044" s="2">
        <v>2.8</v>
      </c>
      <c r="N2044" s="2">
        <v>2.89</v>
      </c>
      <c r="O2044">
        <v>0</v>
      </c>
      <c r="P2044">
        <v>1</v>
      </c>
      <c r="Q2044" s="4" t="str">
        <f>IF(P2044=1,"2016/2017-Ganjil",IF(P2044=2,"2016/2017-Genap",IF(P2044=3,"2017/2018-Ganjil",IF(P2044=4,"2017/2018-Genap",IF(P2044=5,"2018/2019-Ganjil",IF(P2044=6,"2018/2019-Genap",IF(P2044=7,"2019/2020-Ganjil",IF(P2044=8,"2019/2020-Genap",IF(P2044=9,"2020/2021-Ganjil","2020/2021-Genap")))))))))</f>
        <v>2016/2017-Ganjil</v>
      </c>
      <c r="R2044" t="s">
        <v>260</v>
      </c>
      <c r="S2044" t="str">
        <f t="shared" si="304"/>
        <v>PA</v>
      </c>
    </row>
    <row r="2045" spans="1:19" x14ac:dyDescent="0.3">
      <c r="A2045" t="s">
        <v>12</v>
      </c>
      <c r="B2045">
        <v>2016110058</v>
      </c>
      <c r="C2045" t="s">
        <v>256</v>
      </c>
      <c r="E2045" t="s">
        <v>302</v>
      </c>
      <c r="F2045" t="s">
        <v>303</v>
      </c>
      <c r="G2045">
        <v>2</v>
      </c>
      <c r="H2045" t="s">
        <v>438</v>
      </c>
      <c r="I2045" s="4">
        <f t="shared" si="305"/>
        <v>3</v>
      </c>
      <c r="J2045">
        <f t="shared" si="306"/>
        <v>6</v>
      </c>
      <c r="K2045">
        <v>42</v>
      </c>
      <c r="L2045">
        <v>16</v>
      </c>
      <c r="M2045" s="2">
        <v>2.63</v>
      </c>
      <c r="N2045" s="2">
        <v>2.89</v>
      </c>
      <c r="O2045">
        <v>0</v>
      </c>
      <c r="P2045">
        <v>6</v>
      </c>
      <c r="Q2045" s="4" t="str">
        <f>IF(P2045=1,"2016/2017-Ganjil",IF(P2045=2,"2016/2017-Genap",IF(P2045=3,"2017/2018-Ganjil",IF(P2045=4,"2017/2018-Genap",IF(P2045=5,"2018/2019-Ganjil",IF(P2045=6,"2018/2019-Genap",IF(P2045=7,"2019/2020-Ganjil",IF(P2045=8,"2019/2020-Genap",IF(P2045=9,"2020/2021-Ganjil","2020/2021-Genap")))))))))</f>
        <v>2018/2019-Genap</v>
      </c>
      <c r="R2045" t="s">
        <v>260</v>
      </c>
      <c r="S2045" t="str">
        <f t="shared" si="304"/>
        <v>PA</v>
      </c>
    </row>
    <row r="2046" spans="1:19" x14ac:dyDescent="0.3">
      <c r="A2046" t="s">
        <v>12</v>
      </c>
      <c r="B2046">
        <v>2016110058</v>
      </c>
      <c r="C2046" t="s">
        <v>256</v>
      </c>
      <c r="E2046" t="s">
        <v>507</v>
      </c>
      <c r="F2046" t="s">
        <v>20</v>
      </c>
      <c r="G2046">
        <v>6</v>
      </c>
      <c r="H2046" t="s">
        <v>438</v>
      </c>
      <c r="I2046" s="4">
        <f t="shared" si="305"/>
        <v>3</v>
      </c>
      <c r="J2046">
        <f t="shared" si="306"/>
        <v>18</v>
      </c>
      <c r="K2046">
        <v>18</v>
      </c>
      <c r="L2046">
        <v>6</v>
      </c>
      <c r="M2046" s="2">
        <v>3</v>
      </c>
      <c r="N2046" s="2">
        <v>2.89</v>
      </c>
      <c r="O2046">
        <v>0</v>
      </c>
      <c r="P2046">
        <v>12</v>
      </c>
      <c r="Q2046" s="4" t="s">
        <v>575</v>
      </c>
      <c r="R2046" t="s">
        <v>596</v>
      </c>
      <c r="S2046" t="str">
        <f t="shared" si="304"/>
        <v>PA</v>
      </c>
    </row>
    <row r="2047" spans="1:19" x14ac:dyDescent="0.3">
      <c r="A2047" t="s">
        <v>12</v>
      </c>
      <c r="B2047">
        <v>2016110058</v>
      </c>
      <c r="C2047" t="s">
        <v>256</v>
      </c>
      <c r="E2047" t="s">
        <v>205</v>
      </c>
      <c r="F2047" t="s">
        <v>116</v>
      </c>
      <c r="G2047">
        <v>4</v>
      </c>
      <c r="H2047" t="s">
        <v>438</v>
      </c>
      <c r="I2047" s="4">
        <f t="shared" si="305"/>
        <v>3</v>
      </c>
      <c r="J2047">
        <f t="shared" si="306"/>
        <v>12</v>
      </c>
      <c r="K2047">
        <v>56</v>
      </c>
      <c r="L2047">
        <v>18</v>
      </c>
      <c r="M2047" s="2">
        <v>3.11</v>
      </c>
      <c r="N2047" s="2">
        <v>2.89</v>
      </c>
      <c r="O2047">
        <v>0</v>
      </c>
      <c r="P2047">
        <v>3</v>
      </c>
      <c r="Q2047" s="4" t="str">
        <f t="shared" ref="Q2047:Q2053" si="307">IF(P2047=1,"2016/2017-Ganjil",IF(P2047=2,"2016/2017-Genap",IF(P2047=3,"2017/2018-Ganjil",IF(P2047=4,"2017/2018-Genap",IF(P2047=5,"2018/2019-Ganjil",IF(P2047=6,"2018/2019-Genap",IF(P2047=7,"2019/2020-Ganjil",IF(P2047=8,"2019/2020-Genap",IF(P2047=9,"2020/2021-Ganjil","2020/2021-Genap")))))))))</f>
        <v>2017/2018-Ganjil</v>
      </c>
      <c r="R2047" t="s">
        <v>260</v>
      </c>
      <c r="S2047" t="str">
        <f t="shared" si="304"/>
        <v>PA</v>
      </c>
    </row>
    <row r="2048" spans="1:19" x14ac:dyDescent="0.3">
      <c r="A2048" t="s">
        <v>12</v>
      </c>
      <c r="B2048">
        <v>2016110058</v>
      </c>
      <c r="C2048" t="s">
        <v>256</v>
      </c>
      <c r="E2048" t="s">
        <v>165</v>
      </c>
      <c r="F2048" t="s">
        <v>166</v>
      </c>
      <c r="G2048">
        <v>2</v>
      </c>
      <c r="H2048" t="s">
        <v>438</v>
      </c>
      <c r="I2048" s="4">
        <f t="shared" si="305"/>
        <v>3</v>
      </c>
      <c r="J2048">
        <f t="shared" si="306"/>
        <v>6</v>
      </c>
      <c r="K2048">
        <v>56</v>
      </c>
      <c r="L2048">
        <v>20</v>
      </c>
      <c r="M2048" s="2">
        <v>2.8</v>
      </c>
      <c r="N2048" s="2">
        <v>2.89</v>
      </c>
      <c r="O2048">
        <v>0</v>
      </c>
      <c r="P2048">
        <v>1</v>
      </c>
      <c r="Q2048" s="4" t="str">
        <f t="shared" si="307"/>
        <v>2016/2017-Ganjil</v>
      </c>
      <c r="R2048" t="s">
        <v>260</v>
      </c>
      <c r="S2048" t="str">
        <f t="shared" si="304"/>
        <v>PA</v>
      </c>
    </row>
    <row r="2049" spans="1:19" x14ac:dyDescent="0.3">
      <c r="A2049" t="s">
        <v>12</v>
      </c>
      <c r="B2049">
        <v>2016110058</v>
      </c>
      <c r="C2049" t="s">
        <v>256</v>
      </c>
      <c r="E2049" t="s">
        <v>276</v>
      </c>
      <c r="F2049" t="s">
        <v>137</v>
      </c>
      <c r="G2049">
        <v>4</v>
      </c>
      <c r="H2049" t="s">
        <v>438</v>
      </c>
      <c r="I2049" s="4">
        <f t="shared" si="305"/>
        <v>3</v>
      </c>
      <c r="J2049">
        <f t="shared" si="306"/>
        <v>12</v>
      </c>
      <c r="K2049">
        <v>42</v>
      </c>
      <c r="L2049">
        <v>16</v>
      </c>
      <c r="M2049" s="2">
        <v>2.63</v>
      </c>
      <c r="N2049" s="2">
        <v>2.89</v>
      </c>
      <c r="O2049">
        <v>0</v>
      </c>
      <c r="P2049">
        <v>6</v>
      </c>
      <c r="Q2049" s="4" t="str">
        <f t="shared" si="307"/>
        <v>2018/2019-Genap</v>
      </c>
      <c r="R2049" t="s">
        <v>260</v>
      </c>
      <c r="S2049" t="str">
        <f t="shared" si="304"/>
        <v>PA</v>
      </c>
    </row>
    <row r="2050" spans="1:19" x14ac:dyDescent="0.3">
      <c r="A2050" t="s">
        <v>12</v>
      </c>
      <c r="B2050">
        <v>2016110058</v>
      </c>
      <c r="C2050" t="s">
        <v>256</v>
      </c>
      <c r="E2050" t="s">
        <v>248</v>
      </c>
      <c r="F2050" t="s">
        <v>249</v>
      </c>
      <c r="G2050">
        <v>2</v>
      </c>
      <c r="H2050" t="s">
        <v>438</v>
      </c>
      <c r="I2050" s="4">
        <f t="shared" si="305"/>
        <v>3</v>
      </c>
      <c r="J2050">
        <f t="shared" si="306"/>
        <v>6</v>
      </c>
      <c r="K2050">
        <v>42</v>
      </c>
      <c r="L2050">
        <v>14</v>
      </c>
      <c r="M2050" s="2">
        <v>3</v>
      </c>
      <c r="N2050" s="2">
        <v>2.89</v>
      </c>
      <c r="O2050">
        <v>0</v>
      </c>
      <c r="P2050">
        <v>4</v>
      </c>
      <c r="Q2050" s="4" t="str">
        <f t="shared" si="307"/>
        <v>2017/2018-Genap</v>
      </c>
      <c r="R2050" t="s">
        <v>260</v>
      </c>
      <c r="S2050" t="str">
        <f t="shared" si="304"/>
        <v>PA</v>
      </c>
    </row>
    <row r="2051" spans="1:19" x14ac:dyDescent="0.3">
      <c r="A2051" t="s">
        <v>12</v>
      </c>
      <c r="B2051">
        <v>2016110058</v>
      </c>
      <c r="C2051" t="s">
        <v>256</v>
      </c>
      <c r="E2051" t="s">
        <v>236</v>
      </c>
      <c r="F2051" t="s">
        <v>237</v>
      </c>
      <c r="G2051">
        <v>2</v>
      </c>
      <c r="H2051" t="s">
        <v>524</v>
      </c>
      <c r="I2051" s="4">
        <f t="shared" si="305"/>
        <v>2</v>
      </c>
      <c r="J2051">
        <f t="shared" si="306"/>
        <v>4</v>
      </c>
      <c r="K2051">
        <v>34</v>
      </c>
      <c r="L2051">
        <v>12</v>
      </c>
      <c r="M2051" s="2">
        <v>2.83</v>
      </c>
      <c r="N2051" s="2">
        <v>2.89</v>
      </c>
      <c r="O2051">
        <v>0</v>
      </c>
      <c r="P2051">
        <v>9</v>
      </c>
      <c r="Q2051" s="4" t="str">
        <f t="shared" si="307"/>
        <v>2020/2021-Ganjil</v>
      </c>
      <c r="R2051" t="s">
        <v>260</v>
      </c>
      <c r="S2051" t="str">
        <f t="shared" si="304"/>
        <v>PA</v>
      </c>
    </row>
    <row r="2052" spans="1:19" x14ac:dyDescent="0.3">
      <c r="A2052" t="s">
        <v>12</v>
      </c>
      <c r="B2052">
        <v>2016110058</v>
      </c>
      <c r="C2052" t="s">
        <v>256</v>
      </c>
      <c r="E2052" t="s">
        <v>330</v>
      </c>
      <c r="F2052" t="s">
        <v>108</v>
      </c>
      <c r="G2052">
        <v>2</v>
      </c>
      <c r="H2052" t="s">
        <v>524</v>
      </c>
      <c r="I2052" s="4">
        <f t="shared" si="305"/>
        <v>2</v>
      </c>
      <c r="J2052">
        <f t="shared" si="306"/>
        <v>4</v>
      </c>
      <c r="K2052">
        <v>34</v>
      </c>
      <c r="L2052">
        <v>12</v>
      </c>
      <c r="M2052" s="2">
        <v>2.83</v>
      </c>
      <c r="N2052" s="2">
        <v>2.89</v>
      </c>
      <c r="O2052">
        <v>0</v>
      </c>
      <c r="P2052">
        <v>9</v>
      </c>
      <c r="Q2052" s="4" t="str">
        <f t="shared" si="307"/>
        <v>2020/2021-Ganjil</v>
      </c>
      <c r="R2052" t="s">
        <v>260</v>
      </c>
      <c r="S2052" t="str">
        <f t="shared" si="304"/>
        <v>PA</v>
      </c>
    </row>
    <row r="2053" spans="1:19" x14ac:dyDescent="0.3">
      <c r="A2053" t="s">
        <v>12</v>
      </c>
      <c r="B2053">
        <v>2016110058</v>
      </c>
      <c r="C2053" t="s">
        <v>256</v>
      </c>
      <c r="E2053" t="s">
        <v>446</v>
      </c>
      <c r="F2053" t="s">
        <v>447</v>
      </c>
      <c r="G2053">
        <v>2</v>
      </c>
      <c r="H2053" t="s">
        <v>524</v>
      </c>
      <c r="I2053" s="4">
        <f t="shared" si="305"/>
        <v>2</v>
      </c>
      <c r="J2053">
        <f t="shared" si="306"/>
        <v>4</v>
      </c>
      <c r="K2053">
        <v>28</v>
      </c>
      <c r="L2053">
        <v>12</v>
      </c>
      <c r="M2053" s="2">
        <v>2.33</v>
      </c>
      <c r="N2053" s="2">
        <v>2.89</v>
      </c>
      <c r="O2053">
        <v>0</v>
      </c>
      <c r="P2053">
        <v>10</v>
      </c>
      <c r="Q2053" s="4" t="str">
        <f t="shared" si="307"/>
        <v>2020/2021-Genap</v>
      </c>
      <c r="R2053" t="s">
        <v>260</v>
      </c>
      <c r="S2053" t="str">
        <f t="shared" si="304"/>
        <v>PA</v>
      </c>
    </row>
    <row r="2054" spans="1:19" x14ac:dyDescent="0.3">
      <c r="A2054" t="s">
        <v>12</v>
      </c>
      <c r="B2054">
        <v>2016110058</v>
      </c>
      <c r="C2054" t="s">
        <v>256</v>
      </c>
      <c r="E2054" t="s">
        <v>190</v>
      </c>
      <c r="F2054" t="s">
        <v>191</v>
      </c>
      <c r="G2054">
        <v>4</v>
      </c>
      <c r="H2054" t="s">
        <v>524</v>
      </c>
      <c r="I2054" s="4">
        <f t="shared" si="305"/>
        <v>2</v>
      </c>
      <c r="J2054">
        <f t="shared" si="306"/>
        <v>8</v>
      </c>
      <c r="K2054">
        <v>22</v>
      </c>
      <c r="L2054">
        <v>10</v>
      </c>
      <c r="M2054" s="2">
        <v>2.2000000000000002</v>
      </c>
      <c r="N2054" s="2">
        <v>2.89</v>
      </c>
      <c r="O2054">
        <v>0</v>
      </c>
      <c r="P2054">
        <v>11</v>
      </c>
      <c r="Q2054" s="4" t="s">
        <v>573</v>
      </c>
      <c r="R2054" t="s">
        <v>260</v>
      </c>
      <c r="S2054" t="str">
        <f t="shared" si="304"/>
        <v>PA</v>
      </c>
    </row>
    <row r="2055" spans="1:19" x14ac:dyDescent="0.3">
      <c r="A2055" t="s">
        <v>12</v>
      </c>
      <c r="B2055">
        <v>2016110058</v>
      </c>
      <c r="C2055" t="s">
        <v>256</v>
      </c>
      <c r="E2055" t="s">
        <v>382</v>
      </c>
      <c r="F2055" t="s">
        <v>383</v>
      </c>
      <c r="G2055">
        <v>4</v>
      </c>
      <c r="H2055" t="s">
        <v>524</v>
      </c>
      <c r="I2055" s="4">
        <f t="shared" si="305"/>
        <v>2</v>
      </c>
      <c r="J2055">
        <f t="shared" si="306"/>
        <v>8</v>
      </c>
      <c r="K2055">
        <v>22</v>
      </c>
      <c r="L2055">
        <v>10</v>
      </c>
      <c r="M2055" s="2">
        <v>2.2000000000000002</v>
      </c>
      <c r="N2055" s="2">
        <v>2.89</v>
      </c>
      <c r="O2055">
        <v>0</v>
      </c>
      <c r="P2055">
        <v>11</v>
      </c>
      <c r="Q2055" s="4" t="s">
        <v>573</v>
      </c>
      <c r="R2055" t="s">
        <v>260</v>
      </c>
      <c r="S2055" t="str">
        <f t="shared" si="304"/>
        <v>PA</v>
      </c>
    </row>
    <row r="2056" spans="1:19" x14ac:dyDescent="0.3">
      <c r="A2056" t="s">
        <v>12</v>
      </c>
      <c r="B2056">
        <v>2016110058</v>
      </c>
      <c r="C2056" t="s">
        <v>256</v>
      </c>
      <c r="E2056" t="s">
        <v>39</v>
      </c>
      <c r="F2056" t="s">
        <v>11</v>
      </c>
      <c r="G2056">
        <v>2</v>
      </c>
      <c r="H2056" t="s">
        <v>524</v>
      </c>
      <c r="I2056" s="4">
        <f t="shared" si="305"/>
        <v>2</v>
      </c>
      <c r="J2056">
        <f t="shared" si="306"/>
        <v>4</v>
      </c>
      <c r="K2056">
        <v>8</v>
      </c>
      <c r="L2056">
        <v>6</v>
      </c>
      <c r="M2056" s="2">
        <v>1.33</v>
      </c>
      <c r="N2056" s="2">
        <v>2.89</v>
      </c>
      <c r="O2056">
        <v>0</v>
      </c>
      <c r="P2056">
        <v>8</v>
      </c>
      <c r="Q2056" s="4" t="str">
        <f>IF(P2056=1,"2016/2017-Ganjil",IF(P2056=2,"2016/2017-Genap",IF(P2056=3,"2017/2018-Ganjil",IF(P2056=4,"2017/2018-Genap",IF(P2056=5,"2018/2019-Ganjil",IF(P2056=6,"2018/2019-Genap",IF(P2056=7,"2019/2020-Ganjil",IF(P2056=8,"2019/2020-Genap",IF(P2056=9,"2020/2021-Ganjil","2020/2021-Genap")))))))))</f>
        <v>2019/2020-Genap</v>
      </c>
      <c r="R2056" t="s">
        <v>260</v>
      </c>
      <c r="S2056" t="str">
        <f t="shared" si="304"/>
        <v>PA</v>
      </c>
    </row>
    <row r="2057" spans="1:19" x14ac:dyDescent="0.3">
      <c r="A2057" t="s">
        <v>12</v>
      </c>
      <c r="B2057">
        <v>2016110058</v>
      </c>
      <c r="C2057" t="s">
        <v>256</v>
      </c>
      <c r="E2057" t="s">
        <v>427</v>
      </c>
      <c r="F2057" t="s">
        <v>428</v>
      </c>
      <c r="G2057">
        <v>2</v>
      </c>
      <c r="H2057" t="s">
        <v>524</v>
      </c>
      <c r="I2057" s="4">
        <f t="shared" si="305"/>
        <v>2</v>
      </c>
      <c r="J2057">
        <f t="shared" si="306"/>
        <v>4</v>
      </c>
      <c r="K2057">
        <v>28</v>
      </c>
      <c r="L2057">
        <v>12</v>
      </c>
      <c r="M2057" s="2">
        <v>2.33</v>
      </c>
      <c r="N2057" s="2">
        <v>2.89</v>
      </c>
      <c r="O2057">
        <v>0</v>
      </c>
      <c r="P2057">
        <v>10</v>
      </c>
      <c r="Q2057" s="4" t="str">
        <f>IF(P2057=1,"2016/2017-Ganjil",IF(P2057=2,"2016/2017-Genap",IF(P2057=3,"2017/2018-Ganjil",IF(P2057=4,"2017/2018-Genap",IF(P2057=5,"2018/2019-Ganjil",IF(P2057=6,"2018/2019-Genap",IF(P2057=7,"2019/2020-Ganjil",IF(P2057=8,"2019/2020-Genap",IF(P2057=9,"2020/2021-Ganjil","2020/2021-Genap")))))))))</f>
        <v>2020/2021-Genap</v>
      </c>
      <c r="R2057" t="s">
        <v>260</v>
      </c>
      <c r="S2057" t="str">
        <f t="shared" si="304"/>
        <v>PA</v>
      </c>
    </row>
    <row r="2058" spans="1:19" x14ac:dyDescent="0.3">
      <c r="A2058" t="s">
        <v>12</v>
      </c>
      <c r="B2058">
        <v>2016110058</v>
      </c>
      <c r="C2058" t="s">
        <v>256</v>
      </c>
      <c r="E2058" t="s">
        <v>122</v>
      </c>
      <c r="F2058" t="s">
        <v>123</v>
      </c>
      <c r="G2058">
        <v>4</v>
      </c>
      <c r="H2058" t="s">
        <v>535</v>
      </c>
      <c r="I2058" s="4">
        <f t="shared" si="305"/>
        <v>1</v>
      </c>
      <c r="J2058">
        <f t="shared" si="306"/>
        <v>4</v>
      </c>
      <c r="K2058">
        <v>56</v>
      </c>
      <c r="L2058">
        <v>20</v>
      </c>
      <c r="M2058" s="2">
        <v>2.8</v>
      </c>
      <c r="N2058" s="2">
        <v>2.89</v>
      </c>
      <c r="O2058">
        <v>0</v>
      </c>
      <c r="P2058">
        <v>1</v>
      </c>
      <c r="Q2058" s="4" t="str">
        <f>IF(P2058=1,"2016/2017-Ganjil",IF(P2058=2,"2016/2017-Genap",IF(P2058=3,"2017/2018-Ganjil",IF(P2058=4,"2017/2018-Genap",IF(P2058=5,"2018/2019-Ganjil",IF(P2058=6,"2018/2019-Genap",IF(P2058=7,"2019/2020-Ganjil",IF(P2058=8,"2019/2020-Genap",IF(P2058=9,"2020/2021-Ganjil","2020/2021-Genap")))))))))</f>
        <v>2016/2017-Ganjil</v>
      </c>
      <c r="R2058" t="s">
        <v>260</v>
      </c>
      <c r="S2058" t="str">
        <f t="shared" si="304"/>
        <v>FA</v>
      </c>
    </row>
    <row r="2059" spans="1:19" x14ac:dyDescent="0.3">
      <c r="A2059" t="s">
        <v>12</v>
      </c>
      <c r="B2059">
        <v>2016110058</v>
      </c>
      <c r="C2059" t="s">
        <v>256</v>
      </c>
      <c r="E2059" t="s">
        <v>122</v>
      </c>
      <c r="F2059" t="s">
        <v>123</v>
      </c>
      <c r="G2059">
        <v>4</v>
      </c>
      <c r="H2059" t="s">
        <v>438</v>
      </c>
      <c r="I2059" s="4">
        <f t="shared" si="305"/>
        <v>3</v>
      </c>
      <c r="J2059">
        <f t="shared" si="306"/>
        <v>12</v>
      </c>
      <c r="K2059">
        <v>12</v>
      </c>
      <c r="L2059">
        <v>4</v>
      </c>
      <c r="M2059" s="2">
        <v>3</v>
      </c>
      <c r="N2059" s="2">
        <v>2.89</v>
      </c>
      <c r="O2059">
        <v>1</v>
      </c>
      <c r="P2059">
        <v>8</v>
      </c>
      <c r="Q2059" s="4" t="s">
        <v>571</v>
      </c>
      <c r="R2059" t="s">
        <v>260</v>
      </c>
      <c r="S2059" t="str">
        <f t="shared" si="304"/>
        <v>PA</v>
      </c>
    </row>
    <row r="2060" spans="1:19" x14ac:dyDescent="0.3">
      <c r="A2060" t="s">
        <v>12</v>
      </c>
      <c r="B2060">
        <v>2016110058</v>
      </c>
      <c r="C2060" t="s">
        <v>256</v>
      </c>
      <c r="E2060" t="s">
        <v>348</v>
      </c>
      <c r="F2060" t="s">
        <v>493</v>
      </c>
      <c r="G2060">
        <v>4</v>
      </c>
      <c r="H2060" t="s">
        <v>438</v>
      </c>
      <c r="I2060" s="4">
        <f t="shared" si="305"/>
        <v>3</v>
      </c>
      <c r="J2060">
        <f t="shared" si="306"/>
        <v>12</v>
      </c>
      <c r="K2060">
        <v>28</v>
      </c>
      <c r="L2060">
        <v>12</v>
      </c>
      <c r="M2060" s="2">
        <v>2.33</v>
      </c>
      <c r="N2060" s="2">
        <v>2.89</v>
      </c>
      <c r="O2060">
        <v>1</v>
      </c>
      <c r="P2060">
        <v>10</v>
      </c>
      <c r="Q2060" s="4" t="str">
        <f t="shared" ref="Q2060:Q2091" si="308">IF(P2060=1,"2016/2017-Ganjil",IF(P2060=2,"2016/2017-Genap",IF(P2060=3,"2017/2018-Ganjil",IF(P2060=4,"2017/2018-Genap",IF(P2060=5,"2018/2019-Ganjil",IF(P2060=6,"2018/2019-Genap",IF(P2060=7,"2019/2020-Ganjil",IF(P2060=8,"2019/2020-Genap",IF(P2060=9,"2020/2021-Ganjil","2020/2021-Genap")))))))))</f>
        <v>2020/2021-Genap</v>
      </c>
      <c r="R2060" t="s">
        <v>260</v>
      </c>
      <c r="S2060" t="str">
        <f t="shared" si="304"/>
        <v>PA</v>
      </c>
    </row>
    <row r="2061" spans="1:19" x14ac:dyDescent="0.3">
      <c r="A2061" t="s">
        <v>12</v>
      </c>
      <c r="B2061">
        <v>2016110058</v>
      </c>
      <c r="C2061" t="s">
        <v>256</v>
      </c>
      <c r="E2061" t="s">
        <v>348</v>
      </c>
      <c r="F2061" t="s">
        <v>493</v>
      </c>
      <c r="G2061">
        <v>4</v>
      </c>
      <c r="H2061" t="s">
        <v>535</v>
      </c>
      <c r="I2061" s="4">
        <f t="shared" si="305"/>
        <v>1</v>
      </c>
      <c r="J2061">
        <f t="shared" si="306"/>
        <v>4</v>
      </c>
      <c r="K2061">
        <v>8</v>
      </c>
      <c r="L2061">
        <v>6</v>
      </c>
      <c r="M2061" s="2">
        <v>1.33</v>
      </c>
      <c r="N2061" s="2">
        <v>2.89</v>
      </c>
      <c r="O2061">
        <v>0</v>
      </c>
      <c r="P2061">
        <v>8</v>
      </c>
      <c r="Q2061" s="4" t="str">
        <f t="shared" si="308"/>
        <v>2019/2020-Genap</v>
      </c>
      <c r="R2061" t="s">
        <v>260</v>
      </c>
      <c r="S2061" t="str">
        <f t="shared" si="304"/>
        <v>FA</v>
      </c>
    </row>
    <row r="2062" spans="1:19" x14ac:dyDescent="0.3">
      <c r="A2062" t="s">
        <v>12</v>
      </c>
      <c r="B2062">
        <v>2016110058</v>
      </c>
      <c r="C2062" t="s">
        <v>256</v>
      </c>
      <c r="E2062" t="s">
        <v>374</v>
      </c>
      <c r="F2062" t="s">
        <v>375</v>
      </c>
      <c r="G2062">
        <v>2</v>
      </c>
      <c r="H2062" t="s">
        <v>539</v>
      </c>
      <c r="I2062" s="4">
        <f t="shared" si="305"/>
        <v>0</v>
      </c>
      <c r="J2062">
        <f t="shared" si="306"/>
        <v>0</v>
      </c>
      <c r="K2062">
        <v>42</v>
      </c>
      <c r="L2062">
        <v>16</v>
      </c>
      <c r="M2062" s="2">
        <v>2.63</v>
      </c>
      <c r="N2062" s="2">
        <v>2.89</v>
      </c>
      <c r="O2062">
        <v>0</v>
      </c>
      <c r="P2062">
        <v>6</v>
      </c>
      <c r="Q2062" s="4" t="str">
        <f t="shared" si="308"/>
        <v>2018/2019-Genap</v>
      </c>
      <c r="R2062" t="s">
        <v>260</v>
      </c>
      <c r="S2062" t="str">
        <f t="shared" si="304"/>
        <v>FA</v>
      </c>
    </row>
    <row r="2063" spans="1:19" x14ac:dyDescent="0.3">
      <c r="A2063" t="s">
        <v>12</v>
      </c>
      <c r="B2063">
        <v>2016110060</v>
      </c>
      <c r="C2063" t="s">
        <v>259</v>
      </c>
      <c r="E2063" t="s">
        <v>165</v>
      </c>
      <c r="F2063" t="s">
        <v>166</v>
      </c>
      <c r="G2063">
        <v>2</v>
      </c>
      <c r="H2063" t="s">
        <v>260</v>
      </c>
      <c r="I2063" s="4">
        <f t="shared" si="305"/>
        <v>4</v>
      </c>
      <c r="J2063">
        <f t="shared" si="306"/>
        <v>8</v>
      </c>
      <c r="K2063">
        <v>48</v>
      </c>
      <c r="L2063">
        <v>20</v>
      </c>
      <c r="M2063" s="2">
        <v>2.4</v>
      </c>
      <c r="N2063" s="2">
        <v>2.15</v>
      </c>
      <c r="O2063">
        <v>0</v>
      </c>
      <c r="P2063">
        <v>1</v>
      </c>
      <c r="Q2063" s="4" t="str">
        <f t="shared" si="308"/>
        <v>2016/2017-Ganjil</v>
      </c>
      <c r="R2063" t="s">
        <v>260</v>
      </c>
      <c r="S2063" t="str">
        <f t="shared" si="304"/>
        <v>PA</v>
      </c>
    </row>
    <row r="2064" spans="1:19" x14ac:dyDescent="0.3">
      <c r="A2064" t="s">
        <v>12</v>
      </c>
      <c r="B2064">
        <v>2016110060</v>
      </c>
      <c r="C2064" t="s">
        <v>259</v>
      </c>
      <c r="E2064" t="s">
        <v>77</v>
      </c>
      <c r="F2064" t="s">
        <v>78</v>
      </c>
      <c r="G2064">
        <v>2</v>
      </c>
      <c r="H2064" t="s">
        <v>260</v>
      </c>
      <c r="I2064" s="4">
        <f t="shared" si="305"/>
        <v>4</v>
      </c>
      <c r="J2064">
        <f t="shared" si="306"/>
        <v>8</v>
      </c>
      <c r="K2064">
        <v>48</v>
      </c>
      <c r="L2064">
        <v>20</v>
      </c>
      <c r="M2064" s="2">
        <v>2.4</v>
      </c>
      <c r="N2064" s="2">
        <v>2.15</v>
      </c>
      <c r="O2064">
        <v>0</v>
      </c>
      <c r="P2064">
        <v>1</v>
      </c>
      <c r="Q2064" s="4" t="str">
        <f t="shared" si="308"/>
        <v>2016/2017-Ganjil</v>
      </c>
      <c r="R2064" t="s">
        <v>260</v>
      </c>
      <c r="S2064" t="str">
        <f t="shared" si="304"/>
        <v>PA</v>
      </c>
    </row>
    <row r="2065" spans="1:19" x14ac:dyDescent="0.3">
      <c r="A2065" t="s">
        <v>12</v>
      </c>
      <c r="B2065">
        <v>2016110060</v>
      </c>
      <c r="C2065" t="s">
        <v>259</v>
      </c>
      <c r="E2065" t="s">
        <v>131</v>
      </c>
      <c r="F2065" t="s">
        <v>132</v>
      </c>
      <c r="G2065">
        <v>2</v>
      </c>
      <c r="H2065" t="s">
        <v>260</v>
      </c>
      <c r="I2065" s="4">
        <f t="shared" si="305"/>
        <v>4</v>
      </c>
      <c r="J2065">
        <f t="shared" si="306"/>
        <v>8</v>
      </c>
      <c r="K2065">
        <v>48</v>
      </c>
      <c r="L2065">
        <v>20</v>
      </c>
      <c r="M2065" s="2">
        <v>2.4</v>
      </c>
      <c r="N2065" s="2">
        <v>2.15</v>
      </c>
      <c r="O2065">
        <v>0</v>
      </c>
      <c r="P2065">
        <v>1</v>
      </c>
      <c r="Q2065" s="4" t="str">
        <f t="shared" si="308"/>
        <v>2016/2017-Ganjil</v>
      </c>
      <c r="R2065" t="s">
        <v>260</v>
      </c>
      <c r="S2065" t="str">
        <f t="shared" si="304"/>
        <v>PA</v>
      </c>
    </row>
    <row r="2066" spans="1:19" x14ac:dyDescent="0.3">
      <c r="A2066" t="s">
        <v>12</v>
      </c>
      <c r="B2066">
        <v>2016110060</v>
      </c>
      <c r="C2066" t="s">
        <v>259</v>
      </c>
      <c r="E2066" t="s">
        <v>279</v>
      </c>
      <c r="F2066" t="s">
        <v>280</v>
      </c>
      <c r="G2066">
        <v>2</v>
      </c>
      <c r="H2066" t="s">
        <v>438</v>
      </c>
      <c r="I2066" s="4">
        <f t="shared" si="305"/>
        <v>3</v>
      </c>
      <c r="J2066">
        <f t="shared" si="306"/>
        <v>6</v>
      </c>
      <c r="K2066">
        <v>38</v>
      </c>
      <c r="L2066">
        <v>20</v>
      </c>
      <c r="M2066" s="2">
        <v>1.9</v>
      </c>
      <c r="N2066" s="2">
        <v>2.15</v>
      </c>
      <c r="O2066">
        <v>0</v>
      </c>
      <c r="P2066">
        <v>2</v>
      </c>
      <c r="Q2066" s="4" t="str">
        <f t="shared" si="308"/>
        <v>2016/2017-Genap</v>
      </c>
      <c r="R2066" t="s">
        <v>535</v>
      </c>
      <c r="S2066" t="str">
        <f t="shared" si="304"/>
        <v>PA</v>
      </c>
    </row>
    <row r="2067" spans="1:19" x14ac:dyDescent="0.3">
      <c r="A2067" t="s">
        <v>12</v>
      </c>
      <c r="B2067">
        <v>2016110060</v>
      </c>
      <c r="C2067" t="s">
        <v>259</v>
      </c>
      <c r="E2067" t="s">
        <v>437</v>
      </c>
      <c r="F2067" t="s">
        <v>169</v>
      </c>
      <c r="G2067">
        <v>4</v>
      </c>
      <c r="H2067" t="s">
        <v>524</v>
      </c>
      <c r="I2067" s="4">
        <f t="shared" si="305"/>
        <v>2</v>
      </c>
      <c r="J2067">
        <f t="shared" si="306"/>
        <v>8</v>
      </c>
      <c r="K2067">
        <v>48</v>
      </c>
      <c r="L2067">
        <v>20</v>
      </c>
      <c r="M2067" s="2">
        <v>2.4</v>
      </c>
      <c r="N2067" s="2">
        <v>2.15</v>
      </c>
      <c r="O2067">
        <v>0</v>
      </c>
      <c r="P2067">
        <v>1</v>
      </c>
      <c r="Q2067" s="4" t="str">
        <f t="shared" si="308"/>
        <v>2016/2017-Ganjil</v>
      </c>
      <c r="R2067" t="s">
        <v>260</v>
      </c>
      <c r="S2067" t="str">
        <f t="shared" si="304"/>
        <v>PA</v>
      </c>
    </row>
    <row r="2068" spans="1:19" x14ac:dyDescent="0.3">
      <c r="A2068" t="s">
        <v>12</v>
      </c>
      <c r="B2068">
        <v>2016110060</v>
      </c>
      <c r="C2068" t="s">
        <v>259</v>
      </c>
      <c r="E2068" t="s">
        <v>139</v>
      </c>
      <c r="F2068" t="s">
        <v>140</v>
      </c>
      <c r="G2068">
        <v>2</v>
      </c>
      <c r="H2068" t="s">
        <v>524</v>
      </c>
      <c r="I2068" s="4">
        <f t="shared" si="305"/>
        <v>2</v>
      </c>
      <c r="J2068">
        <f t="shared" si="306"/>
        <v>4</v>
      </c>
      <c r="K2068">
        <v>38</v>
      </c>
      <c r="L2068">
        <v>20</v>
      </c>
      <c r="M2068" s="2">
        <v>1.9</v>
      </c>
      <c r="N2068" s="2">
        <v>2.15</v>
      </c>
      <c r="O2068">
        <v>0</v>
      </c>
      <c r="P2068">
        <v>2</v>
      </c>
      <c r="Q2068" s="4" t="str">
        <f t="shared" si="308"/>
        <v>2016/2017-Genap</v>
      </c>
      <c r="R2068" t="s">
        <v>535</v>
      </c>
      <c r="S2068" t="str">
        <f t="shared" si="304"/>
        <v>PA</v>
      </c>
    </row>
    <row r="2069" spans="1:19" x14ac:dyDescent="0.3">
      <c r="A2069" t="s">
        <v>12</v>
      </c>
      <c r="B2069">
        <v>2016110060</v>
      </c>
      <c r="C2069" t="s">
        <v>259</v>
      </c>
      <c r="E2069" t="s">
        <v>100</v>
      </c>
      <c r="F2069" t="s">
        <v>101</v>
      </c>
      <c r="G2069">
        <v>4</v>
      </c>
      <c r="H2069" t="s">
        <v>524</v>
      </c>
      <c r="I2069" s="4">
        <f t="shared" si="305"/>
        <v>2</v>
      </c>
      <c r="J2069">
        <f t="shared" si="306"/>
        <v>8</v>
      </c>
      <c r="K2069">
        <v>38</v>
      </c>
      <c r="L2069">
        <v>20</v>
      </c>
      <c r="M2069" s="2">
        <v>1.9</v>
      </c>
      <c r="N2069" s="2">
        <v>2.15</v>
      </c>
      <c r="O2069">
        <v>0</v>
      </c>
      <c r="P2069">
        <v>2</v>
      </c>
      <c r="Q2069" s="4" t="str">
        <f t="shared" si="308"/>
        <v>2016/2017-Genap</v>
      </c>
      <c r="R2069" t="s">
        <v>535</v>
      </c>
      <c r="S2069" t="str">
        <f t="shared" si="304"/>
        <v>PA</v>
      </c>
    </row>
    <row r="2070" spans="1:19" x14ac:dyDescent="0.3">
      <c r="A2070" t="s">
        <v>12</v>
      </c>
      <c r="B2070">
        <v>2016110060</v>
      </c>
      <c r="C2070" t="s">
        <v>259</v>
      </c>
      <c r="E2070" t="s">
        <v>151</v>
      </c>
      <c r="F2070" t="s">
        <v>152</v>
      </c>
      <c r="G2070">
        <v>2</v>
      </c>
      <c r="H2070" t="s">
        <v>524</v>
      </c>
      <c r="I2070" s="4">
        <f t="shared" si="305"/>
        <v>2</v>
      </c>
      <c r="J2070">
        <f t="shared" si="306"/>
        <v>4</v>
      </c>
      <c r="K2070">
        <v>48</v>
      </c>
      <c r="L2070">
        <v>20</v>
      </c>
      <c r="M2070" s="2">
        <v>2.4</v>
      </c>
      <c r="N2070" s="2">
        <v>2.15</v>
      </c>
      <c r="O2070">
        <v>0</v>
      </c>
      <c r="P2070">
        <v>1</v>
      </c>
      <c r="Q2070" s="4" t="str">
        <f t="shared" si="308"/>
        <v>2016/2017-Ganjil</v>
      </c>
      <c r="R2070" t="s">
        <v>260</v>
      </c>
      <c r="S2070" t="str">
        <f t="shared" si="304"/>
        <v>PA</v>
      </c>
    </row>
    <row r="2071" spans="1:19" x14ac:dyDescent="0.3">
      <c r="A2071" t="s">
        <v>12</v>
      </c>
      <c r="B2071">
        <v>2016110060</v>
      </c>
      <c r="C2071" t="s">
        <v>259</v>
      </c>
      <c r="E2071" t="s">
        <v>90</v>
      </c>
      <c r="F2071" t="s">
        <v>91</v>
      </c>
      <c r="G2071">
        <v>2</v>
      </c>
      <c r="H2071" t="s">
        <v>524</v>
      </c>
      <c r="I2071" s="4">
        <f t="shared" si="305"/>
        <v>2</v>
      </c>
      <c r="J2071">
        <f t="shared" si="306"/>
        <v>4</v>
      </c>
      <c r="K2071">
        <v>48</v>
      </c>
      <c r="L2071">
        <v>20</v>
      </c>
      <c r="M2071" s="2">
        <v>2.4</v>
      </c>
      <c r="N2071" s="2">
        <v>2.15</v>
      </c>
      <c r="O2071">
        <v>0</v>
      </c>
      <c r="P2071">
        <v>1</v>
      </c>
      <c r="Q2071" s="4" t="str">
        <f t="shared" si="308"/>
        <v>2016/2017-Ganjil</v>
      </c>
      <c r="R2071" t="s">
        <v>260</v>
      </c>
      <c r="S2071" t="str">
        <f t="shared" si="304"/>
        <v>PA</v>
      </c>
    </row>
    <row r="2072" spans="1:19" x14ac:dyDescent="0.3">
      <c r="A2072" t="s">
        <v>12</v>
      </c>
      <c r="B2072">
        <v>2016110060</v>
      </c>
      <c r="C2072" t="s">
        <v>259</v>
      </c>
      <c r="E2072" t="s">
        <v>97</v>
      </c>
      <c r="F2072" t="s">
        <v>98</v>
      </c>
      <c r="G2072">
        <v>4</v>
      </c>
      <c r="H2072" t="s">
        <v>524</v>
      </c>
      <c r="I2072" s="4">
        <f t="shared" si="305"/>
        <v>2</v>
      </c>
      <c r="J2072">
        <f t="shared" si="306"/>
        <v>8</v>
      </c>
      <c r="K2072">
        <v>38</v>
      </c>
      <c r="L2072">
        <v>20</v>
      </c>
      <c r="M2072" s="2">
        <v>1.9</v>
      </c>
      <c r="N2072" s="2">
        <v>2.15</v>
      </c>
      <c r="O2072">
        <v>0</v>
      </c>
      <c r="P2072">
        <v>2</v>
      </c>
      <c r="Q2072" s="4" t="str">
        <f t="shared" si="308"/>
        <v>2016/2017-Genap</v>
      </c>
      <c r="R2072" t="s">
        <v>535</v>
      </c>
      <c r="S2072" t="str">
        <f t="shared" si="304"/>
        <v>PA</v>
      </c>
    </row>
    <row r="2073" spans="1:19" x14ac:dyDescent="0.3">
      <c r="A2073" t="s">
        <v>12</v>
      </c>
      <c r="B2073">
        <v>2016110060</v>
      </c>
      <c r="C2073" t="s">
        <v>259</v>
      </c>
      <c r="E2073" t="s">
        <v>290</v>
      </c>
      <c r="F2073" t="s">
        <v>327</v>
      </c>
      <c r="G2073">
        <v>4</v>
      </c>
      <c r="H2073" t="s">
        <v>524</v>
      </c>
      <c r="I2073" s="4">
        <f t="shared" si="305"/>
        <v>2</v>
      </c>
      <c r="J2073">
        <f t="shared" si="306"/>
        <v>8</v>
      </c>
      <c r="K2073">
        <v>38</v>
      </c>
      <c r="L2073">
        <v>20</v>
      </c>
      <c r="M2073" s="2">
        <v>1.9</v>
      </c>
      <c r="N2073" s="2">
        <v>2.15</v>
      </c>
      <c r="O2073">
        <v>0</v>
      </c>
      <c r="P2073">
        <v>2</v>
      </c>
      <c r="Q2073" s="4" t="str">
        <f t="shared" si="308"/>
        <v>2016/2017-Genap</v>
      </c>
      <c r="R2073" t="s">
        <v>535</v>
      </c>
      <c r="S2073" t="str">
        <f t="shared" si="304"/>
        <v>PA</v>
      </c>
    </row>
    <row r="2074" spans="1:19" x14ac:dyDescent="0.3">
      <c r="A2074" t="s">
        <v>12</v>
      </c>
      <c r="B2074">
        <v>2016110060</v>
      </c>
      <c r="C2074" t="s">
        <v>259</v>
      </c>
      <c r="E2074" t="s">
        <v>142</v>
      </c>
      <c r="F2074" t="s">
        <v>143</v>
      </c>
      <c r="G2074">
        <v>2</v>
      </c>
      <c r="H2074" t="s">
        <v>524</v>
      </c>
      <c r="I2074" s="4">
        <f t="shared" si="305"/>
        <v>2</v>
      </c>
      <c r="J2074">
        <f t="shared" si="306"/>
        <v>4</v>
      </c>
      <c r="K2074">
        <v>48</v>
      </c>
      <c r="L2074">
        <v>20</v>
      </c>
      <c r="M2074" s="2">
        <v>2.4</v>
      </c>
      <c r="N2074" s="2">
        <v>2.15</v>
      </c>
      <c r="O2074">
        <v>0</v>
      </c>
      <c r="P2074">
        <v>1</v>
      </c>
      <c r="Q2074" s="4" t="str">
        <f t="shared" si="308"/>
        <v>2016/2017-Ganjil</v>
      </c>
      <c r="R2074" t="s">
        <v>260</v>
      </c>
      <c r="S2074" t="str">
        <f t="shared" si="304"/>
        <v>PA</v>
      </c>
    </row>
    <row r="2075" spans="1:19" x14ac:dyDescent="0.3">
      <c r="A2075" t="s">
        <v>12</v>
      </c>
      <c r="B2075">
        <v>2016110060</v>
      </c>
      <c r="C2075" t="s">
        <v>259</v>
      </c>
      <c r="E2075" t="s">
        <v>122</v>
      </c>
      <c r="F2075" t="s">
        <v>123</v>
      </c>
      <c r="G2075">
        <v>4</v>
      </c>
      <c r="H2075" t="s">
        <v>535</v>
      </c>
      <c r="I2075" s="4">
        <f t="shared" si="305"/>
        <v>1</v>
      </c>
      <c r="J2075">
        <f t="shared" si="306"/>
        <v>4</v>
      </c>
      <c r="K2075">
        <v>48</v>
      </c>
      <c r="L2075">
        <v>20</v>
      </c>
      <c r="M2075" s="2">
        <v>2.4</v>
      </c>
      <c r="N2075" s="2">
        <v>2.15</v>
      </c>
      <c r="O2075">
        <v>0</v>
      </c>
      <c r="P2075">
        <v>1</v>
      </c>
      <c r="Q2075" s="4" t="str">
        <f t="shared" si="308"/>
        <v>2016/2017-Ganjil</v>
      </c>
      <c r="R2075" t="s">
        <v>260</v>
      </c>
      <c r="S2075" t="str">
        <f t="shared" si="304"/>
        <v>FA</v>
      </c>
    </row>
    <row r="2076" spans="1:19" x14ac:dyDescent="0.3">
      <c r="A2076" t="s">
        <v>12</v>
      </c>
      <c r="B2076">
        <v>2016110060</v>
      </c>
      <c r="C2076" t="s">
        <v>259</v>
      </c>
      <c r="E2076" t="s">
        <v>103</v>
      </c>
      <c r="F2076" t="s">
        <v>104</v>
      </c>
      <c r="G2076">
        <v>4</v>
      </c>
      <c r="H2076" t="s">
        <v>535</v>
      </c>
      <c r="I2076" s="4">
        <f t="shared" si="305"/>
        <v>1</v>
      </c>
      <c r="J2076">
        <f t="shared" si="306"/>
        <v>4</v>
      </c>
      <c r="K2076">
        <v>38</v>
      </c>
      <c r="L2076">
        <v>20</v>
      </c>
      <c r="M2076" s="2">
        <v>1.9</v>
      </c>
      <c r="N2076" s="2">
        <v>2.15</v>
      </c>
      <c r="O2076">
        <v>0</v>
      </c>
      <c r="P2076">
        <v>2</v>
      </c>
      <c r="Q2076" s="4" t="str">
        <f t="shared" si="308"/>
        <v>2016/2017-Genap</v>
      </c>
      <c r="R2076" t="s">
        <v>535</v>
      </c>
      <c r="S2076" t="str">
        <f t="shared" si="304"/>
        <v>FA</v>
      </c>
    </row>
    <row r="2077" spans="1:19" x14ac:dyDescent="0.3">
      <c r="A2077" t="s">
        <v>12</v>
      </c>
      <c r="B2077">
        <v>2016110061</v>
      </c>
      <c r="C2077" t="s">
        <v>308</v>
      </c>
      <c r="E2077" t="s">
        <v>77</v>
      </c>
      <c r="F2077" t="s">
        <v>78</v>
      </c>
      <c r="G2077">
        <v>2</v>
      </c>
      <c r="H2077" t="s">
        <v>260</v>
      </c>
      <c r="I2077" s="4">
        <f t="shared" si="305"/>
        <v>4</v>
      </c>
      <c r="J2077">
        <f t="shared" si="306"/>
        <v>8</v>
      </c>
      <c r="K2077">
        <v>52</v>
      </c>
      <c r="L2077">
        <v>20</v>
      </c>
      <c r="M2077" s="2">
        <v>2.6</v>
      </c>
      <c r="N2077" s="2">
        <v>3.27</v>
      </c>
      <c r="O2077">
        <v>0</v>
      </c>
      <c r="P2077">
        <v>1</v>
      </c>
      <c r="Q2077" s="4" t="str">
        <f t="shared" si="308"/>
        <v>2016/2017-Ganjil</v>
      </c>
      <c r="R2077" t="s">
        <v>260</v>
      </c>
      <c r="S2077" t="str">
        <f t="shared" si="304"/>
        <v>PA</v>
      </c>
    </row>
    <row r="2078" spans="1:19" x14ac:dyDescent="0.3">
      <c r="A2078" t="s">
        <v>12</v>
      </c>
      <c r="B2078">
        <v>2016110061</v>
      </c>
      <c r="C2078" t="s">
        <v>308</v>
      </c>
      <c r="E2078" t="s">
        <v>293</v>
      </c>
      <c r="F2078" t="s">
        <v>294</v>
      </c>
      <c r="G2078">
        <v>2</v>
      </c>
      <c r="H2078" t="s">
        <v>260</v>
      </c>
      <c r="I2078" s="4">
        <f t="shared" si="305"/>
        <v>4</v>
      </c>
      <c r="J2078">
        <f t="shared" si="306"/>
        <v>8</v>
      </c>
      <c r="K2078">
        <v>78</v>
      </c>
      <c r="L2078">
        <v>24</v>
      </c>
      <c r="M2078" s="2">
        <v>3.25</v>
      </c>
      <c r="N2078" s="2">
        <v>3.27</v>
      </c>
      <c r="O2078">
        <v>0</v>
      </c>
      <c r="P2078">
        <v>5</v>
      </c>
      <c r="Q2078" s="4" t="str">
        <f t="shared" si="308"/>
        <v>2018/2019-Ganjil</v>
      </c>
      <c r="R2078" t="s">
        <v>260</v>
      </c>
      <c r="S2078" t="str">
        <f t="shared" si="304"/>
        <v>PA</v>
      </c>
    </row>
    <row r="2079" spans="1:19" x14ac:dyDescent="0.3">
      <c r="A2079" t="s">
        <v>12</v>
      </c>
      <c r="B2079">
        <v>2016110061</v>
      </c>
      <c r="C2079" t="s">
        <v>308</v>
      </c>
      <c r="E2079" t="s">
        <v>316</v>
      </c>
      <c r="F2079" t="s">
        <v>317</v>
      </c>
      <c r="G2079">
        <v>2</v>
      </c>
      <c r="H2079" t="s">
        <v>260</v>
      </c>
      <c r="I2079" s="4">
        <f t="shared" si="305"/>
        <v>4</v>
      </c>
      <c r="J2079">
        <f t="shared" si="306"/>
        <v>8</v>
      </c>
      <c r="K2079">
        <v>68</v>
      </c>
      <c r="L2079">
        <v>22</v>
      </c>
      <c r="M2079" s="2">
        <v>3.09</v>
      </c>
      <c r="N2079" s="2">
        <v>3.27</v>
      </c>
      <c r="O2079">
        <v>0</v>
      </c>
      <c r="P2079">
        <v>7</v>
      </c>
      <c r="Q2079" s="4" t="str">
        <f t="shared" si="308"/>
        <v>2019/2020-Ganjil</v>
      </c>
      <c r="R2079" t="s">
        <v>596</v>
      </c>
      <c r="S2079" t="str">
        <f t="shared" si="304"/>
        <v>PA</v>
      </c>
    </row>
    <row r="2080" spans="1:19" x14ac:dyDescent="0.3">
      <c r="A2080" t="s">
        <v>12</v>
      </c>
      <c r="B2080">
        <v>2016110061</v>
      </c>
      <c r="C2080" t="s">
        <v>308</v>
      </c>
      <c r="E2080" t="s">
        <v>236</v>
      </c>
      <c r="F2080" t="s">
        <v>237</v>
      </c>
      <c r="G2080">
        <v>2</v>
      </c>
      <c r="H2080" t="s">
        <v>260</v>
      </c>
      <c r="I2080" s="4">
        <f t="shared" si="305"/>
        <v>4</v>
      </c>
      <c r="J2080">
        <f t="shared" si="306"/>
        <v>8</v>
      </c>
      <c r="K2080">
        <v>78</v>
      </c>
      <c r="L2080">
        <v>24</v>
      </c>
      <c r="M2080" s="2">
        <v>3.25</v>
      </c>
      <c r="N2080" s="2">
        <v>3.27</v>
      </c>
      <c r="O2080">
        <v>0</v>
      </c>
      <c r="P2080">
        <v>5</v>
      </c>
      <c r="Q2080" s="4" t="str">
        <f t="shared" si="308"/>
        <v>2018/2019-Ganjil</v>
      </c>
      <c r="R2080" t="s">
        <v>260</v>
      </c>
      <c r="S2080" t="str">
        <f t="shared" si="304"/>
        <v>PA</v>
      </c>
    </row>
    <row r="2081" spans="1:19" x14ac:dyDescent="0.3">
      <c r="A2081" t="s">
        <v>12</v>
      </c>
      <c r="B2081">
        <v>2016110061</v>
      </c>
      <c r="C2081" t="s">
        <v>308</v>
      </c>
      <c r="E2081" t="s">
        <v>170</v>
      </c>
      <c r="F2081" t="s">
        <v>171</v>
      </c>
      <c r="G2081">
        <v>4</v>
      </c>
      <c r="H2081" t="s">
        <v>260</v>
      </c>
      <c r="I2081" s="4">
        <f t="shared" si="305"/>
        <v>4</v>
      </c>
      <c r="J2081">
        <f t="shared" si="306"/>
        <v>16</v>
      </c>
      <c r="K2081">
        <v>70</v>
      </c>
      <c r="L2081">
        <v>22</v>
      </c>
      <c r="M2081" s="2">
        <v>3.18</v>
      </c>
      <c r="N2081" s="2">
        <v>3.27</v>
      </c>
      <c r="O2081">
        <v>0</v>
      </c>
      <c r="P2081">
        <v>3</v>
      </c>
      <c r="Q2081" s="4" t="str">
        <f t="shared" si="308"/>
        <v>2017/2018-Ganjil</v>
      </c>
      <c r="R2081" t="s">
        <v>260</v>
      </c>
      <c r="S2081" t="str">
        <f t="shared" si="304"/>
        <v>PA</v>
      </c>
    </row>
    <row r="2082" spans="1:19" x14ac:dyDescent="0.3">
      <c r="A2082" t="s">
        <v>12</v>
      </c>
      <c r="B2082">
        <v>2016110061</v>
      </c>
      <c r="C2082" t="s">
        <v>308</v>
      </c>
      <c r="E2082" t="s">
        <v>344</v>
      </c>
      <c r="F2082" t="s">
        <v>345</v>
      </c>
      <c r="G2082">
        <v>2</v>
      </c>
      <c r="H2082" t="s">
        <v>260</v>
      </c>
      <c r="I2082" s="4">
        <f t="shared" si="305"/>
        <v>4</v>
      </c>
      <c r="J2082">
        <f t="shared" si="306"/>
        <v>8</v>
      </c>
      <c r="K2082">
        <v>68</v>
      </c>
      <c r="L2082">
        <v>22</v>
      </c>
      <c r="M2082" s="2">
        <v>3.09</v>
      </c>
      <c r="N2082" s="2">
        <v>3.27</v>
      </c>
      <c r="O2082">
        <v>0</v>
      </c>
      <c r="P2082">
        <v>7</v>
      </c>
      <c r="Q2082" s="4" t="str">
        <f t="shared" si="308"/>
        <v>2019/2020-Ganjil</v>
      </c>
      <c r="R2082" t="s">
        <v>596</v>
      </c>
      <c r="S2082" t="str">
        <f t="shared" si="304"/>
        <v>PA</v>
      </c>
    </row>
    <row r="2083" spans="1:19" x14ac:dyDescent="0.3">
      <c r="A2083" t="s">
        <v>12</v>
      </c>
      <c r="B2083">
        <v>2016110061</v>
      </c>
      <c r="C2083" t="s">
        <v>308</v>
      </c>
      <c r="E2083" t="s">
        <v>382</v>
      </c>
      <c r="F2083" t="s">
        <v>383</v>
      </c>
      <c r="G2083">
        <v>4</v>
      </c>
      <c r="H2083" t="s">
        <v>260</v>
      </c>
      <c r="I2083" s="4">
        <f t="shared" si="305"/>
        <v>4</v>
      </c>
      <c r="J2083">
        <f t="shared" si="306"/>
        <v>16</v>
      </c>
      <c r="K2083">
        <v>78</v>
      </c>
      <c r="L2083">
        <v>24</v>
      </c>
      <c r="M2083" s="2">
        <v>3.25</v>
      </c>
      <c r="N2083" s="2">
        <v>3.27</v>
      </c>
      <c r="O2083">
        <v>0</v>
      </c>
      <c r="P2083">
        <v>5</v>
      </c>
      <c r="Q2083" s="4" t="str">
        <f t="shared" si="308"/>
        <v>2018/2019-Ganjil</v>
      </c>
      <c r="R2083" t="s">
        <v>260</v>
      </c>
      <c r="S2083" t="str">
        <f t="shared" si="304"/>
        <v>PA</v>
      </c>
    </row>
    <row r="2084" spans="1:19" x14ac:dyDescent="0.3">
      <c r="A2084" t="s">
        <v>12</v>
      </c>
      <c r="B2084">
        <v>2016110061</v>
      </c>
      <c r="C2084" t="s">
        <v>308</v>
      </c>
      <c r="E2084" t="s">
        <v>192</v>
      </c>
      <c r="F2084" t="s">
        <v>106</v>
      </c>
      <c r="G2084">
        <v>2</v>
      </c>
      <c r="H2084" t="s">
        <v>260</v>
      </c>
      <c r="I2084" s="4">
        <f t="shared" si="305"/>
        <v>4</v>
      </c>
      <c r="J2084">
        <f t="shared" si="306"/>
        <v>8</v>
      </c>
      <c r="K2084">
        <v>70</v>
      </c>
      <c r="L2084">
        <v>22</v>
      </c>
      <c r="M2084" s="2">
        <v>3.18</v>
      </c>
      <c r="N2084" s="2">
        <v>3.27</v>
      </c>
      <c r="O2084">
        <v>0</v>
      </c>
      <c r="P2084">
        <v>3</v>
      </c>
      <c r="Q2084" s="4" t="str">
        <f t="shared" si="308"/>
        <v>2017/2018-Ganjil</v>
      </c>
      <c r="R2084" t="s">
        <v>260</v>
      </c>
      <c r="S2084" t="str">
        <f t="shared" si="304"/>
        <v>PA</v>
      </c>
    </row>
    <row r="2085" spans="1:19" x14ac:dyDescent="0.3">
      <c r="A2085" t="s">
        <v>12</v>
      </c>
      <c r="B2085">
        <v>2016110061</v>
      </c>
      <c r="C2085" t="s">
        <v>308</v>
      </c>
      <c r="E2085" t="s">
        <v>309</v>
      </c>
      <c r="F2085" t="s">
        <v>310</v>
      </c>
      <c r="G2085">
        <v>4</v>
      </c>
      <c r="H2085" t="s">
        <v>260</v>
      </c>
      <c r="I2085" s="4">
        <f t="shared" si="305"/>
        <v>4</v>
      </c>
      <c r="J2085">
        <f t="shared" si="306"/>
        <v>16</v>
      </c>
      <c r="K2085">
        <v>76</v>
      </c>
      <c r="L2085">
        <v>24</v>
      </c>
      <c r="M2085" s="2">
        <v>3.17</v>
      </c>
      <c r="N2085" s="2">
        <v>3.27</v>
      </c>
      <c r="O2085">
        <v>0</v>
      </c>
      <c r="P2085">
        <v>4</v>
      </c>
      <c r="Q2085" s="4" t="str">
        <f t="shared" si="308"/>
        <v>2017/2018-Genap</v>
      </c>
      <c r="R2085" t="s">
        <v>260</v>
      </c>
      <c r="S2085" t="str">
        <f t="shared" si="304"/>
        <v>PA</v>
      </c>
    </row>
    <row r="2086" spans="1:19" x14ac:dyDescent="0.3">
      <c r="A2086" t="s">
        <v>12</v>
      </c>
      <c r="B2086">
        <v>2016110061</v>
      </c>
      <c r="C2086" t="s">
        <v>308</v>
      </c>
      <c r="E2086" t="s">
        <v>131</v>
      </c>
      <c r="F2086" t="s">
        <v>132</v>
      </c>
      <c r="G2086">
        <v>2</v>
      </c>
      <c r="H2086" t="s">
        <v>260</v>
      </c>
      <c r="I2086" s="4">
        <f t="shared" si="305"/>
        <v>4</v>
      </c>
      <c r="J2086">
        <f t="shared" si="306"/>
        <v>8</v>
      </c>
      <c r="K2086">
        <v>52</v>
      </c>
      <c r="L2086">
        <v>20</v>
      </c>
      <c r="M2086" s="2">
        <v>2.6</v>
      </c>
      <c r="N2086" s="2">
        <v>3.27</v>
      </c>
      <c r="O2086">
        <v>0</v>
      </c>
      <c r="P2086">
        <v>1</v>
      </c>
      <c r="Q2086" s="4" t="str">
        <f t="shared" si="308"/>
        <v>2016/2017-Ganjil</v>
      </c>
      <c r="R2086" t="s">
        <v>260</v>
      </c>
      <c r="S2086" t="str">
        <f t="shared" si="304"/>
        <v>PA</v>
      </c>
    </row>
    <row r="2087" spans="1:19" x14ac:dyDescent="0.3">
      <c r="A2087" t="s">
        <v>12</v>
      </c>
      <c r="B2087">
        <v>2016110061</v>
      </c>
      <c r="C2087" t="s">
        <v>308</v>
      </c>
      <c r="E2087" t="s">
        <v>273</v>
      </c>
      <c r="F2087" t="s">
        <v>274</v>
      </c>
      <c r="G2087">
        <v>2</v>
      </c>
      <c r="H2087" t="s">
        <v>260</v>
      </c>
      <c r="I2087" s="4">
        <f t="shared" si="305"/>
        <v>4</v>
      </c>
      <c r="J2087">
        <f t="shared" si="306"/>
        <v>8</v>
      </c>
      <c r="K2087">
        <v>78</v>
      </c>
      <c r="L2087">
        <v>24</v>
      </c>
      <c r="M2087" s="2">
        <v>3.25</v>
      </c>
      <c r="N2087" s="2">
        <v>3.27</v>
      </c>
      <c r="O2087">
        <v>0</v>
      </c>
      <c r="P2087">
        <v>6</v>
      </c>
      <c r="Q2087" s="4" t="str">
        <f t="shared" si="308"/>
        <v>2018/2019-Genap</v>
      </c>
      <c r="R2087" t="s">
        <v>260</v>
      </c>
      <c r="S2087" t="str">
        <f t="shared" si="304"/>
        <v>PA</v>
      </c>
    </row>
    <row r="2088" spans="1:19" x14ac:dyDescent="0.3">
      <c r="A2088" t="s">
        <v>12</v>
      </c>
      <c r="B2088">
        <v>2016110061</v>
      </c>
      <c r="C2088" t="s">
        <v>308</v>
      </c>
      <c r="E2088" t="s">
        <v>276</v>
      </c>
      <c r="F2088" t="s">
        <v>137</v>
      </c>
      <c r="G2088">
        <v>4</v>
      </c>
      <c r="H2088" t="s">
        <v>260</v>
      </c>
      <c r="I2088" s="4">
        <f t="shared" si="305"/>
        <v>4</v>
      </c>
      <c r="J2088">
        <f t="shared" si="306"/>
        <v>16</v>
      </c>
      <c r="K2088">
        <v>76</v>
      </c>
      <c r="L2088">
        <v>24</v>
      </c>
      <c r="M2088" s="2">
        <v>3.17</v>
      </c>
      <c r="N2088" s="2">
        <v>3.27</v>
      </c>
      <c r="O2088">
        <v>0</v>
      </c>
      <c r="P2088">
        <v>4</v>
      </c>
      <c r="Q2088" s="4" t="str">
        <f t="shared" si="308"/>
        <v>2017/2018-Genap</v>
      </c>
      <c r="R2088" t="s">
        <v>260</v>
      </c>
      <c r="S2088" t="str">
        <f t="shared" si="304"/>
        <v>PA</v>
      </c>
    </row>
    <row r="2089" spans="1:19" x14ac:dyDescent="0.3">
      <c r="A2089" t="s">
        <v>12</v>
      </c>
      <c r="B2089">
        <v>2016110061</v>
      </c>
      <c r="C2089" t="s">
        <v>308</v>
      </c>
      <c r="E2089" t="s">
        <v>374</v>
      </c>
      <c r="F2089" t="s">
        <v>375</v>
      </c>
      <c r="G2089">
        <v>2</v>
      </c>
      <c r="H2089" t="s">
        <v>260</v>
      </c>
      <c r="I2089" s="4">
        <f t="shared" si="305"/>
        <v>4</v>
      </c>
      <c r="J2089">
        <f t="shared" si="306"/>
        <v>8</v>
      </c>
      <c r="K2089">
        <v>76</v>
      </c>
      <c r="L2089">
        <v>24</v>
      </c>
      <c r="M2089" s="2">
        <v>3.17</v>
      </c>
      <c r="N2089" s="2">
        <v>3.27</v>
      </c>
      <c r="O2089">
        <v>0</v>
      </c>
      <c r="P2089">
        <v>4</v>
      </c>
      <c r="Q2089" s="4" t="str">
        <f t="shared" si="308"/>
        <v>2017/2018-Genap</v>
      </c>
      <c r="R2089" t="s">
        <v>260</v>
      </c>
      <c r="S2089" t="str">
        <f t="shared" si="304"/>
        <v>PA</v>
      </c>
    </row>
    <row r="2090" spans="1:19" x14ac:dyDescent="0.3">
      <c r="A2090" t="s">
        <v>12</v>
      </c>
      <c r="B2090">
        <v>2016110061</v>
      </c>
      <c r="C2090" t="s">
        <v>308</v>
      </c>
      <c r="E2090" t="s">
        <v>297</v>
      </c>
      <c r="F2090" t="s">
        <v>342</v>
      </c>
      <c r="G2090">
        <v>4</v>
      </c>
      <c r="H2090" t="s">
        <v>260</v>
      </c>
      <c r="I2090" s="4">
        <f t="shared" si="305"/>
        <v>4</v>
      </c>
      <c r="J2090">
        <f t="shared" si="306"/>
        <v>16</v>
      </c>
      <c r="K2090">
        <v>78</v>
      </c>
      <c r="L2090">
        <v>24</v>
      </c>
      <c r="M2090" s="2">
        <v>3.25</v>
      </c>
      <c r="N2090" s="2">
        <v>3.27</v>
      </c>
      <c r="O2090">
        <v>0</v>
      </c>
      <c r="P2090">
        <v>6</v>
      </c>
      <c r="Q2090" s="4" t="str">
        <f t="shared" si="308"/>
        <v>2018/2019-Genap</v>
      </c>
      <c r="R2090" t="s">
        <v>260</v>
      </c>
      <c r="S2090" t="str">
        <f t="shared" si="304"/>
        <v>PA</v>
      </c>
    </row>
    <row r="2091" spans="1:19" x14ac:dyDescent="0.3">
      <c r="A2091" t="s">
        <v>12</v>
      </c>
      <c r="B2091">
        <v>2016110061</v>
      </c>
      <c r="C2091" t="s">
        <v>308</v>
      </c>
      <c r="E2091" t="s">
        <v>334</v>
      </c>
      <c r="F2091" t="s">
        <v>335</v>
      </c>
      <c r="G2091">
        <v>2</v>
      </c>
      <c r="H2091" t="s">
        <v>260</v>
      </c>
      <c r="I2091" s="4">
        <f t="shared" si="305"/>
        <v>4</v>
      </c>
      <c r="J2091">
        <f t="shared" si="306"/>
        <v>8</v>
      </c>
      <c r="K2091">
        <v>78</v>
      </c>
      <c r="L2091">
        <v>24</v>
      </c>
      <c r="M2091" s="2">
        <v>3.25</v>
      </c>
      <c r="N2091" s="2">
        <v>3.27</v>
      </c>
      <c r="O2091">
        <v>0</v>
      </c>
      <c r="P2091">
        <v>5</v>
      </c>
      <c r="Q2091" s="4" t="str">
        <f t="shared" si="308"/>
        <v>2018/2019-Ganjil</v>
      </c>
      <c r="R2091" t="s">
        <v>260</v>
      </c>
      <c r="S2091" t="str">
        <f t="shared" si="304"/>
        <v>PA</v>
      </c>
    </row>
    <row r="2092" spans="1:19" x14ac:dyDescent="0.3">
      <c r="A2092" t="s">
        <v>12</v>
      </c>
      <c r="B2092">
        <v>2016110061</v>
      </c>
      <c r="C2092" t="s">
        <v>308</v>
      </c>
      <c r="E2092" t="s">
        <v>290</v>
      </c>
      <c r="F2092" t="s">
        <v>327</v>
      </c>
      <c r="G2092">
        <v>4</v>
      </c>
      <c r="H2092" t="s">
        <v>260</v>
      </c>
      <c r="I2092" s="4">
        <f t="shared" si="305"/>
        <v>4</v>
      </c>
      <c r="J2092">
        <f t="shared" si="306"/>
        <v>16</v>
      </c>
      <c r="K2092">
        <v>56</v>
      </c>
      <c r="L2092">
        <v>20</v>
      </c>
      <c r="M2092" s="2">
        <v>2.8</v>
      </c>
      <c r="N2092" s="2">
        <v>3.27</v>
      </c>
      <c r="O2092">
        <v>0</v>
      </c>
      <c r="P2092">
        <v>2</v>
      </c>
      <c r="Q2092" s="4" t="str">
        <f t="shared" ref="Q2092:Q2123" si="309">IF(P2092=1,"2016/2017-Ganjil",IF(P2092=2,"2016/2017-Genap",IF(P2092=3,"2017/2018-Ganjil",IF(P2092=4,"2017/2018-Genap",IF(P2092=5,"2018/2019-Ganjil",IF(P2092=6,"2018/2019-Genap",IF(P2092=7,"2019/2020-Ganjil",IF(P2092=8,"2019/2020-Genap",IF(P2092=9,"2020/2021-Ganjil","2020/2021-Genap")))))))))</f>
        <v>2016/2017-Genap</v>
      </c>
      <c r="R2092" t="s">
        <v>260</v>
      </c>
      <c r="S2092" t="str">
        <f t="shared" si="304"/>
        <v>PA</v>
      </c>
    </row>
    <row r="2093" spans="1:19" x14ac:dyDescent="0.3">
      <c r="A2093" t="s">
        <v>12</v>
      </c>
      <c r="B2093">
        <v>2016110061</v>
      </c>
      <c r="C2093" t="s">
        <v>308</v>
      </c>
      <c r="E2093" t="s">
        <v>360</v>
      </c>
      <c r="F2093" t="s">
        <v>361</v>
      </c>
      <c r="G2093">
        <v>2</v>
      </c>
      <c r="H2093" t="s">
        <v>260</v>
      </c>
      <c r="I2093" s="4">
        <f t="shared" si="305"/>
        <v>4</v>
      </c>
      <c r="J2093">
        <f t="shared" si="306"/>
        <v>8</v>
      </c>
      <c r="K2093">
        <v>78</v>
      </c>
      <c r="L2093">
        <v>24</v>
      </c>
      <c r="M2093" s="2">
        <v>3.25</v>
      </c>
      <c r="N2093" s="2">
        <v>3.27</v>
      </c>
      <c r="O2093">
        <v>0</v>
      </c>
      <c r="P2093">
        <v>6</v>
      </c>
      <c r="Q2093" s="4" t="str">
        <f t="shared" si="309"/>
        <v>2018/2019-Genap</v>
      </c>
      <c r="R2093" t="s">
        <v>260</v>
      </c>
      <c r="S2093" t="str">
        <f t="shared" ref="S2093:S2150" si="310">IF(OR(H2093="A",H2093="B",H2093="C"),"PA","FA")</f>
        <v>PA</v>
      </c>
    </row>
    <row r="2094" spans="1:19" x14ac:dyDescent="0.3">
      <c r="A2094" t="s">
        <v>12</v>
      </c>
      <c r="B2094">
        <v>2016110061</v>
      </c>
      <c r="C2094" t="s">
        <v>308</v>
      </c>
      <c r="E2094" t="s">
        <v>283</v>
      </c>
      <c r="F2094" t="s">
        <v>284</v>
      </c>
      <c r="G2094">
        <v>2</v>
      </c>
      <c r="H2094" t="s">
        <v>260</v>
      </c>
      <c r="I2094" s="4">
        <f t="shared" ref="I2094:I2150" si="311">IF(H2094="A",4,IF(H2094="B",3,IF(H2094="C",2,IF(H2094="D",1,0))))</f>
        <v>4</v>
      </c>
      <c r="J2094">
        <f t="shared" ref="J2094:J2150" si="312">G2094*I2094</f>
        <v>8</v>
      </c>
      <c r="K2094">
        <v>68</v>
      </c>
      <c r="L2094">
        <v>22</v>
      </c>
      <c r="M2094" s="2">
        <v>3.09</v>
      </c>
      <c r="N2094" s="2">
        <v>3.27</v>
      </c>
      <c r="O2094">
        <v>0</v>
      </c>
      <c r="P2094">
        <v>7</v>
      </c>
      <c r="Q2094" s="4" t="str">
        <f t="shared" si="309"/>
        <v>2019/2020-Ganjil</v>
      </c>
      <c r="R2094" t="s">
        <v>596</v>
      </c>
      <c r="S2094" t="str">
        <f t="shared" si="310"/>
        <v>PA</v>
      </c>
    </row>
    <row r="2095" spans="1:19" x14ac:dyDescent="0.3">
      <c r="A2095" t="s">
        <v>12</v>
      </c>
      <c r="B2095">
        <v>2016110061</v>
      </c>
      <c r="C2095" t="s">
        <v>308</v>
      </c>
      <c r="E2095" t="s">
        <v>190</v>
      </c>
      <c r="F2095" t="s">
        <v>191</v>
      </c>
      <c r="G2095">
        <v>4</v>
      </c>
      <c r="H2095" t="s">
        <v>260</v>
      </c>
      <c r="I2095" s="4">
        <f t="shared" si="311"/>
        <v>4</v>
      </c>
      <c r="J2095">
        <f t="shared" si="312"/>
        <v>16</v>
      </c>
      <c r="K2095">
        <v>70</v>
      </c>
      <c r="L2095">
        <v>22</v>
      </c>
      <c r="M2095" s="2">
        <v>3.18</v>
      </c>
      <c r="N2095" s="2">
        <v>3.27</v>
      </c>
      <c r="O2095">
        <v>0</v>
      </c>
      <c r="P2095">
        <v>3</v>
      </c>
      <c r="Q2095" s="4" t="str">
        <f t="shared" si="309"/>
        <v>2017/2018-Ganjil</v>
      </c>
      <c r="R2095" t="s">
        <v>260</v>
      </c>
      <c r="S2095" t="str">
        <f t="shared" si="310"/>
        <v>PA</v>
      </c>
    </row>
    <row r="2096" spans="1:19" x14ac:dyDescent="0.3">
      <c r="A2096" t="s">
        <v>12</v>
      </c>
      <c r="B2096">
        <v>2016110061</v>
      </c>
      <c r="C2096" t="s">
        <v>308</v>
      </c>
      <c r="E2096" t="s">
        <v>448</v>
      </c>
      <c r="F2096" t="s">
        <v>231</v>
      </c>
      <c r="G2096">
        <v>0</v>
      </c>
      <c r="H2096" t="s">
        <v>438</v>
      </c>
      <c r="I2096" s="4">
        <f t="shared" si="311"/>
        <v>3</v>
      </c>
      <c r="J2096">
        <f t="shared" si="312"/>
        <v>0</v>
      </c>
      <c r="K2096">
        <v>68</v>
      </c>
      <c r="L2096">
        <v>22</v>
      </c>
      <c r="M2096" s="2">
        <v>3.09</v>
      </c>
      <c r="N2096" s="2">
        <v>3.27</v>
      </c>
      <c r="O2096">
        <v>0</v>
      </c>
      <c r="P2096">
        <v>7</v>
      </c>
      <c r="Q2096" s="4" t="str">
        <f t="shared" si="309"/>
        <v>2019/2020-Ganjil</v>
      </c>
      <c r="R2096" t="s">
        <v>596</v>
      </c>
      <c r="S2096" t="str">
        <f t="shared" si="310"/>
        <v>PA</v>
      </c>
    </row>
    <row r="2097" spans="1:19" x14ac:dyDescent="0.3">
      <c r="A2097" t="s">
        <v>12</v>
      </c>
      <c r="B2097">
        <v>2016110061</v>
      </c>
      <c r="C2097" t="s">
        <v>308</v>
      </c>
      <c r="E2097" t="s">
        <v>248</v>
      </c>
      <c r="F2097" t="s">
        <v>249</v>
      </c>
      <c r="G2097">
        <v>2</v>
      </c>
      <c r="H2097" t="s">
        <v>438</v>
      </c>
      <c r="I2097" s="4">
        <f t="shared" si="311"/>
        <v>3</v>
      </c>
      <c r="J2097">
        <f t="shared" si="312"/>
        <v>6</v>
      </c>
      <c r="K2097">
        <v>76</v>
      </c>
      <c r="L2097">
        <v>24</v>
      </c>
      <c r="M2097" s="2">
        <v>3.17</v>
      </c>
      <c r="N2097" s="2">
        <v>3.27</v>
      </c>
      <c r="O2097">
        <v>0</v>
      </c>
      <c r="P2097">
        <v>4</v>
      </c>
      <c r="Q2097" s="4" t="str">
        <f t="shared" si="309"/>
        <v>2017/2018-Genap</v>
      </c>
      <c r="R2097" t="s">
        <v>260</v>
      </c>
      <c r="S2097" t="str">
        <f t="shared" si="310"/>
        <v>PA</v>
      </c>
    </row>
    <row r="2098" spans="1:19" x14ac:dyDescent="0.3">
      <c r="A2098" t="s">
        <v>12</v>
      </c>
      <c r="B2098">
        <v>2016110061</v>
      </c>
      <c r="C2098" t="s">
        <v>308</v>
      </c>
      <c r="E2098" t="s">
        <v>97</v>
      </c>
      <c r="F2098" t="s">
        <v>98</v>
      </c>
      <c r="G2098">
        <v>4</v>
      </c>
      <c r="H2098" t="s">
        <v>438</v>
      </c>
      <c r="I2098" s="4">
        <f t="shared" si="311"/>
        <v>3</v>
      </c>
      <c r="J2098">
        <f t="shared" si="312"/>
        <v>12</v>
      </c>
      <c r="K2098">
        <v>56</v>
      </c>
      <c r="L2098">
        <v>20</v>
      </c>
      <c r="M2098" s="2">
        <v>2.8</v>
      </c>
      <c r="N2098" s="2">
        <v>3.27</v>
      </c>
      <c r="O2098">
        <v>0</v>
      </c>
      <c r="P2098">
        <v>2</v>
      </c>
      <c r="Q2098" s="4" t="str">
        <f t="shared" si="309"/>
        <v>2016/2017-Genap</v>
      </c>
      <c r="R2098" t="s">
        <v>260</v>
      </c>
      <c r="S2098" t="str">
        <f t="shared" si="310"/>
        <v>PA</v>
      </c>
    </row>
    <row r="2099" spans="1:19" x14ac:dyDescent="0.3">
      <c r="A2099" t="s">
        <v>12</v>
      </c>
      <c r="B2099">
        <v>2016110061</v>
      </c>
      <c r="C2099" t="s">
        <v>308</v>
      </c>
      <c r="E2099" t="s">
        <v>262</v>
      </c>
      <c r="F2099" t="s">
        <v>263</v>
      </c>
      <c r="G2099">
        <v>2</v>
      </c>
      <c r="H2099" t="s">
        <v>438</v>
      </c>
      <c r="I2099" s="4">
        <f t="shared" si="311"/>
        <v>3</v>
      </c>
      <c r="J2099">
        <f t="shared" si="312"/>
        <v>6</v>
      </c>
      <c r="K2099">
        <v>78</v>
      </c>
      <c r="L2099">
        <v>24</v>
      </c>
      <c r="M2099" s="2">
        <v>3.25</v>
      </c>
      <c r="N2099" s="2">
        <v>3.27</v>
      </c>
      <c r="O2099">
        <v>0</v>
      </c>
      <c r="P2099">
        <v>6</v>
      </c>
      <c r="Q2099" s="4" t="str">
        <f t="shared" si="309"/>
        <v>2018/2019-Genap</v>
      </c>
      <c r="R2099" t="s">
        <v>260</v>
      </c>
      <c r="S2099" t="str">
        <f t="shared" si="310"/>
        <v>PA</v>
      </c>
    </row>
    <row r="2100" spans="1:19" x14ac:dyDescent="0.3">
      <c r="A2100" t="s">
        <v>12</v>
      </c>
      <c r="B2100">
        <v>2016110061</v>
      </c>
      <c r="C2100" t="s">
        <v>308</v>
      </c>
      <c r="E2100" t="s">
        <v>244</v>
      </c>
      <c r="F2100" t="s">
        <v>228</v>
      </c>
      <c r="G2100">
        <v>2</v>
      </c>
      <c r="H2100" t="s">
        <v>438</v>
      </c>
      <c r="I2100" s="4">
        <f t="shared" si="311"/>
        <v>3</v>
      </c>
      <c r="J2100">
        <f t="shared" si="312"/>
        <v>6</v>
      </c>
      <c r="K2100">
        <v>76</v>
      </c>
      <c r="L2100">
        <v>24</v>
      </c>
      <c r="M2100" s="2">
        <v>3.17</v>
      </c>
      <c r="N2100" s="2">
        <v>3.27</v>
      </c>
      <c r="O2100">
        <v>0</v>
      </c>
      <c r="P2100">
        <v>4</v>
      </c>
      <c r="Q2100" s="4" t="str">
        <f t="shared" si="309"/>
        <v>2017/2018-Genap</v>
      </c>
      <c r="R2100" t="s">
        <v>260</v>
      </c>
      <c r="S2100" t="str">
        <f t="shared" si="310"/>
        <v>PA</v>
      </c>
    </row>
    <row r="2101" spans="1:19" x14ac:dyDescent="0.3">
      <c r="A2101" t="s">
        <v>12</v>
      </c>
      <c r="B2101">
        <v>2016110061</v>
      </c>
      <c r="C2101" t="s">
        <v>308</v>
      </c>
      <c r="E2101" t="s">
        <v>139</v>
      </c>
      <c r="F2101" t="s">
        <v>140</v>
      </c>
      <c r="G2101">
        <v>2</v>
      </c>
      <c r="H2101" t="s">
        <v>438</v>
      </c>
      <c r="I2101" s="4">
        <f t="shared" si="311"/>
        <v>3</v>
      </c>
      <c r="J2101">
        <f t="shared" si="312"/>
        <v>6</v>
      </c>
      <c r="K2101">
        <v>56</v>
      </c>
      <c r="L2101">
        <v>20</v>
      </c>
      <c r="M2101" s="2">
        <v>2.8</v>
      </c>
      <c r="N2101" s="2">
        <v>3.27</v>
      </c>
      <c r="O2101">
        <v>0</v>
      </c>
      <c r="P2101">
        <v>2</v>
      </c>
      <c r="Q2101" s="4" t="str">
        <f t="shared" si="309"/>
        <v>2016/2017-Genap</v>
      </c>
      <c r="R2101" t="s">
        <v>260</v>
      </c>
      <c r="S2101" t="str">
        <f t="shared" si="310"/>
        <v>PA</v>
      </c>
    </row>
    <row r="2102" spans="1:19" x14ac:dyDescent="0.3">
      <c r="A2102" t="s">
        <v>12</v>
      </c>
      <c r="B2102">
        <v>2016110061</v>
      </c>
      <c r="C2102" t="s">
        <v>308</v>
      </c>
      <c r="E2102" t="s">
        <v>39</v>
      </c>
      <c r="F2102" t="s">
        <v>11</v>
      </c>
      <c r="G2102">
        <v>2</v>
      </c>
      <c r="H2102" t="s">
        <v>438</v>
      </c>
      <c r="I2102" s="4">
        <f t="shared" si="311"/>
        <v>3</v>
      </c>
      <c r="J2102">
        <f t="shared" si="312"/>
        <v>6</v>
      </c>
      <c r="K2102">
        <v>78</v>
      </c>
      <c r="L2102">
        <v>24</v>
      </c>
      <c r="M2102" s="2">
        <v>3.25</v>
      </c>
      <c r="N2102" s="2">
        <v>3.27</v>
      </c>
      <c r="O2102">
        <v>0</v>
      </c>
      <c r="P2102">
        <v>6</v>
      </c>
      <c r="Q2102" s="4" t="str">
        <f t="shared" si="309"/>
        <v>2018/2019-Genap</v>
      </c>
      <c r="R2102" t="s">
        <v>260</v>
      </c>
      <c r="S2102" t="str">
        <f t="shared" si="310"/>
        <v>PA</v>
      </c>
    </row>
    <row r="2103" spans="1:19" x14ac:dyDescent="0.3">
      <c r="A2103" t="s">
        <v>12</v>
      </c>
      <c r="B2103">
        <v>2016110061</v>
      </c>
      <c r="C2103" t="s">
        <v>308</v>
      </c>
      <c r="E2103" t="s">
        <v>432</v>
      </c>
      <c r="F2103" t="s">
        <v>433</v>
      </c>
      <c r="G2103">
        <v>4</v>
      </c>
      <c r="H2103" t="s">
        <v>438</v>
      </c>
      <c r="I2103" s="4">
        <f t="shared" si="311"/>
        <v>3</v>
      </c>
      <c r="J2103">
        <f t="shared" si="312"/>
        <v>12</v>
      </c>
      <c r="K2103">
        <v>78</v>
      </c>
      <c r="L2103">
        <v>24</v>
      </c>
      <c r="M2103" s="2">
        <v>3.25</v>
      </c>
      <c r="N2103" s="2">
        <v>3.27</v>
      </c>
      <c r="O2103">
        <v>0</v>
      </c>
      <c r="P2103">
        <v>6</v>
      </c>
      <c r="Q2103" s="4" t="str">
        <f t="shared" si="309"/>
        <v>2018/2019-Genap</v>
      </c>
      <c r="R2103" t="s">
        <v>260</v>
      </c>
      <c r="S2103" t="str">
        <f t="shared" si="310"/>
        <v>PA</v>
      </c>
    </row>
    <row r="2104" spans="1:19" x14ac:dyDescent="0.3">
      <c r="A2104" t="s">
        <v>12</v>
      </c>
      <c r="B2104">
        <v>2016110061</v>
      </c>
      <c r="C2104" t="s">
        <v>308</v>
      </c>
      <c r="E2104" t="s">
        <v>234</v>
      </c>
      <c r="F2104" t="s">
        <v>235</v>
      </c>
      <c r="G2104">
        <v>4</v>
      </c>
      <c r="H2104" t="s">
        <v>438</v>
      </c>
      <c r="I2104" s="4">
        <f t="shared" si="311"/>
        <v>3</v>
      </c>
      <c r="J2104">
        <f t="shared" si="312"/>
        <v>12</v>
      </c>
      <c r="K2104">
        <v>70</v>
      </c>
      <c r="L2104">
        <v>22</v>
      </c>
      <c r="M2104" s="2">
        <v>3.18</v>
      </c>
      <c r="N2104" s="2">
        <v>3.27</v>
      </c>
      <c r="O2104">
        <v>0</v>
      </c>
      <c r="P2104">
        <v>3</v>
      </c>
      <c r="Q2104" s="4" t="str">
        <f t="shared" si="309"/>
        <v>2017/2018-Ganjil</v>
      </c>
      <c r="R2104" t="s">
        <v>260</v>
      </c>
      <c r="S2104" t="str">
        <f t="shared" si="310"/>
        <v>PA</v>
      </c>
    </row>
    <row r="2105" spans="1:19" x14ac:dyDescent="0.3">
      <c r="A2105" t="s">
        <v>12</v>
      </c>
      <c r="B2105">
        <v>2016110061</v>
      </c>
      <c r="C2105" t="s">
        <v>308</v>
      </c>
      <c r="E2105" t="s">
        <v>437</v>
      </c>
      <c r="F2105" t="s">
        <v>169</v>
      </c>
      <c r="G2105">
        <v>4</v>
      </c>
      <c r="H2105" t="s">
        <v>438</v>
      </c>
      <c r="I2105" s="4">
        <f t="shared" si="311"/>
        <v>3</v>
      </c>
      <c r="J2105">
        <f t="shared" si="312"/>
        <v>12</v>
      </c>
      <c r="K2105">
        <v>52</v>
      </c>
      <c r="L2105">
        <v>20</v>
      </c>
      <c r="M2105" s="2">
        <v>2.6</v>
      </c>
      <c r="N2105" s="2">
        <v>3.27</v>
      </c>
      <c r="O2105">
        <v>0</v>
      </c>
      <c r="P2105">
        <v>1</v>
      </c>
      <c r="Q2105" s="4" t="str">
        <f t="shared" si="309"/>
        <v>2016/2017-Ganjil</v>
      </c>
      <c r="R2105" t="s">
        <v>260</v>
      </c>
      <c r="S2105" t="str">
        <f t="shared" si="310"/>
        <v>PA</v>
      </c>
    </row>
    <row r="2106" spans="1:19" x14ac:dyDescent="0.3">
      <c r="A2106" t="s">
        <v>12</v>
      </c>
      <c r="B2106">
        <v>2016110061</v>
      </c>
      <c r="C2106" t="s">
        <v>308</v>
      </c>
      <c r="E2106" t="s">
        <v>173</v>
      </c>
      <c r="F2106" t="s">
        <v>8</v>
      </c>
      <c r="G2106">
        <v>2</v>
      </c>
      <c r="H2106" t="s">
        <v>438</v>
      </c>
      <c r="I2106" s="4">
        <f t="shared" si="311"/>
        <v>3</v>
      </c>
      <c r="J2106">
        <f t="shared" si="312"/>
        <v>6</v>
      </c>
      <c r="K2106">
        <v>70</v>
      </c>
      <c r="L2106">
        <v>22</v>
      </c>
      <c r="M2106" s="2">
        <v>3.18</v>
      </c>
      <c r="N2106" s="2">
        <v>3.27</v>
      </c>
      <c r="O2106">
        <v>0</v>
      </c>
      <c r="P2106">
        <v>3</v>
      </c>
      <c r="Q2106" s="4" t="str">
        <f t="shared" si="309"/>
        <v>2017/2018-Ganjil</v>
      </c>
      <c r="R2106" t="s">
        <v>260</v>
      </c>
      <c r="S2106" t="str">
        <f t="shared" si="310"/>
        <v>PA</v>
      </c>
    </row>
    <row r="2107" spans="1:19" x14ac:dyDescent="0.3">
      <c r="A2107" t="s">
        <v>12</v>
      </c>
      <c r="B2107">
        <v>2016110061</v>
      </c>
      <c r="C2107" t="s">
        <v>308</v>
      </c>
      <c r="E2107" t="s">
        <v>14</v>
      </c>
      <c r="F2107" t="s">
        <v>15</v>
      </c>
      <c r="G2107">
        <v>2</v>
      </c>
      <c r="H2107" t="s">
        <v>438</v>
      </c>
      <c r="I2107" s="4">
        <f t="shared" si="311"/>
        <v>3</v>
      </c>
      <c r="J2107">
        <f t="shared" si="312"/>
        <v>6</v>
      </c>
      <c r="K2107">
        <v>68</v>
      </c>
      <c r="L2107">
        <v>22</v>
      </c>
      <c r="M2107" s="2">
        <v>3.09</v>
      </c>
      <c r="N2107" s="2">
        <v>3.27</v>
      </c>
      <c r="O2107">
        <v>0</v>
      </c>
      <c r="P2107">
        <v>7</v>
      </c>
      <c r="Q2107" s="4" t="str">
        <f t="shared" si="309"/>
        <v>2019/2020-Ganjil</v>
      </c>
      <c r="R2107" t="s">
        <v>596</v>
      </c>
      <c r="S2107" t="str">
        <f t="shared" si="310"/>
        <v>PA</v>
      </c>
    </row>
    <row r="2108" spans="1:19" x14ac:dyDescent="0.3">
      <c r="A2108" t="s">
        <v>12</v>
      </c>
      <c r="B2108">
        <v>2016110061</v>
      </c>
      <c r="C2108" t="s">
        <v>308</v>
      </c>
      <c r="E2108" t="s">
        <v>306</v>
      </c>
      <c r="F2108" t="s">
        <v>307</v>
      </c>
      <c r="G2108">
        <v>2</v>
      </c>
      <c r="H2108" t="s">
        <v>438</v>
      </c>
      <c r="I2108" s="4">
        <f t="shared" si="311"/>
        <v>3</v>
      </c>
      <c r="J2108">
        <f t="shared" si="312"/>
        <v>6</v>
      </c>
      <c r="K2108">
        <v>78</v>
      </c>
      <c r="L2108">
        <v>24</v>
      </c>
      <c r="M2108" s="2">
        <v>3.25</v>
      </c>
      <c r="N2108" s="2">
        <v>3.27</v>
      </c>
      <c r="O2108">
        <v>0</v>
      </c>
      <c r="P2108">
        <v>5</v>
      </c>
      <c r="Q2108" s="4" t="str">
        <f t="shared" si="309"/>
        <v>2018/2019-Ganjil</v>
      </c>
      <c r="R2108" t="s">
        <v>260</v>
      </c>
      <c r="S2108" t="str">
        <f t="shared" si="310"/>
        <v>PA</v>
      </c>
    </row>
    <row r="2109" spans="1:19" x14ac:dyDescent="0.3">
      <c r="A2109" t="s">
        <v>12</v>
      </c>
      <c r="B2109">
        <v>2016110061</v>
      </c>
      <c r="C2109" t="s">
        <v>308</v>
      </c>
      <c r="E2109" t="s">
        <v>208</v>
      </c>
      <c r="F2109" t="s">
        <v>209</v>
      </c>
      <c r="G2109">
        <v>2</v>
      </c>
      <c r="H2109" t="s">
        <v>438</v>
      </c>
      <c r="I2109" s="4">
        <f t="shared" si="311"/>
        <v>3</v>
      </c>
      <c r="J2109">
        <f t="shared" si="312"/>
        <v>6</v>
      </c>
      <c r="K2109">
        <v>68</v>
      </c>
      <c r="L2109">
        <v>22</v>
      </c>
      <c r="M2109" s="2">
        <v>3.09</v>
      </c>
      <c r="N2109" s="2">
        <v>3.27</v>
      </c>
      <c r="O2109">
        <v>0</v>
      </c>
      <c r="P2109">
        <v>7</v>
      </c>
      <c r="Q2109" s="4" t="str">
        <f t="shared" si="309"/>
        <v>2019/2020-Ganjil</v>
      </c>
      <c r="R2109" t="s">
        <v>596</v>
      </c>
      <c r="S2109" t="str">
        <f t="shared" si="310"/>
        <v>PA</v>
      </c>
    </row>
    <row r="2110" spans="1:19" x14ac:dyDescent="0.3">
      <c r="A2110" t="s">
        <v>12</v>
      </c>
      <c r="B2110">
        <v>2016110061</v>
      </c>
      <c r="C2110" t="s">
        <v>308</v>
      </c>
      <c r="E2110" t="s">
        <v>90</v>
      </c>
      <c r="F2110" t="s">
        <v>91</v>
      </c>
      <c r="G2110">
        <v>2</v>
      </c>
      <c r="H2110" t="s">
        <v>438</v>
      </c>
      <c r="I2110" s="4">
        <f t="shared" si="311"/>
        <v>3</v>
      </c>
      <c r="J2110">
        <f t="shared" si="312"/>
        <v>6</v>
      </c>
      <c r="K2110">
        <v>52</v>
      </c>
      <c r="L2110">
        <v>20</v>
      </c>
      <c r="M2110" s="2">
        <v>2.6</v>
      </c>
      <c r="N2110" s="2">
        <v>3.27</v>
      </c>
      <c r="O2110">
        <v>0</v>
      </c>
      <c r="P2110">
        <v>1</v>
      </c>
      <c r="Q2110" s="4" t="str">
        <f t="shared" si="309"/>
        <v>2016/2017-Ganjil</v>
      </c>
      <c r="R2110" t="s">
        <v>260</v>
      </c>
      <c r="S2110" t="str">
        <f t="shared" si="310"/>
        <v>PA</v>
      </c>
    </row>
    <row r="2111" spans="1:19" x14ac:dyDescent="0.3">
      <c r="A2111" t="s">
        <v>12</v>
      </c>
      <c r="B2111">
        <v>2016110061</v>
      </c>
      <c r="C2111" t="s">
        <v>308</v>
      </c>
      <c r="E2111" t="s">
        <v>446</v>
      </c>
      <c r="F2111" t="s">
        <v>447</v>
      </c>
      <c r="G2111">
        <v>2</v>
      </c>
      <c r="H2111" t="s">
        <v>438</v>
      </c>
      <c r="I2111" s="4">
        <f t="shared" si="311"/>
        <v>3</v>
      </c>
      <c r="J2111">
        <f t="shared" si="312"/>
        <v>6</v>
      </c>
      <c r="K2111">
        <v>78</v>
      </c>
      <c r="L2111">
        <v>24</v>
      </c>
      <c r="M2111" s="2">
        <v>3.25</v>
      </c>
      <c r="N2111" s="2">
        <v>3.27</v>
      </c>
      <c r="O2111">
        <v>0</v>
      </c>
      <c r="P2111">
        <v>6</v>
      </c>
      <c r="Q2111" s="4" t="str">
        <f t="shared" si="309"/>
        <v>2018/2019-Genap</v>
      </c>
      <c r="R2111" t="s">
        <v>260</v>
      </c>
      <c r="S2111" t="str">
        <f t="shared" si="310"/>
        <v>PA</v>
      </c>
    </row>
    <row r="2112" spans="1:19" x14ac:dyDescent="0.3">
      <c r="A2112" t="s">
        <v>12</v>
      </c>
      <c r="B2112">
        <v>2016110061</v>
      </c>
      <c r="C2112" t="s">
        <v>308</v>
      </c>
      <c r="E2112" t="s">
        <v>337</v>
      </c>
      <c r="F2112" t="s">
        <v>338</v>
      </c>
      <c r="G2112">
        <v>2</v>
      </c>
      <c r="H2112" t="s">
        <v>438</v>
      </c>
      <c r="I2112" s="4">
        <f t="shared" si="311"/>
        <v>3</v>
      </c>
      <c r="J2112">
        <f t="shared" si="312"/>
        <v>6</v>
      </c>
      <c r="K2112">
        <v>68</v>
      </c>
      <c r="L2112">
        <v>22</v>
      </c>
      <c r="M2112" s="2">
        <v>3.09</v>
      </c>
      <c r="N2112" s="2">
        <v>3.27</v>
      </c>
      <c r="O2112">
        <v>0</v>
      </c>
      <c r="P2112">
        <v>7</v>
      </c>
      <c r="Q2112" s="4" t="str">
        <f t="shared" si="309"/>
        <v>2019/2020-Ganjil</v>
      </c>
      <c r="R2112" t="s">
        <v>596</v>
      </c>
      <c r="S2112" t="str">
        <f t="shared" si="310"/>
        <v>PA</v>
      </c>
    </row>
    <row r="2113" spans="1:19" x14ac:dyDescent="0.3">
      <c r="A2113" t="s">
        <v>12</v>
      </c>
      <c r="B2113">
        <v>2016110061</v>
      </c>
      <c r="C2113" t="s">
        <v>308</v>
      </c>
      <c r="E2113" t="s">
        <v>279</v>
      </c>
      <c r="F2113" t="s">
        <v>280</v>
      </c>
      <c r="G2113">
        <v>2</v>
      </c>
      <c r="H2113" t="s">
        <v>438</v>
      </c>
      <c r="I2113" s="4">
        <f t="shared" si="311"/>
        <v>3</v>
      </c>
      <c r="J2113">
        <f t="shared" si="312"/>
        <v>6</v>
      </c>
      <c r="K2113">
        <v>56</v>
      </c>
      <c r="L2113">
        <v>20</v>
      </c>
      <c r="M2113" s="2">
        <v>2.8</v>
      </c>
      <c r="N2113" s="2">
        <v>3.27</v>
      </c>
      <c r="O2113">
        <v>0</v>
      </c>
      <c r="P2113">
        <v>2</v>
      </c>
      <c r="Q2113" s="4" t="str">
        <f t="shared" si="309"/>
        <v>2016/2017-Genap</v>
      </c>
      <c r="R2113" t="s">
        <v>260</v>
      </c>
      <c r="S2113" t="str">
        <f t="shared" si="310"/>
        <v>PA</v>
      </c>
    </row>
    <row r="2114" spans="1:19" x14ac:dyDescent="0.3">
      <c r="A2114" t="s">
        <v>12</v>
      </c>
      <c r="B2114">
        <v>2016110061</v>
      </c>
      <c r="C2114" t="s">
        <v>308</v>
      </c>
      <c r="E2114" t="s">
        <v>257</v>
      </c>
      <c r="F2114" t="s">
        <v>258</v>
      </c>
      <c r="G2114">
        <v>4</v>
      </c>
      <c r="H2114" t="s">
        <v>438</v>
      </c>
      <c r="I2114" s="4">
        <f t="shared" si="311"/>
        <v>3</v>
      </c>
      <c r="J2114">
        <f t="shared" si="312"/>
        <v>12</v>
      </c>
      <c r="K2114">
        <v>78</v>
      </c>
      <c r="L2114">
        <v>24</v>
      </c>
      <c r="M2114" s="2">
        <v>3.25</v>
      </c>
      <c r="N2114" s="2">
        <v>3.27</v>
      </c>
      <c r="O2114">
        <v>0</v>
      </c>
      <c r="P2114">
        <v>6</v>
      </c>
      <c r="Q2114" s="4" t="str">
        <f t="shared" si="309"/>
        <v>2018/2019-Genap</v>
      </c>
      <c r="R2114" t="s">
        <v>260</v>
      </c>
      <c r="S2114" t="str">
        <f t="shared" si="310"/>
        <v>PA</v>
      </c>
    </row>
    <row r="2115" spans="1:19" x14ac:dyDescent="0.3">
      <c r="A2115" t="s">
        <v>12</v>
      </c>
      <c r="B2115">
        <v>2016110061</v>
      </c>
      <c r="C2115" t="s">
        <v>308</v>
      </c>
      <c r="E2115" t="s">
        <v>100</v>
      </c>
      <c r="F2115" t="s">
        <v>101</v>
      </c>
      <c r="G2115">
        <v>4</v>
      </c>
      <c r="H2115" t="s">
        <v>438</v>
      </c>
      <c r="I2115" s="4">
        <f t="shared" si="311"/>
        <v>3</v>
      </c>
      <c r="J2115">
        <f t="shared" si="312"/>
        <v>12</v>
      </c>
      <c r="K2115">
        <v>56</v>
      </c>
      <c r="L2115">
        <v>20</v>
      </c>
      <c r="M2115" s="2">
        <v>2.8</v>
      </c>
      <c r="N2115" s="2">
        <v>3.27</v>
      </c>
      <c r="O2115">
        <v>0</v>
      </c>
      <c r="P2115">
        <v>2</v>
      </c>
      <c r="Q2115" s="4" t="str">
        <f t="shared" si="309"/>
        <v>2016/2017-Genap</v>
      </c>
      <c r="R2115" t="s">
        <v>260</v>
      </c>
      <c r="S2115" t="str">
        <f t="shared" si="310"/>
        <v>PA</v>
      </c>
    </row>
    <row r="2116" spans="1:19" x14ac:dyDescent="0.3">
      <c r="A2116" t="s">
        <v>12</v>
      </c>
      <c r="B2116">
        <v>2016110061</v>
      </c>
      <c r="C2116" t="s">
        <v>308</v>
      </c>
      <c r="E2116" t="s">
        <v>264</v>
      </c>
      <c r="F2116" t="s">
        <v>265</v>
      </c>
      <c r="G2116">
        <v>2</v>
      </c>
      <c r="H2116" t="s">
        <v>438</v>
      </c>
      <c r="I2116" s="4">
        <f t="shared" si="311"/>
        <v>3</v>
      </c>
      <c r="J2116">
        <f t="shared" si="312"/>
        <v>6</v>
      </c>
      <c r="K2116">
        <v>78</v>
      </c>
      <c r="L2116">
        <v>24</v>
      </c>
      <c r="M2116" s="2">
        <v>3.25</v>
      </c>
      <c r="N2116" s="2">
        <v>3.27</v>
      </c>
      <c r="O2116">
        <v>0</v>
      </c>
      <c r="P2116">
        <v>5</v>
      </c>
      <c r="Q2116" s="4" t="str">
        <f t="shared" si="309"/>
        <v>2018/2019-Ganjil</v>
      </c>
      <c r="R2116" t="s">
        <v>260</v>
      </c>
      <c r="S2116" t="str">
        <f t="shared" si="310"/>
        <v>PA</v>
      </c>
    </row>
    <row r="2117" spans="1:19" x14ac:dyDescent="0.3">
      <c r="A2117" t="s">
        <v>12</v>
      </c>
      <c r="B2117">
        <v>2016110061</v>
      </c>
      <c r="C2117" t="s">
        <v>308</v>
      </c>
      <c r="E2117" t="s">
        <v>205</v>
      </c>
      <c r="F2117" t="s">
        <v>116</v>
      </c>
      <c r="G2117">
        <v>4</v>
      </c>
      <c r="H2117" t="s">
        <v>438</v>
      </c>
      <c r="I2117" s="4">
        <f t="shared" si="311"/>
        <v>3</v>
      </c>
      <c r="J2117">
        <f t="shared" si="312"/>
        <v>12</v>
      </c>
      <c r="K2117">
        <v>70</v>
      </c>
      <c r="L2117">
        <v>22</v>
      </c>
      <c r="M2117" s="2">
        <v>3.18</v>
      </c>
      <c r="N2117" s="2">
        <v>3.27</v>
      </c>
      <c r="O2117">
        <v>0</v>
      </c>
      <c r="P2117">
        <v>3</v>
      </c>
      <c r="Q2117" s="4" t="str">
        <f t="shared" si="309"/>
        <v>2017/2018-Ganjil</v>
      </c>
      <c r="R2117" t="s">
        <v>260</v>
      </c>
      <c r="S2117" t="str">
        <f t="shared" si="310"/>
        <v>PA</v>
      </c>
    </row>
    <row r="2118" spans="1:19" x14ac:dyDescent="0.3">
      <c r="A2118" t="s">
        <v>12</v>
      </c>
      <c r="B2118">
        <v>2016110061</v>
      </c>
      <c r="C2118" t="s">
        <v>308</v>
      </c>
      <c r="E2118" t="s">
        <v>211</v>
      </c>
      <c r="F2118" t="s">
        <v>186</v>
      </c>
      <c r="G2118">
        <v>4</v>
      </c>
      <c r="H2118" t="s">
        <v>438</v>
      </c>
      <c r="I2118" s="4">
        <f t="shared" si="311"/>
        <v>3</v>
      </c>
      <c r="J2118">
        <f t="shared" si="312"/>
        <v>12</v>
      </c>
      <c r="K2118">
        <v>78</v>
      </c>
      <c r="L2118">
        <v>24</v>
      </c>
      <c r="M2118" s="2">
        <v>3.25</v>
      </c>
      <c r="N2118" s="2">
        <v>3.27</v>
      </c>
      <c r="O2118">
        <v>0</v>
      </c>
      <c r="P2118">
        <v>5</v>
      </c>
      <c r="Q2118" s="4" t="str">
        <f t="shared" si="309"/>
        <v>2018/2019-Ganjil</v>
      </c>
      <c r="R2118" t="s">
        <v>260</v>
      </c>
      <c r="S2118" t="str">
        <f t="shared" si="310"/>
        <v>PA</v>
      </c>
    </row>
    <row r="2119" spans="1:19" x14ac:dyDescent="0.3">
      <c r="A2119" t="s">
        <v>12</v>
      </c>
      <c r="B2119">
        <v>2016110061</v>
      </c>
      <c r="C2119" t="s">
        <v>308</v>
      </c>
      <c r="E2119" t="s">
        <v>330</v>
      </c>
      <c r="F2119" t="s">
        <v>108</v>
      </c>
      <c r="G2119">
        <v>2</v>
      </c>
      <c r="H2119" t="s">
        <v>438</v>
      </c>
      <c r="I2119" s="4">
        <f t="shared" si="311"/>
        <v>3</v>
      </c>
      <c r="J2119">
        <f t="shared" si="312"/>
        <v>6</v>
      </c>
      <c r="K2119">
        <v>68</v>
      </c>
      <c r="L2119">
        <v>22</v>
      </c>
      <c r="M2119" s="2">
        <v>3.09</v>
      </c>
      <c r="N2119" s="2">
        <v>3.27</v>
      </c>
      <c r="O2119">
        <v>0</v>
      </c>
      <c r="P2119">
        <v>7</v>
      </c>
      <c r="Q2119" s="4" t="str">
        <f t="shared" si="309"/>
        <v>2019/2020-Ganjil</v>
      </c>
      <c r="R2119" t="s">
        <v>596</v>
      </c>
      <c r="S2119" t="str">
        <f t="shared" si="310"/>
        <v>PA</v>
      </c>
    </row>
    <row r="2120" spans="1:19" x14ac:dyDescent="0.3">
      <c r="A2120" t="s">
        <v>12</v>
      </c>
      <c r="B2120">
        <v>2016110061</v>
      </c>
      <c r="C2120" t="s">
        <v>308</v>
      </c>
      <c r="E2120" t="s">
        <v>370</v>
      </c>
      <c r="F2120" t="s">
        <v>371</v>
      </c>
      <c r="G2120">
        <v>2</v>
      </c>
      <c r="H2120" t="s">
        <v>438</v>
      </c>
      <c r="I2120" s="4">
        <f t="shared" si="311"/>
        <v>3</v>
      </c>
      <c r="J2120">
        <f t="shared" si="312"/>
        <v>6</v>
      </c>
      <c r="K2120">
        <v>78</v>
      </c>
      <c r="L2120">
        <v>24</v>
      </c>
      <c r="M2120" s="2">
        <v>3.25</v>
      </c>
      <c r="N2120" s="2">
        <v>3.27</v>
      </c>
      <c r="O2120">
        <v>0</v>
      </c>
      <c r="P2120">
        <v>5</v>
      </c>
      <c r="Q2120" s="4" t="str">
        <f t="shared" si="309"/>
        <v>2018/2019-Ganjil</v>
      </c>
      <c r="R2120" t="s">
        <v>260</v>
      </c>
      <c r="S2120" t="str">
        <f t="shared" si="310"/>
        <v>PA</v>
      </c>
    </row>
    <row r="2121" spans="1:19" x14ac:dyDescent="0.3">
      <c r="A2121" t="s">
        <v>12</v>
      </c>
      <c r="B2121">
        <v>2016110061</v>
      </c>
      <c r="C2121" t="s">
        <v>308</v>
      </c>
      <c r="E2121" t="s">
        <v>31</v>
      </c>
      <c r="F2121" t="s">
        <v>20</v>
      </c>
      <c r="G2121">
        <v>4</v>
      </c>
      <c r="H2121" t="s">
        <v>438</v>
      </c>
      <c r="I2121" s="4">
        <f t="shared" si="311"/>
        <v>3</v>
      </c>
      <c r="J2121">
        <f t="shared" si="312"/>
        <v>12</v>
      </c>
      <c r="K2121">
        <v>68</v>
      </c>
      <c r="L2121">
        <v>22</v>
      </c>
      <c r="M2121" s="2">
        <v>3.09</v>
      </c>
      <c r="N2121" s="2">
        <v>3.27</v>
      </c>
      <c r="O2121">
        <v>0</v>
      </c>
      <c r="P2121">
        <v>7</v>
      </c>
      <c r="Q2121" s="4" t="str">
        <f t="shared" si="309"/>
        <v>2019/2020-Ganjil</v>
      </c>
      <c r="R2121" t="s">
        <v>596</v>
      </c>
      <c r="S2121" t="str">
        <f t="shared" si="310"/>
        <v>PA</v>
      </c>
    </row>
    <row r="2122" spans="1:19" x14ac:dyDescent="0.3">
      <c r="A2122" t="s">
        <v>12</v>
      </c>
      <c r="B2122">
        <v>2016110061</v>
      </c>
      <c r="C2122" t="s">
        <v>308</v>
      </c>
      <c r="E2122" t="s">
        <v>165</v>
      </c>
      <c r="F2122" t="s">
        <v>166</v>
      </c>
      <c r="G2122">
        <v>2</v>
      </c>
      <c r="H2122" t="s">
        <v>438</v>
      </c>
      <c r="I2122" s="4">
        <f t="shared" si="311"/>
        <v>3</v>
      </c>
      <c r="J2122">
        <f t="shared" si="312"/>
        <v>6</v>
      </c>
      <c r="K2122">
        <v>52</v>
      </c>
      <c r="L2122">
        <v>20</v>
      </c>
      <c r="M2122" s="2">
        <v>2.6</v>
      </c>
      <c r="N2122" s="2">
        <v>3.27</v>
      </c>
      <c r="O2122">
        <v>0</v>
      </c>
      <c r="P2122">
        <v>1</v>
      </c>
      <c r="Q2122" s="4" t="str">
        <f t="shared" si="309"/>
        <v>2016/2017-Ganjil</v>
      </c>
      <c r="R2122" t="s">
        <v>260</v>
      </c>
      <c r="S2122" t="str">
        <f t="shared" si="310"/>
        <v>PA</v>
      </c>
    </row>
    <row r="2123" spans="1:19" x14ac:dyDescent="0.3">
      <c r="A2123" t="s">
        <v>12</v>
      </c>
      <c r="B2123">
        <v>2016110061</v>
      </c>
      <c r="C2123" t="s">
        <v>308</v>
      </c>
      <c r="E2123" t="s">
        <v>348</v>
      </c>
      <c r="F2123" t="s">
        <v>402</v>
      </c>
      <c r="G2123">
        <v>4</v>
      </c>
      <c r="H2123" t="s">
        <v>524</v>
      </c>
      <c r="I2123" s="4">
        <f t="shared" si="311"/>
        <v>2</v>
      </c>
      <c r="J2123">
        <f t="shared" si="312"/>
        <v>8</v>
      </c>
      <c r="K2123">
        <v>76</v>
      </c>
      <c r="L2123">
        <v>24</v>
      </c>
      <c r="M2123" s="2">
        <v>3.17</v>
      </c>
      <c r="N2123" s="2">
        <v>3.27</v>
      </c>
      <c r="O2123">
        <v>0</v>
      </c>
      <c r="P2123">
        <v>4</v>
      </c>
      <c r="Q2123" s="4" t="str">
        <f t="shared" si="309"/>
        <v>2017/2018-Genap</v>
      </c>
      <c r="R2123" t="s">
        <v>260</v>
      </c>
      <c r="S2123" t="str">
        <f t="shared" si="310"/>
        <v>PA</v>
      </c>
    </row>
    <row r="2124" spans="1:19" x14ac:dyDescent="0.3">
      <c r="A2124" t="s">
        <v>12</v>
      </c>
      <c r="B2124">
        <v>2016110061</v>
      </c>
      <c r="C2124" t="s">
        <v>308</v>
      </c>
      <c r="E2124" t="s">
        <v>427</v>
      </c>
      <c r="F2124" t="s">
        <v>428</v>
      </c>
      <c r="G2124">
        <v>2</v>
      </c>
      <c r="H2124" t="s">
        <v>524</v>
      </c>
      <c r="I2124" s="4">
        <f t="shared" si="311"/>
        <v>2</v>
      </c>
      <c r="J2124">
        <f t="shared" si="312"/>
        <v>4</v>
      </c>
      <c r="K2124">
        <v>78</v>
      </c>
      <c r="L2124">
        <v>24</v>
      </c>
      <c r="M2124" s="2">
        <v>3.25</v>
      </c>
      <c r="N2124" s="2">
        <v>3.27</v>
      </c>
      <c r="O2124">
        <v>0</v>
      </c>
      <c r="P2124">
        <v>6</v>
      </c>
      <c r="Q2124" s="4" t="str">
        <f t="shared" ref="Q2124:Q2134" si="313">IF(P2124=1,"2016/2017-Ganjil",IF(P2124=2,"2016/2017-Genap",IF(P2124=3,"2017/2018-Ganjil",IF(P2124=4,"2017/2018-Genap",IF(P2124=5,"2018/2019-Ganjil",IF(P2124=6,"2018/2019-Genap",IF(P2124=7,"2019/2020-Ganjil",IF(P2124=8,"2019/2020-Genap",IF(P2124=9,"2020/2021-Ganjil","2020/2021-Genap")))))))))</f>
        <v>2018/2019-Genap</v>
      </c>
      <c r="R2124" t="s">
        <v>260</v>
      </c>
      <c r="S2124" t="str">
        <f t="shared" si="310"/>
        <v>PA</v>
      </c>
    </row>
    <row r="2125" spans="1:19" x14ac:dyDescent="0.3">
      <c r="A2125" t="s">
        <v>12</v>
      </c>
      <c r="B2125">
        <v>2016110061</v>
      </c>
      <c r="C2125" t="s">
        <v>308</v>
      </c>
      <c r="E2125" t="s">
        <v>387</v>
      </c>
      <c r="F2125" t="s">
        <v>388</v>
      </c>
      <c r="G2125">
        <v>2</v>
      </c>
      <c r="H2125" t="s">
        <v>524</v>
      </c>
      <c r="I2125" s="4">
        <f t="shared" si="311"/>
        <v>2</v>
      </c>
      <c r="J2125">
        <f t="shared" si="312"/>
        <v>4</v>
      </c>
      <c r="K2125">
        <v>76</v>
      </c>
      <c r="L2125">
        <v>24</v>
      </c>
      <c r="M2125" s="2">
        <v>3.17</v>
      </c>
      <c r="N2125" s="2">
        <v>3.27</v>
      </c>
      <c r="O2125">
        <v>0</v>
      </c>
      <c r="P2125">
        <v>4</v>
      </c>
      <c r="Q2125" s="4" t="str">
        <f t="shared" si="313"/>
        <v>2017/2018-Genap</v>
      </c>
      <c r="R2125" t="s">
        <v>260</v>
      </c>
      <c r="S2125" t="str">
        <f t="shared" si="310"/>
        <v>PA</v>
      </c>
    </row>
    <row r="2126" spans="1:19" x14ac:dyDescent="0.3">
      <c r="A2126" t="s">
        <v>12</v>
      </c>
      <c r="B2126">
        <v>2016110061</v>
      </c>
      <c r="C2126" t="s">
        <v>308</v>
      </c>
      <c r="E2126" t="s">
        <v>151</v>
      </c>
      <c r="F2126" t="s">
        <v>152</v>
      </c>
      <c r="G2126">
        <v>2</v>
      </c>
      <c r="H2126" t="s">
        <v>524</v>
      </c>
      <c r="I2126" s="4">
        <f t="shared" si="311"/>
        <v>2</v>
      </c>
      <c r="J2126">
        <f t="shared" si="312"/>
        <v>4</v>
      </c>
      <c r="K2126">
        <v>68</v>
      </c>
      <c r="L2126">
        <v>22</v>
      </c>
      <c r="M2126" s="2">
        <v>3.09</v>
      </c>
      <c r="N2126" s="2">
        <v>3.27</v>
      </c>
      <c r="O2126">
        <v>1</v>
      </c>
      <c r="P2126">
        <v>7</v>
      </c>
      <c r="Q2126" s="4" t="str">
        <f t="shared" si="313"/>
        <v>2019/2020-Ganjil</v>
      </c>
      <c r="R2126" t="s">
        <v>596</v>
      </c>
      <c r="S2126" t="str">
        <f t="shared" si="310"/>
        <v>PA</v>
      </c>
    </row>
    <row r="2127" spans="1:19" x14ac:dyDescent="0.3">
      <c r="A2127" t="s">
        <v>12</v>
      </c>
      <c r="B2127">
        <v>2016110061</v>
      </c>
      <c r="C2127" t="s">
        <v>308</v>
      </c>
      <c r="E2127" t="s">
        <v>142</v>
      </c>
      <c r="F2127" t="s">
        <v>143</v>
      </c>
      <c r="G2127">
        <v>2</v>
      </c>
      <c r="H2127" t="s">
        <v>524</v>
      </c>
      <c r="I2127" s="4">
        <f t="shared" si="311"/>
        <v>2</v>
      </c>
      <c r="J2127">
        <f t="shared" si="312"/>
        <v>4</v>
      </c>
      <c r="K2127">
        <v>68</v>
      </c>
      <c r="L2127">
        <v>22</v>
      </c>
      <c r="M2127" s="2">
        <v>3.09</v>
      </c>
      <c r="N2127" s="2">
        <v>3.27</v>
      </c>
      <c r="O2127">
        <v>1</v>
      </c>
      <c r="P2127">
        <v>7</v>
      </c>
      <c r="Q2127" s="4" t="str">
        <f t="shared" si="313"/>
        <v>2019/2020-Ganjil</v>
      </c>
      <c r="R2127" t="s">
        <v>596</v>
      </c>
      <c r="S2127" t="str">
        <f t="shared" si="310"/>
        <v>PA</v>
      </c>
    </row>
    <row r="2128" spans="1:19" x14ac:dyDescent="0.3">
      <c r="A2128" t="s">
        <v>12</v>
      </c>
      <c r="B2128">
        <v>2016110061</v>
      </c>
      <c r="C2128" t="s">
        <v>308</v>
      </c>
      <c r="E2128" t="s">
        <v>151</v>
      </c>
      <c r="F2128" t="s">
        <v>152</v>
      </c>
      <c r="G2128">
        <v>2</v>
      </c>
      <c r="H2128" t="s">
        <v>524</v>
      </c>
      <c r="I2128" s="4">
        <f t="shared" si="311"/>
        <v>2</v>
      </c>
      <c r="J2128">
        <f t="shared" si="312"/>
        <v>4</v>
      </c>
      <c r="K2128">
        <v>52</v>
      </c>
      <c r="L2128">
        <v>20</v>
      </c>
      <c r="M2128" s="2">
        <v>2.6</v>
      </c>
      <c r="N2128" s="2">
        <v>3.27</v>
      </c>
      <c r="O2128">
        <v>0</v>
      </c>
      <c r="P2128">
        <v>1</v>
      </c>
      <c r="Q2128" s="4" t="str">
        <f t="shared" si="313"/>
        <v>2016/2017-Ganjil</v>
      </c>
      <c r="R2128" t="s">
        <v>260</v>
      </c>
      <c r="S2128" t="str">
        <f t="shared" si="310"/>
        <v>PA</v>
      </c>
    </row>
    <row r="2129" spans="1:19" x14ac:dyDescent="0.3">
      <c r="A2129" t="s">
        <v>12</v>
      </c>
      <c r="B2129">
        <v>2016110061</v>
      </c>
      <c r="C2129" t="s">
        <v>308</v>
      </c>
      <c r="E2129" t="s">
        <v>142</v>
      </c>
      <c r="F2129" t="s">
        <v>143</v>
      </c>
      <c r="G2129">
        <v>2</v>
      </c>
      <c r="H2129" t="s">
        <v>524</v>
      </c>
      <c r="I2129" s="4">
        <f t="shared" si="311"/>
        <v>2</v>
      </c>
      <c r="J2129">
        <f t="shared" si="312"/>
        <v>4</v>
      </c>
      <c r="K2129">
        <v>52</v>
      </c>
      <c r="L2129">
        <v>20</v>
      </c>
      <c r="M2129" s="2">
        <v>2.6</v>
      </c>
      <c r="N2129" s="2">
        <v>3.27</v>
      </c>
      <c r="O2129">
        <v>0</v>
      </c>
      <c r="P2129">
        <v>1</v>
      </c>
      <c r="Q2129" s="4" t="str">
        <f t="shared" si="313"/>
        <v>2016/2017-Ganjil</v>
      </c>
      <c r="R2129" t="s">
        <v>260</v>
      </c>
      <c r="S2129" t="str">
        <f t="shared" si="310"/>
        <v>PA</v>
      </c>
    </row>
    <row r="2130" spans="1:19" x14ac:dyDescent="0.3">
      <c r="A2130" t="s">
        <v>12</v>
      </c>
      <c r="B2130">
        <v>2016110061</v>
      </c>
      <c r="C2130" t="s">
        <v>308</v>
      </c>
      <c r="E2130" t="s">
        <v>357</v>
      </c>
      <c r="F2130" t="s">
        <v>358</v>
      </c>
      <c r="G2130">
        <v>4</v>
      </c>
      <c r="H2130" t="s">
        <v>524</v>
      </c>
      <c r="I2130" s="4">
        <f t="shared" si="311"/>
        <v>2</v>
      </c>
      <c r="J2130">
        <f t="shared" si="312"/>
        <v>8</v>
      </c>
      <c r="K2130">
        <v>78</v>
      </c>
      <c r="L2130">
        <v>24</v>
      </c>
      <c r="M2130" s="2">
        <v>3.25</v>
      </c>
      <c r="N2130" s="2">
        <v>3.27</v>
      </c>
      <c r="O2130">
        <v>0</v>
      </c>
      <c r="P2130">
        <v>5</v>
      </c>
      <c r="Q2130" s="4" t="str">
        <f t="shared" si="313"/>
        <v>2018/2019-Ganjil</v>
      </c>
      <c r="R2130" t="s">
        <v>260</v>
      </c>
      <c r="S2130" t="str">
        <f t="shared" si="310"/>
        <v>PA</v>
      </c>
    </row>
    <row r="2131" spans="1:19" x14ac:dyDescent="0.3">
      <c r="A2131" t="s">
        <v>12</v>
      </c>
      <c r="B2131">
        <v>2016110061</v>
      </c>
      <c r="C2131" t="s">
        <v>308</v>
      </c>
      <c r="E2131" t="s">
        <v>103</v>
      </c>
      <c r="F2131" t="s">
        <v>104</v>
      </c>
      <c r="G2131">
        <v>4</v>
      </c>
      <c r="H2131" t="s">
        <v>535</v>
      </c>
      <c r="I2131" s="4">
        <f t="shared" si="311"/>
        <v>1</v>
      </c>
      <c r="J2131">
        <f t="shared" si="312"/>
        <v>4</v>
      </c>
      <c r="K2131">
        <v>56</v>
      </c>
      <c r="L2131">
        <v>20</v>
      </c>
      <c r="M2131" s="2">
        <v>2.8</v>
      </c>
      <c r="N2131" s="2">
        <v>3.27</v>
      </c>
      <c r="O2131">
        <v>0</v>
      </c>
      <c r="P2131">
        <v>2</v>
      </c>
      <c r="Q2131" s="4" t="str">
        <f t="shared" si="313"/>
        <v>2016/2017-Genap</v>
      </c>
      <c r="R2131" t="s">
        <v>260</v>
      </c>
      <c r="S2131" t="str">
        <f t="shared" si="310"/>
        <v>FA</v>
      </c>
    </row>
    <row r="2132" spans="1:19" x14ac:dyDescent="0.3">
      <c r="A2132" t="s">
        <v>12</v>
      </c>
      <c r="B2132">
        <v>2016110061</v>
      </c>
      <c r="C2132" t="s">
        <v>308</v>
      </c>
      <c r="E2132" t="s">
        <v>103</v>
      </c>
      <c r="F2132" t="s">
        <v>104</v>
      </c>
      <c r="G2132">
        <v>4</v>
      </c>
      <c r="H2132" t="s">
        <v>524</v>
      </c>
      <c r="I2132" s="4">
        <f t="shared" si="311"/>
        <v>2</v>
      </c>
      <c r="J2132">
        <f t="shared" si="312"/>
        <v>8</v>
      </c>
      <c r="K2132">
        <v>76</v>
      </c>
      <c r="L2132">
        <v>24</v>
      </c>
      <c r="M2132" s="2">
        <v>3.17</v>
      </c>
      <c r="N2132" s="2">
        <v>3.27</v>
      </c>
      <c r="O2132">
        <v>1</v>
      </c>
      <c r="P2132">
        <v>4</v>
      </c>
      <c r="Q2132" s="4" t="str">
        <f t="shared" si="313"/>
        <v>2017/2018-Genap</v>
      </c>
      <c r="R2132" t="s">
        <v>260</v>
      </c>
      <c r="S2132" t="str">
        <f t="shared" si="310"/>
        <v>PA</v>
      </c>
    </row>
    <row r="2133" spans="1:19" x14ac:dyDescent="0.3">
      <c r="A2133" t="s">
        <v>12</v>
      </c>
      <c r="B2133">
        <v>2016110061</v>
      </c>
      <c r="C2133" t="s">
        <v>308</v>
      </c>
      <c r="E2133" t="s">
        <v>122</v>
      </c>
      <c r="F2133" t="s">
        <v>123</v>
      </c>
      <c r="G2133">
        <v>4</v>
      </c>
      <c r="H2133" t="s">
        <v>535</v>
      </c>
      <c r="I2133" s="4">
        <f t="shared" si="311"/>
        <v>1</v>
      </c>
      <c r="J2133">
        <f t="shared" si="312"/>
        <v>4</v>
      </c>
      <c r="K2133">
        <v>52</v>
      </c>
      <c r="L2133">
        <v>20</v>
      </c>
      <c r="M2133" s="2">
        <v>2.6</v>
      </c>
      <c r="N2133" s="2">
        <v>3.27</v>
      </c>
      <c r="O2133">
        <v>0</v>
      </c>
      <c r="P2133">
        <v>1</v>
      </c>
      <c r="Q2133" s="4" t="str">
        <f t="shared" si="313"/>
        <v>2016/2017-Ganjil</v>
      </c>
      <c r="R2133" t="s">
        <v>260</v>
      </c>
      <c r="S2133" t="str">
        <f t="shared" si="310"/>
        <v>FA</v>
      </c>
    </row>
    <row r="2134" spans="1:19" x14ac:dyDescent="0.3">
      <c r="A2134" t="s">
        <v>12</v>
      </c>
      <c r="B2134">
        <v>2016110061</v>
      </c>
      <c r="C2134" t="s">
        <v>308</v>
      </c>
      <c r="E2134" t="s">
        <v>241</v>
      </c>
      <c r="F2134" t="s">
        <v>45</v>
      </c>
      <c r="G2134">
        <v>2</v>
      </c>
      <c r="H2134" t="s">
        <v>539</v>
      </c>
      <c r="I2134" s="4">
        <f t="shared" si="311"/>
        <v>0</v>
      </c>
      <c r="J2134">
        <f t="shared" si="312"/>
        <v>0</v>
      </c>
      <c r="K2134">
        <v>70</v>
      </c>
      <c r="L2134">
        <v>22</v>
      </c>
      <c r="M2134" s="2">
        <v>3.18</v>
      </c>
      <c r="N2134" s="2">
        <v>3.27</v>
      </c>
      <c r="O2134">
        <v>0</v>
      </c>
      <c r="P2134">
        <v>3</v>
      </c>
      <c r="Q2134" s="4" t="str">
        <f t="shared" si="313"/>
        <v>2017/2018-Ganjil</v>
      </c>
      <c r="R2134" t="s">
        <v>260</v>
      </c>
      <c r="S2134" t="str">
        <f t="shared" si="310"/>
        <v>FA</v>
      </c>
    </row>
    <row r="2135" spans="1:19" x14ac:dyDescent="0.3">
      <c r="A2135" t="s">
        <v>12</v>
      </c>
      <c r="B2135">
        <v>2016110061</v>
      </c>
      <c r="C2135" t="s">
        <v>308</v>
      </c>
      <c r="E2135" t="s">
        <v>122</v>
      </c>
      <c r="F2135" t="s">
        <v>123</v>
      </c>
      <c r="G2135">
        <v>4</v>
      </c>
      <c r="H2135" t="s">
        <v>260</v>
      </c>
      <c r="I2135" s="4">
        <f t="shared" si="311"/>
        <v>4</v>
      </c>
      <c r="J2135">
        <f t="shared" si="312"/>
        <v>16</v>
      </c>
      <c r="K2135">
        <v>22</v>
      </c>
      <c r="L2135">
        <v>6</v>
      </c>
      <c r="M2135" s="2">
        <v>3.67</v>
      </c>
      <c r="N2135" s="2">
        <v>3.27</v>
      </c>
      <c r="O2135">
        <v>1</v>
      </c>
      <c r="P2135">
        <v>6</v>
      </c>
      <c r="Q2135" s="4" t="s">
        <v>572</v>
      </c>
      <c r="R2135" t="s">
        <v>260</v>
      </c>
      <c r="S2135" t="str">
        <f t="shared" si="310"/>
        <v>PA</v>
      </c>
    </row>
    <row r="2136" spans="1:19" x14ac:dyDescent="0.3">
      <c r="A2136" t="s">
        <v>12</v>
      </c>
      <c r="B2136">
        <v>2016110061</v>
      </c>
      <c r="C2136" t="s">
        <v>308</v>
      </c>
      <c r="E2136" t="s">
        <v>241</v>
      </c>
      <c r="F2136" t="s">
        <v>45</v>
      </c>
      <c r="G2136">
        <v>2</v>
      </c>
      <c r="H2136" t="s">
        <v>438</v>
      </c>
      <c r="I2136" s="4">
        <f t="shared" si="311"/>
        <v>3</v>
      </c>
      <c r="J2136">
        <f t="shared" si="312"/>
        <v>6</v>
      </c>
      <c r="K2136">
        <v>22</v>
      </c>
      <c r="L2136">
        <v>6</v>
      </c>
      <c r="M2136" s="2">
        <v>3.67</v>
      </c>
      <c r="N2136" s="2">
        <v>3.27</v>
      </c>
      <c r="O2136">
        <v>1</v>
      </c>
      <c r="P2136">
        <v>6</v>
      </c>
      <c r="Q2136" s="4" t="s">
        <v>572</v>
      </c>
      <c r="R2136" t="s">
        <v>260</v>
      </c>
      <c r="S2136" t="str">
        <f t="shared" si="310"/>
        <v>PA</v>
      </c>
    </row>
    <row r="2137" spans="1:19" x14ac:dyDescent="0.3">
      <c r="A2137" t="s">
        <v>12</v>
      </c>
      <c r="B2137">
        <v>2016110062</v>
      </c>
      <c r="C2137" t="s">
        <v>479</v>
      </c>
      <c r="E2137" t="s">
        <v>90</v>
      </c>
      <c r="F2137" t="s">
        <v>91</v>
      </c>
      <c r="G2137">
        <v>2</v>
      </c>
      <c r="H2137" t="s">
        <v>438</v>
      </c>
      <c r="I2137" s="4">
        <f t="shared" si="311"/>
        <v>3</v>
      </c>
      <c r="J2137">
        <f t="shared" si="312"/>
        <v>6</v>
      </c>
      <c r="K2137">
        <v>38</v>
      </c>
      <c r="L2137">
        <v>20</v>
      </c>
      <c r="M2137" s="2">
        <v>1.9</v>
      </c>
      <c r="N2137" s="2">
        <v>1.8</v>
      </c>
      <c r="O2137">
        <v>0</v>
      </c>
      <c r="P2137">
        <v>1</v>
      </c>
      <c r="Q2137" s="4" t="str">
        <f t="shared" ref="Q2137:Q2152" si="314">IF(P2137=1,"2016/2017-Ganjil",IF(P2137=2,"2016/2017-Genap",IF(P2137=3,"2017/2018-Ganjil",IF(P2137=4,"2017/2018-Genap",IF(P2137=5,"2018/2019-Ganjil",IF(P2137=6,"2018/2019-Genap",IF(P2137=7,"2019/2020-Ganjil",IF(P2137=8,"2019/2020-Genap",IF(P2137=9,"2020/2021-Ganjil","2020/2021-Genap")))))))))</f>
        <v>2016/2017-Ganjil</v>
      </c>
      <c r="R2137" t="s">
        <v>535</v>
      </c>
      <c r="S2137" t="str">
        <f t="shared" si="310"/>
        <v>PA</v>
      </c>
    </row>
    <row r="2138" spans="1:19" x14ac:dyDescent="0.3">
      <c r="A2138" t="s">
        <v>12</v>
      </c>
      <c r="B2138">
        <v>2016110062</v>
      </c>
      <c r="C2138" t="s">
        <v>479</v>
      </c>
      <c r="E2138" t="s">
        <v>279</v>
      </c>
      <c r="F2138" t="s">
        <v>280</v>
      </c>
      <c r="G2138">
        <v>2</v>
      </c>
      <c r="H2138" t="s">
        <v>438</v>
      </c>
      <c r="I2138" s="4">
        <f t="shared" si="311"/>
        <v>3</v>
      </c>
      <c r="J2138">
        <f t="shared" si="312"/>
        <v>6</v>
      </c>
      <c r="K2138">
        <v>34</v>
      </c>
      <c r="L2138">
        <v>20</v>
      </c>
      <c r="M2138" s="2">
        <v>1.7</v>
      </c>
      <c r="N2138" s="2">
        <v>1.8</v>
      </c>
      <c r="O2138">
        <v>0</v>
      </c>
      <c r="P2138">
        <v>2</v>
      </c>
      <c r="Q2138" s="4" t="str">
        <f t="shared" si="314"/>
        <v>2016/2017-Genap</v>
      </c>
      <c r="R2138" t="s">
        <v>535</v>
      </c>
      <c r="S2138" t="str">
        <f t="shared" si="310"/>
        <v>PA</v>
      </c>
    </row>
    <row r="2139" spans="1:19" x14ac:dyDescent="0.3">
      <c r="A2139" t="s">
        <v>12</v>
      </c>
      <c r="B2139">
        <v>2016110062</v>
      </c>
      <c r="C2139" t="s">
        <v>479</v>
      </c>
      <c r="E2139" t="s">
        <v>165</v>
      </c>
      <c r="F2139" t="s">
        <v>166</v>
      </c>
      <c r="G2139">
        <v>2</v>
      </c>
      <c r="H2139" t="s">
        <v>438</v>
      </c>
      <c r="I2139" s="4">
        <f t="shared" si="311"/>
        <v>3</v>
      </c>
      <c r="J2139">
        <f t="shared" si="312"/>
        <v>6</v>
      </c>
      <c r="K2139">
        <v>38</v>
      </c>
      <c r="L2139">
        <v>20</v>
      </c>
      <c r="M2139" s="2">
        <v>1.9</v>
      </c>
      <c r="N2139" s="2">
        <v>1.8</v>
      </c>
      <c r="O2139">
        <v>0</v>
      </c>
      <c r="P2139">
        <v>1</v>
      </c>
      <c r="Q2139" s="4" t="str">
        <f t="shared" si="314"/>
        <v>2016/2017-Ganjil</v>
      </c>
      <c r="R2139" t="s">
        <v>535</v>
      </c>
      <c r="S2139" t="str">
        <f t="shared" si="310"/>
        <v>PA</v>
      </c>
    </row>
    <row r="2140" spans="1:19" x14ac:dyDescent="0.3">
      <c r="A2140" t="s">
        <v>12</v>
      </c>
      <c r="B2140">
        <v>2016110062</v>
      </c>
      <c r="C2140" t="s">
        <v>479</v>
      </c>
      <c r="E2140" t="s">
        <v>151</v>
      </c>
      <c r="F2140" t="s">
        <v>152</v>
      </c>
      <c r="G2140">
        <v>2</v>
      </c>
      <c r="H2140" t="s">
        <v>524</v>
      </c>
      <c r="I2140" s="4">
        <f t="shared" si="311"/>
        <v>2</v>
      </c>
      <c r="J2140">
        <f t="shared" si="312"/>
        <v>4</v>
      </c>
      <c r="K2140">
        <v>38</v>
      </c>
      <c r="L2140">
        <v>20</v>
      </c>
      <c r="M2140" s="2">
        <v>1.9</v>
      </c>
      <c r="N2140" s="2">
        <v>1.8</v>
      </c>
      <c r="O2140">
        <v>0</v>
      </c>
      <c r="P2140">
        <v>1</v>
      </c>
      <c r="Q2140" s="4" t="str">
        <f t="shared" si="314"/>
        <v>2016/2017-Ganjil</v>
      </c>
      <c r="R2140" t="s">
        <v>535</v>
      </c>
      <c r="S2140" t="str">
        <f t="shared" si="310"/>
        <v>PA</v>
      </c>
    </row>
    <row r="2141" spans="1:19" x14ac:dyDescent="0.3">
      <c r="A2141" t="s">
        <v>12</v>
      </c>
      <c r="B2141">
        <v>2016110062</v>
      </c>
      <c r="C2141" t="s">
        <v>479</v>
      </c>
      <c r="E2141" t="s">
        <v>131</v>
      </c>
      <c r="F2141" t="s">
        <v>132</v>
      </c>
      <c r="G2141">
        <v>2</v>
      </c>
      <c r="H2141" t="s">
        <v>524</v>
      </c>
      <c r="I2141" s="4">
        <f t="shared" si="311"/>
        <v>2</v>
      </c>
      <c r="J2141">
        <f t="shared" si="312"/>
        <v>4</v>
      </c>
      <c r="K2141">
        <v>38</v>
      </c>
      <c r="L2141">
        <v>20</v>
      </c>
      <c r="M2141" s="2">
        <v>1.9</v>
      </c>
      <c r="N2141" s="2">
        <v>1.8</v>
      </c>
      <c r="O2141">
        <v>0</v>
      </c>
      <c r="P2141">
        <v>1</v>
      </c>
      <c r="Q2141" s="4" t="str">
        <f t="shared" si="314"/>
        <v>2016/2017-Ganjil</v>
      </c>
      <c r="R2141" t="s">
        <v>535</v>
      </c>
      <c r="S2141" t="str">
        <f t="shared" si="310"/>
        <v>PA</v>
      </c>
    </row>
    <row r="2142" spans="1:19" x14ac:dyDescent="0.3">
      <c r="A2142" t="s">
        <v>12</v>
      </c>
      <c r="B2142">
        <v>2016110062</v>
      </c>
      <c r="C2142" t="s">
        <v>479</v>
      </c>
      <c r="E2142" t="s">
        <v>139</v>
      </c>
      <c r="F2142" t="s">
        <v>140</v>
      </c>
      <c r="G2142">
        <v>2</v>
      </c>
      <c r="H2142" t="s">
        <v>524</v>
      </c>
      <c r="I2142" s="4">
        <f t="shared" si="311"/>
        <v>2</v>
      </c>
      <c r="J2142">
        <f t="shared" si="312"/>
        <v>4</v>
      </c>
      <c r="K2142">
        <v>34</v>
      </c>
      <c r="L2142">
        <v>20</v>
      </c>
      <c r="M2142" s="2">
        <v>1.7</v>
      </c>
      <c r="N2142" s="2">
        <v>1.8</v>
      </c>
      <c r="O2142">
        <v>0</v>
      </c>
      <c r="P2142">
        <v>2</v>
      </c>
      <c r="Q2142" s="4" t="str">
        <f t="shared" si="314"/>
        <v>2016/2017-Genap</v>
      </c>
      <c r="R2142" t="s">
        <v>535</v>
      </c>
      <c r="S2142" t="str">
        <f t="shared" si="310"/>
        <v>PA</v>
      </c>
    </row>
    <row r="2143" spans="1:19" x14ac:dyDescent="0.3">
      <c r="A2143" t="s">
        <v>12</v>
      </c>
      <c r="B2143">
        <v>2016110062</v>
      </c>
      <c r="C2143" t="s">
        <v>479</v>
      </c>
      <c r="E2143" t="s">
        <v>142</v>
      </c>
      <c r="F2143" t="s">
        <v>143</v>
      </c>
      <c r="G2143">
        <v>2</v>
      </c>
      <c r="H2143" t="s">
        <v>524</v>
      </c>
      <c r="I2143" s="4">
        <f t="shared" si="311"/>
        <v>2</v>
      </c>
      <c r="J2143">
        <f t="shared" si="312"/>
        <v>4</v>
      </c>
      <c r="K2143">
        <v>38</v>
      </c>
      <c r="L2143">
        <v>20</v>
      </c>
      <c r="M2143" s="2">
        <v>1.9</v>
      </c>
      <c r="N2143" s="2">
        <v>1.8</v>
      </c>
      <c r="O2143">
        <v>0</v>
      </c>
      <c r="P2143">
        <v>1</v>
      </c>
      <c r="Q2143" s="4" t="str">
        <f t="shared" si="314"/>
        <v>2016/2017-Ganjil</v>
      </c>
      <c r="R2143" t="s">
        <v>535</v>
      </c>
      <c r="S2143" t="str">
        <f t="shared" si="310"/>
        <v>PA</v>
      </c>
    </row>
    <row r="2144" spans="1:19" x14ac:dyDescent="0.3">
      <c r="A2144" t="s">
        <v>12</v>
      </c>
      <c r="B2144">
        <v>2016110062</v>
      </c>
      <c r="C2144" t="s">
        <v>479</v>
      </c>
      <c r="E2144" t="s">
        <v>437</v>
      </c>
      <c r="F2144" t="s">
        <v>169</v>
      </c>
      <c r="G2144">
        <v>4</v>
      </c>
      <c r="H2144" t="s">
        <v>524</v>
      </c>
      <c r="I2144" s="4">
        <f t="shared" si="311"/>
        <v>2</v>
      </c>
      <c r="J2144">
        <f t="shared" si="312"/>
        <v>8</v>
      </c>
      <c r="K2144">
        <v>38</v>
      </c>
      <c r="L2144">
        <v>20</v>
      </c>
      <c r="M2144" s="2">
        <v>1.9</v>
      </c>
      <c r="N2144" s="2">
        <v>1.8</v>
      </c>
      <c r="O2144">
        <v>0</v>
      </c>
      <c r="P2144">
        <v>1</v>
      </c>
      <c r="Q2144" s="4" t="str">
        <f t="shared" si="314"/>
        <v>2016/2017-Ganjil</v>
      </c>
      <c r="R2144" t="s">
        <v>535</v>
      </c>
      <c r="S2144" t="str">
        <f t="shared" si="310"/>
        <v>PA</v>
      </c>
    </row>
    <row r="2145" spans="1:19" x14ac:dyDescent="0.3">
      <c r="A2145" t="s">
        <v>12</v>
      </c>
      <c r="B2145">
        <v>2016110062</v>
      </c>
      <c r="C2145" t="s">
        <v>479</v>
      </c>
      <c r="E2145" t="s">
        <v>290</v>
      </c>
      <c r="F2145" t="s">
        <v>327</v>
      </c>
      <c r="G2145">
        <v>4</v>
      </c>
      <c r="H2145" t="s">
        <v>524</v>
      </c>
      <c r="I2145" s="4">
        <f t="shared" si="311"/>
        <v>2</v>
      </c>
      <c r="J2145">
        <f t="shared" si="312"/>
        <v>8</v>
      </c>
      <c r="K2145">
        <v>34</v>
      </c>
      <c r="L2145">
        <v>20</v>
      </c>
      <c r="M2145" s="2">
        <v>1.7</v>
      </c>
      <c r="N2145" s="2">
        <v>1.8</v>
      </c>
      <c r="O2145">
        <v>0</v>
      </c>
      <c r="P2145">
        <v>2</v>
      </c>
      <c r="Q2145" s="4" t="str">
        <f t="shared" si="314"/>
        <v>2016/2017-Genap</v>
      </c>
      <c r="R2145" t="s">
        <v>535</v>
      </c>
      <c r="S2145" t="str">
        <f t="shared" si="310"/>
        <v>PA</v>
      </c>
    </row>
    <row r="2146" spans="1:19" x14ac:dyDescent="0.3">
      <c r="A2146" t="s">
        <v>12</v>
      </c>
      <c r="B2146">
        <v>2016110062</v>
      </c>
      <c r="C2146" t="s">
        <v>479</v>
      </c>
      <c r="E2146" t="s">
        <v>97</v>
      </c>
      <c r="F2146" t="s">
        <v>98</v>
      </c>
      <c r="G2146">
        <v>4</v>
      </c>
      <c r="H2146" t="s">
        <v>524</v>
      </c>
      <c r="I2146" s="4">
        <f t="shared" si="311"/>
        <v>2</v>
      </c>
      <c r="J2146">
        <f t="shared" si="312"/>
        <v>8</v>
      </c>
      <c r="K2146">
        <v>34</v>
      </c>
      <c r="L2146">
        <v>20</v>
      </c>
      <c r="M2146" s="2">
        <v>1.7</v>
      </c>
      <c r="N2146" s="2">
        <v>1.8</v>
      </c>
      <c r="O2146">
        <v>0</v>
      </c>
      <c r="P2146">
        <v>2</v>
      </c>
      <c r="Q2146" s="4" t="str">
        <f t="shared" si="314"/>
        <v>2016/2017-Genap</v>
      </c>
      <c r="R2146" t="s">
        <v>535</v>
      </c>
      <c r="S2146" t="str">
        <f t="shared" si="310"/>
        <v>PA</v>
      </c>
    </row>
    <row r="2147" spans="1:19" x14ac:dyDescent="0.3">
      <c r="A2147" t="s">
        <v>12</v>
      </c>
      <c r="B2147">
        <v>2016110062</v>
      </c>
      <c r="C2147" t="s">
        <v>479</v>
      </c>
      <c r="E2147" t="s">
        <v>122</v>
      </c>
      <c r="F2147" t="s">
        <v>123</v>
      </c>
      <c r="G2147">
        <v>4</v>
      </c>
      <c r="H2147" t="s">
        <v>535</v>
      </c>
      <c r="I2147" s="4">
        <f t="shared" si="311"/>
        <v>1</v>
      </c>
      <c r="J2147">
        <f t="shared" si="312"/>
        <v>4</v>
      </c>
      <c r="K2147">
        <v>38</v>
      </c>
      <c r="L2147">
        <v>20</v>
      </c>
      <c r="M2147" s="2">
        <v>1.9</v>
      </c>
      <c r="N2147" s="2">
        <v>1.8</v>
      </c>
      <c r="O2147">
        <v>0</v>
      </c>
      <c r="P2147">
        <v>1</v>
      </c>
      <c r="Q2147" s="4" t="str">
        <f t="shared" si="314"/>
        <v>2016/2017-Ganjil</v>
      </c>
      <c r="R2147" t="s">
        <v>535</v>
      </c>
      <c r="S2147" t="str">
        <f t="shared" si="310"/>
        <v>FA</v>
      </c>
    </row>
    <row r="2148" spans="1:19" x14ac:dyDescent="0.3">
      <c r="A2148" t="s">
        <v>12</v>
      </c>
      <c r="B2148">
        <v>2016110062</v>
      </c>
      <c r="C2148" t="s">
        <v>479</v>
      </c>
      <c r="E2148" t="s">
        <v>100</v>
      </c>
      <c r="F2148" t="s">
        <v>101</v>
      </c>
      <c r="G2148">
        <v>4</v>
      </c>
      <c r="H2148" t="s">
        <v>535</v>
      </c>
      <c r="I2148" s="4">
        <f t="shared" si="311"/>
        <v>1</v>
      </c>
      <c r="J2148">
        <f t="shared" si="312"/>
        <v>4</v>
      </c>
      <c r="K2148">
        <v>34</v>
      </c>
      <c r="L2148">
        <v>20</v>
      </c>
      <c r="M2148" s="2">
        <v>1.7</v>
      </c>
      <c r="N2148" s="2">
        <v>1.8</v>
      </c>
      <c r="O2148">
        <v>0</v>
      </c>
      <c r="P2148">
        <v>2</v>
      </c>
      <c r="Q2148" s="4" t="str">
        <f t="shared" si="314"/>
        <v>2016/2017-Genap</v>
      </c>
      <c r="R2148" t="s">
        <v>535</v>
      </c>
      <c r="S2148" t="str">
        <f t="shared" si="310"/>
        <v>FA</v>
      </c>
    </row>
    <row r="2149" spans="1:19" x14ac:dyDescent="0.3">
      <c r="A2149" t="s">
        <v>12</v>
      </c>
      <c r="B2149">
        <v>2016110062</v>
      </c>
      <c r="C2149" t="s">
        <v>479</v>
      </c>
      <c r="E2149" t="s">
        <v>77</v>
      </c>
      <c r="F2149" t="s">
        <v>78</v>
      </c>
      <c r="G2149">
        <v>2</v>
      </c>
      <c r="H2149" t="s">
        <v>535</v>
      </c>
      <c r="I2149" s="4">
        <f t="shared" si="311"/>
        <v>1</v>
      </c>
      <c r="J2149">
        <f t="shared" si="312"/>
        <v>2</v>
      </c>
      <c r="K2149">
        <v>38</v>
      </c>
      <c r="L2149">
        <v>20</v>
      </c>
      <c r="M2149" s="2">
        <v>1.9</v>
      </c>
      <c r="N2149" s="2">
        <v>1.8</v>
      </c>
      <c r="O2149">
        <v>0</v>
      </c>
      <c r="P2149">
        <v>1</v>
      </c>
      <c r="Q2149" s="4" t="str">
        <f t="shared" si="314"/>
        <v>2016/2017-Ganjil</v>
      </c>
      <c r="R2149" t="s">
        <v>535</v>
      </c>
      <c r="S2149" t="str">
        <f t="shared" si="310"/>
        <v>FA</v>
      </c>
    </row>
    <row r="2150" spans="1:19" x14ac:dyDescent="0.3">
      <c r="A2150" t="s">
        <v>12</v>
      </c>
      <c r="B2150">
        <v>2016110062</v>
      </c>
      <c r="C2150" t="s">
        <v>479</v>
      </c>
      <c r="E2150" t="s">
        <v>103</v>
      </c>
      <c r="F2150" t="s">
        <v>104</v>
      </c>
      <c r="G2150">
        <v>4</v>
      </c>
      <c r="H2150" t="s">
        <v>535</v>
      </c>
      <c r="I2150" s="4">
        <f t="shared" si="311"/>
        <v>1</v>
      </c>
      <c r="J2150">
        <f t="shared" si="312"/>
        <v>4</v>
      </c>
      <c r="K2150">
        <v>34</v>
      </c>
      <c r="L2150">
        <v>20</v>
      </c>
      <c r="M2150" s="2">
        <v>1.7</v>
      </c>
      <c r="N2150" s="2">
        <v>1.8</v>
      </c>
      <c r="O2150">
        <v>0</v>
      </c>
      <c r="P2150">
        <v>2</v>
      </c>
      <c r="Q2150" s="4" t="str">
        <f t="shared" si="314"/>
        <v>2016/2017-Genap</v>
      </c>
      <c r="R2150" t="s">
        <v>535</v>
      </c>
      <c r="S2150" t="str">
        <f t="shared" si="310"/>
        <v>FA</v>
      </c>
    </row>
    <row r="2151" spans="1:19" x14ac:dyDescent="0.3">
      <c r="A2151" t="s">
        <v>12</v>
      </c>
      <c r="B2151">
        <v>2016110063</v>
      </c>
      <c r="C2151" t="s">
        <v>210</v>
      </c>
      <c r="E2151" t="s">
        <v>211</v>
      </c>
      <c r="F2151" t="s">
        <v>186</v>
      </c>
      <c r="G2151">
        <v>4</v>
      </c>
      <c r="I2151" s="4"/>
      <c r="J2151">
        <f t="shared" ref="J2151:J2199" si="315">G2151*I2151</f>
        <v>0</v>
      </c>
      <c r="K2151">
        <v>36</v>
      </c>
      <c r="L2151">
        <v>14</v>
      </c>
      <c r="M2151" s="2">
        <v>2.57</v>
      </c>
      <c r="N2151" s="2">
        <v>2.82</v>
      </c>
      <c r="O2151">
        <v>0</v>
      </c>
      <c r="P2151">
        <v>5</v>
      </c>
      <c r="Q2151" s="4" t="str">
        <f t="shared" si="314"/>
        <v>2018/2019-Ganjil</v>
      </c>
      <c r="R2151" t="s">
        <v>260</v>
      </c>
      <c r="S2151" t="s">
        <v>595</v>
      </c>
    </row>
    <row r="2152" spans="1:19" x14ac:dyDescent="0.3">
      <c r="A2152" t="s">
        <v>12</v>
      </c>
      <c r="B2152">
        <v>2016110063</v>
      </c>
      <c r="C2152" t="s">
        <v>210</v>
      </c>
      <c r="E2152" t="s">
        <v>211</v>
      </c>
      <c r="F2152" t="s">
        <v>186</v>
      </c>
      <c r="G2152">
        <v>4</v>
      </c>
      <c r="I2152" s="4"/>
      <c r="J2152">
        <f t="shared" si="315"/>
        <v>0</v>
      </c>
      <c r="K2152">
        <v>24</v>
      </c>
      <c r="L2152">
        <v>14</v>
      </c>
      <c r="M2152" s="2">
        <v>1.71</v>
      </c>
      <c r="N2152" s="2">
        <v>2.82</v>
      </c>
      <c r="O2152">
        <v>1</v>
      </c>
      <c r="P2152">
        <v>9</v>
      </c>
      <c r="Q2152" s="4" t="str">
        <f t="shared" si="314"/>
        <v>2020/2021-Ganjil</v>
      </c>
      <c r="R2152" t="s">
        <v>260</v>
      </c>
      <c r="S2152" t="s">
        <v>595</v>
      </c>
    </row>
    <row r="2153" spans="1:19" x14ac:dyDescent="0.3">
      <c r="A2153" t="s">
        <v>12</v>
      </c>
      <c r="B2153">
        <v>2016110063</v>
      </c>
      <c r="C2153" t="s">
        <v>210</v>
      </c>
      <c r="E2153" t="s">
        <v>211</v>
      </c>
      <c r="F2153" t="s">
        <v>186</v>
      </c>
      <c r="G2153">
        <v>4</v>
      </c>
      <c r="H2153" t="s">
        <v>438</v>
      </c>
      <c r="I2153" s="4">
        <f t="shared" ref="I2153:I2199" si="316">IF(H2153="A",4,IF(H2153="B",3,IF(H2153="C",2,IF(H2153="D",1,0))))</f>
        <v>3</v>
      </c>
      <c r="J2153">
        <f t="shared" si="315"/>
        <v>12</v>
      </c>
      <c r="K2153">
        <v>26</v>
      </c>
      <c r="L2153">
        <v>14</v>
      </c>
      <c r="M2153" s="2">
        <v>1.86</v>
      </c>
      <c r="N2153" s="2">
        <v>2.82</v>
      </c>
      <c r="O2153">
        <v>2</v>
      </c>
      <c r="P2153">
        <v>11</v>
      </c>
      <c r="Q2153" s="4" t="s">
        <v>573</v>
      </c>
      <c r="R2153" t="s">
        <v>596</v>
      </c>
      <c r="S2153" t="str">
        <f>IF(OR(H2153="A",H2153="B",H2153="C"),"PA","FA")</f>
        <v>PA</v>
      </c>
    </row>
    <row r="2154" spans="1:19" x14ac:dyDescent="0.3">
      <c r="A2154" t="s">
        <v>12</v>
      </c>
      <c r="B2154">
        <v>2016110063</v>
      </c>
      <c r="C2154" t="s">
        <v>210</v>
      </c>
      <c r="E2154" t="s">
        <v>190</v>
      </c>
      <c r="F2154" t="s">
        <v>191</v>
      </c>
      <c r="G2154">
        <v>4</v>
      </c>
      <c r="I2154" s="4"/>
      <c r="J2154">
        <f t="shared" si="315"/>
        <v>0</v>
      </c>
      <c r="K2154">
        <v>24</v>
      </c>
      <c r="L2154">
        <v>12</v>
      </c>
      <c r="M2154" s="2">
        <v>2</v>
      </c>
      <c r="N2154" s="2">
        <v>2.82</v>
      </c>
      <c r="O2154">
        <v>0</v>
      </c>
      <c r="P2154">
        <v>7</v>
      </c>
      <c r="Q2154" s="4" t="str">
        <f>IF(P2154=1,"2016/2017-Ganjil",IF(P2154=2,"2016/2017-Genap",IF(P2154=3,"2017/2018-Ganjil",IF(P2154=4,"2017/2018-Genap",IF(P2154=5,"2018/2019-Ganjil",IF(P2154=6,"2018/2019-Genap",IF(P2154=7,"2019/2020-Ganjil",IF(P2154=8,"2019/2020-Genap",IF(P2154=9,"2020/2021-Ganjil","2020/2021-Genap")))))))))</f>
        <v>2019/2020-Ganjil</v>
      </c>
      <c r="R2154" t="s">
        <v>260</v>
      </c>
      <c r="S2154" t="s">
        <v>595</v>
      </c>
    </row>
    <row r="2155" spans="1:19" x14ac:dyDescent="0.3">
      <c r="A2155" t="s">
        <v>12</v>
      </c>
      <c r="B2155">
        <v>2016110063</v>
      </c>
      <c r="C2155" t="s">
        <v>210</v>
      </c>
      <c r="E2155" t="s">
        <v>190</v>
      </c>
      <c r="F2155" t="s">
        <v>191</v>
      </c>
      <c r="G2155">
        <v>4</v>
      </c>
      <c r="H2155" t="s">
        <v>539</v>
      </c>
      <c r="I2155" s="4">
        <f t="shared" si="316"/>
        <v>0</v>
      </c>
      <c r="J2155">
        <f t="shared" si="315"/>
        <v>0</v>
      </c>
      <c r="K2155">
        <v>24</v>
      </c>
      <c r="L2155">
        <v>14</v>
      </c>
      <c r="M2155" s="2">
        <v>1.71</v>
      </c>
      <c r="N2155" s="2">
        <v>2.82</v>
      </c>
      <c r="O2155">
        <v>1</v>
      </c>
      <c r="P2155">
        <v>9</v>
      </c>
      <c r="Q2155" s="4" t="str">
        <f>IF(P2155=1,"2016/2017-Ganjil",IF(P2155=2,"2016/2017-Genap",IF(P2155=3,"2017/2018-Ganjil",IF(P2155=4,"2017/2018-Genap",IF(P2155=5,"2018/2019-Ganjil",IF(P2155=6,"2018/2019-Genap",IF(P2155=7,"2019/2020-Ganjil",IF(P2155=8,"2019/2020-Genap",IF(P2155=9,"2020/2021-Ganjil","2020/2021-Genap")))))))))</f>
        <v>2020/2021-Ganjil</v>
      </c>
      <c r="R2155" t="s">
        <v>260</v>
      </c>
      <c r="S2155" t="str">
        <f t="shared" ref="S2155:S2197" si="317">IF(OR(H2155="A",H2155="B",H2155="C"),"PA","FA")</f>
        <v>FA</v>
      </c>
    </row>
    <row r="2156" spans="1:19" x14ac:dyDescent="0.3">
      <c r="A2156" t="s">
        <v>12</v>
      </c>
      <c r="B2156">
        <v>2016110063</v>
      </c>
      <c r="C2156" t="s">
        <v>210</v>
      </c>
      <c r="E2156" t="s">
        <v>190</v>
      </c>
      <c r="F2156" t="s">
        <v>191</v>
      </c>
      <c r="G2156">
        <v>4</v>
      </c>
      <c r="H2156" t="s">
        <v>438</v>
      </c>
      <c r="I2156" s="4">
        <f t="shared" ref="I2156:I2197" si="318">IF(H2156="A",4,IF(H2156="B",3,IF(H2156="C",2,IF(H2156="D",1,0))))</f>
        <v>3</v>
      </c>
      <c r="J2156">
        <f t="shared" ref="J2156:J2197" si="319">G2156*I2156</f>
        <v>12</v>
      </c>
      <c r="K2156">
        <v>66</v>
      </c>
      <c r="L2156">
        <v>22</v>
      </c>
      <c r="M2156" s="2">
        <v>3</v>
      </c>
      <c r="N2156" s="2">
        <v>2.82</v>
      </c>
      <c r="O2156">
        <v>2</v>
      </c>
      <c r="P2156">
        <v>10</v>
      </c>
      <c r="Q2156" s="4" t="s">
        <v>578</v>
      </c>
      <c r="R2156" t="s">
        <v>260</v>
      </c>
      <c r="S2156" t="str">
        <f t="shared" si="317"/>
        <v>PA</v>
      </c>
    </row>
    <row r="2157" spans="1:19" x14ac:dyDescent="0.3">
      <c r="A2157" t="s">
        <v>12</v>
      </c>
      <c r="B2157">
        <v>2016110063</v>
      </c>
      <c r="C2157" t="s">
        <v>210</v>
      </c>
      <c r="E2157" t="s">
        <v>142</v>
      </c>
      <c r="F2157" t="s">
        <v>143</v>
      </c>
      <c r="G2157">
        <v>2</v>
      </c>
      <c r="H2157" t="s">
        <v>260</v>
      </c>
      <c r="I2157" s="4">
        <f t="shared" si="318"/>
        <v>4</v>
      </c>
      <c r="J2157">
        <f t="shared" si="319"/>
        <v>8</v>
      </c>
      <c r="K2157">
        <v>60</v>
      </c>
      <c r="L2157">
        <v>20</v>
      </c>
      <c r="M2157" s="2">
        <v>3</v>
      </c>
      <c r="N2157" s="2">
        <v>2.82</v>
      </c>
      <c r="O2157">
        <v>0</v>
      </c>
      <c r="P2157">
        <v>1</v>
      </c>
      <c r="Q2157" s="4" t="str">
        <f t="shared" ref="Q2157:Q2165" si="320">IF(P2157=1,"2016/2017-Ganjil",IF(P2157=2,"2016/2017-Genap",IF(P2157=3,"2017/2018-Ganjil",IF(P2157=4,"2017/2018-Genap",IF(P2157=5,"2018/2019-Ganjil",IF(P2157=6,"2018/2019-Genap",IF(P2157=7,"2019/2020-Ganjil",IF(P2157=8,"2019/2020-Genap",IF(P2157=9,"2020/2021-Ganjil","2020/2021-Genap")))))))))</f>
        <v>2016/2017-Ganjil</v>
      </c>
      <c r="R2157" t="s">
        <v>260</v>
      </c>
      <c r="S2157" t="str">
        <f t="shared" si="317"/>
        <v>PA</v>
      </c>
    </row>
    <row r="2158" spans="1:19" x14ac:dyDescent="0.3">
      <c r="A2158" t="s">
        <v>12</v>
      </c>
      <c r="B2158">
        <v>2016110063</v>
      </c>
      <c r="C2158" t="s">
        <v>210</v>
      </c>
      <c r="E2158" t="s">
        <v>77</v>
      </c>
      <c r="F2158" t="s">
        <v>78</v>
      </c>
      <c r="G2158">
        <v>2</v>
      </c>
      <c r="H2158" t="s">
        <v>260</v>
      </c>
      <c r="I2158" s="4">
        <f t="shared" si="318"/>
        <v>4</v>
      </c>
      <c r="J2158">
        <f t="shared" si="319"/>
        <v>8</v>
      </c>
      <c r="K2158">
        <v>60</v>
      </c>
      <c r="L2158">
        <v>20</v>
      </c>
      <c r="M2158" s="2">
        <v>3</v>
      </c>
      <c r="N2158" s="2">
        <v>2.82</v>
      </c>
      <c r="O2158">
        <v>0</v>
      </c>
      <c r="P2158">
        <v>1</v>
      </c>
      <c r="Q2158" s="4" t="str">
        <f t="shared" si="320"/>
        <v>2016/2017-Ganjil</v>
      </c>
      <c r="R2158" t="s">
        <v>260</v>
      </c>
      <c r="S2158" t="str">
        <f t="shared" si="317"/>
        <v>PA</v>
      </c>
    </row>
    <row r="2159" spans="1:19" x14ac:dyDescent="0.3">
      <c r="A2159" t="s">
        <v>12</v>
      </c>
      <c r="B2159">
        <v>2016110063</v>
      </c>
      <c r="C2159" t="s">
        <v>210</v>
      </c>
      <c r="E2159" t="s">
        <v>170</v>
      </c>
      <c r="F2159" t="s">
        <v>171</v>
      </c>
      <c r="G2159">
        <v>4</v>
      </c>
      <c r="H2159" t="s">
        <v>260</v>
      </c>
      <c r="I2159" s="4">
        <f t="shared" si="318"/>
        <v>4</v>
      </c>
      <c r="J2159">
        <f t="shared" si="319"/>
        <v>16</v>
      </c>
      <c r="K2159">
        <v>52</v>
      </c>
      <c r="L2159">
        <v>18</v>
      </c>
      <c r="M2159" s="2">
        <v>2.89</v>
      </c>
      <c r="N2159" s="2">
        <v>2.82</v>
      </c>
      <c r="O2159">
        <v>0</v>
      </c>
      <c r="P2159">
        <v>3</v>
      </c>
      <c r="Q2159" s="4" t="str">
        <f t="shared" si="320"/>
        <v>2017/2018-Ganjil</v>
      </c>
      <c r="R2159" t="s">
        <v>260</v>
      </c>
      <c r="S2159" t="str">
        <f t="shared" si="317"/>
        <v>PA</v>
      </c>
    </row>
    <row r="2160" spans="1:19" x14ac:dyDescent="0.3">
      <c r="A2160" t="s">
        <v>12</v>
      </c>
      <c r="B2160">
        <v>2016110063</v>
      </c>
      <c r="C2160" t="s">
        <v>210</v>
      </c>
      <c r="E2160" t="s">
        <v>151</v>
      </c>
      <c r="F2160" t="s">
        <v>152</v>
      </c>
      <c r="G2160">
        <v>2</v>
      </c>
      <c r="H2160" t="s">
        <v>260</v>
      </c>
      <c r="I2160" s="4">
        <f t="shared" si="318"/>
        <v>4</v>
      </c>
      <c r="J2160">
        <f t="shared" si="319"/>
        <v>8</v>
      </c>
      <c r="K2160">
        <v>60</v>
      </c>
      <c r="L2160">
        <v>20</v>
      </c>
      <c r="M2160" s="2">
        <v>3</v>
      </c>
      <c r="N2160" s="2">
        <v>2.82</v>
      </c>
      <c r="O2160">
        <v>0</v>
      </c>
      <c r="P2160">
        <v>1</v>
      </c>
      <c r="Q2160" s="4" t="str">
        <f t="shared" si="320"/>
        <v>2016/2017-Ganjil</v>
      </c>
      <c r="R2160" t="s">
        <v>260</v>
      </c>
      <c r="S2160" t="str">
        <f t="shared" si="317"/>
        <v>PA</v>
      </c>
    </row>
    <row r="2161" spans="1:19" x14ac:dyDescent="0.3">
      <c r="A2161" t="s">
        <v>12</v>
      </c>
      <c r="B2161">
        <v>2016110063</v>
      </c>
      <c r="C2161" t="s">
        <v>210</v>
      </c>
      <c r="E2161" t="s">
        <v>131</v>
      </c>
      <c r="F2161" t="s">
        <v>132</v>
      </c>
      <c r="G2161">
        <v>2</v>
      </c>
      <c r="H2161" t="s">
        <v>260</v>
      </c>
      <c r="I2161" s="4">
        <f t="shared" si="318"/>
        <v>4</v>
      </c>
      <c r="J2161">
        <f t="shared" si="319"/>
        <v>8</v>
      </c>
      <c r="K2161">
        <v>60</v>
      </c>
      <c r="L2161">
        <v>20</v>
      </c>
      <c r="M2161" s="2">
        <v>3</v>
      </c>
      <c r="N2161" s="2">
        <v>2.82</v>
      </c>
      <c r="O2161">
        <v>0</v>
      </c>
      <c r="P2161">
        <v>1</v>
      </c>
      <c r="Q2161" s="4" t="str">
        <f t="shared" si="320"/>
        <v>2016/2017-Ganjil</v>
      </c>
      <c r="R2161" t="s">
        <v>260</v>
      </c>
      <c r="S2161" t="str">
        <f t="shared" si="317"/>
        <v>PA</v>
      </c>
    </row>
    <row r="2162" spans="1:19" x14ac:dyDescent="0.3">
      <c r="A2162" t="s">
        <v>12</v>
      </c>
      <c r="B2162">
        <v>2016110063</v>
      </c>
      <c r="C2162" t="s">
        <v>210</v>
      </c>
      <c r="E2162" t="s">
        <v>337</v>
      </c>
      <c r="F2162" t="s">
        <v>338</v>
      </c>
      <c r="G2162">
        <v>2</v>
      </c>
      <c r="H2162" t="s">
        <v>260</v>
      </c>
      <c r="I2162" s="4">
        <f t="shared" si="318"/>
        <v>4</v>
      </c>
      <c r="J2162">
        <f t="shared" si="319"/>
        <v>8</v>
      </c>
      <c r="K2162">
        <v>36</v>
      </c>
      <c r="L2162">
        <v>14</v>
      </c>
      <c r="M2162" s="2">
        <v>2.57</v>
      </c>
      <c r="N2162" s="2">
        <v>2.82</v>
      </c>
      <c r="O2162">
        <v>0</v>
      </c>
      <c r="P2162">
        <v>5</v>
      </c>
      <c r="Q2162" s="4" t="str">
        <f t="shared" si="320"/>
        <v>2018/2019-Ganjil</v>
      </c>
      <c r="R2162" t="s">
        <v>260</v>
      </c>
      <c r="S2162" t="str">
        <f t="shared" si="317"/>
        <v>PA</v>
      </c>
    </row>
    <row r="2163" spans="1:19" x14ac:dyDescent="0.3">
      <c r="A2163" t="s">
        <v>12</v>
      </c>
      <c r="B2163">
        <v>2016110063</v>
      </c>
      <c r="C2163" t="s">
        <v>210</v>
      </c>
      <c r="E2163" t="s">
        <v>192</v>
      </c>
      <c r="F2163" t="s">
        <v>106</v>
      </c>
      <c r="G2163">
        <v>2</v>
      </c>
      <c r="H2163" t="s">
        <v>438</v>
      </c>
      <c r="I2163" s="4">
        <f t="shared" si="318"/>
        <v>3</v>
      </c>
      <c r="J2163">
        <f t="shared" si="319"/>
        <v>6</v>
      </c>
      <c r="K2163">
        <v>52</v>
      </c>
      <c r="L2163">
        <v>18</v>
      </c>
      <c r="M2163" s="2">
        <v>2.89</v>
      </c>
      <c r="N2163" s="2">
        <v>2.82</v>
      </c>
      <c r="O2163">
        <v>0</v>
      </c>
      <c r="P2163">
        <v>3</v>
      </c>
      <c r="Q2163" s="4" t="str">
        <f t="shared" si="320"/>
        <v>2017/2018-Ganjil</v>
      </c>
      <c r="R2163" t="s">
        <v>260</v>
      </c>
      <c r="S2163" t="str">
        <f t="shared" si="317"/>
        <v>PA</v>
      </c>
    </row>
    <row r="2164" spans="1:19" x14ac:dyDescent="0.3">
      <c r="A2164" t="s">
        <v>12</v>
      </c>
      <c r="B2164">
        <v>2016110063</v>
      </c>
      <c r="C2164" t="s">
        <v>210</v>
      </c>
      <c r="E2164" t="s">
        <v>306</v>
      </c>
      <c r="F2164" t="s">
        <v>307</v>
      </c>
      <c r="G2164">
        <v>2</v>
      </c>
      <c r="H2164" t="s">
        <v>438</v>
      </c>
      <c r="I2164" s="4">
        <f t="shared" si="318"/>
        <v>3</v>
      </c>
      <c r="J2164">
        <f t="shared" si="319"/>
        <v>6</v>
      </c>
      <c r="K2164">
        <v>36</v>
      </c>
      <c r="L2164">
        <v>14</v>
      </c>
      <c r="M2164" s="2">
        <v>2.57</v>
      </c>
      <c r="N2164" s="2">
        <v>2.82</v>
      </c>
      <c r="O2164">
        <v>0</v>
      </c>
      <c r="P2164">
        <v>5</v>
      </c>
      <c r="Q2164" s="4" t="str">
        <f t="shared" si="320"/>
        <v>2018/2019-Ganjil</v>
      </c>
      <c r="R2164" t="s">
        <v>260</v>
      </c>
      <c r="S2164" t="str">
        <f t="shared" si="317"/>
        <v>PA</v>
      </c>
    </row>
    <row r="2165" spans="1:19" x14ac:dyDescent="0.3">
      <c r="A2165" t="s">
        <v>12</v>
      </c>
      <c r="B2165">
        <v>2016110063</v>
      </c>
      <c r="C2165" t="s">
        <v>210</v>
      </c>
      <c r="E2165" t="s">
        <v>165</v>
      </c>
      <c r="F2165" t="s">
        <v>166</v>
      </c>
      <c r="G2165">
        <v>2</v>
      </c>
      <c r="H2165" t="s">
        <v>438</v>
      </c>
      <c r="I2165" s="4">
        <f t="shared" si="318"/>
        <v>3</v>
      </c>
      <c r="J2165">
        <f t="shared" si="319"/>
        <v>6</v>
      </c>
      <c r="K2165">
        <v>60</v>
      </c>
      <c r="L2165">
        <v>20</v>
      </c>
      <c r="M2165" s="2">
        <v>3</v>
      </c>
      <c r="N2165" s="2">
        <v>2.82</v>
      </c>
      <c r="O2165">
        <v>0</v>
      </c>
      <c r="P2165">
        <v>1</v>
      </c>
      <c r="Q2165" s="4" t="str">
        <f t="shared" si="320"/>
        <v>2016/2017-Ganjil</v>
      </c>
      <c r="R2165" t="s">
        <v>260</v>
      </c>
      <c r="S2165" t="str">
        <f t="shared" si="317"/>
        <v>PA</v>
      </c>
    </row>
    <row r="2166" spans="1:19" x14ac:dyDescent="0.3">
      <c r="A2166" t="s">
        <v>12</v>
      </c>
      <c r="B2166">
        <v>2016110063</v>
      </c>
      <c r="C2166" t="s">
        <v>210</v>
      </c>
      <c r="E2166" t="s">
        <v>446</v>
      </c>
      <c r="F2166" t="s">
        <v>447</v>
      </c>
      <c r="G2166">
        <v>2</v>
      </c>
      <c r="H2166" t="s">
        <v>438</v>
      </c>
      <c r="I2166" s="4">
        <f t="shared" si="318"/>
        <v>3</v>
      </c>
      <c r="J2166">
        <f t="shared" si="319"/>
        <v>6</v>
      </c>
      <c r="K2166">
        <v>20</v>
      </c>
      <c r="L2166">
        <v>8</v>
      </c>
      <c r="M2166" s="2">
        <v>2.5</v>
      </c>
      <c r="N2166" s="2">
        <v>2.82</v>
      </c>
      <c r="O2166">
        <v>0</v>
      </c>
      <c r="P2166">
        <v>8</v>
      </c>
      <c r="Q2166" s="4" t="str">
        <f>IF(P2166=1,"2016/2017-Ganjil",IF(P2166=2,"2016/2017-Genap",IF(P2166=3,"2017/2018-Ganjil",IF(P2166=4,"2017/2018-Genap",IF(P2166=5,"2018/2019-Ganjil",IF(P2166=6,"2018/2019-Genap",IF(P2166=7,"2019/2020-Ganjil",IF(P2166=8,"2019/2020-Genap",IF(P2166=9,"2020/2021-Ganjil",IF(P2166=10,"2020/2021-Genap",IF(P2166=11,"2021/2022-Ganjil",IF(P2166=12,"2021/2022-Genap",IF(P2166=13,"2022/2023-Ganjil","2022/2023-Genap")))))))))))))</f>
        <v>2019/2020-Genap</v>
      </c>
      <c r="R2166" t="s">
        <v>260</v>
      </c>
      <c r="S2166" t="str">
        <f t="shared" si="317"/>
        <v>PA</v>
      </c>
    </row>
    <row r="2167" spans="1:19" x14ac:dyDescent="0.3">
      <c r="A2167" t="s">
        <v>12</v>
      </c>
      <c r="B2167">
        <v>2016110063</v>
      </c>
      <c r="C2167" t="s">
        <v>210</v>
      </c>
      <c r="E2167" t="s">
        <v>344</v>
      </c>
      <c r="F2167" t="s">
        <v>345</v>
      </c>
      <c r="G2167">
        <v>2</v>
      </c>
      <c r="H2167" t="s">
        <v>438</v>
      </c>
      <c r="I2167" s="4">
        <f t="shared" si="318"/>
        <v>3</v>
      </c>
      <c r="J2167">
        <f t="shared" si="319"/>
        <v>6</v>
      </c>
      <c r="K2167">
        <v>24</v>
      </c>
      <c r="L2167">
        <v>14</v>
      </c>
      <c r="M2167" s="2">
        <v>1.71</v>
      </c>
      <c r="N2167" s="2">
        <v>2.82</v>
      </c>
      <c r="O2167">
        <v>0</v>
      </c>
      <c r="P2167">
        <v>9</v>
      </c>
      <c r="Q2167" s="4" t="str">
        <f>IF(P2167=1,"2016/2017-Ganjil",IF(P2167=2,"2016/2017-Genap",IF(P2167=3,"2017/2018-Ganjil",IF(P2167=4,"2017/2018-Genap",IF(P2167=5,"2018/2019-Ganjil",IF(P2167=6,"2018/2019-Genap",IF(P2167=7,"2019/2020-Ganjil",IF(P2167=8,"2019/2020-Genap",IF(P2167=9,"2020/2021-Ganjil","2020/2021-Genap")))))))))</f>
        <v>2020/2021-Ganjil</v>
      </c>
      <c r="R2167" t="s">
        <v>260</v>
      </c>
      <c r="S2167" t="str">
        <f t="shared" si="317"/>
        <v>PA</v>
      </c>
    </row>
    <row r="2168" spans="1:19" x14ac:dyDescent="0.3">
      <c r="A2168" t="s">
        <v>12</v>
      </c>
      <c r="B2168">
        <v>2016110063</v>
      </c>
      <c r="C2168" t="s">
        <v>210</v>
      </c>
      <c r="E2168" t="s">
        <v>427</v>
      </c>
      <c r="F2168" t="s">
        <v>428</v>
      </c>
      <c r="G2168">
        <v>2</v>
      </c>
      <c r="H2168" t="s">
        <v>438</v>
      </c>
      <c r="I2168" s="4">
        <f t="shared" si="318"/>
        <v>3</v>
      </c>
      <c r="J2168">
        <f t="shared" si="319"/>
        <v>6</v>
      </c>
      <c r="K2168">
        <v>36</v>
      </c>
      <c r="L2168">
        <v>18</v>
      </c>
      <c r="M2168" s="2">
        <v>2</v>
      </c>
      <c r="N2168" s="2">
        <v>2.82</v>
      </c>
      <c r="O2168">
        <v>0</v>
      </c>
      <c r="P2168">
        <v>6</v>
      </c>
      <c r="Q2168" s="4" t="str">
        <f>IF(P2168=1,"2016/2017-Ganjil",IF(P2168=2,"2016/2017-Genap",IF(P2168=3,"2017/2018-Ganjil",IF(P2168=4,"2017/2018-Genap",IF(P2168=5,"2018/2019-Ganjil",IF(P2168=6,"2018/2019-Genap",IF(P2168=7,"2019/2020-Ganjil",IF(P2168=8,"2019/2020-Genap",IF(P2168=9,"2020/2021-Ganjil",IF(P2168=10,"2020/2021-Genap",IF(P2168=11,"2021/2022-Ganjil",IF(P2168=12,"2021/2022-Genap",IF(P2168=13,"2022/2023-Ganjil","2022/2023-Genap")))))))))))))</f>
        <v>2018/2019-Genap</v>
      </c>
      <c r="R2168" t="s">
        <v>260</v>
      </c>
      <c r="S2168" t="str">
        <f t="shared" si="317"/>
        <v>PA</v>
      </c>
    </row>
    <row r="2169" spans="1:19" x14ac:dyDescent="0.3">
      <c r="A2169" t="s">
        <v>12</v>
      </c>
      <c r="B2169">
        <v>2016110063</v>
      </c>
      <c r="C2169" t="s">
        <v>210</v>
      </c>
      <c r="E2169" t="s">
        <v>244</v>
      </c>
      <c r="F2169" t="s">
        <v>228</v>
      </c>
      <c r="G2169">
        <v>2</v>
      </c>
      <c r="H2169" t="s">
        <v>438</v>
      </c>
      <c r="I2169" s="4">
        <f t="shared" si="318"/>
        <v>3</v>
      </c>
      <c r="J2169">
        <f t="shared" si="319"/>
        <v>6</v>
      </c>
      <c r="K2169">
        <v>48</v>
      </c>
      <c r="L2169">
        <v>22</v>
      </c>
      <c r="M2169" s="2">
        <v>2.1800000000000002</v>
      </c>
      <c r="N2169" s="2">
        <v>2.82</v>
      </c>
      <c r="O2169">
        <v>0</v>
      </c>
      <c r="P2169">
        <v>4</v>
      </c>
      <c r="Q2169" s="4" t="str">
        <f>IF(P2169=1,"2016/2017-Ganjil",IF(P2169=2,"2016/2017-Genap",IF(P2169=3,"2017/2018-Ganjil",IF(P2169=4,"2017/2018-Genap",IF(P2169=5,"2018/2019-Ganjil",IF(P2169=6,"2018/2019-Genap",IF(P2169=7,"2019/2020-Ganjil",IF(P2169=8,"2019/2020-Genap",IF(P2169=9,"2020/2021-Ganjil",IF(P2169=10,"2020/2021-Genap",IF(P2169=11,"2021/2022-Ganjil",IF(P2169=12,"2021/2022-Genap",IF(P2169=13,"2022/2023-Ganjil","2022/2023-Genap")))))))))))))</f>
        <v>2017/2018-Genap</v>
      </c>
      <c r="R2169" t="s">
        <v>260</v>
      </c>
      <c r="S2169" t="str">
        <f t="shared" si="317"/>
        <v>PA</v>
      </c>
    </row>
    <row r="2170" spans="1:19" x14ac:dyDescent="0.3">
      <c r="A2170" t="s">
        <v>12</v>
      </c>
      <c r="B2170">
        <v>2016110063</v>
      </c>
      <c r="C2170" t="s">
        <v>210</v>
      </c>
      <c r="E2170" t="s">
        <v>139</v>
      </c>
      <c r="F2170" t="s">
        <v>140</v>
      </c>
      <c r="G2170">
        <v>2</v>
      </c>
      <c r="H2170" t="s">
        <v>438</v>
      </c>
      <c r="I2170" s="4">
        <f t="shared" si="318"/>
        <v>3</v>
      </c>
      <c r="J2170">
        <f t="shared" si="319"/>
        <v>6</v>
      </c>
      <c r="K2170">
        <v>48</v>
      </c>
      <c r="L2170">
        <v>20</v>
      </c>
      <c r="M2170" s="2">
        <v>2.4</v>
      </c>
      <c r="N2170" s="2">
        <v>2.82</v>
      </c>
      <c r="O2170">
        <v>0</v>
      </c>
      <c r="P2170">
        <v>2</v>
      </c>
      <c r="Q2170" s="4" t="str">
        <f>IF(P2170=1,"2016/2017-Ganjil",IF(P2170=2,"2016/2017-Genap",IF(P2170=3,"2017/2018-Ganjil",IF(P2170=4,"2017/2018-Genap",IF(P2170=5,"2018/2019-Ganjil",IF(P2170=6,"2018/2019-Genap",IF(P2170=7,"2019/2020-Ganjil",IF(P2170=8,"2019/2020-Genap",IF(P2170=9,"2020/2021-Ganjil",IF(P2170=10,"2020/2021-Genap",IF(P2170=11,"2021/2022-Ganjil",IF(P2170=12,"2021/2022-Genap",IF(P2170=13,"2022/2023-Ganjil","2022/2023-Genap")))))))))))))</f>
        <v>2016/2017-Genap</v>
      </c>
      <c r="R2170" t="s">
        <v>260</v>
      </c>
      <c r="S2170" t="str">
        <f t="shared" si="317"/>
        <v>PA</v>
      </c>
    </row>
    <row r="2171" spans="1:19" x14ac:dyDescent="0.3">
      <c r="A2171" t="s">
        <v>12</v>
      </c>
      <c r="B2171">
        <v>2016110063</v>
      </c>
      <c r="C2171" t="s">
        <v>210</v>
      </c>
      <c r="E2171" t="s">
        <v>316</v>
      </c>
      <c r="F2171" t="s">
        <v>317</v>
      </c>
      <c r="G2171">
        <v>2</v>
      </c>
      <c r="H2171" t="s">
        <v>438</v>
      </c>
      <c r="I2171" s="4">
        <f t="shared" si="318"/>
        <v>3</v>
      </c>
      <c r="J2171">
        <f t="shared" si="319"/>
        <v>6</v>
      </c>
      <c r="K2171">
        <v>24</v>
      </c>
      <c r="L2171">
        <v>12</v>
      </c>
      <c r="M2171" s="2">
        <v>2</v>
      </c>
      <c r="N2171" s="2">
        <v>2.82</v>
      </c>
      <c r="O2171">
        <v>0</v>
      </c>
      <c r="P2171">
        <v>7</v>
      </c>
      <c r="Q2171" s="4" t="str">
        <f>IF(P2171=1,"2016/2017-Ganjil",IF(P2171=2,"2016/2017-Genap",IF(P2171=3,"2017/2018-Ganjil",IF(P2171=4,"2017/2018-Genap",IF(P2171=5,"2018/2019-Ganjil",IF(P2171=6,"2018/2019-Genap",IF(P2171=7,"2019/2020-Ganjil",IF(P2171=8,"2019/2020-Genap",IF(P2171=9,"2020/2021-Ganjil","2020/2021-Genap")))))))))</f>
        <v>2019/2020-Ganjil</v>
      </c>
      <c r="R2171" t="s">
        <v>260</v>
      </c>
      <c r="S2171" t="str">
        <f t="shared" si="317"/>
        <v>PA</v>
      </c>
    </row>
    <row r="2172" spans="1:19" x14ac:dyDescent="0.3">
      <c r="A2172" t="s">
        <v>12</v>
      </c>
      <c r="B2172">
        <v>2016110063</v>
      </c>
      <c r="C2172" t="s">
        <v>210</v>
      </c>
      <c r="E2172" t="s">
        <v>276</v>
      </c>
      <c r="F2172" t="s">
        <v>137</v>
      </c>
      <c r="G2172">
        <v>4</v>
      </c>
      <c r="H2172" t="s">
        <v>438</v>
      </c>
      <c r="I2172" s="4">
        <f t="shared" si="318"/>
        <v>3</v>
      </c>
      <c r="J2172">
        <f t="shared" si="319"/>
        <v>12</v>
      </c>
      <c r="K2172">
        <v>48</v>
      </c>
      <c r="L2172">
        <v>22</v>
      </c>
      <c r="M2172" s="2">
        <v>2.1800000000000002</v>
      </c>
      <c r="N2172" s="2">
        <v>2.82</v>
      </c>
      <c r="O2172">
        <v>0</v>
      </c>
      <c r="P2172">
        <v>4</v>
      </c>
      <c r="Q2172" s="4" t="str">
        <f>IF(P2172=1,"2016/2017-Ganjil",IF(P2172=2,"2016/2017-Genap",IF(P2172=3,"2017/2018-Ganjil",IF(P2172=4,"2017/2018-Genap",IF(P2172=5,"2018/2019-Ganjil",IF(P2172=6,"2018/2019-Genap",IF(P2172=7,"2019/2020-Ganjil",IF(P2172=8,"2019/2020-Genap",IF(P2172=9,"2020/2021-Ganjil",IF(P2172=10,"2020/2021-Genap",IF(P2172=11,"2021/2022-Ganjil",IF(P2172=12,"2021/2022-Genap",IF(P2172=13,"2022/2023-Ganjil","2022/2023-Genap")))))))))))))</f>
        <v>2017/2018-Genap</v>
      </c>
      <c r="R2172" t="s">
        <v>260</v>
      </c>
      <c r="S2172" t="str">
        <f t="shared" si="317"/>
        <v>PA</v>
      </c>
    </row>
    <row r="2173" spans="1:19" x14ac:dyDescent="0.3">
      <c r="A2173" t="s">
        <v>12</v>
      </c>
      <c r="B2173">
        <v>2016110063</v>
      </c>
      <c r="C2173" t="s">
        <v>210</v>
      </c>
      <c r="E2173" t="s">
        <v>330</v>
      </c>
      <c r="F2173" t="s">
        <v>108</v>
      </c>
      <c r="G2173">
        <v>2</v>
      </c>
      <c r="H2173" t="s">
        <v>438</v>
      </c>
      <c r="I2173" s="4">
        <f t="shared" si="318"/>
        <v>3</v>
      </c>
      <c r="J2173">
        <f t="shared" si="319"/>
        <v>6</v>
      </c>
      <c r="K2173">
        <v>24</v>
      </c>
      <c r="L2173">
        <v>12</v>
      </c>
      <c r="M2173" s="2">
        <v>2</v>
      </c>
      <c r="N2173" s="2">
        <v>2.82</v>
      </c>
      <c r="O2173">
        <v>0</v>
      </c>
      <c r="P2173">
        <v>7</v>
      </c>
      <c r="Q2173" s="4" t="str">
        <f>IF(P2173=1,"2016/2017-Ganjil",IF(P2173=2,"2016/2017-Genap",IF(P2173=3,"2017/2018-Ganjil",IF(P2173=4,"2017/2018-Genap",IF(P2173=5,"2018/2019-Ganjil",IF(P2173=6,"2018/2019-Genap",IF(P2173=7,"2019/2020-Ganjil",IF(P2173=8,"2019/2020-Genap",IF(P2173=9,"2020/2021-Ganjil","2020/2021-Genap")))))))))</f>
        <v>2019/2020-Ganjil</v>
      </c>
      <c r="R2173" t="s">
        <v>260</v>
      </c>
      <c r="S2173" t="str">
        <f t="shared" si="317"/>
        <v>PA</v>
      </c>
    </row>
    <row r="2174" spans="1:19" x14ac:dyDescent="0.3">
      <c r="A2174" t="s">
        <v>12</v>
      </c>
      <c r="B2174">
        <v>2016110063</v>
      </c>
      <c r="C2174" t="s">
        <v>210</v>
      </c>
      <c r="E2174" t="s">
        <v>279</v>
      </c>
      <c r="F2174" t="s">
        <v>280</v>
      </c>
      <c r="G2174">
        <v>2</v>
      </c>
      <c r="H2174" t="s">
        <v>438</v>
      </c>
      <c r="I2174" s="4">
        <f t="shared" si="318"/>
        <v>3</v>
      </c>
      <c r="J2174">
        <f t="shared" si="319"/>
        <v>6</v>
      </c>
      <c r="K2174">
        <v>48</v>
      </c>
      <c r="L2174">
        <v>20</v>
      </c>
      <c r="M2174" s="2">
        <v>2.4</v>
      </c>
      <c r="N2174" s="2">
        <v>2.82</v>
      </c>
      <c r="O2174">
        <v>0</v>
      </c>
      <c r="P2174">
        <v>2</v>
      </c>
      <c r="Q2174" s="4" t="str">
        <f>IF(P2174=1,"2016/2017-Ganjil",IF(P2174=2,"2016/2017-Genap",IF(P2174=3,"2017/2018-Ganjil",IF(P2174=4,"2017/2018-Genap",IF(P2174=5,"2018/2019-Ganjil",IF(P2174=6,"2018/2019-Genap",IF(P2174=7,"2019/2020-Ganjil",IF(P2174=8,"2019/2020-Genap",IF(P2174=9,"2020/2021-Ganjil",IF(P2174=10,"2020/2021-Genap",IF(P2174=11,"2021/2022-Ganjil",IF(P2174=12,"2021/2022-Genap",IF(P2174=13,"2022/2023-Ganjil","2022/2023-Genap")))))))))))))</f>
        <v>2016/2017-Genap</v>
      </c>
      <c r="R2174" t="s">
        <v>260</v>
      </c>
      <c r="S2174" t="str">
        <f t="shared" si="317"/>
        <v>PA</v>
      </c>
    </row>
    <row r="2175" spans="1:19" x14ac:dyDescent="0.3">
      <c r="A2175" t="s">
        <v>12</v>
      </c>
      <c r="B2175">
        <v>2016110063</v>
      </c>
      <c r="C2175" t="s">
        <v>210</v>
      </c>
      <c r="E2175" t="s">
        <v>372</v>
      </c>
      <c r="F2175" t="s">
        <v>373</v>
      </c>
      <c r="G2175">
        <v>2</v>
      </c>
      <c r="H2175" t="s">
        <v>438</v>
      </c>
      <c r="I2175" s="4">
        <f t="shared" si="318"/>
        <v>3</v>
      </c>
      <c r="J2175">
        <f t="shared" si="319"/>
        <v>6</v>
      </c>
      <c r="K2175">
        <v>36</v>
      </c>
      <c r="L2175">
        <v>18</v>
      </c>
      <c r="M2175" s="2">
        <v>2</v>
      </c>
      <c r="N2175" s="2">
        <v>2.82</v>
      </c>
      <c r="O2175">
        <v>0</v>
      </c>
      <c r="P2175">
        <v>6</v>
      </c>
      <c r="Q2175" s="4" t="str">
        <f>IF(P2175=1,"2016/2017-Ganjil",IF(P2175=2,"2016/2017-Genap",IF(P2175=3,"2017/2018-Ganjil",IF(P2175=4,"2017/2018-Genap",IF(P2175=5,"2018/2019-Ganjil",IF(P2175=6,"2018/2019-Genap",IF(P2175=7,"2019/2020-Ganjil",IF(P2175=8,"2019/2020-Genap",IF(P2175=9,"2020/2021-Ganjil",IF(P2175=10,"2020/2021-Genap",IF(P2175=11,"2021/2022-Ganjil",IF(P2175=12,"2021/2022-Genap",IF(P2175=13,"2022/2023-Ganjil","2022/2023-Genap")))))))))))))</f>
        <v>2018/2019-Genap</v>
      </c>
      <c r="R2175" t="s">
        <v>260</v>
      </c>
      <c r="S2175" t="str">
        <f t="shared" si="317"/>
        <v>PA</v>
      </c>
    </row>
    <row r="2176" spans="1:19" x14ac:dyDescent="0.3">
      <c r="A2176" t="s">
        <v>12</v>
      </c>
      <c r="B2176">
        <v>2016110063</v>
      </c>
      <c r="C2176" t="s">
        <v>210</v>
      </c>
      <c r="E2176" t="s">
        <v>205</v>
      </c>
      <c r="F2176" t="s">
        <v>116</v>
      </c>
      <c r="G2176">
        <v>4</v>
      </c>
      <c r="H2176" t="s">
        <v>438</v>
      </c>
      <c r="I2176" s="4">
        <f t="shared" si="318"/>
        <v>3</v>
      </c>
      <c r="J2176">
        <f t="shared" si="319"/>
        <v>12</v>
      </c>
      <c r="K2176">
        <v>52</v>
      </c>
      <c r="L2176">
        <v>18</v>
      </c>
      <c r="M2176" s="2">
        <v>2.89</v>
      </c>
      <c r="N2176" s="2">
        <v>2.82</v>
      </c>
      <c r="O2176">
        <v>0</v>
      </c>
      <c r="P2176">
        <v>3</v>
      </c>
      <c r="Q2176" s="4" t="str">
        <f>IF(P2176=1,"2016/2017-Ganjil",IF(P2176=2,"2016/2017-Genap",IF(P2176=3,"2017/2018-Ganjil",IF(P2176=4,"2017/2018-Genap",IF(P2176=5,"2018/2019-Ganjil",IF(P2176=6,"2018/2019-Genap",IF(P2176=7,"2019/2020-Ganjil",IF(P2176=8,"2019/2020-Genap",IF(P2176=9,"2020/2021-Ganjil","2020/2021-Genap")))))))))</f>
        <v>2017/2018-Ganjil</v>
      </c>
      <c r="R2176" t="s">
        <v>260</v>
      </c>
      <c r="S2176" t="str">
        <f t="shared" si="317"/>
        <v>PA</v>
      </c>
    </row>
    <row r="2177" spans="1:19" x14ac:dyDescent="0.3">
      <c r="A2177" t="s">
        <v>12</v>
      </c>
      <c r="B2177">
        <v>2016110063</v>
      </c>
      <c r="C2177" t="s">
        <v>210</v>
      </c>
      <c r="E2177" t="s">
        <v>90</v>
      </c>
      <c r="F2177" t="s">
        <v>91</v>
      </c>
      <c r="G2177">
        <v>2</v>
      </c>
      <c r="H2177" t="s">
        <v>438</v>
      </c>
      <c r="I2177" s="4">
        <f t="shared" si="318"/>
        <v>3</v>
      </c>
      <c r="J2177">
        <f t="shared" si="319"/>
        <v>6</v>
      </c>
      <c r="K2177">
        <v>60</v>
      </c>
      <c r="L2177">
        <v>20</v>
      </c>
      <c r="M2177" s="2">
        <v>3</v>
      </c>
      <c r="N2177" s="2">
        <v>2.82</v>
      </c>
      <c r="O2177">
        <v>0</v>
      </c>
      <c r="P2177">
        <v>1</v>
      </c>
      <c r="Q2177" s="4" t="str">
        <f>IF(P2177=1,"2016/2017-Ganjil",IF(P2177=2,"2016/2017-Genap",IF(P2177=3,"2017/2018-Ganjil",IF(P2177=4,"2017/2018-Genap",IF(P2177=5,"2018/2019-Ganjil",IF(P2177=6,"2018/2019-Genap",IF(P2177=7,"2019/2020-Ganjil",IF(P2177=8,"2019/2020-Genap",IF(P2177=9,"2020/2021-Ganjil","2020/2021-Genap")))))))))</f>
        <v>2016/2017-Ganjil</v>
      </c>
      <c r="R2177" t="s">
        <v>260</v>
      </c>
      <c r="S2177" t="str">
        <f t="shared" si="317"/>
        <v>PA</v>
      </c>
    </row>
    <row r="2178" spans="1:19" x14ac:dyDescent="0.3">
      <c r="A2178" t="s">
        <v>12</v>
      </c>
      <c r="B2178">
        <v>2016110063</v>
      </c>
      <c r="C2178" t="s">
        <v>210</v>
      </c>
      <c r="E2178" t="s">
        <v>262</v>
      </c>
      <c r="F2178" t="s">
        <v>263</v>
      </c>
      <c r="G2178">
        <v>2</v>
      </c>
      <c r="H2178" t="s">
        <v>438</v>
      </c>
      <c r="I2178" s="4">
        <f t="shared" si="318"/>
        <v>3</v>
      </c>
      <c r="J2178">
        <f t="shared" si="319"/>
        <v>6</v>
      </c>
      <c r="K2178">
        <v>36</v>
      </c>
      <c r="L2178">
        <v>18</v>
      </c>
      <c r="M2178" s="2">
        <v>2</v>
      </c>
      <c r="N2178" s="2">
        <v>2.82</v>
      </c>
      <c r="O2178">
        <v>0</v>
      </c>
      <c r="P2178">
        <v>6</v>
      </c>
      <c r="Q2178" s="4" t="str">
        <f>IF(P2178=1,"2016/2017-Ganjil",IF(P2178=2,"2016/2017-Genap",IF(P2178=3,"2017/2018-Ganjil",IF(P2178=4,"2017/2018-Genap",IF(P2178=5,"2018/2019-Ganjil",IF(P2178=6,"2018/2019-Genap",IF(P2178=7,"2019/2020-Ganjil",IF(P2178=8,"2019/2020-Genap",IF(P2178=9,"2020/2021-Ganjil",IF(P2178=10,"2020/2021-Genap",IF(P2178=11,"2021/2022-Ganjil",IF(P2178=12,"2021/2022-Genap",IF(P2178=13,"2022/2023-Ganjil","2022/2023-Genap")))))))))))))</f>
        <v>2018/2019-Genap</v>
      </c>
      <c r="R2178" t="s">
        <v>260</v>
      </c>
      <c r="S2178" t="str">
        <f t="shared" si="317"/>
        <v>PA</v>
      </c>
    </row>
    <row r="2179" spans="1:19" x14ac:dyDescent="0.3">
      <c r="A2179" t="s">
        <v>12</v>
      </c>
      <c r="B2179">
        <v>2016110063</v>
      </c>
      <c r="C2179" t="s">
        <v>210</v>
      </c>
      <c r="E2179" t="s">
        <v>208</v>
      </c>
      <c r="F2179" t="s">
        <v>209</v>
      </c>
      <c r="G2179">
        <v>2</v>
      </c>
      <c r="H2179" t="s">
        <v>438</v>
      </c>
      <c r="I2179" s="4">
        <f t="shared" si="318"/>
        <v>3</v>
      </c>
      <c r="J2179">
        <f t="shared" si="319"/>
        <v>6</v>
      </c>
      <c r="K2179">
        <v>24</v>
      </c>
      <c r="L2179">
        <v>14</v>
      </c>
      <c r="M2179" s="2">
        <v>1.71</v>
      </c>
      <c r="N2179" s="2">
        <v>2.82</v>
      </c>
      <c r="O2179">
        <v>0</v>
      </c>
      <c r="P2179">
        <v>9</v>
      </c>
      <c r="Q2179" s="4" t="str">
        <f>IF(P2179=1,"2016/2017-Ganjil",IF(P2179=2,"2016/2017-Genap",IF(P2179=3,"2017/2018-Ganjil",IF(P2179=4,"2017/2018-Genap",IF(P2179=5,"2018/2019-Ganjil",IF(P2179=6,"2018/2019-Genap",IF(P2179=7,"2019/2020-Ganjil",IF(P2179=8,"2019/2020-Genap",IF(P2179=9,"2020/2021-Ganjil","2020/2021-Genap")))))))))</f>
        <v>2020/2021-Ganjil</v>
      </c>
      <c r="R2179" t="s">
        <v>260</v>
      </c>
      <c r="S2179" t="str">
        <f t="shared" si="317"/>
        <v>PA</v>
      </c>
    </row>
    <row r="2180" spans="1:19" x14ac:dyDescent="0.3">
      <c r="A2180" t="s">
        <v>12</v>
      </c>
      <c r="B2180">
        <v>2016110063</v>
      </c>
      <c r="C2180" t="s">
        <v>210</v>
      </c>
      <c r="E2180" t="s">
        <v>348</v>
      </c>
      <c r="F2180" t="s">
        <v>402</v>
      </c>
      <c r="G2180">
        <v>4</v>
      </c>
      <c r="H2180" t="s">
        <v>438</v>
      </c>
      <c r="I2180" s="4">
        <f t="shared" si="318"/>
        <v>3</v>
      </c>
      <c r="J2180">
        <f t="shared" si="319"/>
        <v>12</v>
      </c>
      <c r="K2180">
        <v>48</v>
      </c>
      <c r="L2180">
        <v>22</v>
      </c>
      <c r="M2180" s="2">
        <v>2.1800000000000002</v>
      </c>
      <c r="N2180" s="2">
        <v>2.82</v>
      </c>
      <c r="O2180">
        <v>0</v>
      </c>
      <c r="P2180">
        <v>4</v>
      </c>
      <c r="Q2180" s="4" t="str">
        <f>IF(P2180=1,"2016/2017-Ganjil",IF(P2180=2,"2016/2017-Genap",IF(P2180=3,"2017/2018-Ganjil",IF(P2180=4,"2017/2018-Genap",IF(P2180=5,"2018/2019-Ganjil",IF(P2180=6,"2018/2019-Genap",IF(P2180=7,"2019/2020-Ganjil",IF(P2180=8,"2019/2020-Genap",IF(P2180=9,"2020/2021-Ganjil",IF(P2180=10,"2020/2021-Genap",IF(P2180=11,"2021/2022-Ganjil",IF(P2180=12,"2021/2022-Genap",IF(P2180=13,"2022/2023-Ganjil","2022/2023-Genap")))))))))))))</f>
        <v>2017/2018-Genap</v>
      </c>
      <c r="R2180" t="s">
        <v>260</v>
      </c>
      <c r="S2180" t="str">
        <f t="shared" si="317"/>
        <v>PA</v>
      </c>
    </row>
    <row r="2181" spans="1:19" x14ac:dyDescent="0.3">
      <c r="A2181" t="s">
        <v>12</v>
      </c>
      <c r="B2181">
        <v>2016110063</v>
      </c>
      <c r="C2181" t="s">
        <v>210</v>
      </c>
      <c r="E2181" t="s">
        <v>14</v>
      </c>
      <c r="F2181" t="s">
        <v>15</v>
      </c>
      <c r="G2181">
        <v>2</v>
      </c>
      <c r="H2181" t="s">
        <v>438</v>
      </c>
      <c r="I2181" s="4">
        <f t="shared" si="318"/>
        <v>3</v>
      </c>
      <c r="J2181">
        <f t="shared" si="319"/>
        <v>6</v>
      </c>
      <c r="K2181">
        <v>26</v>
      </c>
      <c r="L2181">
        <v>14</v>
      </c>
      <c r="M2181" s="2">
        <v>1.86</v>
      </c>
      <c r="N2181" s="2">
        <v>2.82</v>
      </c>
      <c r="O2181">
        <v>0</v>
      </c>
      <c r="P2181">
        <v>11</v>
      </c>
      <c r="Q2181" s="4" t="s">
        <v>573</v>
      </c>
      <c r="R2181" t="s">
        <v>596</v>
      </c>
      <c r="S2181" t="str">
        <f t="shared" si="317"/>
        <v>PA</v>
      </c>
    </row>
    <row r="2182" spans="1:19" x14ac:dyDescent="0.3">
      <c r="A2182" t="s">
        <v>12</v>
      </c>
      <c r="B2182">
        <v>2016110063</v>
      </c>
      <c r="C2182" t="s">
        <v>210</v>
      </c>
      <c r="E2182" t="s">
        <v>302</v>
      </c>
      <c r="F2182" t="s">
        <v>303</v>
      </c>
      <c r="G2182">
        <v>2</v>
      </c>
      <c r="H2182" t="s">
        <v>438</v>
      </c>
      <c r="I2182" s="4">
        <f t="shared" si="318"/>
        <v>3</v>
      </c>
      <c r="J2182">
        <f t="shared" si="319"/>
        <v>6</v>
      </c>
      <c r="K2182">
        <v>36</v>
      </c>
      <c r="L2182">
        <v>18</v>
      </c>
      <c r="M2182" s="2">
        <v>2</v>
      </c>
      <c r="N2182" s="2">
        <v>2.82</v>
      </c>
      <c r="O2182">
        <v>0</v>
      </c>
      <c r="P2182">
        <v>6</v>
      </c>
      <c r="Q2182" s="4" t="str">
        <f>IF(P2182=1,"2016/2017-Ganjil",IF(P2182=2,"2016/2017-Genap",IF(P2182=3,"2017/2018-Ganjil",IF(P2182=4,"2017/2018-Genap",IF(P2182=5,"2018/2019-Ganjil",IF(P2182=6,"2018/2019-Genap",IF(P2182=7,"2019/2020-Ganjil",IF(P2182=8,"2019/2020-Genap",IF(P2182=9,"2020/2021-Ganjil",IF(P2182=10,"2020/2021-Genap",IF(P2182=11,"2021/2022-Ganjil",IF(P2182=12,"2021/2022-Genap",IF(P2182=13,"2022/2023-Ganjil","2022/2023-Genap")))))))))))))</f>
        <v>2018/2019-Genap</v>
      </c>
      <c r="R2182" t="s">
        <v>260</v>
      </c>
      <c r="S2182" t="str">
        <f t="shared" si="317"/>
        <v>PA</v>
      </c>
    </row>
    <row r="2183" spans="1:19" x14ac:dyDescent="0.3">
      <c r="A2183" t="s">
        <v>12</v>
      </c>
      <c r="B2183">
        <v>2016110063</v>
      </c>
      <c r="C2183" t="s">
        <v>210</v>
      </c>
      <c r="E2183" t="s">
        <v>97</v>
      </c>
      <c r="F2183" t="s">
        <v>98</v>
      </c>
      <c r="G2183">
        <v>4</v>
      </c>
      <c r="H2183" t="s">
        <v>438</v>
      </c>
      <c r="I2183" s="4">
        <f t="shared" si="318"/>
        <v>3</v>
      </c>
      <c r="J2183">
        <f t="shared" si="319"/>
        <v>12</v>
      </c>
      <c r="K2183">
        <v>48</v>
      </c>
      <c r="L2183">
        <v>20</v>
      </c>
      <c r="M2183" s="2">
        <v>2.4</v>
      </c>
      <c r="N2183" s="2">
        <v>2.82</v>
      </c>
      <c r="O2183">
        <v>0</v>
      </c>
      <c r="P2183">
        <v>2</v>
      </c>
      <c r="Q2183" s="4" t="str">
        <f>IF(P2183=1,"2016/2017-Ganjil",IF(P2183=2,"2016/2017-Genap",IF(P2183=3,"2017/2018-Ganjil",IF(P2183=4,"2017/2018-Genap",IF(P2183=5,"2018/2019-Ganjil",IF(P2183=6,"2018/2019-Genap",IF(P2183=7,"2019/2020-Ganjil",IF(P2183=8,"2019/2020-Genap",IF(P2183=9,"2020/2021-Ganjil",IF(P2183=10,"2020/2021-Genap",IF(P2183=11,"2021/2022-Ganjil",IF(P2183=12,"2021/2022-Genap",IF(P2183=13,"2022/2023-Ganjil","2022/2023-Genap")))))))))))))</f>
        <v>2016/2017-Genap</v>
      </c>
      <c r="R2183" t="s">
        <v>260</v>
      </c>
      <c r="S2183" t="str">
        <f t="shared" si="317"/>
        <v>PA</v>
      </c>
    </row>
    <row r="2184" spans="1:19" x14ac:dyDescent="0.3">
      <c r="A2184" t="s">
        <v>12</v>
      </c>
      <c r="B2184">
        <v>2016110063</v>
      </c>
      <c r="C2184" t="s">
        <v>210</v>
      </c>
      <c r="E2184" t="s">
        <v>248</v>
      </c>
      <c r="F2184" t="s">
        <v>249</v>
      </c>
      <c r="G2184">
        <v>2</v>
      </c>
      <c r="H2184" t="s">
        <v>438</v>
      </c>
      <c r="I2184" s="4">
        <f t="shared" si="318"/>
        <v>3</v>
      </c>
      <c r="J2184">
        <f t="shared" si="319"/>
        <v>6</v>
      </c>
      <c r="K2184">
        <v>48</v>
      </c>
      <c r="L2184">
        <v>22</v>
      </c>
      <c r="M2184" s="2">
        <v>2.1800000000000002</v>
      </c>
      <c r="N2184" s="2">
        <v>2.82</v>
      </c>
      <c r="O2184">
        <v>0</v>
      </c>
      <c r="P2184">
        <v>4</v>
      </c>
      <c r="Q2184" s="4" t="str">
        <f>IF(P2184=1,"2016/2017-Ganjil",IF(P2184=2,"2016/2017-Genap",IF(P2184=3,"2017/2018-Ganjil",IF(P2184=4,"2017/2018-Genap",IF(P2184=5,"2018/2019-Ganjil",IF(P2184=6,"2018/2019-Genap",IF(P2184=7,"2019/2020-Ganjil",IF(P2184=8,"2019/2020-Genap",IF(P2184=9,"2020/2021-Ganjil",IF(P2184=10,"2020/2021-Genap",IF(P2184=11,"2021/2022-Ganjil",IF(P2184=12,"2021/2022-Genap",IF(P2184=13,"2022/2023-Ganjil","2022/2023-Genap")))))))))))))</f>
        <v>2017/2018-Genap</v>
      </c>
      <c r="R2184" t="s">
        <v>260</v>
      </c>
      <c r="S2184" t="str">
        <f t="shared" si="317"/>
        <v>PA</v>
      </c>
    </row>
    <row r="2185" spans="1:19" x14ac:dyDescent="0.3">
      <c r="A2185" t="s">
        <v>12</v>
      </c>
      <c r="B2185">
        <v>2016110063</v>
      </c>
      <c r="C2185" t="s">
        <v>210</v>
      </c>
      <c r="E2185" t="s">
        <v>290</v>
      </c>
      <c r="F2185" t="s">
        <v>327</v>
      </c>
      <c r="G2185">
        <v>4</v>
      </c>
      <c r="H2185" t="s">
        <v>438</v>
      </c>
      <c r="I2185" s="4">
        <f t="shared" si="318"/>
        <v>3</v>
      </c>
      <c r="J2185">
        <f t="shared" si="319"/>
        <v>12</v>
      </c>
      <c r="K2185">
        <v>48</v>
      </c>
      <c r="L2185">
        <v>20</v>
      </c>
      <c r="M2185" s="2">
        <v>2.4</v>
      </c>
      <c r="N2185" s="2">
        <v>2.82</v>
      </c>
      <c r="O2185">
        <v>0</v>
      </c>
      <c r="P2185">
        <v>2</v>
      </c>
      <c r="Q2185" s="4" t="str">
        <f>IF(P2185=1,"2016/2017-Ganjil",IF(P2185=2,"2016/2017-Genap",IF(P2185=3,"2017/2018-Ganjil",IF(P2185=4,"2017/2018-Genap",IF(P2185=5,"2018/2019-Ganjil",IF(P2185=6,"2018/2019-Genap",IF(P2185=7,"2019/2020-Ganjil",IF(P2185=8,"2019/2020-Genap",IF(P2185=9,"2020/2021-Ganjil",IF(P2185=10,"2020/2021-Genap",IF(P2185=11,"2021/2022-Ganjil",IF(P2185=12,"2021/2022-Genap",IF(P2185=13,"2022/2023-Ganjil","2022/2023-Genap")))))))))))))</f>
        <v>2016/2017-Genap</v>
      </c>
      <c r="R2185" t="s">
        <v>260</v>
      </c>
      <c r="S2185" t="str">
        <f t="shared" si="317"/>
        <v>PA</v>
      </c>
    </row>
    <row r="2186" spans="1:19" x14ac:dyDescent="0.3">
      <c r="A2186" t="s">
        <v>12</v>
      </c>
      <c r="B2186">
        <v>2016110063</v>
      </c>
      <c r="C2186" t="s">
        <v>210</v>
      </c>
      <c r="E2186" t="s">
        <v>370</v>
      </c>
      <c r="F2186" t="s">
        <v>371</v>
      </c>
      <c r="G2186">
        <v>2</v>
      </c>
      <c r="H2186" t="s">
        <v>438</v>
      </c>
      <c r="I2186" s="4">
        <f t="shared" si="318"/>
        <v>3</v>
      </c>
      <c r="J2186">
        <f t="shared" si="319"/>
        <v>6</v>
      </c>
      <c r="K2186">
        <v>36</v>
      </c>
      <c r="L2186">
        <v>14</v>
      </c>
      <c r="M2186" s="2">
        <v>2.57</v>
      </c>
      <c r="N2186" s="2">
        <v>2.82</v>
      </c>
      <c r="O2186">
        <v>0</v>
      </c>
      <c r="P2186">
        <v>5</v>
      </c>
      <c r="Q2186" s="4" t="str">
        <f>IF(P2186=1,"2016/2017-Ganjil",IF(P2186=2,"2016/2017-Genap",IF(P2186=3,"2017/2018-Ganjil",IF(P2186=4,"2017/2018-Genap",IF(P2186=5,"2018/2019-Ganjil",IF(P2186=6,"2018/2019-Genap",IF(P2186=7,"2019/2020-Ganjil",IF(P2186=8,"2019/2020-Genap",IF(P2186=9,"2020/2021-Ganjil","2020/2021-Genap")))))))))</f>
        <v>2018/2019-Ganjil</v>
      </c>
      <c r="R2186" t="s">
        <v>260</v>
      </c>
      <c r="S2186" t="str">
        <f t="shared" si="317"/>
        <v>PA</v>
      </c>
    </row>
    <row r="2187" spans="1:19" x14ac:dyDescent="0.3">
      <c r="A2187" t="s">
        <v>12</v>
      </c>
      <c r="B2187">
        <v>2016110063</v>
      </c>
      <c r="C2187" t="s">
        <v>210</v>
      </c>
      <c r="E2187" t="s">
        <v>241</v>
      </c>
      <c r="F2187" t="s">
        <v>45</v>
      </c>
      <c r="G2187">
        <v>2</v>
      </c>
      <c r="H2187" t="s">
        <v>438</v>
      </c>
      <c r="I2187" s="4">
        <f t="shared" si="318"/>
        <v>3</v>
      </c>
      <c r="J2187">
        <f t="shared" si="319"/>
        <v>6</v>
      </c>
      <c r="K2187">
        <v>52</v>
      </c>
      <c r="L2187">
        <v>18</v>
      </c>
      <c r="M2187" s="2">
        <v>2.89</v>
      </c>
      <c r="N2187" s="2">
        <v>2.82</v>
      </c>
      <c r="O2187">
        <v>0</v>
      </c>
      <c r="P2187">
        <v>3</v>
      </c>
      <c r="Q2187" s="4" t="str">
        <f>IF(P2187=1,"2016/2017-Ganjil",IF(P2187=2,"2016/2017-Genap",IF(P2187=3,"2017/2018-Ganjil",IF(P2187=4,"2017/2018-Genap",IF(P2187=5,"2018/2019-Ganjil",IF(P2187=6,"2018/2019-Genap",IF(P2187=7,"2019/2020-Ganjil",IF(P2187=8,"2019/2020-Genap",IF(P2187=9,"2020/2021-Ganjil","2020/2021-Genap")))))))))</f>
        <v>2017/2018-Ganjil</v>
      </c>
      <c r="R2187" t="s">
        <v>260</v>
      </c>
      <c r="S2187" t="str">
        <f t="shared" si="317"/>
        <v>PA</v>
      </c>
    </row>
    <row r="2188" spans="1:19" x14ac:dyDescent="0.3">
      <c r="A2188" t="s">
        <v>12</v>
      </c>
      <c r="B2188">
        <v>2016110063</v>
      </c>
      <c r="C2188" t="s">
        <v>210</v>
      </c>
      <c r="E2188" t="s">
        <v>382</v>
      </c>
      <c r="F2188" t="s">
        <v>383</v>
      </c>
      <c r="G2188">
        <v>4</v>
      </c>
      <c r="H2188" t="s">
        <v>524</v>
      </c>
      <c r="I2188" s="4">
        <f t="shared" si="318"/>
        <v>2</v>
      </c>
      <c r="J2188">
        <f t="shared" si="319"/>
        <v>8</v>
      </c>
      <c r="K2188">
        <v>24</v>
      </c>
      <c r="L2188">
        <v>12</v>
      </c>
      <c r="M2188" s="2">
        <v>2</v>
      </c>
      <c r="N2188" s="2">
        <v>2.82</v>
      </c>
      <c r="O2188">
        <v>0</v>
      </c>
      <c r="P2188">
        <v>7</v>
      </c>
      <c r="Q2188" s="4" t="str">
        <f>IF(P2188=1,"2016/2017-Ganjil",IF(P2188=2,"2016/2017-Genap",IF(P2188=3,"2017/2018-Ganjil",IF(P2188=4,"2017/2018-Genap",IF(P2188=5,"2018/2019-Ganjil",IF(P2188=6,"2018/2019-Genap",IF(P2188=7,"2019/2020-Ganjil",IF(P2188=8,"2019/2020-Genap",IF(P2188=9,"2020/2021-Ganjil","2020/2021-Genap")))))))))</f>
        <v>2019/2020-Ganjil</v>
      </c>
      <c r="R2188" t="s">
        <v>260</v>
      </c>
      <c r="S2188" t="str">
        <f t="shared" si="317"/>
        <v>PA</v>
      </c>
    </row>
    <row r="2189" spans="1:19" x14ac:dyDescent="0.3">
      <c r="A2189" t="s">
        <v>12</v>
      </c>
      <c r="B2189">
        <v>2016110063</v>
      </c>
      <c r="C2189" t="s">
        <v>210</v>
      </c>
      <c r="E2189" t="s">
        <v>234</v>
      </c>
      <c r="F2189" t="s">
        <v>235</v>
      </c>
      <c r="G2189">
        <v>4</v>
      </c>
      <c r="H2189" t="s">
        <v>524</v>
      </c>
      <c r="I2189" s="4">
        <f t="shared" si="318"/>
        <v>2</v>
      </c>
      <c r="J2189">
        <f t="shared" si="319"/>
        <v>8</v>
      </c>
      <c r="K2189">
        <v>52</v>
      </c>
      <c r="L2189">
        <v>18</v>
      </c>
      <c r="M2189" s="2">
        <v>2.89</v>
      </c>
      <c r="N2189" s="2">
        <v>2.82</v>
      </c>
      <c r="O2189">
        <v>0</v>
      </c>
      <c r="P2189">
        <v>3</v>
      </c>
      <c r="Q2189" s="4" t="str">
        <f>IF(P2189=1,"2016/2017-Ganjil",IF(P2189=2,"2016/2017-Genap",IF(P2189=3,"2017/2018-Ganjil",IF(P2189=4,"2017/2018-Genap",IF(P2189=5,"2018/2019-Ganjil",IF(P2189=6,"2018/2019-Genap",IF(P2189=7,"2019/2020-Ganjil",IF(P2189=8,"2019/2020-Genap",IF(P2189=9,"2020/2021-Ganjil","2020/2021-Genap")))))))))</f>
        <v>2017/2018-Ganjil</v>
      </c>
      <c r="R2189" t="s">
        <v>260</v>
      </c>
      <c r="S2189" t="str">
        <f t="shared" si="317"/>
        <v>PA</v>
      </c>
    </row>
    <row r="2190" spans="1:19" x14ac:dyDescent="0.3">
      <c r="A2190" t="s">
        <v>12</v>
      </c>
      <c r="B2190">
        <v>2016110063</v>
      </c>
      <c r="C2190" t="s">
        <v>210</v>
      </c>
      <c r="E2190" t="s">
        <v>234</v>
      </c>
      <c r="F2190" t="s">
        <v>235</v>
      </c>
      <c r="G2190">
        <v>4</v>
      </c>
      <c r="H2190" t="s">
        <v>524</v>
      </c>
      <c r="I2190" s="4">
        <f t="shared" si="318"/>
        <v>2</v>
      </c>
      <c r="J2190">
        <f t="shared" si="319"/>
        <v>8</v>
      </c>
      <c r="K2190">
        <v>24</v>
      </c>
      <c r="L2190">
        <v>14</v>
      </c>
      <c r="M2190" s="2">
        <v>1.71</v>
      </c>
      <c r="N2190" s="2">
        <v>2.82</v>
      </c>
      <c r="O2190">
        <v>1</v>
      </c>
      <c r="P2190">
        <v>9</v>
      </c>
      <c r="Q2190" s="4" t="str">
        <f>IF(P2190=1,"2016/2017-Ganjil",IF(P2190=2,"2016/2017-Genap",IF(P2190=3,"2017/2018-Ganjil",IF(P2190=4,"2017/2018-Genap",IF(P2190=5,"2018/2019-Ganjil",IF(P2190=6,"2018/2019-Genap",IF(P2190=7,"2019/2020-Ganjil",IF(P2190=8,"2019/2020-Genap",IF(P2190=9,"2020/2021-Ganjil","2020/2021-Genap")))))))))</f>
        <v>2020/2021-Ganjil</v>
      </c>
      <c r="R2190" t="s">
        <v>260</v>
      </c>
      <c r="S2190" t="str">
        <f t="shared" si="317"/>
        <v>PA</v>
      </c>
    </row>
    <row r="2191" spans="1:19" x14ac:dyDescent="0.3">
      <c r="A2191" t="s">
        <v>12</v>
      </c>
      <c r="B2191">
        <v>2016110063</v>
      </c>
      <c r="C2191" t="s">
        <v>210</v>
      </c>
      <c r="E2191" t="s">
        <v>273</v>
      </c>
      <c r="F2191" t="s">
        <v>274</v>
      </c>
      <c r="G2191">
        <v>2</v>
      </c>
      <c r="H2191" t="s">
        <v>438</v>
      </c>
      <c r="I2191" s="4">
        <f t="shared" si="318"/>
        <v>3</v>
      </c>
      <c r="J2191">
        <f t="shared" si="319"/>
        <v>6</v>
      </c>
      <c r="K2191">
        <v>20</v>
      </c>
      <c r="L2191">
        <v>8</v>
      </c>
      <c r="M2191" s="2">
        <v>2.5</v>
      </c>
      <c r="N2191" s="2">
        <v>2.82</v>
      </c>
      <c r="O2191">
        <v>1</v>
      </c>
      <c r="P2191">
        <v>8</v>
      </c>
      <c r="Q2191" s="4" t="str">
        <f>IF(P2191=1,"2016/2017-Ganjil",IF(P2191=2,"2016/2017-Genap",IF(P2191=3,"2017/2018-Ganjil",IF(P2191=4,"2017/2018-Genap",IF(P2191=5,"2018/2019-Ganjil",IF(P2191=6,"2018/2019-Genap",IF(P2191=7,"2019/2020-Ganjil",IF(P2191=8,"2019/2020-Genap",IF(P2191=9,"2020/2021-Ganjil",IF(P2191=10,"2020/2021-Genap",IF(P2191=11,"2021/2022-Ganjil",IF(P2191=12,"2021/2022-Genap",IF(P2191=13,"2022/2023-Ganjil","2022/2023-Genap")))))))))))))</f>
        <v>2019/2020-Genap</v>
      </c>
      <c r="R2191" t="s">
        <v>260</v>
      </c>
      <c r="S2191" t="str">
        <f t="shared" si="317"/>
        <v>PA</v>
      </c>
    </row>
    <row r="2192" spans="1:19" x14ac:dyDescent="0.3">
      <c r="A2192" t="s">
        <v>12</v>
      </c>
      <c r="B2192">
        <v>2016110063</v>
      </c>
      <c r="C2192" t="s">
        <v>210</v>
      </c>
      <c r="E2192" t="s">
        <v>273</v>
      </c>
      <c r="F2192" t="s">
        <v>274</v>
      </c>
      <c r="G2192">
        <v>2</v>
      </c>
      <c r="H2192" t="s">
        <v>524</v>
      </c>
      <c r="I2192" s="4">
        <f t="shared" si="318"/>
        <v>2</v>
      </c>
      <c r="J2192">
        <f t="shared" si="319"/>
        <v>4</v>
      </c>
      <c r="K2192">
        <v>36</v>
      </c>
      <c r="L2192">
        <v>18</v>
      </c>
      <c r="M2192" s="2">
        <v>2</v>
      </c>
      <c r="N2192" s="2">
        <v>2.82</v>
      </c>
      <c r="O2192">
        <v>0</v>
      </c>
      <c r="P2192">
        <v>6</v>
      </c>
      <c r="Q2192" s="4" t="str">
        <f>IF(P2192=1,"2016/2017-Ganjil",IF(P2192=2,"2016/2017-Genap",IF(P2192=3,"2017/2018-Ganjil",IF(P2192=4,"2017/2018-Genap",IF(P2192=5,"2018/2019-Ganjil",IF(P2192=6,"2018/2019-Genap",IF(P2192=7,"2019/2020-Ganjil",IF(P2192=8,"2019/2020-Genap",IF(P2192=9,"2020/2021-Ganjil",IF(P2192=10,"2020/2021-Genap",IF(P2192=11,"2021/2022-Ganjil",IF(P2192=12,"2021/2022-Genap",IF(P2192=13,"2022/2023-Ganjil","2022/2023-Genap")))))))))))))</f>
        <v>2018/2019-Genap</v>
      </c>
      <c r="R2192" t="s">
        <v>260</v>
      </c>
      <c r="S2192" t="str">
        <f t="shared" si="317"/>
        <v>PA</v>
      </c>
    </row>
    <row r="2193" spans="1:19" x14ac:dyDescent="0.3">
      <c r="A2193" t="s">
        <v>12</v>
      </c>
      <c r="B2193">
        <v>2016110063</v>
      </c>
      <c r="C2193" t="s">
        <v>210</v>
      </c>
      <c r="E2193" t="s">
        <v>374</v>
      </c>
      <c r="F2193" t="s">
        <v>375</v>
      </c>
      <c r="G2193">
        <v>2</v>
      </c>
      <c r="H2193" t="s">
        <v>438</v>
      </c>
      <c r="I2193" s="4">
        <f t="shared" si="318"/>
        <v>3</v>
      </c>
      <c r="J2193">
        <f t="shared" si="319"/>
        <v>6</v>
      </c>
      <c r="K2193">
        <v>6</v>
      </c>
      <c r="L2193">
        <v>2</v>
      </c>
      <c r="M2193" s="2">
        <v>3</v>
      </c>
      <c r="N2193" s="2">
        <v>2.82</v>
      </c>
      <c r="O2193">
        <v>1</v>
      </c>
      <c r="P2193">
        <v>10</v>
      </c>
      <c r="Q2193" s="4" t="str">
        <f>IF(P2193=1,"2016/2017-Ganjil",IF(P2193=2,"2016/2017-Genap",IF(P2193=3,"2017/2018-Ganjil",IF(P2193=4,"2017/2018-Genap",IF(P2193=5,"2018/2019-Ganjil",IF(P2193=6,"2018/2019-Genap",IF(P2193=7,"2019/2020-Ganjil",IF(P2193=8,"2019/2020-Genap",IF(P2193=9,"2020/2021-Ganjil",IF(P2193=10,"2020/2021-Genap",IF(P2193=11,"2021/2022-Ganjil",IF(P2193=12,"2021/2022-Genap",IF(P2193=13,"2022/2023-Ganjil","2022/2023-Genap")))))))))))))</f>
        <v>2020/2021-Genap</v>
      </c>
      <c r="R2193" t="s">
        <v>260</v>
      </c>
      <c r="S2193" t="str">
        <f t="shared" si="317"/>
        <v>PA</v>
      </c>
    </row>
    <row r="2194" spans="1:19" x14ac:dyDescent="0.3">
      <c r="A2194" t="s">
        <v>12</v>
      </c>
      <c r="B2194">
        <v>2016110063</v>
      </c>
      <c r="C2194" t="s">
        <v>210</v>
      </c>
      <c r="E2194" t="s">
        <v>374</v>
      </c>
      <c r="F2194" t="s">
        <v>375</v>
      </c>
      <c r="G2194">
        <v>2</v>
      </c>
      <c r="H2194" t="s">
        <v>524</v>
      </c>
      <c r="I2194" s="4">
        <f t="shared" si="318"/>
        <v>2</v>
      </c>
      <c r="J2194">
        <f t="shared" si="319"/>
        <v>4</v>
      </c>
      <c r="K2194">
        <v>48</v>
      </c>
      <c r="L2194">
        <v>22</v>
      </c>
      <c r="M2194" s="2">
        <v>2.1800000000000002</v>
      </c>
      <c r="N2194" s="2">
        <v>2.82</v>
      </c>
      <c r="O2194">
        <v>0</v>
      </c>
      <c r="P2194">
        <v>4</v>
      </c>
      <c r="Q2194" s="4" t="str">
        <f>IF(P2194=1,"2016/2017-Ganjil",IF(P2194=2,"2016/2017-Genap",IF(P2194=3,"2017/2018-Ganjil",IF(P2194=4,"2017/2018-Genap",IF(P2194=5,"2018/2019-Ganjil",IF(P2194=6,"2018/2019-Genap",IF(P2194=7,"2019/2020-Ganjil",IF(P2194=8,"2019/2020-Genap",IF(P2194=9,"2020/2021-Ganjil",IF(P2194=10,"2020/2021-Genap",IF(P2194=11,"2021/2022-Ganjil",IF(P2194=12,"2021/2022-Genap",IF(P2194=13,"2022/2023-Ganjil","2022/2023-Genap")))))))))))))</f>
        <v>2017/2018-Genap</v>
      </c>
      <c r="R2194" t="s">
        <v>260</v>
      </c>
      <c r="S2194" t="str">
        <f t="shared" si="317"/>
        <v>PA</v>
      </c>
    </row>
    <row r="2195" spans="1:19" x14ac:dyDescent="0.3">
      <c r="A2195" t="s">
        <v>12</v>
      </c>
      <c r="B2195">
        <v>2016110063</v>
      </c>
      <c r="C2195" t="s">
        <v>210</v>
      </c>
      <c r="E2195" t="s">
        <v>31</v>
      </c>
      <c r="F2195" t="s">
        <v>20</v>
      </c>
      <c r="G2195">
        <v>4</v>
      </c>
      <c r="H2195" t="s">
        <v>524</v>
      </c>
      <c r="I2195" s="4">
        <f t="shared" si="318"/>
        <v>2</v>
      </c>
      <c r="J2195">
        <f t="shared" si="319"/>
        <v>8</v>
      </c>
      <c r="K2195">
        <v>26</v>
      </c>
      <c r="L2195">
        <v>14</v>
      </c>
      <c r="M2195" s="2">
        <v>1.86</v>
      </c>
      <c r="N2195" s="2">
        <v>2.82</v>
      </c>
      <c r="O2195">
        <v>0</v>
      </c>
      <c r="P2195">
        <v>11</v>
      </c>
      <c r="Q2195" s="4" t="s">
        <v>573</v>
      </c>
      <c r="R2195" t="s">
        <v>596</v>
      </c>
      <c r="S2195" t="str">
        <f t="shared" si="317"/>
        <v>PA</v>
      </c>
    </row>
    <row r="2196" spans="1:19" x14ac:dyDescent="0.3">
      <c r="A2196" t="s">
        <v>12</v>
      </c>
      <c r="B2196">
        <v>2016110063</v>
      </c>
      <c r="C2196" t="s">
        <v>210</v>
      </c>
      <c r="E2196" t="s">
        <v>437</v>
      </c>
      <c r="F2196" t="s">
        <v>169</v>
      </c>
      <c r="G2196">
        <v>4</v>
      </c>
      <c r="H2196" t="s">
        <v>524</v>
      </c>
      <c r="I2196" s="4">
        <f t="shared" si="318"/>
        <v>2</v>
      </c>
      <c r="J2196">
        <f t="shared" si="319"/>
        <v>8</v>
      </c>
      <c r="K2196">
        <v>60</v>
      </c>
      <c r="L2196">
        <v>20</v>
      </c>
      <c r="M2196" s="2">
        <v>3</v>
      </c>
      <c r="N2196" s="2">
        <v>2.82</v>
      </c>
      <c r="O2196">
        <v>0</v>
      </c>
      <c r="P2196">
        <v>1</v>
      </c>
      <c r="Q2196" s="4" t="str">
        <f>IF(P2196=1,"2016/2017-Ganjil",IF(P2196=2,"2016/2017-Genap",IF(P2196=3,"2017/2018-Ganjil",IF(P2196=4,"2017/2018-Genap",IF(P2196=5,"2018/2019-Ganjil",IF(P2196=6,"2018/2019-Genap",IF(P2196=7,"2019/2020-Ganjil",IF(P2196=8,"2019/2020-Genap",IF(P2196=9,"2020/2021-Ganjil","2020/2021-Genap")))))))))</f>
        <v>2016/2017-Ganjil</v>
      </c>
      <c r="R2196" t="s">
        <v>260</v>
      </c>
      <c r="S2196" t="str">
        <f t="shared" si="317"/>
        <v>PA</v>
      </c>
    </row>
    <row r="2197" spans="1:19" x14ac:dyDescent="0.3">
      <c r="A2197" t="s">
        <v>12</v>
      </c>
      <c r="B2197">
        <v>2016110063</v>
      </c>
      <c r="C2197" t="s">
        <v>210</v>
      </c>
      <c r="E2197" t="s">
        <v>437</v>
      </c>
      <c r="F2197" t="s">
        <v>169</v>
      </c>
      <c r="G2197">
        <v>4</v>
      </c>
      <c r="H2197" t="s">
        <v>438</v>
      </c>
      <c r="I2197" s="4">
        <f t="shared" si="318"/>
        <v>3</v>
      </c>
      <c r="J2197">
        <f t="shared" si="319"/>
        <v>12</v>
      </c>
      <c r="K2197">
        <v>66</v>
      </c>
      <c r="L2197">
        <v>22</v>
      </c>
      <c r="M2197" s="2">
        <v>3</v>
      </c>
      <c r="N2197" s="2">
        <v>2.82</v>
      </c>
      <c r="O2197">
        <v>1</v>
      </c>
      <c r="P2197">
        <v>10</v>
      </c>
      <c r="Q2197" s="4" t="s">
        <v>578</v>
      </c>
      <c r="R2197" t="s">
        <v>260</v>
      </c>
      <c r="S2197" t="str">
        <f t="shared" si="317"/>
        <v>PA</v>
      </c>
    </row>
    <row r="2198" spans="1:19" x14ac:dyDescent="0.3">
      <c r="A2198" t="s">
        <v>12</v>
      </c>
      <c r="B2198">
        <v>2016110063</v>
      </c>
      <c r="C2198" t="s">
        <v>210</v>
      </c>
      <c r="E2198" t="s">
        <v>100</v>
      </c>
      <c r="F2198" t="s">
        <v>101</v>
      </c>
      <c r="G2198">
        <v>4</v>
      </c>
      <c r="I2198" s="4"/>
      <c r="J2198">
        <f t="shared" si="315"/>
        <v>0</v>
      </c>
      <c r="K2198">
        <v>6</v>
      </c>
      <c r="L2198">
        <v>2</v>
      </c>
      <c r="M2198" s="2">
        <v>3</v>
      </c>
      <c r="N2198" s="2">
        <v>2.82</v>
      </c>
      <c r="O2198">
        <v>1</v>
      </c>
      <c r="P2198">
        <v>10</v>
      </c>
      <c r="Q2198" s="4" t="str">
        <f>IF(P2198=1,"2016/2017-Ganjil",IF(P2198=2,"2016/2017-Genap",IF(P2198=3,"2017/2018-Ganjil",IF(P2198=4,"2017/2018-Genap",IF(P2198=5,"2018/2019-Ganjil",IF(P2198=6,"2018/2019-Genap",IF(P2198=7,"2019/2020-Ganjil",IF(P2198=8,"2019/2020-Genap",IF(P2198=9,"2020/2021-Ganjil",IF(P2198=10,"2020/2021-Genap",IF(P2198=11,"2021/2022-Ganjil",IF(P2198=12,"2021/2022-Genap",IF(P2198=13,"2022/2023-Ganjil","2022/2023-Genap")))))))))))))</f>
        <v>2020/2021-Genap</v>
      </c>
      <c r="R2198" t="s">
        <v>260</v>
      </c>
      <c r="S2198" t="s">
        <v>595</v>
      </c>
    </row>
    <row r="2199" spans="1:19" x14ac:dyDescent="0.3">
      <c r="A2199" t="s">
        <v>12</v>
      </c>
      <c r="B2199">
        <v>2016110063</v>
      </c>
      <c r="C2199" t="s">
        <v>210</v>
      </c>
      <c r="E2199" t="s">
        <v>100</v>
      </c>
      <c r="F2199" t="s">
        <v>101</v>
      </c>
      <c r="G2199">
        <v>4</v>
      </c>
      <c r="H2199" t="s">
        <v>524</v>
      </c>
      <c r="I2199" s="4">
        <f t="shared" si="316"/>
        <v>2</v>
      </c>
      <c r="J2199">
        <f t="shared" si="315"/>
        <v>8</v>
      </c>
      <c r="K2199">
        <v>48</v>
      </c>
      <c r="L2199">
        <v>20</v>
      </c>
      <c r="M2199" s="2">
        <v>2.4</v>
      </c>
      <c r="N2199" s="2">
        <v>2.82</v>
      </c>
      <c r="O2199">
        <v>0</v>
      </c>
      <c r="P2199">
        <v>2</v>
      </c>
      <c r="Q2199" s="4" t="str">
        <f>IF(P2199=1,"2016/2017-Ganjil",IF(P2199=2,"2016/2017-Genap",IF(P2199=3,"2017/2018-Ganjil",IF(P2199=4,"2017/2018-Genap",IF(P2199=5,"2018/2019-Ganjil",IF(P2199=6,"2018/2019-Genap",IF(P2199=7,"2019/2020-Ganjil",IF(P2199=8,"2019/2020-Genap",IF(P2199=9,"2020/2021-Ganjil",IF(P2199=10,"2020/2021-Genap",IF(P2199=11,"2021/2022-Ganjil",IF(P2199=12,"2021/2022-Genap",IF(P2199=13,"2022/2023-Ganjil","2022/2023-Genap")))))))))))))</f>
        <v>2016/2017-Genap</v>
      </c>
      <c r="R2199" t="s">
        <v>260</v>
      </c>
      <c r="S2199" t="str">
        <f t="shared" ref="S2199:S2206" si="321">IF(OR(H2199="A",H2199="B",H2199="C"),"PA","FA")</f>
        <v>PA</v>
      </c>
    </row>
    <row r="2200" spans="1:19" x14ac:dyDescent="0.3">
      <c r="A2200" t="s">
        <v>12</v>
      </c>
      <c r="B2200">
        <v>2016110063</v>
      </c>
      <c r="C2200" t="s">
        <v>210</v>
      </c>
      <c r="E2200" t="s">
        <v>264</v>
      </c>
      <c r="F2200" t="s">
        <v>265</v>
      </c>
      <c r="G2200">
        <v>2</v>
      </c>
      <c r="H2200" t="s">
        <v>524</v>
      </c>
      <c r="I2200" s="4">
        <f t="shared" ref="I2200:I2206" si="322">IF(H2200="A",4,IF(H2200="B",3,IF(H2200="C",2,IF(H2200="D",1,0))))</f>
        <v>2</v>
      </c>
      <c r="J2200">
        <f t="shared" ref="J2200:J2206" si="323">G2200*I2200</f>
        <v>4</v>
      </c>
      <c r="K2200">
        <v>36</v>
      </c>
      <c r="L2200">
        <v>14</v>
      </c>
      <c r="M2200" s="2">
        <v>2.57</v>
      </c>
      <c r="N2200" s="2">
        <v>2.82</v>
      </c>
      <c r="O2200">
        <v>0</v>
      </c>
      <c r="P2200">
        <v>5</v>
      </c>
      <c r="Q2200" s="4" t="str">
        <f>IF(P2200=1,"2016/2017-Ganjil",IF(P2200=2,"2016/2017-Genap",IF(P2200=3,"2017/2018-Ganjil",IF(P2200=4,"2017/2018-Genap",IF(P2200=5,"2018/2019-Ganjil",IF(P2200=6,"2018/2019-Genap",IF(P2200=7,"2019/2020-Ganjil",IF(P2200=8,"2019/2020-Genap",IF(P2200=9,"2020/2021-Ganjil","2020/2021-Genap")))))))))</f>
        <v>2018/2019-Ganjil</v>
      </c>
      <c r="R2200" t="s">
        <v>260</v>
      </c>
      <c r="S2200" t="str">
        <f t="shared" si="321"/>
        <v>PA</v>
      </c>
    </row>
    <row r="2201" spans="1:19" x14ac:dyDescent="0.3">
      <c r="A2201" t="s">
        <v>12</v>
      </c>
      <c r="B2201">
        <v>2016110063</v>
      </c>
      <c r="C2201" t="s">
        <v>210</v>
      </c>
      <c r="E2201" t="s">
        <v>264</v>
      </c>
      <c r="F2201" t="s">
        <v>265</v>
      </c>
      <c r="G2201">
        <v>2</v>
      </c>
      <c r="H2201" t="s">
        <v>524</v>
      </c>
      <c r="I2201" s="4">
        <f t="shared" si="322"/>
        <v>2</v>
      </c>
      <c r="J2201">
        <f t="shared" si="323"/>
        <v>4</v>
      </c>
      <c r="K2201">
        <v>24</v>
      </c>
      <c r="L2201">
        <v>14</v>
      </c>
      <c r="M2201" s="2">
        <v>1.71</v>
      </c>
      <c r="N2201" s="2">
        <v>2.82</v>
      </c>
      <c r="O2201">
        <v>1</v>
      </c>
      <c r="P2201">
        <v>9</v>
      </c>
      <c r="Q2201" s="4" t="str">
        <f>IF(P2201=1,"2016/2017-Ganjil",IF(P2201=2,"2016/2017-Genap",IF(P2201=3,"2017/2018-Ganjil",IF(P2201=4,"2017/2018-Genap",IF(P2201=5,"2018/2019-Ganjil",IF(P2201=6,"2018/2019-Genap",IF(P2201=7,"2019/2020-Ganjil",IF(P2201=8,"2019/2020-Genap",IF(P2201=9,"2020/2021-Ganjil","2020/2021-Genap")))))))))</f>
        <v>2020/2021-Ganjil</v>
      </c>
      <c r="R2201" t="s">
        <v>260</v>
      </c>
      <c r="S2201" t="str">
        <f t="shared" si="321"/>
        <v>PA</v>
      </c>
    </row>
    <row r="2202" spans="1:19" x14ac:dyDescent="0.3">
      <c r="A2202" t="s">
        <v>12</v>
      </c>
      <c r="B2202">
        <v>2016110063</v>
      </c>
      <c r="C2202" t="s">
        <v>210</v>
      </c>
      <c r="E2202" t="s">
        <v>173</v>
      </c>
      <c r="F2202" t="s">
        <v>8</v>
      </c>
      <c r="G2202">
        <v>2</v>
      </c>
      <c r="H2202" t="s">
        <v>524</v>
      </c>
      <c r="I2202" s="4">
        <f t="shared" si="322"/>
        <v>2</v>
      </c>
      <c r="J2202">
        <f t="shared" si="323"/>
        <v>4</v>
      </c>
      <c r="K2202">
        <v>52</v>
      </c>
      <c r="L2202">
        <v>18</v>
      </c>
      <c r="M2202" s="2">
        <v>2.89</v>
      </c>
      <c r="N2202" s="2">
        <v>2.82</v>
      </c>
      <c r="O2202">
        <v>0</v>
      </c>
      <c r="P2202">
        <v>3</v>
      </c>
      <c r="Q2202" s="4" t="str">
        <f>IF(P2202=1,"2016/2017-Ganjil",IF(P2202=2,"2016/2017-Genap",IF(P2202=3,"2017/2018-Ganjil",IF(P2202=4,"2017/2018-Genap",IF(P2202=5,"2018/2019-Ganjil",IF(P2202=6,"2018/2019-Genap",IF(P2202=7,"2019/2020-Ganjil",IF(P2202=8,"2019/2020-Genap",IF(P2202=9,"2020/2021-Ganjil","2020/2021-Genap")))))))))</f>
        <v>2017/2018-Ganjil</v>
      </c>
      <c r="R2202" t="s">
        <v>260</v>
      </c>
      <c r="S2202" t="str">
        <f t="shared" si="321"/>
        <v>PA</v>
      </c>
    </row>
    <row r="2203" spans="1:19" x14ac:dyDescent="0.3">
      <c r="A2203" t="s">
        <v>12</v>
      </c>
      <c r="B2203">
        <v>2016110063</v>
      </c>
      <c r="C2203" t="s">
        <v>210</v>
      </c>
      <c r="E2203" t="s">
        <v>122</v>
      </c>
      <c r="F2203" t="s">
        <v>123</v>
      </c>
      <c r="G2203">
        <v>4</v>
      </c>
      <c r="H2203" t="s">
        <v>524</v>
      </c>
      <c r="I2203" s="4">
        <f t="shared" si="322"/>
        <v>2</v>
      </c>
      <c r="J2203">
        <f t="shared" si="323"/>
        <v>8</v>
      </c>
      <c r="K2203">
        <v>60</v>
      </c>
      <c r="L2203">
        <v>20</v>
      </c>
      <c r="M2203" s="2">
        <v>3</v>
      </c>
      <c r="N2203" s="2">
        <v>2.82</v>
      </c>
      <c r="O2203">
        <v>0</v>
      </c>
      <c r="P2203">
        <v>1</v>
      </c>
      <c r="Q2203" s="4" t="str">
        <f>IF(P2203=1,"2016/2017-Ganjil",IF(P2203=2,"2016/2017-Genap",IF(P2203=3,"2017/2018-Ganjil",IF(P2203=4,"2017/2018-Genap",IF(P2203=5,"2018/2019-Ganjil",IF(P2203=6,"2018/2019-Genap",IF(P2203=7,"2019/2020-Ganjil",IF(P2203=8,"2019/2020-Genap",IF(P2203=9,"2020/2021-Ganjil","2020/2021-Genap")))))))))</f>
        <v>2016/2017-Ganjil</v>
      </c>
      <c r="R2203" t="s">
        <v>260</v>
      </c>
      <c r="S2203" t="str">
        <f t="shared" si="321"/>
        <v>PA</v>
      </c>
    </row>
    <row r="2204" spans="1:19" x14ac:dyDescent="0.3">
      <c r="A2204" t="s">
        <v>12</v>
      </c>
      <c r="B2204">
        <v>2016110063</v>
      </c>
      <c r="C2204" t="s">
        <v>210</v>
      </c>
      <c r="E2204" t="s">
        <v>122</v>
      </c>
      <c r="F2204" t="s">
        <v>123</v>
      </c>
      <c r="G2204">
        <v>4</v>
      </c>
      <c r="H2204" t="s">
        <v>539</v>
      </c>
      <c r="I2204" s="4">
        <f t="shared" si="322"/>
        <v>0</v>
      </c>
      <c r="J2204">
        <f t="shared" si="323"/>
        <v>0</v>
      </c>
      <c r="K2204">
        <v>26</v>
      </c>
      <c r="L2204">
        <v>14</v>
      </c>
      <c r="M2204" s="2">
        <v>1.86</v>
      </c>
      <c r="N2204" s="2">
        <v>2.82</v>
      </c>
      <c r="O2204">
        <v>1</v>
      </c>
      <c r="P2204">
        <v>11</v>
      </c>
      <c r="Q2204" s="4" t="s">
        <v>573</v>
      </c>
      <c r="R2204" t="s">
        <v>596</v>
      </c>
      <c r="S2204" t="str">
        <f t="shared" si="321"/>
        <v>FA</v>
      </c>
    </row>
    <row r="2205" spans="1:19" x14ac:dyDescent="0.3">
      <c r="A2205" t="s">
        <v>12</v>
      </c>
      <c r="B2205">
        <v>2016110063</v>
      </c>
      <c r="C2205" t="s">
        <v>210</v>
      </c>
      <c r="E2205" t="s">
        <v>357</v>
      </c>
      <c r="F2205" t="s">
        <v>358</v>
      </c>
      <c r="G2205">
        <v>4</v>
      </c>
      <c r="H2205" t="s">
        <v>524</v>
      </c>
      <c r="I2205" s="4">
        <f t="shared" si="322"/>
        <v>2</v>
      </c>
      <c r="J2205">
        <f t="shared" si="323"/>
        <v>8</v>
      </c>
      <c r="K2205">
        <v>36</v>
      </c>
      <c r="L2205">
        <v>14</v>
      </c>
      <c r="M2205" s="2">
        <v>2.57</v>
      </c>
      <c r="N2205" s="2">
        <v>2.82</v>
      </c>
      <c r="O2205">
        <v>0</v>
      </c>
      <c r="P2205">
        <v>5</v>
      </c>
      <c r="Q2205" s="4" t="str">
        <f>IF(P2205=1,"2016/2017-Ganjil",IF(P2205=2,"2016/2017-Genap",IF(P2205=3,"2017/2018-Ganjil",IF(P2205=4,"2017/2018-Genap",IF(P2205=5,"2018/2019-Ganjil",IF(P2205=6,"2018/2019-Genap",IF(P2205=7,"2019/2020-Ganjil",IF(P2205=8,"2019/2020-Genap",IF(P2205=9,"2020/2021-Ganjil","2020/2021-Genap")))))))))</f>
        <v>2018/2019-Ganjil</v>
      </c>
      <c r="R2205" t="s">
        <v>260</v>
      </c>
      <c r="S2205" t="str">
        <f t="shared" si="321"/>
        <v>PA</v>
      </c>
    </row>
    <row r="2206" spans="1:19" x14ac:dyDescent="0.3">
      <c r="A2206" t="s">
        <v>12</v>
      </c>
      <c r="B2206">
        <v>2016110063</v>
      </c>
      <c r="C2206" t="s">
        <v>210</v>
      </c>
      <c r="E2206" t="s">
        <v>39</v>
      </c>
      <c r="F2206" t="s">
        <v>11</v>
      </c>
      <c r="G2206">
        <v>2</v>
      </c>
      <c r="H2206" t="s">
        <v>524</v>
      </c>
      <c r="I2206" s="4">
        <f t="shared" si="322"/>
        <v>2</v>
      </c>
      <c r="J2206">
        <f t="shared" si="323"/>
        <v>4</v>
      </c>
      <c r="K2206">
        <v>24</v>
      </c>
      <c r="L2206">
        <v>12</v>
      </c>
      <c r="M2206" s="2">
        <v>2</v>
      </c>
      <c r="N2206" s="2">
        <v>2.82</v>
      </c>
      <c r="O2206">
        <v>0</v>
      </c>
      <c r="P2206">
        <v>7</v>
      </c>
      <c r="Q2206" s="4" t="str">
        <f>IF(P2206=1,"2016/2017-Ganjil",IF(P2206=2,"2016/2017-Genap",IF(P2206=3,"2017/2018-Ganjil",IF(P2206=4,"2017/2018-Genap",IF(P2206=5,"2018/2019-Ganjil",IF(P2206=6,"2018/2019-Genap",IF(P2206=7,"2019/2020-Ganjil",IF(P2206=8,"2019/2020-Genap",IF(P2206=9,"2020/2021-Ganjil","2020/2021-Genap")))))))))</f>
        <v>2019/2020-Ganjil</v>
      </c>
      <c r="R2206" t="s">
        <v>260</v>
      </c>
      <c r="S2206" t="str">
        <f t="shared" si="321"/>
        <v>PA</v>
      </c>
    </row>
    <row r="2207" spans="1:19" x14ac:dyDescent="0.3">
      <c r="A2207" t="s">
        <v>12</v>
      </c>
      <c r="B2207">
        <v>2016110063</v>
      </c>
      <c r="C2207" t="s">
        <v>210</v>
      </c>
      <c r="E2207" t="s">
        <v>432</v>
      </c>
      <c r="F2207" t="s">
        <v>433</v>
      </c>
      <c r="G2207">
        <v>4</v>
      </c>
      <c r="I2207" s="4"/>
      <c r="J2207">
        <f t="shared" ref="J2207:J2211" si="324">G2207*I2207</f>
        <v>0</v>
      </c>
      <c r="K2207">
        <v>6</v>
      </c>
      <c r="L2207">
        <v>2</v>
      </c>
      <c r="M2207" s="2">
        <v>3</v>
      </c>
      <c r="N2207" s="2">
        <v>2.82</v>
      </c>
      <c r="O2207">
        <v>1</v>
      </c>
      <c r="P2207">
        <v>10</v>
      </c>
      <c r="Q2207" s="4" t="str">
        <f>IF(P2207=1,"2016/2017-Ganjil",IF(P2207=2,"2016/2017-Genap",IF(P2207=3,"2017/2018-Ganjil",IF(P2207=4,"2017/2018-Genap",IF(P2207=5,"2018/2019-Ganjil",IF(P2207=6,"2018/2019-Genap",IF(P2207=7,"2019/2020-Ganjil",IF(P2207=8,"2019/2020-Genap",IF(P2207=9,"2020/2021-Ganjil",IF(P2207=10,"2020/2021-Genap",IF(P2207=11,"2021/2022-Ganjil",IF(P2207=12,"2021/2022-Genap",IF(P2207=13,"2022/2023-Ganjil","2022/2023-Genap")))))))))))))</f>
        <v>2020/2021-Genap</v>
      </c>
      <c r="R2207" t="s">
        <v>260</v>
      </c>
      <c r="S2207" t="s">
        <v>595</v>
      </c>
    </row>
    <row r="2208" spans="1:19" x14ac:dyDescent="0.3">
      <c r="A2208" t="s">
        <v>12</v>
      </c>
      <c r="B2208">
        <v>2016110063</v>
      </c>
      <c r="C2208" t="s">
        <v>210</v>
      </c>
      <c r="E2208" t="s">
        <v>432</v>
      </c>
      <c r="F2208" t="s">
        <v>433</v>
      </c>
      <c r="G2208">
        <v>4</v>
      </c>
      <c r="H2208" t="s">
        <v>524</v>
      </c>
      <c r="I2208">
        <f t="shared" ref="I2208:I2211" si="325">IF(H2208="A",4,IF(H2208="B",3,IF(H2208="C",2,IF(H2208="D",1,0))))</f>
        <v>2</v>
      </c>
      <c r="J2208">
        <f t="shared" si="324"/>
        <v>8</v>
      </c>
      <c r="K2208">
        <v>48</v>
      </c>
      <c r="L2208">
        <v>22</v>
      </c>
      <c r="M2208" s="2">
        <v>2.1800000000000002</v>
      </c>
      <c r="N2208" s="2">
        <v>2.82</v>
      </c>
      <c r="O2208">
        <v>0</v>
      </c>
      <c r="P2208">
        <v>4</v>
      </c>
      <c r="Q2208" s="4" t="str">
        <f>IF(P2208=1,"2016/2017-Ganjil",IF(P2208=2,"2016/2017-Genap",IF(P2208=3,"2017/2018-Ganjil",IF(P2208=4,"2017/2018-Genap",IF(P2208=5,"2018/2019-Ganjil",IF(P2208=6,"2018/2019-Genap",IF(P2208=7,"2019/2020-Ganjil",IF(P2208=8,"2019/2020-Genap",IF(P2208=9,"2020/2021-Ganjil",IF(P2208=10,"2020/2021-Genap",IF(P2208=11,"2021/2022-Ganjil",IF(P2208=12,"2021/2022-Genap",IF(P2208=13,"2022/2023-Ganjil","2022/2023-Genap")))))))))))))</f>
        <v>2017/2018-Genap</v>
      </c>
      <c r="R2208" t="s">
        <v>260</v>
      </c>
      <c r="S2208" t="str">
        <f t="shared" ref="S2208:S2209" si="326">IF(OR(H2208="A",H2208="B",H2208="C"),"PA","FA")</f>
        <v>PA</v>
      </c>
    </row>
    <row r="2209" spans="1:19" x14ac:dyDescent="0.3">
      <c r="A2209" t="s">
        <v>12</v>
      </c>
      <c r="B2209">
        <v>2016110063</v>
      </c>
      <c r="C2209" t="s">
        <v>210</v>
      </c>
      <c r="E2209" t="s">
        <v>236</v>
      </c>
      <c r="F2209" t="s">
        <v>237</v>
      </c>
      <c r="G2209">
        <v>2</v>
      </c>
      <c r="H2209" t="s">
        <v>524</v>
      </c>
      <c r="I2209" s="4">
        <f t="shared" si="325"/>
        <v>2</v>
      </c>
      <c r="J2209">
        <f t="shared" si="324"/>
        <v>4</v>
      </c>
      <c r="K2209">
        <v>36</v>
      </c>
      <c r="L2209">
        <v>14</v>
      </c>
      <c r="M2209" s="2">
        <v>2.57</v>
      </c>
      <c r="N2209" s="2">
        <v>2.82</v>
      </c>
      <c r="O2209">
        <v>0</v>
      </c>
      <c r="P2209">
        <v>5</v>
      </c>
      <c r="Q2209" s="4" t="str">
        <f>IF(P2209=1,"2016/2017-Ganjil",IF(P2209=2,"2016/2017-Genap",IF(P2209=3,"2017/2018-Ganjil",IF(P2209=4,"2017/2018-Genap",IF(P2209=5,"2018/2019-Ganjil",IF(P2209=6,"2018/2019-Genap",IF(P2209=7,"2019/2020-Ganjil",IF(P2209=8,"2019/2020-Genap",IF(P2209=9,"2020/2021-Ganjil","2020/2021-Genap")))))))))</f>
        <v>2018/2019-Ganjil</v>
      </c>
      <c r="R2209" t="s">
        <v>260</v>
      </c>
      <c r="S2209" t="str">
        <f t="shared" si="326"/>
        <v>PA</v>
      </c>
    </row>
    <row r="2210" spans="1:19" x14ac:dyDescent="0.3">
      <c r="A2210" t="s">
        <v>12</v>
      </c>
      <c r="B2210">
        <v>2016110063</v>
      </c>
      <c r="C2210" t="s">
        <v>210</v>
      </c>
      <c r="E2210" t="s">
        <v>257</v>
      </c>
      <c r="F2210" t="s">
        <v>258</v>
      </c>
      <c r="G2210">
        <v>4</v>
      </c>
      <c r="I2210" s="4"/>
      <c r="J2210">
        <f t="shared" si="324"/>
        <v>0</v>
      </c>
      <c r="K2210">
        <v>20</v>
      </c>
      <c r="L2210">
        <v>8</v>
      </c>
      <c r="M2210" s="2">
        <v>2.5</v>
      </c>
      <c r="N2210" s="2">
        <v>2.82</v>
      </c>
      <c r="O2210">
        <v>1</v>
      </c>
      <c r="P2210">
        <v>8</v>
      </c>
      <c r="Q2210" s="4" t="str">
        <f>IF(P2210=1,"2016/2017-Ganjil",IF(P2210=2,"2016/2017-Genap",IF(P2210=3,"2017/2018-Ganjil",IF(P2210=4,"2017/2018-Genap",IF(P2210=5,"2018/2019-Ganjil",IF(P2210=6,"2018/2019-Genap",IF(P2210=7,"2019/2020-Ganjil",IF(P2210=8,"2019/2020-Genap",IF(P2210=9,"2020/2021-Ganjil",IF(P2210=10,"2020/2021-Genap",IF(P2210=11,"2021/2022-Ganjil",IF(P2210=12,"2021/2022-Genap",IF(P2210=13,"2022/2023-Ganjil","2022/2023-Genap")))))))))))))</f>
        <v>2019/2020-Genap</v>
      </c>
      <c r="R2210" t="s">
        <v>260</v>
      </c>
      <c r="S2210" t="s">
        <v>595</v>
      </c>
    </row>
    <row r="2211" spans="1:19" x14ac:dyDescent="0.3">
      <c r="A2211" t="s">
        <v>12</v>
      </c>
      <c r="B2211">
        <v>2016110063</v>
      </c>
      <c r="C2211" t="s">
        <v>210</v>
      </c>
      <c r="E2211" t="s">
        <v>257</v>
      </c>
      <c r="F2211" t="s">
        <v>258</v>
      </c>
      <c r="G2211">
        <v>4</v>
      </c>
      <c r="H2211" t="s">
        <v>535</v>
      </c>
      <c r="I2211" s="4">
        <f t="shared" si="325"/>
        <v>1</v>
      </c>
      <c r="J2211">
        <f t="shared" si="324"/>
        <v>4</v>
      </c>
      <c r="K2211">
        <v>36</v>
      </c>
      <c r="L2211">
        <v>18</v>
      </c>
      <c r="M2211" s="2">
        <v>2</v>
      </c>
      <c r="N2211" s="2">
        <v>2.82</v>
      </c>
      <c r="O2211">
        <v>0</v>
      </c>
      <c r="P2211">
        <v>6</v>
      </c>
      <c r="Q2211" s="4" t="str">
        <f>IF(P2211=1,"2016/2017-Ganjil",IF(P2211=2,"2016/2017-Genap",IF(P2211=3,"2017/2018-Ganjil",IF(P2211=4,"2017/2018-Genap",IF(P2211=5,"2018/2019-Ganjil",IF(P2211=6,"2018/2019-Genap",IF(P2211=7,"2019/2020-Ganjil",IF(P2211=8,"2019/2020-Genap",IF(P2211=9,"2020/2021-Ganjil",IF(P2211=10,"2020/2021-Genap",IF(P2211=11,"2021/2022-Ganjil",IF(P2211=12,"2021/2022-Genap",IF(P2211=13,"2022/2023-Ganjil","2022/2023-Genap")))))))))))))</f>
        <v>2018/2019-Genap</v>
      </c>
      <c r="R2211" t="s">
        <v>260</v>
      </c>
      <c r="S2211" t="str">
        <f t="shared" ref="S2211:S2220" si="327">IF(OR(H2211="A",H2211="B",H2211="C"),"PA","FA")</f>
        <v>FA</v>
      </c>
    </row>
    <row r="2212" spans="1:19" x14ac:dyDescent="0.3">
      <c r="A2212" t="s">
        <v>12</v>
      </c>
      <c r="B2212">
        <v>2016110063</v>
      </c>
      <c r="C2212" t="s">
        <v>210</v>
      </c>
      <c r="E2212" t="s">
        <v>257</v>
      </c>
      <c r="F2212" t="s">
        <v>258</v>
      </c>
      <c r="G2212">
        <v>4</v>
      </c>
      <c r="H2212" t="s">
        <v>438</v>
      </c>
      <c r="I2212" s="4">
        <f t="shared" ref="I2212:I2220" si="328">IF(H2212="A",4,IF(H2212="B",3,IF(H2212="C",2,IF(H2212="D",1,0))))</f>
        <v>3</v>
      </c>
      <c r="J2212">
        <f t="shared" ref="J2212:J2220" si="329">G2212*I2212</f>
        <v>12</v>
      </c>
      <c r="K2212">
        <v>66</v>
      </c>
      <c r="L2212">
        <v>22</v>
      </c>
      <c r="M2212" s="2">
        <v>3</v>
      </c>
      <c r="N2212" s="2">
        <v>2.82</v>
      </c>
      <c r="O2212">
        <v>2</v>
      </c>
      <c r="P2212">
        <v>10</v>
      </c>
      <c r="Q2212" s="4" t="s">
        <v>578</v>
      </c>
      <c r="R2212" t="s">
        <v>260</v>
      </c>
      <c r="S2212" t="str">
        <f t="shared" si="327"/>
        <v>PA</v>
      </c>
    </row>
    <row r="2213" spans="1:19" x14ac:dyDescent="0.3">
      <c r="A2213" t="s">
        <v>12</v>
      </c>
      <c r="B2213">
        <v>2016110063</v>
      </c>
      <c r="C2213" t="s">
        <v>210</v>
      </c>
      <c r="E2213" t="s">
        <v>297</v>
      </c>
      <c r="F2213" t="s">
        <v>342</v>
      </c>
      <c r="G2213">
        <v>4</v>
      </c>
      <c r="H2213" t="s">
        <v>524</v>
      </c>
      <c r="I2213" s="4">
        <f t="shared" si="328"/>
        <v>2</v>
      </c>
      <c r="J2213">
        <f t="shared" si="329"/>
        <v>8</v>
      </c>
      <c r="K2213">
        <v>20</v>
      </c>
      <c r="L2213">
        <v>8</v>
      </c>
      <c r="M2213" s="2">
        <v>2.5</v>
      </c>
      <c r="N2213" s="2">
        <v>2.82</v>
      </c>
      <c r="O2213">
        <v>1</v>
      </c>
      <c r="P2213">
        <v>8</v>
      </c>
      <c r="Q2213" s="4" t="str">
        <f>IF(P2213=1,"2016/2017-Ganjil",IF(P2213=2,"2016/2017-Genap",IF(P2213=3,"2017/2018-Ganjil",IF(P2213=4,"2017/2018-Genap",IF(P2213=5,"2018/2019-Ganjil",IF(P2213=6,"2018/2019-Genap",IF(P2213=7,"2019/2020-Ganjil",IF(P2213=8,"2019/2020-Genap",IF(P2213=9,"2020/2021-Ganjil",IF(P2213=10,"2020/2021-Genap",IF(P2213=11,"2021/2022-Ganjil",IF(P2213=12,"2021/2022-Genap",IF(P2213=13,"2022/2023-Ganjil","2022/2023-Genap")))))))))))))</f>
        <v>2019/2020-Genap</v>
      </c>
      <c r="R2213" t="s">
        <v>260</v>
      </c>
      <c r="S2213" t="str">
        <f t="shared" si="327"/>
        <v>PA</v>
      </c>
    </row>
    <row r="2214" spans="1:19" x14ac:dyDescent="0.3">
      <c r="A2214" t="s">
        <v>12</v>
      </c>
      <c r="B2214">
        <v>2016110063</v>
      </c>
      <c r="C2214" t="s">
        <v>210</v>
      </c>
      <c r="E2214" t="s">
        <v>297</v>
      </c>
      <c r="F2214" t="s">
        <v>342</v>
      </c>
      <c r="G2214">
        <v>4</v>
      </c>
      <c r="H2214" t="s">
        <v>535</v>
      </c>
      <c r="I2214" s="4">
        <f t="shared" si="328"/>
        <v>1</v>
      </c>
      <c r="J2214">
        <f t="shared" si="329"/>
        <v>4</v>
      </c>
      <c r="K2214">
        <v>36</v>
      </c>
      <c r="L2214">
        <v>18</v>
      </c>
      <c r="M2214" s="2">
        <v>2</v>
      </c>
      <c r="N2214" s="2">
        <v>2.82</v>
      </c>
      <c r="O2214">
        <v>0</v>
      </c>
      <c r="P2214">
        <v>6</v>
      </c>
      <c r="Q2214" s="4" t="str">
        <f>IF(P2214=1,"2016/2017-Ganjil",IF(P2214=2,"2016/2017-Genap",IF(P2214=3,"2017/2018-Ganjil",IF(P2214=4,"2017/2018-Genap",IF(P2214=5,"2018/2019-Ganjil",IF(P2214=6,"2018/2019-Genap",IF(P2214=7,"2019/2020-Ganjil",IF(P2214=8,"2019/2020-Genap",IF(P2214=9,"2020/2021-Ganjil",IF(P2214=10,"2020/2021-Genap",IF(P2214=11,"2021/2022-Ganjil",IF(P2214=12,"2021/2022-Genap",IF(P2214=13,"2022/2023-Ganjil","2022/2023-Genap")))))))))))))</f>
        <v>2018/2019-Genap</v>
      </c>
      <c r="R2214" t="s">
        <v>260</v>
      </c>
      <c r="S2214" t="str">
        <f t="shared" si="327"/>
        <v>FA</v>
      </c>
    </row>
    <row r="2215" spans="1:19" x14ac:dyDescent="0.3">
      <c r="A2215" t="s">
        <v>12</v>
      </c>
      <c r="B2215">
        <v>2016110063</v>
      </c>
      <c r="C2215" t="s">
        <v>210</v>
      </c>
      <c r="E2215" t="s">
        <v>103</v>
      </c>
      <c r="F2215" t="s">
        <v>104</v>
      </c>
      <c r="G2215">
        <v>4</v>
      </c>
      <c r="H2215" t="s">
        <v>535</v>
      </c>
      <c r="I2215" s="4">
        <f t="shared" si="328"/>
        <v>1</v>
      </c>
      <c r="J2215">
        <f t="shared" si="329"/>
        <v>4</v>
      </c>
      <c r="K2215">
        <v>48</v>
      </c>
      <c r="L2215">
        <v>20</v>
      </c>
      <c r="M2215" s="2">
        <v>2.4</v>
      </c>
      <c r="N2215" s="2">
        <v>2.82</v>
      </c>
      <c r="O2215">
        <v>0</v>
      </c>
      <c r="P2215">
        <v>2</v>
      </c>
      <c r="Q2215" s="4" t="str">
        <f>IF(P2215=1,"2016/2017-Ganjil",IF(P2215=2,"2016/2017-Genap",IF(P2215=3,"2017/2018-Ganjil",IF(P2215=4,"2017/2018-Genap",IF(P2215=5,"2018/2019-Ganjil",IF(P2215=6,"2018/2019-Genap",IF(P2215=7,"2019/2020-Ganjil",IF(P2215=8,"2019/2020-Genap",IF(P2215=9,"2020/2021-Ganjil",IF(P2215=10,"2020/2021-Genap",IF(P2215=11,"2021/2022-Ganjil",IF(P2215=12,"2021/2022-Genap",IF(P2215=13,"2022/2023-Ganjil","2022/2023-Genap")))))))))))))</f>
        <v>2016/2017-Genap</v>
      </c>
      <c r="R2215" t="s">
        <v>260</v>
      </c>
      <c r="S2215" t="str">
        <f t="shared" si="327"/>
        <v>FA</v>
      </c>
    </row>
    <row r="2216" spans="1:19" x14ac:dyDescent="0.3">
      <c r="A2216" t="s">
        <v>12</v>
      </c>
      <c r="B2216">
        <v>2016110063</v>
      </c>
      <c r="C2216" t="s">
        <v>210</v>
      </c>
      <c r="E2216" t="s">
        <v>309</v>
      </c>
      <c r="F2216" t="s">
        <v>310</v>
      </c>
      <c r="G2216">
        <v>4</v>
      </c>
      <c r="H2216" t="s">
        <v>539</v>
      </c>
      <c r="I2216" s="4">
        <f t="shared" si="328"/>
        <v>0</v>
      </c>
      <c r="J2216">
        <f t="shared" si="329"/>
        <v>0</v>
      </c>
      <c r="K2216">
        <v>48</v>
      </c>
      <c r="L2216">
        <v>22</v>
      </c>
      <c r="M2216" s="2">
        <v>2.1800000000000002</v>
      </c>
      <c r="N2216" s="2">
        <v>2.82</v>
      </c>
      <c r="O2216">
        <v>0</v>
      </c>
      <c r="P2216">
        <v>4</v>
      </c>
      <c r="Q2216" s="4" t="str">
        <f>IF(P2216=1,"2016/2017-Ganjil",IF(P2216=2,"2016/2017-Genap",IF(P2216=3,"2017/2018-Ganjil",IF(P2216=4,"2017/2018-Genap",IF(P2216=5,"2018/2019-Ganjil",IF(P2216=6,"2018/2019-Genap",IF(P2216=7,"2019/2020-Ganjil",IF(P2216=8,"2019/2020-Genap",IF(P2216=9,"2020/2021-Ganjil",IF(P2216=10,"2020/2021-Genap",IF(P2216=11,"2021/2022-Ganjil",IF(P2216=12,"2021/2022-Genap",IF(P2216=13,"2022/2023-Ganjil","2022/2023-Genap")))))))))))))</f>
        <v>2017/2018-Genap</v>
      </c>
      <c r="R2216" t="s">
        <v>260</v>
      </c>
      <c r="S2216" t="str">
        <f t="shared" si="327"/>
        <v>FA</v>
      </c>
    </row>
    <row r="2217" spans="1:19" x14ac:dyDescent="0.3">
      <c r="A2217" t="s">
        <v>12</v>
      </c>
      <c r="B2217">
        <v>2016110063</v>
      </c>
      <c r="C2217" t="s">
        <v>210</v>
      </c>
      <c r="E2217" t="s">
        <v>103</v>
      </c>
      <c r="F2217" t="s">
        <v>104</v>
      </c>
      <c r="G2217">
        <v>4</v>
      </c>
      <c r="H2217" t="s">
        <v>438</v>
      </c>
      <c r="I2217" s="4">
        <f t="shared" si="328"/>
        <v>3</v>
      </c>
      <c r="J2217">
        <f t="shared" si="329"/>
        <v>12</v>
      </c>
      <c r="K2217">
        <v>66</v>
      </c>
      <c r="L2217">
        <v>22</v>
      </c>
      <c r="M2217" s="2">
        <v>3</v>
      </c>
      <c r="N2217" s="2">
        <v>2.82</v>
      </c>
      <c r="O2217">
        <v>1</v>
      </c>
      <c r="P2217">
        <v>10</v>
      </c>
      <c r="Q2217" s="4" t="s">
        <v>578</v>
      </c>
      <c r="R2217" t="s">
        <v>260</v>
      </c>
      <c r="S2217" t="str">
        <f t="shared" si="327"/>
        <v>PA</v>
      </c>
    </row>
    <row r="2218" spans="1:19" x14ac:dyDescent="0.3">
      <c r="A2218" t="s">
        <v>12</v>
      </c>
      <c r="B2218">
        <v>2016110063</v>
      </c>
      <c r="C2218" t="s">
        <v>210</v>
      </c>
      <c r="E2218" t="s">
        <v>309</v>
      </c>
      <c r="F2218" t="s">
        <v>310</v>
      </c>
      <c r="G2218">
        <v>4</v>
      </c>
      <c r="H2218" t="s">
        <v>438</v>
      </c>
      <c r="I2218" s="4">
        <f t="shared" si="328"/>
        <v>3</v>
      </c>
      <c r="J2218">
        <f t="shared" si="329"/>
        <v>12</v>
      </c>
      <c r="K2218">
        <v>66</v>
      </c>
      <c r="L2218">
        <v>22</v>
      </c>
      <c r="M2218" s="2">
        <v>3</v>
      </c>
      <c r="N2218" s="2">
        <v>2.82</v>
      </c>
      <c r="O2218">
        <v>1</v>
      </c>
      <c r="P2218">
        <v>10</v>
      </c>
      <c r="Q2218" s="4" t="s">
        <v>578</v>
      </c>
      <c r="R2218" t="s">
        <v>260</v>
      </c>
      <c r="S2218" t="str">
        <f t="shared" si="327"/>
        <v>PA</v>
      </c>
    </row>
    <row r="2219" spans="1:19" x14ac:dyDescent="0.3">
      <c r="A2219" t="s">
        <v>12</v>
      </c>
      <c r="B2219">
        <v>2016110063</v>
      </c>
      <c r="C2219" t="s">
        <v>210</v>
      </c>
      <c r="E2219" t="s">
        <v>283</v>
      </c>
      <c r="F2219" t="s">
        <v>284</v>
      </c>
      <c r="G2219">
        <v>2</v>
      </c>
      <c r="H2219" t="s">
        <v>539</v>
      </c>
      <c r="I2219" s="4">
        <f t="shared" si="328"/>
        <v>0</v>
      </c>
      <c r="J2219">
        <f t="shared" si="329"/>
        <v>0</v>
      </c>
      <c r="K2219">
        <v>24</v>
      </c>
      <c r="L2219">
        <v>12</v>
      </c>
      <c r="M2219" s="2">
        <v>2</v>
      </c>
      <c r="N2219" s="2">
        <v>2.82</v>
      </c>
      <c r="O2219">
        <v>0</v>
      </c>
      <c r="P2219">
        <v>7</v>
      </c>
      <c r="Q2219" s="4" t="str">
        <f>IF(P2219=1,"2016/2017-Ganjil",IF(P2219=2,"2016/2017-Genap",IF(P2219=3,"2017/2018-Ganjil",IF(P2219=4,"2017/2018-Genap",IF(P2219=5,"2018/2019-Ganjil",IF(P2219=6,"2018/2019-Genap",IF(P2219=7,"2019/2020-Ganjil",IF(P2219=8,"2019/2020-Genap",IF(P2219=9,"2020/2021-Ganjil","2020/2021-Genap")))))))))</f>
        <v>2019/2020-Ganjil</v>
      </c>
      <c r="R2219" t="s">
        <v>260</v>
      </c>
      <c r="S2219" t="str">
        <f t="shared" si="327"/>
        <v>FA</v>
      </c>
    </row>
    <row r="2220" spans="1:19" x14ac:dyDescent="0.3">
      <c r="A2220" t="s">
        <v>12</v>
      </c>
      <c r="B2220">
        <v>2016110063</v>
      </c>
      <c r="C2220" t="s">
        <v>210</v>
      </c>
      <c r="E2220" t="s">
        <v>283</v>
      </c>
      <c r="F2220" t="s">
        <v>284</v>
      </c>
      <c r="G2220">
        <v>2</v>
      </c>
      <c r="H2220" t="s">
        <v>438</v>
      </c>
      <c r="I2220" s="4">
        <f t="shared" si="328"/>
        <v>3</v>
      </c>
      <c r="J2220">
        <f t="shared" si="329"/>
        <v>6</v>
      </c>
      <c r="K2220">
        <v>66</v>
      </c>
      <c r="L2220">
        <v>22</v>
      </c>
      <c r="M2220" s="2">
        <v>3</v>
      </c>
      <c r="N2220" s="2">
        <v>2.82</v>
      </c>
      <c r="O2220">
        <v>1</v>
      </c>
      <c r="P2220">
        <v>10</v>
      </c>
      <c r="Q2220" s="4" t="s">
        <v>578</v>
      </c>
      <c r="R2220" t="s">
        <v>260</v>
      </c>
      <c r="S2220" t="str">
        <f t="shared" si="327"/>
        <v>PA</v>
      </c>
    </row>
    <row r="2221" spans="1:19" x14ac:dyDescent="0.3">
      <c r="A2221" t="s">
        <v>12</v>
      </c>
      <c r="B2221">
        <v>2016110064</v>
      </c>
      <c r="C2221" t="s">
        <v>52</v>
      </c>
      <c r="E2221" t="s">
        <v>31</v>
      </c>
      <c r="F2221" t="s">
        <v>20</v>
      </c>
      <c r="G2221">
        <v>4</v>
      </c>
      <c r="I2221" s="4"/>
      <c r="J2221">
        <f t="shared" ref="J2221:J2222" si="330">G2221*I2221</f>
        <v>0</v>
      </c>
      <c r="K2221">
        <v>44</v>
      </c>
      <c r="L2221">
        <v>12</v>
      </c>
      <c r="M2221" s="2">
        <v>3.67</v>
      </c>
      <c r="N2221" s="2">
        <v>3.69</v>
      </c>
      <c r="O2221">
        <v>0</v>
      </c>
      <c r="P2221">
        <v>7</v>
      </c>
      <c r="Q2221" s="4" t="str">
        <f t="shared" ref="Q2221:Q2252" si="331">IF(P2221=1,"2016/2017-Ganjil",IF(P2221=2,"2016/2017-Genap",IF(P2221=3,"2017/2018-Ganjil",IF(P2221=4,"2017/2018-Genap",IF(P2221=5,"2018/2019-Ganjil",IF(P2221=6,"2018/2019-Genap",IF(P2221=7,"2019/2020-Ganjil",IF(P2221=8,"2019/2020-Genap",IF(P2221=9,"2020/2021-Ganjil",IF(P2221=10,"2020/2021-Genap",IF(P2221=11,"2021/2022-Ganjil",IF(P2221=12,"2021/2022-Genap",IF(P2221=13,"2022/2023-Ganjil","2022/2023-Genap")))))))))))))</f>
        <v>2019/2020-Ganjil</v>
      </c>
      <c r="R2221" t="s">
        <v>260</v>
      </c>
      <c r="S2221" t="s">
        <v>595</v>
      </c>
    </row>
    <row r="2222" spans="1:19" x14ac:dyDescent="0.3">
      <c r="A2222" t="s">
        <v>12</v>
      </c>
      <c r="B2222">
        <v>2016110064</v>
      </c>
      <c r="C2222" t="s">
        <v>52</v>
      </c>
      <c r="E2222" t="s">
        <v>31</v>
      </c>
      <c r="F2222" t="s">
        <v>20</v>
      </c>
      <c r="G2222">
        <v>4</v>
      </c>
      <c r="H2222" t="s">
        <v>438</v>
      </c>
      <c r="I2222" s="4">
        <f t="shared" ref="I2222" si="332">IF(H2222="A",4,IF(H2222="B",3,IF(H2222="C",2,IF(H2222="D",1,0))))</f>
        <v>3</v>
      </c>
      <c r="J2222">
        <f t="shared" si="330"/>
        <v>12</v>
      </c>
      <c r="K2222">
        <v>12</v>
      </c>
      <c r="L2222">
        <v>4</v>
      </c>
      <c r="M2222" s="2">
        <v>3</v>
      </c>
      <c r="N2222" s="2">
        <v>3.69</v>
      </c>
      <c r="O2222">
        <v>1</v>
      </c>
      <c r="P2222">
        <v>8</v>
      </c>
      <c r="Q2222" s="4" t="str">
        <f t="shared" si="331"/>
        <v>2019/2020-Genap</v>
      </c>
      <c r="R2222" t="s">
        <v>596</v>
      </c>
      <c r="S2222" t="str">
        <f t="shared" ref="S2222:S2285" si="333">IF(OR(H2222="A",H2222="B",H2222="C"),"PA","FA")</f>
        <v>PA</v>
      </c>
    </row>
    <row r="2223" spans="1:19" x14ac:dyDescent="0.3">
      <c r="A2223" t="s">
        <v>12</v>
      </c>
      <c r="B2223">
        <v>2016110064</v>
      </c>
      <c r="C2223" t="s">
        <v>52</v>
      </c>
      <c r="E2223" t="s">
        <v>97</v>
      </c>
      <c r="F2223" t="s">
        <v>98</v>
      </c>
      <c r="G2223">
        <v>4</v>
      </c>
      <c r="H2223" t="s">
        <v>260</v>
      </c>
      <c r="I2223" s="4">
        <f t="shared" ref="I2223:I2286" si="334">IF(H2223="A",4,IF(H2223="B",3,IF(H2223="C",2,IF(H2223="D",1,0))))</f>
        <v>4</v>
      </c>
      <c r="J2223">
        <f t="shared" ref="J2223:J2286" si="335">G2223*I2223</f>
        <v>16</v>
      </c>
      <c r="K2223">
        <v>80</v>
      </c>
      <c r="L2223">
        <v>20</v>
      </c>
      <c r="M2223" s="2">
        <v>4</v>
      </c>
      <c r="N2223" s="2">
        <v>3.69</v>
      </c>
      <c r="O2223">
        <v>0</v>
      </c>
      <c r="P2223">
        <v>2</v>
      </c>
      <c r="Q2223" s="4" t="str">
        <f t="shared" si="331"/>
        <v>2016/2017-Genap</v>
      </c>
      <c r="R2223" t="s">
        <v>260</v>
      </c>
      <c r="S2223" t="str">
        <f t="shared" si="333"/>
        <v>PA</v>
      </c>
    </row>
    <row r="2224" spans="1:19" x14ac:dyDescent="0.3">
      <c r="A2224" t="s">
        <v>12</v>
      </c>
      <c r="B2224">
        <v>2016110064</v>
      </c>
      <c r="C2224" t="s">
        <v>52</v>
      </c>
      <c r="E2224" t="s">
        <v>273</v>
      </c>
      <c r="F2224" t="s">
        <v>274</v>
      </c>
      <c r="G2224">
        <v>2</v>
      </c>
      <c r="H2224" t="s">
        <v>260</v>
      </c>
      <c r="I2224" s="4">
        <f t="shared" si="334"/>
        <v>4</v>
      </c>
      <c r="J2224">
        <f t="shared" si="335"/>
        <v>8</v>
      </c>
      <c r="K2224">
        <v>80</v>
      </c>
      <c r="L2224">
        <v>22</v>
      </c>
      <c r="M2224" s="2">
        <v>3.64</v>
      </c>
      <c r="N2224" s="2">
        <v>3.69</v>
      </c>
      <c r="O2224">
        <v>0</v>
      </c>
      <c r="P2224">
        <v>6</v>
      </c>
      <c r="Q2224" s="4" t="str">
        <f t="shared" si="331"/>
        <v>2018/2019-Genap</v>
      </c>
      <c r="R2224" t="s">
        <v>260</v>
      </c>
      <c r="S2224" t="str">
        <f t="shared" si="333"/>
        <v>PA</v>
      </c>
    </row>
    <row r="2225" spans="1:19" x14ac:dyDescent="0.3">
      <c r="A2225" t="s">
        <v>12</v>
      </c>
      <c r="B2225">
        <v>2016110064</v>
      </c>
      <c r="C2225" t="s">
        <v>52</v>
      </c>
      <c r="E2225" t="s">
        <v>309</v>
      </c>
      <c r="F2225" t="s">
        <v>310</v>
      </c>
      <c r="G2225">
        <v>4</v>
      </c>
      <c r="H2225" t="s">
        <v>260</v>
      </c>
      <c r="I2225" s="4">
        <f t="shared" si="334"/>
        <v>4</v>
      </c>
      <c r="J2225">
        <f t="shared" si="335"/>
        <v>16</v>
      </c>
      <c r="K2225">
        <v>78</v>
      </c>
      <c r="L2225">
        <v>22</v>
      </c>
      <c r="M2225" s="2">
        <v>3.55</v>
      </c>
      <c r="N2225" s="2">
        <v>3.69</v>
      </c>
      <c r="O2225">
        <v>0</v>
      </c>
      <c r="P2225">
        <v>4</v>
      </c>
      <c r="Q2225" s="4" t="str">
        <f t="shared" si="331"/>
        <v>2017/2018-Genap</v>
      </c>
      <c r="R2225" t="s">
        <v>260</v>
      </c>
      <c r="S2225" t="str">
        <f t="shared" si="333"/>
        <v>PA</v>
      </c>
    </row>
    <row r="2226" spans="1:19" x14ac:dyDescent="0.3">
      <c r="A2226" t="s">
        <v>12</v>
      </c>
      <c r="B2226">
        <v>2016110064</v>
      </c>
      <c r="C2226" t="s">
        <v>52</v>
      </c>
      <c r="E2226" t="s">
        <v>103</v>
      </c>
      <c r="F2226" t="s">
        <v>104</v>
      </c>
      <c r="G2226">
        <v>4</v>
      </c>
      <c r="H2226" t="s">
        <v>260</v>
      </c>
      <c r="I2226" s="4">
        <f t="shared" si="334"/>
        <v>4</v>
      </c>
      <c r="J2226">
        <f t="shared" si="335"/>
        <v>16</v>
      </c>
      <c r="K2226">
        <v>80</v>
      </c>
      <c r="L2226">
        <v>20</v>
      </c>
      <c r="M2226" s="2">
        <v>4</v>
      </c>
      <c r="N2226" s="2">
        <v>3.69</v>
      </c>
      <c r="O2226">
        <v>0</v>
      </c>
      <c r="P2226">
        <v>2</v>
      </c>
      <c r="Q2226" s="4" t="str">
        <f t="shared" si="331"/>
        <v>2016/2017-Genap</v>
      </c>
      <c r="R2226" t="s">
        <v>260</v>
      </c>
      <c r="S2226" t="str">
        <f t="shared" si="333"/>
        <v>PA</v>
      </c>
    </row>
    <row r="2227" spans="1:19" x14ac:dyDescent="0.3">
      <c r="A2227" t="s">
        <v>12</v>
      </c>
      <c r="B2227">
        <v>2016110064</v>
      </c>
      <c r="C2227" t="s">
        <v>52</v>
      </c>
      <c r="E2227" t="s">
        <v>39</v>
      </c>
      <c r="F2227" t="s">
        <v>11</v>
      </c>
      <c r="G2227">
        <v>2</v>
      </c>
      <c r="H2227" t="s">
        <v>260</v>
      </c>
      <c r="I2227" s="4">
        <f t="shared" si="334"/>
        <v>4</v>
      </c>
      <c r="J2227">
        <f t="shared" si="335"/>
        <v>8</v>
      </c>
      <c r="K2227">
        <v>80</v>
      </c>
      <c r="L2227">
        <v>22</v>
      </c>
      <c r="M2227" s="2">
        <v>3.64</v>
      </c>
      <c r="N2227" s="2">
        <v>3.69</v>
      </c>
      <c r="O2227">
        <v>0</v>
      </c>
      <c r="P2227">
        <v>6</v>
      </c>
      <c r="Q2227" s="4" t="str">
        <f t="shared" si="331"/>
        <v>2018/2019-Genap</v>
      </c>
      <c r="R2227" t="s">
        <v>260</v>
      </c>
      <c r="S2227" t="str">
        <f t="shared" si="333"/>
        <v>PA</v>
      </c>
    </row>
    <row r="2228" spans="1:19" x14ac:dyDescent="0.3">
      <c r="A2228" t="s">
        <v>12</v>
      </c>
      <c r="B2228">
        <v>2016110064</v>
      </c>
      <c r="C2228" t="s">
        <v>52</v>
      </c>
      <c r="E2228" t="s">
        <v>334</v>
      </c>
      <c r="F2228" t="s">
        <v>335</v>
      </c>
      <c r="G2228">
        <v>2</v>
      </c>
      <c r="H2228" t="s">
        <v>260</v>
      </c>
      <c r="I2228" s="4">
        <f t="shared" si="334"/>
        <v>4</v>
      </c>
      <c r="J2228">
        <f t="shared" si="335"/>
        <v>8</v>
      </c>
      <c r="K2228">
        <v>82</v>
      </c>
      <c r="L2228">
        <v>22</v>
      </c>
      <c r="M2228" s="2">
        <v>3.73</v>
      </c>
      <c r="N2228" s="2">
        <v>3.69</v>
      </c>
      <c r="O2228">
        <v>0</v>
      </c>
      <c r="P2228">
        <v>5</v>
      </c>
      <c r="Q2228" s="4" t="str">
        <f t="shared" si="331"/>
        <v>2018/2019-Ganjil</v>
      </c>
      <c r="R2228" t="s">
        <v>260</v>
      </c>
      <c r="S2228" t="str">
        <f t="shared" si="333"/>
        <v>PA</v>
      </c>
    </row>
    <row r="2229" spans="1:19" x14ac:dyDescent="0.3">
      <c r="A2229" t="s">
        <v>12</v>
      </c>
      <c r="B2229">
        <v>2016110064</v>
      </c>
      <c r="C2229" t="s">
        <v>52</v>
      </c>
      <c r="E2229" t="s">
        <v>139</v>
      </c>
      <c r="F2229" t="s">
        <v>140</v>
      </c>
      <c r="G2229">
        <v>2</v>
      </c>
      <c r="H2229" t="s">
        <v>260</v>
      </c>
      <c r="I2229" s="4">
        <f t="shared" si="334"/>
        <v>4</v>
      </c>
      <c r="J2229">
        <f t="shared" si="335"/>
        <v>8</v>
      </c>
      <c r="K2229">
        <v>80</v>
      </c>
      <c r="L2229">
        <v>20</v>
      </c>
      <c r="M2229" s="2">
        <v>4</v>
      </c>
      <c r="N2229" s="2">
        <v>3.69</v>
      </c>
      <c r="O2229">
        <v>0</v>
      </c>
      <c r="P2229">
        <v>2</v>
      </c>
      <c r="Q2229" s="4" t="str">
        <f t="shared" si="331"/>
        <v>2016/2017-Genap</v>
      </c>
      <c r="R2229" t="s">
        <v>260</v>
      </c>
      <c r="S2229" t="str">
        <f t="shared" si="333"/>
        <v>PA</v>
      </c>
    </row>
    <row r="2230" spans="1:19" x14ac:dyDescent="0.3">
      <c r="A2230" t="s">
        <v>12</v>
      </c>
      <c r="B2230">
        <v>2016110064</v>
      </c>
      <c r="C2230" t="s">
        <v>52</v>
      </c>
      <c r="E2230" t="s">
        <v>122</v>
      </c>
      <c r="F2230" t="s">
        <v>123</v>
      </c>
      <c r="G2230">
        <v>4</v>
      </c>
      <c r="H2230" t="s">
        <v>260</v>
      </c>
      <c r="I2230" s="4">
        <f t="shared" si="334"/>
        <v>4</v>
      </c>
      <c r="J2230">
        <f t="shared" si="335"/>
        <v>16</v>
      </c>
      <c r="K2230">
        <v>74</v>
      </c>
      <c r="L2230">
        <v>20</v>
      </c>
      <c r="M2230" s="2">
        <v>3.7</v>
      </c>
      <c r="N2230" s="2">
        <v>3.69</v>
      </c>
      <c r="O2230">
        <v>0</v>
      </c>
      <c r="P2230">
        <v>1</v>
      </c>
      <c r="Q2230" s="4" t="str">
        <f t="shared" si="331"/>
        <v>2016/2017-Ganjil</v>
      </c>
      <c r="R2230" t="s">
        <v>260</v>
      </c>
      <c r="S2230" t="str">
        <f t="shared" si="333"/>
        <v>PA</v>
      </c>
    </row>
    <row r="2231" spans="1:19" x14ac:dyDescent="0.3">
      <c r="A2231" t="s">
        <v>12</v>
      </c>
      <c r="B2231">
        <v>2016110064</v>
      </c>
      <c r="C2231" t="s">
        <v>52</v>
      </c>
      <c r="E2231" t="s">
        <v>264</v>
      </c>
      <c r="F2231" t="s">
        <v>265</v>
      </c>
      <c r="G2231">
        <v>2</v>
      </c>
      <c r="H2231" t="s">
        <v>260</v>
      </c>
      <c r="I2231" s="4">
        <f t="shared" si="334"/>
        <v>4</v>
      </c>
      <c r="J2231">
        <f t="shared" si="335"/>
        <v>8</v>
      </c>
      <c r="K2231">
        <v>82</v>
      </c>
      <c r="L2231">
        <v>22</v>
      </c>
      <c r="M2231" s="2">
        <v>3.73</v>
      </c>
      <c r="N2231" s="2">
        <v>3.69</v>
      </c>
      <c r="O2231">
        <v>0</v>
      </c>
      <c r="P2231">
        <v>5</v>
      </c>
      <c r="Q2231" s="4" t="str">
        <f t="shared" si="331"/>
        <v>2018/2019-Ganjil</v>
      </c>
      <c r="R2231" t="s">
        <v>260</v>
      </c>
      <c r="S2231" t="str">
        <f t="shared" si="333"/>
        <v>PA</v>
      </c>
    </row>
    <row r="2232" spans="1:19" x14ac:dyDescent="0.3">
      <c r="A2232" t="s">
        <v>12</v>
      </c>
      <c r="B2232">
        <v>2016110064</v>
      </c>
      <c r="C2232" t="s">
        <v>52</v>
      </c>
      <c r="E2232" t="s">
        <v>170</v>
      </c>
      <c r="F2232" t="s">
        <v>171</v>
      </c>
      <c r="G2232">
        <v>4</v>
      </c>
      <c r="H2232" t="s">
        <v>260</v>
      </c>
      <c r="I2232" s="4">
        <f t="shared" si="334"/>
        <v>4</v>
      </c>
      <c r="J2232">
        <f t="shared" si="335"/>
        <v>16</v>
      </c>
      <c r="K2232">
        <v>82</v>
      </c>
      <c r="L2232">
        <v>22</v>
      </c>
      <c r="M2232" s="2">
        <v>3.73</v>
      </c>
      <c r="N2232" s="2">
        <v>3.69</v>
      </c>
      <c r="O2232">
        <v>0</v>
      </c>
      <c r="P2232">
        <v>3</v>
      </c>
      <c r="Q2232" s="4" t="str">
        <f t="shared" si="331"/>
        <v>2017/2018-Ganjil</v>
      </c>
      <c r="R2232" t="s">
        <v>260</v>
      </c>
      <c r="S2232" t="str">
        <f t="shared" si="333"/>
        <v>PA</v>
      </c>
    </row>
    <row r="2233" spans="1:19" x14ac:dyDescent="0.3">
      <c r="A2233" t="s">
        <v>12</v>
      </c>
      <c r="B2233">
        <v>2016110064</v>
      </c>
      <c r="C2233" t="s">
        <v>52</v>
      </c>
      <c r="E2233" t="s">
        <v>306</v>
      </c>
      <c r="F2233" t="s">
        <v>307</v>
      </c>
      <c r="G2233">
        <v>2</v>
      </c>
      <c r="H2233" t="s">
        <v>260</v>
      </c>
      <c r="I2233" s="4">
        <f t="shared" si="334"/>
        <v>4</v>
      </c>
      <c r="J2233">
        <f t="shared" si="335"/>
        <v>8</v>
      </c>
      <c r="K2233">
        <v>44</v>
      </c>
      <c r="L2233">
        <v>12</v>
      </c>
      <c r="M2233" s="2">
        <v>3.67</v>
      </c>
      <c r="N2233" s="2">
        <v>3.69</v>
      </c>
      <c r="O2233">
        <v>0</v>
      </c>
      <c r="P2233">
        <v>7</v>
      </c>
      <c r="Q2233" s="4" t="str">
        <f t="shared" si="331"/>
        <v>2019/2020-Ganjil</v>
      </c>
      <c r="R2233" t="s">
        <v>260</v>
      </c>
      <c r="S2233" t="str">
        <f t="shared" si="333"/>
        <v>PA</v>
      </c>
    </row>
    <row r="2234" spans="1:19" x14ac:dyDescent="0.3">
      <c r="A2234" t="s">
        <v>12</v>
      </c>
      <c r="B2234">
        <v>2016110064</v>
      </c>
      <c r="C2234" t="s">
        <v>52</v>
      </c>
      <c r="E2234" t="s">
        <v>357</v>
      </c>
      <c r="F2234" t="s">
        <v>358</v>
      </c>
      <c r="G2234">
        <v>4</v>
      </c>
      <c r="H2234" t="s">
        <v>260</v>
      </c>
      <c r="I2234" s="4">
        <f t="shared" si="334"/>
        <v>4</v>
      </c>
      <c r="J2234">
        <f t="shared" si="335"/>
        <v>16</v>
      </c>
      <c r="K2234">
        <v>82</v>
      </c>
      <c r="L2234">
        <v>22</v>
      </c>
      <c r="M2234" s="2">
        <v>3.73</v>
      </c>
      <c r="N2234" s="2">
        <v>3.69</v>
      </c>
      <c r="O2234">
        <v>0</v>
      </c>
      <c r="P2234">
        <v>5</v>
      </c>
      <c r="Q2234" s="4" t="str">
        <f t="shared" si="331"/>
        <v>2018/2019-Ganjil</v>
      </c>
      <c r="R2234" t="s">
        <v>260</v>
      </c>
      <c r="S2234" t="str">
        <f t="shared" si="333"/>
        <v>PA</v>
      </c>
    </row>
    <row r="2235" spans="1:19" x14ac:dyDescent="0.3">
      <c r="A2235" t="s">
        <v>12</v>
      </c>
      <c r="B2235">
        <v>2016110064</v>
      </c>
      <c r="C2235" t="s">
        <v>52</v>
      </c>
      <c r="E2235" t="s">
        <v>192</v>
      </c>
      <c r="F2235" t="s">
        <v>106</v>
      </c>
      <c r="G2235">
        <v>2</v>
      </c>
      <c r="H2235" t="s">
        <v>260</v>
      </c>
      <c r="I2235" s="4">
        <f t="shared" si="334"/>
        <v>4</v>
      </c>
      <c r="J2235">
        <f t="shared" si="335"/>
        <v>8</v>
      </c>
      <c r="K2235">
        <v>82</v>
      </c>
      <c r="L2235">
        <v>22</v>
      </c>
      <c r="M2235" s="2">
        <v>3.73</v>
      </c>
      <c r="N2235" s="2">
        <v>3.69</v>
      </c>
      <c r="O2235">
        <v>0</v>
      </c>
      <c r="P2235">
        <v>3</v>
      </c>
      <c r="Q2235" s="4" t="str">
        <f t="shared" si="331"/>
        <v>2017/2018-Ganjil</v>
      </c>
      <c r="R2235" t="s">
        <v>260</v>
      </c>
      <c r="S2235" t="str">
        <f t="shared" si="333"/>
        <v>PA</v>
      </c>
    </row>
    <row r="2236" spans="1:19" x14ac:dyDescent="0.3">
      <c r="A2236" t="s">
        <v>12</v>
      </c>
      <c r="B2236">
        <v>2016110064</v>
      </c>
      <c r="C2236" t="s">
        <v>52</v>
      </c>
      <c r="E2236" t="s">
        <v>142</v>
      </c>
      <c r="F2236" t="s">
        <v>143</v>
      </c>
      <c r="G2236">
        <v>2</v>
      </c>
      <c r="H2236" t="s">
        <v>260</v>
      </c>
      <c r="I2236" s="4">
        <f t="shared" si="334"/>
        <v>4</v>
      </c>
      <c r="J2236">
        <f t="shared" si="335"/>
        <v>8</v>
      </c>
      <c r="K2236">
        <v>74</v>
      </c>
      <c r="L2236">
        <v>20</v>
      </c>
      <c r="M2236" s="2">
        <v>3.7</v>
      </c>
      <c r="N2236" s="2">
        <v>3.69</v>
      </c>
      <c r="O2236">
        <v>0</v>
      </c>
      <c r="P2236">
        <v>1</v>
      </c>
      <c r="Q2236" s="4" t="str">
        <f t="shared" si="331"/>
        <v>2016/2017-Ganjil</v>
      </c>
      <c r="R2236" t="s">
        <v>260</v>
      </c>
      <c r="S2236" t="str">
        <f t="shared" si="333"/>
        <v>PA</v>
      </c>
    </row>
    <row r="2237" spans="1:19" x14ac:dyDescent="0.3">
      <c r="A2237" t="s">
        <v>12</v>
      </c>
      <c r="B2237">
        <v>2016110064</v>
      </c>
      <c r="C2237" t="s">
        <v>52</v>
      </c>
      <c r="E2237" t="s">
        <v>382</v>
      </c>
      <c r="F2237" t="s">
        <v>383</v>
      </c>
      <c r="G2237">
        <v>4</v>
      </c>
      <c r="H2237" t="s">
        <v>260</v>
      </c>
      <c r="I2237" s="4">
        <f t="shared" si="334"/>
        <v>4</v>
      </c>
      <c r="J2237">
        <f t="shared" si="335"/>
        <v>16</v>
      </c>
      <c r="K2237">
        <v>82</v>
      </c>
      <c r="L2237">
        <v>22</v>
      </c>
      <c r="M2237" s="2">
        <v>3.73</v>
      </c>
      <c r="N2237" s="2">
        <v>3.69</v>
      </c>
      <c r="O2237">
        <v>0</v>
      </c>
      <c r="P2237">
        <v>5</v>
      </c>
      <c r="Q2237" s="4" t="str">
        <f t="shared" si="331"/>
        <v>2018/2019-Ganjil</v>
      </c>
      <c r="R2237" t="s">
        <v>260</v>
      </c>
      <c r="S2237" t="str">
        <f t="shared" si="333"/>
        <v>PA</v>
      </c>
    </row>
    <row r="2238" spans="1:19" x14ac:dyDescent="0.3">
      <c r="A2238" t="s">
        <v>12</v>
      </c>
      <c r="B2238">
        <v>2016110064</v>
      </c>
      <c r="C2238" t="s">
        <v>52</v>
      </c>
      <c r="E2238" t="s">
        <v>344</v>
      </c>
      <c r="F2238" t="s">
        <v>345</v>
      </c>
      <c r="G2238">
        <v>2</v>
      </c>
      <c r="H2238" t="s">
        <v>260</v>
      </c>
      <c r="I2238" s="4">
        <f t="shared" si="334"/>
        <v>4</v>
      </c>
      <c r="J2238">
        <f t="shared" si="335"/>
        <v>8</v>
      </c>
      <c r="K2238">
        <v>44</v>
      </c>
      <c r="L2238">
        <v>12</v>
      </c>
      <c r="M2238" s="2">
        <v>3.67</v>
      </c>
      <c r="N2238" s="2">
        <v>3.69</v>
      </c>
      <c r="O2238">
        <v>0</v>
      </c>
      <c r="P2238">
        <v>7</v>
      </c>
      <c r="Q2238" s="4" t="str">
        <f t="shared" si="331"/>
        <v>2019/2020-Ganjil</v>
      </c>
      <c r="R2238" t="s">
        <v>260</v>
      </c>
      <c r="S2238" t="str">
        <f t="shared" si="333"/>
        <v>PA</v>
      </c>
    </row>
    <row r="2239" spans="1:19" x14ac:dyDescent="0.3">
      <c r="A2239" t="s">
        <v>12</v>
      </c>
      <c r="B2239">
        <v>2016110064</v>
      </c>
      <c r="C2239" t="s">
        <v>52</v>
      </c>
      <c r="E2239" t="s">
        <v>77</v>
      </c>
      <c r="F2239" t="s">
        <v>78</v>
      </c>
      <c r="G2239">
        <v>2</v>
      </c>
      <c r="H2239" t="s">
        <v>260</v>
      </c>
      <c r="I2239" s="4">
        <f t="shared" si="334"/>
        <v>4</v>
      </c>
      <c r="J2239">
        <f t="shared" si="335"/>
        <v>8</v>
      </c>
      <c r="K2239">
        <v>74</v>
      </c>
      <c r="L2239">
        <v>20</v>
      </c>
      <c r="M2239" s="2">
        <v>3.7</v>
      </c>
      <c r="N2239" s="2">
        <v>3.69</v>
      </c>
      <c r="O2239">
        <v>0</v>
      </c>
      <c r="P2239">
        <v>1</v>
      </c>
      <c r="Q2239" s="4" t="str">
        <f t="shared" si="331"/>
        <v>2016/2017-Ganjil</v>
      </c>
      <c r="R2239" t="s">
        <v>260</v>
      </c>
      <c r="S2239" t="str">
        <f t="shared" si="333"/>
        <v>PA</v>
      </c>
    </row>
    <row r="2240" spans="1:19" x14ac:dyDescent="0.3">
      <c r="A2240" t="s">
        <v>12</v>
      </c>
      <c r="B2240">
        <v>2016110064</v>
      </c>
      <c r="C2240" t="s">
        <v>52</v>
      </c>
      <c r="E2240" t="s">
        <v>279</v>
      </c>
      <c r="F2240" t="s">
        <v>280</v>
      </c>
      <c r="G2240">
        <v>2</v>
      </c>
      <c r="H2240" t="s">
        <v>260</v>
      </c>
      <c r="I2240" s="4">
        <f t="shared" si="334"/>
        <v>4</v>
      </c>
      <c r="J2240">
        <f t="shared" si="335"/>
        <v>8</v>
      </c>
      <c r="K2240">
        <v>80</v>
      </c>
      <c r="L2240">
        <v>20</v>
      </c>
      <c r="M2240" s="2">
        <v>4</v>
      </c>
      <c r="N2240" s="2">
        <v>3.69</v>
      </c>
      <c r="O2240">
        <v>0</v>
      </c>
      <c r="P2240">
        <v>2</v>
      </c>
      <c r="Q2240" s="4" t="str">
        <f t="shared" si="331"/>
        <v>2016/2017-Genap</v>
      </c>
      <c r="R2240" t="s">
        <v>260</v>
      </c>
      <c r="S2240" t="str">
        <f t="shared" si="333"/>
        <v>PA</v>
      </c>
    </row>
    <row r="2241" spans="1:19" x14ac:dyDescent="0.3">
      <c r="A2241" t="s">
        <v>12</v>
      </c>
      <c r="B2241">
        <v>2016110064</v>
      </c>
      <c r="C2241" t="s">
        <v>52</v>
      </c>
      <c r="E2241" t="s">
        <v>297</v>
      </c>
      <c r="F2241" t="s">
        <v>342</v>
      </c>
      <c r="G2241">
        <v>4</v>
      </c>
      <c r="H2241" t="s">
        <v>260</v>
      </c>
      <c r="I2241" s="4">
        <f t="shared" si="334"/>
        <v>4</v>
      </c>
      <c r="J2241">
        <f t="shared" si="335"/>
        <v>16</v>
      </c>
      <c r="K2241">
        <v>80</v>
      </c>
      <c r="L2241">
        <v>22</v>
      </c>
      <c r="M2241" s="2">
        <v>3.64</v>
      </c>
      <c r="N2241" s="2">
        <v>3.69</v>
      </c>
      <c r="O2241">
        <v>0</v>
      </c>
      <c r="P2241">
        <v>6</v>
      </c>
      <c r="Q2241" s="4" t="str">
        <f t="shared" si="331"/>
        <v>2018/2019-Genap</v>
      </c>
      <c r="R2241" t="s">
        <v>260</v>
      </c>
      <c r="S2241" t="str">
        <f t="shared" si="333"/>
        <v>PA</v>
      </c>
    </row>
    <row r="2242" spans="1:19" x14ac:dyDescent="0.3">
      <c r="A2242" t="s">
        <v>12</v>
      </c>
      <c r="B2242">
        <v>2016110064</v>
      </c>
      <c r="C2242" t="s">
        <v>52</v>
      </c>
      <c r="E2242" t="s">
        <v>290</v>
      </c>
      <c r="F2242" t="s">
        <v>327</v>
      </c>
      <c r="G2242">
        <v>4</v>
      </c>
      <c r="H2242" t="s">
        <v>260</v>
      </c>
      <c r="I2242" s="4">
        <f t="shared" si="334"/>
        <v>4</v>
      </c>
      <c r="J2242">
        <f t="shared" si="335"/>
        <v>16</v>
      </c>
      <c r="K2242">
        <v>80</v>
      </c>
      <c r="L2242">
        <v>20</v>
      </c>
      <c r="M2242" s="2">
        <v>4</v>
      </c>
      <c r="N2242" s="2">
        <v>3.69</v>
      </c>
      <c r="O2242">
        <v>0</v>
      </c>
      <c r="P2242">
        <v>2</v>
      </c>
      <c r="Q2242" s="4" t="str">
        <f t="shared" si="331"/>
        <v>2016/2017-Genap</v>
      </c>
      <c r="R2242" t="s">
        <v>260</v>
      </c>
      <c r="S2242" t="str">
        <f t="shared" si="333"/>
        <v>PA</v>
      </c>
    </row>
    <row r="2243" spans="1:19" x14ac:dyDescent="0.3">
      <c r="A2243" t="s">
        <v>12</v>
      </c>
      <c r="B2243">
        <v>2016110064</v>
      </c>
      <c r="C2243" t="s">
        <v>52</v>
      </c>
      <c r="E2243" t="s">
        <v>360</v>
      </c>
      <c r="F2243" t="s">
        <v>361</v>
      </c>
      <c r="G2243">
        <v>2</v>
      </c>
      <c r="H2243" t="s">
        <v>260</v>
      </c>
      <c r="I2243" s="4">
        <f t="shared" si="334"/>
        <v>4</v>
      </c>
      <c r="J2243">
        <f t="shared" si="335"/>
        <v>8</v>
      </c>
      <c r="K2243">
        <v>80</v>
      </c>
      <c r="L2243">
        <v>22</v>
      </c>
      <c r="M2243" s="2">
        <v>3.64</v>
      </c>
      <c r="N2243" s="2">
        <v>3.69</v>
      </c>
      <c r="O2243">
        <v>0</v>
      </c>
      <c r="P2243">
        <v>6</v>
      </c>
      <c r="Q2243" s="4" t="str">
        <f t="shared" si="331"/>
        <v>2018/2019-Genap</v>
      </c>
      <c r="R2243" t="s">
        <v>260</v>
      </c>
      <c r="S2243" t="str">
        <f t="shared" si="333"/>
        <v>PA</v>
      </c>
    </row>
    <row r="2244" spans="1:19" x14ac:dyDescent="0.3">
      <c r="A2244" t="s">
        <v>12</v>
      </c>
      <c r="B2244">
        <v>2016110064</v>
      </c>
      <c r="C2244" t="s">
        <v>52</v>
      </c>
      <c r="E2244" t="s">
        <v>276</v>
      </c>
      <c r="F2244" t="s">
        <v>137</v>
      </c>
      <c r="G2244">
        <v>4</v>
      </c>
      <c r="H2244" t="s">
        <v>260</v>
      </c>
      <c r="I2244" s="4">
        <f t="shared" si="334"/>
        <v>4</v>
      </c>
      <c r="J2244">
        <f t="shared" si="335"/>
        <v>16</v>
      </c>
      <c r="K2244">
        <v>78</v>
      </c>
      <c r="L2244">
        <v>22</v>
      </c>
      <c r="M2244" s="2">
        <v>3.55</v>
      </c>
      <c r="N2244" s="2">
        <v>3.69</v>
      </c>
      <c r="O2244">
        <v>0</v>
      </c>
      <c r="P2244">
        <v>4</v>
      </c>
      <c r="Q2244" s="4" t="str">
        <f t="shared" si="331"/>
        <v>2017/2018-Genap</v>
      </c>
      <c r="R2244" t="s">
        <v>260</v>
      </c>
      <c r="S2244" t="str">
        <f t="shared" si="333"/>
        <v>PA</v>
      </c>
    </row>
    <row r="2245" spans="1:19" x14ac:dyDescent="0.3">
      <c r="A2245" t="s">
        <v>12</v>
      </c>
      <c r="B2245">
        <v>2016110064</v>
      </c>
      <c r="C2245" t="s">
        <v>52</v>
      </c>
      <c r="E2245" t="s">
        <v>100</v>
      </c>
      <c r="F2245" t="s">
        <v>101</v>
      </c>
      <c r="G2245">
        <v>4</v>
      </c>
      <c r="H2245" t="s">
        <v>260</v>
      </c>
      <c r="I2245" s="4">
        <f t="shared" si="334"/>
        <v>4</v>
      </c>
      <c r="J2245">
        <f t="shared" si="335"/>
        <v>16</v>
      </c>
      <c r="K2245">
        <v>80</v>
      </c>
      <c r="L2245">
        <v>20</v>
      </c>
      <c r="M2245" s="2">
        <v>4</v>
      </c>
      <c r="N2245" s="2">
        <v>3.69</v>
      </c>
      <c r="O2245">
        <v>0</v>
      </c>
      <c r="P2245">
        <v>2</v>
      </c>
      <c r="Q2245" s="4" t="str">
        <f t="shared" si="331"/>
        <v>2016/2017-Genap</v>
      </c>
      <c r="R2245" t="s">
        <v>260</v>
      </c>
      <c r="S2245" t="str">
        <f t="shared" si="333"/>
        <v>PA</v>
      </c>
    </row>
    <row r="2246" spans="1:19" x14ac:dyDescent="0.3">
      <c r="A2246" t="s">
        <v>12</v>
      </c>
      <c r="B2246">
        <v>2016110064</v>
      </c>
      <c r="C2246" t="s">
        <v>52</v>
      </c>
      <c r="E2246" t="s">
        <v>293</v>
      </c>
      <c r="F2246" t="s">
        <v>294</v>
      </c>
      <c r="G2246">
        <v>2</v>
      </c>
      <c r="H2246" t="s">
        <v>260</v>
      </c>
      <c r="I2246" s="4">
        <f t="shared" si="334"/>
        <v>4</v>
      </c>
      <c r="J2246">
        <f t="shared" si="335"/>
        <v>8</v>
      </c>
      <c r="K2246">
        <v>82</v>
      </c>
      <c r="L2246">
        <v>22</v>
      </c>
      <c r="M2246" s="2">
        <v>3.73</v>
      </c>
      <c r="N2246" s="2">
        <v>3.69</v>
      </c>
      <c r="O2246">
        <v>0</v>
      </c>
      <c r="P2246">
        <v>5</v>
      </c>
      <c r="Q2246" s="4" t="str">
        <f t="shared" si="331"/>
        <v>2018/2019-Ganjil</v>
      </c>
      <c r="R2246" t="s">
        <v>260</v>
      </c>
      <c r="S2246" t="str">
        <f t="shared" si="333"/>
        <v>PA</v>
      </c>
    </row>
    <row r="2247" spans="1:19" x14ac:dyDescent="0.3">
      <c r="A2247" t="s">
        <v>12</v>
      </c>
      <c r="B2247">
        <v>2016110064</v>
      </c>
      <c r="C2247" t="s">
        <v>52</v>
      </c>
      <c r="E2247" t="s">
        <v>387</v>
      </c>
      <c r="F2247" t="s">
        <v>388</v>
      </c>
      <c r="G2247">
        <v>2</v>
      </c>
      <c r="H2247" t="s">
        <v>260</v>
      </c>
      <c r="I2247" s="4">
        <f t="shared" si="334"/>
        <v>4</v>
      </c>
      <c r="J2247">
        <f t="shared" si="335"/>
        <v>8</v>
      </c>
      <c r="K2247">
        <v>80</v>
      </c>
      <c r="L2247">
        <v>22</v>
      </c>
      <c r="M2247" s="2">
        <v>3.64</v>
      </c>
      <c r="N2247" s="2">
        <v>3.69</v>
      </c>
      <c r="O2247">
        <v>0</v>
      </c>
      <c r="P2247">
        <v>6</v>
      </c>
      <c r="Q2247" s="4" t="str">
        <f t="shared" si="331"/>
        <v>2018/2019-Genap</v>
      </c>
      <c r="R2247" t="s">
        <v>260</v>
      </c>
      <c r="S2247" t="str">
        <f t="shared" si="333"/>
        <v>PA</v>
      </c>
    </row>
    <row r="2248" spans="1:19" x14ac:dyDescent="0.3">
      <c r="A2248" t="s">
        <v>12</v>
      </c>
      <c r="B2248">
        <v>2016110064</v>
      </c>
      <c r="C2248" t="s">
        <v>52</v>
      </c>
      <c r="E2248" t="s">
        <v>236</v>
      </c>
      <c r="F2248" t="s">
        <v>237</v>
      </c>
      <c r="G2248">
        <v>2</v>
      </c>
      <c r="H2248" t="s">
        <v>260</v>
      </c>
      <c r="I2248" s="4">
        <f t="shared" si="334"/>
        <v>4</v>
      </c>
      <c r="J2248">
        <f t="shared" si="335"/>
        <v>8</v>
      </c>
      <c r="K2248">
        <v>82</v>
      </c>
      <c r="L2248">
        <v>22</v>
      </c>
      <c r="M2248" s="2">
        <v>3.73</v>
      </c>
      <c r="N2248" s="2">
        <v>3.69</v>
      </c>
      <c r="O2248">
        <v>0</v>
      </c>
      <c r="P2248">
        <v>5</v>
      </c>
      <c r="Q2248" s="4" t="str">
        <f t="shared" si="331"/>
        <v>2018/2019-Ganjil</v>
      </c>
      <c r="R2248" t="s">
        <v>260</v>
      </c>
      <c r="S2248" t="str">
        <f t="shared" si="333"/>
        <v>PA</v>
      </c>
    </row>
    <row r="2249" spans="1:19" x14ac:dyDescent="0.3">
      <c r="A2249" t="s">
        <v>12</v>
      </c>
      <c r="B2249">
        <v>2016110064</v>
      </c>
      <c r="C2249" t="s">
        <v>52</v>
      </c>
      <c r="E2249" t="s">
        <v>234</v>
      </c>
      <c r="F2249" t="s">
        <v>235</v>
      </c>
      <c r="G2249">
        <v>4</v>
      </c>
      <c r="H2249" t="s">
        <v>260</v>
      </c>
      <c r="I2249" s="4">
        <f t="shared" si="334"/>
        <v>4</v>
      </c>
      <c r="J2249">
        <f t="shared" si="335"/>
        <v>16</v>
      </c>
      <c r="K2249">
        <v>82</v>
      </c>
      <c r="L2249">
        <v>22</v>
      </c>
      <c r="M2249" s="2">
        <v>3.73</v>
      </c>
      <c r="N2249" s="2">
        <v>3.69</v>
      </c>
      <c r="O2249">
        <v>0</v>
      </c>
      <c r="P2249">
        <v>3</v>
      </c>
      <c r="Q2249" s="4" t="str">
        <f t="shared" si="331"/>
        <v>2017/2018-Ganjil</v>
      </c>
      <c r="R2249" t="s">
        <v>260</v>
      </c>
      <c r="S2249" t="str">
        <f t="shared" si="333"/>
        <v>PA</v>
      </c>
    </row>
    <row r="2250" spans="1:19" x14ac:dyDescent="0.3">
      <c r="A2250" t="s">
        <v>12</v>
      </c>
      <c r="B2250">
        <v>2016110064</v>
      </c>
      <c r="C2250" t="s">
        <v>52</v>
      </c>
      <c r="E2250" t="s">
        <v>283</v>
      </c>
      <c r="F2250" t="s">
        <v>284</v>
      </c>
      <c r="G2250">
        <v>2</v>
      </c>
      <c r="H2250" t="s">
        <v>260</v>
      </c>
      <c r="I2250" s="4">
        <f t="shared" si="334"/>
        <v>4</v>
      </c>
      <c r="J2250">
        <f t="shared" si="335"/>
        <v>8</v>
      </c>
      <c r="K2250">
        <v>44</v>
      </c>
      <c r="L2250">
        <v>12</v>
      </c>
      <c r="M2250" s="2">
        <v>3.67</v>
      </c>
      <c r="N2250" s="2">
        <v>3.69</v>
      </c>
      <c r="O2250">
        <v>0</v>
      </c>
      <c r="P2250">
        <v>7</v>
      </c>
      <c r="Q2250" s="4" t="str">
        <f t="shared" si="331"/>
        <v>2019/2020-Ganjil</v>
      </c>
      <c r="R2250" t="s">
        <v>260</v>
      </c>
      <c r="S2250" t="str">
        <f t="shared" si="333"/>
        <v>PA</v>
      </c>
    </row>
    <row r="2251" spans="1:19" x14ac:dyDescent="0.3">
      <c r="A2251" t="s">
        <v>12</v>
      </c>
      <c r="B2251">
        <v>2016110064</v>
      </c>
      <c r="C2251" t="s">
        <v>52</v>
      </c>
      <c r="E2251" t="s">
        <v>241</v>
      </c>
      <c r="F2251" t="s">
        <v>45</v>
      </c>
      <c r="G2251">
        <v>2</v>
      </c>
      <c r="H2251" t="s">
        <v>260</v>
      </c>
      <c r="I2251" s="4">
        <f t="shared" si="334"/>
        <v>4</v>
      </c>
      <c r="J2251">
        <f t="shared" si="335"/>
        <v>8</v>
      </c>
      <c r="K2251">
        <v>82</v>
      </c>
      <c r="L2251">
        <v>22</v>
      </c>
      <c r="M2251" s="2">
        <v>3.73</v>
      </c>
      <c r="N2251" s="2">
        <v>3.69</v>
      </c>
      <c r="O2251">
        <v>0</v>
      </c>
      <c r="P2251">
        <v>3</v>
      </c>
      <c r="Q2251" s="4" t="str">
        <f t="shared" si="331"/>
        <v>2017/2018-Ganjil</v>
      </c>
      <c r="R2251" t="s">
        <v>260</v>
      </c>
      <c r="S2251" t="str">
        <f t="shared" si="333"/>
        <v>PA</v>
      </c>
    </row>
    <row r="2252" spans="1:19" x14ac:dyDescent="0.3">
      <c r="A2252" t="s">
        <v>12</v>
      </c>
      <c r="B2252">
        <v>2016110064</v>
      </c>
      <c r="C2252" t="s">
        <v>52</v>
      </c>
      <c r="E2252" t="s">
        <v>316</v>
      </c>
      <c r="F2252" t="s">
        <v>317</v>
      </c>
      <c r="G2252">
        <v>2</v>
      </c>
      <c r="H2252" t="s">
        <v>260</v>
      </c>
      <c r="I2252" s="4">
        <f t="shared" si="334"/>
        <v>4</v>
      </c>
      <c r="J2252">
        <f t="shared" si="335"/>
        <v>8</v>
      </c>
      <c r="K2252">
        <v>44</v>
      </c>
      <c r="L2252">
        <v>12</v>
      </c>
      <c r="M2252" s="2">
        <v>3.67</v>
      </c>
      <c r="N2252" s="2">
        <v>3.69</v>
      </c>
      <c r="O2252">
        <v>0</v>
      </c>
      <c r="P2252">
        <v>7</v>
      </c>
      <c r="Q2252" s="4" t="str">
        <f t="shared" si="331"/>
        <v>2019/2020-Ganjil</v>
      </c>
      <c r="R2252" t="s">
        <v>260</v>
      </c>
      <c r="S2252" t="str">
        <f t="shared" si="333"/>
        <v>PA</v>
      </c>
    </row>
    <row r="2253" spans="1:19" x14ac:dyDescent="0.3">
      <c r="A2253" t="s">
        <v>12</v>
      </c>
      <c r="B2253">
        <v>2016110064</v>
      </c>
      <c r="C2253" t="s">
        <v>52</v>
      </c>
      <c r="E2253" t="s">
        <v>151</v>
      </c>
      <c r="F2253" t="s">
        <v>152</v>
      </c>
      <c r="G2253">
        <v>2</v>
      </c>
      <c r="H2253" t="s">
        <v>260</v>
      </c>
      <c r="I2253" s="4">
        <f t="shared" si="334"/>
        <v>4</v>
      </c>
      <c r="J2253">
        <f t="shared" si="335"/>
        <v>8</v>
      </c>
      <c r="K2253">
        <v>74</v>
      </c>
      <c r="L2253">
        <v>20</v>
      </c>
      <c r="M2253" s="2">
        <v>3.7</v>
      </c>
      <c r="N2253" s="2">
        <v>3.69</v>
      </c>
      <c r="O2253">
        <v>0</v>
      </c>
      <c r="P2253">
        <v>1</v>
      </c>
      <c r="Q2253" s="4" t="str">
        <f t="shared" ref="Q2253:Q2284" si="336">IF(P2253=1,"2016/2017-Ganjil",IF(P2253=2,"2016/2017-Genap",IF(P2253=3,"2017/2018-Ganjil",IF(P2253=4,"2017/2018-Genap",IF(P2253=5,"2018/2019-Ganjil",IF(P2253=6,"2018/2019-Genap",IF(P2253=7,"2019/2020-Ganjil",IF(P2253=8,"2019/2020-Genap",IF(P2253=9,"2020/2021-Ganjil",IF(P2253=10,"2020/2021-Genap",IF(P2253=11,"2021/2022-Ganjil",IF(P2253=12,"2021/2022-Genap",IF(P2253=13,"2022/2023-Ganjil","2022/2023-Genap")))))))))))))</f>
        <v>2016/2017-Ganjil</v>
      </c>
      <c r="R2253" t="s">
        <v>260</v>
      </c>
      <c r="S2253" t="str">
        <f t="shared" si="333"/>
        <v>PA</v>
      </c>
    </row>
    <row r="2254" spans="1:19" x14ac:dyDescent="0.3">
      <c r="A2254" t="s">
        <v>12</v>
      </c>
      <c r="B2254">
        <v>2016110064</v>
      </c>
      <c r="C2254" t="s">
        <v>52</v>
      </c>
      <c r="E2254" t="s">
        <v>190</v>
      </c>
      <c r="F2254" t="s">
        <v>191</v>
      </c>
      <c r="G2254">
        <v>4</v>
      </c>
      <c r="H2254" t="s">
        <v>260</v>
      </c>
      <c r="I2254" s="4">
        <f t="shared" si="334"/>
        <v>4</v>
      </c>
      <c r="J2254">
        <f t="shared" si="335"/>
        <v>16</v>
      </c>
      <c r="K2254">
        <v>82</v>
      </c>
      <c r="L2254">
        <v>22</v>
      </c>
      <c r="M2254" s="2">
        <v>3.73</v>
      </c>
      <c r="N2254" s="2">
        <v>3.69</v>
      </c>
      <c r="O2254">
        <v>0</v>
      </c>
      <c r="P2254">
        <v>3</v>
      </c>
      <c r="Q2254" s="4" t="str">
        <f t="shared" si="336"/>
        <v>2017/2018-Ganjil</v>
      </c>
      <c r="R2254" t="s">
        <v>260</v>
      </c>
      <c r="S2254" t="str">
        <f t="shared" si="333"/>
        <v>PA</v>
      </c>
    </row>
    <row r="2255" spans="1:19" x14ac:dyDescent="0.3">
      <c r="A2255" t="s">
        <v>12</v>
      </c>
      <c r="B2255">
        <v>2016110064</v>
      </c>
      <c r="C2255" t="s">
        <v>52</v>
      </c>
      <c r="E2255" t="s">
        <v>90</v>
      </c>
      <c r="F2255" t="s">
        <v>91</v>
      </c>
      <c r="G2255">
        <v>2</v>
      </c>
      <c r="H2255" t="s">
        <v>260</v>
      </c>
      <c r="I2255" s="4">
        <f t="shared" si="334"/>
        <v>4</v>
      </c>
      <c r="J2255">
        <f t="shared" si="335"/>
        <v>8</v>
      </c>
      <c r="K2255">
        <v>74</v>
      </c>
      <c r="L2255">
        <v>20</v>
      </c>
      <c r="M2255" s="2">
        <v>3.7</v>
      </c>
      <c r="N2255" s="2">
        <v>3.69</v>
      </c>
      <c r="O2255">
        <v>0</v>
      </c>
      <c r="P2255">
        <v>1</v>
      </c>
      <c r="Q2255" s="4" t="str">
        <f t="shared" si="336"/>
        <v>2016/2017-Ganjil</v>
      </c>
      <c r="R2255" t="s">
        <v>260</v>
      </c>
      <c r="S2255" t="str">
        <f t="shared" si="333"/>
        <v>PA</v>
      </c>
    </row>
    <row r="2256" spans="1:19" x14ac:dyDescent="0.3">
      <c r="A2256" t="s">
        <v>12</v>
      </c>
      <c r="B2256">
        <v>2016110064</v>
      </c>
      <c r="C2256" t="s">
        <v>52</v>
      </c>
      <c r="E2256" t="s">
        <v>427</v>
      </c>
      <c r="F2256" t="s">
        <v>428</v>
      </c>
      <c r="G2256">
        <v>2</v>
      </c>
      <c r="H2256" t="s">
        <v>260</v>
      </c>
      <c r="I2256" s="4">
        <f t="shared" si="334"/>
        <v>4</v>
      </c>
      <c r="J2256">
        <f t="shared" si="335"/>
        <v>8</v>
      </c>
      <c r="K2256">
        <v>80</v>
      </c>
      <c r="L2256">
        <v>22</v>
      </c>
      <c r="M2256" s="2">
        <v>3.64</v>
      </c>
      <c r="N2256" s="2">
        <v>3.69</v>
      </c>
      <c r="O2256">
        <v>0</v>
      </c>
      <c r="P2256">
        <v>6</v>
      </c>
      <c r="Q2256" s="4" t="str">
        <f t="shared" si="336"/>
        <v>2018/2019-Genap</v>
      </c>
      <c r="R2256" t="s">
        <v>260</v>
      </c>
      <c r="S2256" t="str">
        <f t="shared" si="333"/>
        <v>PA</v>
      </c>
    </row>
    <row r="2257" spans="1:19" x14ac:dyDescent="0.3">
      <c r="A2257" t="s">
        <v>12</v>
      </c>
      <c r="B2257">
        <v>2016110064</v>
      </c>
      <c r="C2257" t="s">
        <v>52</v>
      </c>
      <c r="E2257" t="s">
        <v>432</v>
      </c>
      <c r="F2257" t="s">
        <v>433</v>
      </c>
      <c r="G2257">
        <v>4</v>
      </c>
      <c r="H2257" t="s">
        <v>260</v>
      </c>
      <c r="I2257" s="4">
        <f t="shared" si="334"/>
        <v>4</v>
      </c>
      <c r="J2257">
        <f t="shared" si="335"/>
        <v>16</v>
      </c>
      <c r="K2257">
        <v>78</v>
      </c>
      <c r="L2257">
        <v>22</v>
      </c>
      <c r="M2257" s="2">
        <v>3.55</v>
      </c>
      <c r="N2257" s="2">
        <v>3.69</v>
      </c>
      <c r="O2257">
        <v>0</v>
      </c>
      <c r="P2257">
        <v>4</v>
      </c>
      <c r="Q2257" s="4" t="str">
        <f t="shared" si="336"/>
        <v>2017/2018-Genap</v>
      </c>
      <c r="R2257" t="s">
        <v>260</v>
      </c>
      <c r="S2257" t="str">
        <f t="shared" si="333"/>
        <v>PA</v>
      </c>
    </row>
    <row r="2258" spans="1:19" x14ac:dyDescent="0.3">
      <c r="A2258" t="s">
        <v>12</v>
      </c>
      <c r="B2258">
        <v>2016110064</v>
      </c>
      <c r="C2258" t="s">
        <v>52</v>
      </c>
      <c r="E2258" t="s">
        <v>131</v>
      </c>
      <c r="F2258" t="s">
        <v>132</v>
      </c>
      <c r="G2258">
        <v>2</v>
      </c>
      <c r="H2258" t="s">
        <v>260</v>
      </c>
      <c r="I2258" s="4">
        <f t="shared" si="334"/>
        <v>4</v>
      </c>
      <c r="J2258">
        <f t="shared" si="335"/>
        <v>8</v>
      </c>
      <c r="K2258">
        <v>74</v>
      </c>
      <c r="L2258">
        <v>20</v>
      </c>
      <c r="M2258" s="2">
        <v>3.7</v>
      </c>
      <c r="N2258" s="2">
        <v>3.69</v>
      </c>
      <c r="O2258">
        <v>0</v>
      </c>
      <c r="P2258">
        <v>1</v>
      </c>
      <c r="Q2258" s="4" t="str">
        <f t="shared" si="336"/>
        <v>2016/2017-Ganjil</v>
      </c>
      <c r="R2258" t="s">
        <v>260</v>
      </c>
      <c r="S2258" t="str">
        <f t="shared" si="333"/>
        <v>PA</v>
      </c>
    </row>
    <row r="2259" spans="1:19" x14ac:dyDescent="0.3">
      <c r="A2259" t="s">
        <v>12</v>
      </c>
      <c r="B2259">
        <v>2016110064</v>
      </c>
      <c r="C2259" t="s">
        <v>52</v>
      </c>
      <c r="E2259" t="s">
        <v>330</v>
      </c>
      <c r="F2259" t="s">
        <v>108</v>
      </c>
      <c r="G2259">
        <v>2</v>
      </c>
      <c r="H2259" t="s">
        <v>438</v>
      </c>
      <c r="I2259" s="4">
        <f t="shared" si="334"/>
        <v>3</v>
      </c>
      <c r="J2259">
        <f t="shared" si="335"/>
        <v>6</v>
      </c>
      <c r="K2259">
        <v>44</v>
      </c>
      <c r="L2259">
        <v>12</v>
      </c>
      <c r="M2259" s="2">
        <v>3.67</v>
      </c>
      <c r="N2259" s="2">
        <v>3.69</v>
      </c>
      <c r="O2259">
        <v>0</v>
      </c>
      <c r="P2259">
        <v>7</v>
      </c>
      <c r="Q2259" s="4" t="str">
        <f t="shared" si="336"/>
        <v>2019/2020-Ganjil</v>
      </c>
      <c r="R2259" t="s">
        <v>260</v>
      </c>
      <c r="S2259" t="str">
        <f t="shared" si="333"/>
        <v>PA</v>
      </c>
    </row>
    <row r="2260" spans="1:19" x14ac:dyDescent="0.3">
      <c r="A2260" t="s">
        <v>12</v>
      </c>
      <c r="B2260">
        <v>2016110064</v>
      </c>
      <c r="C2260" t="s">
        <v>52</v>
      </c>
      <c r="E2260" t="s">
        <v>173</v>
      </c>
      <c r="F2260" t="s">
        <v>8</v>
      </c>
      <c r="G2260">
        <v>2</v>
      </c>
      <c r="H2260" t="s">
        <v>438</v>
      </c>
      <c r="I2260" s="4">
        <f t="shared" si="334"/>
        <v>3</v>
      </c>
      <c r="J2260">
        <f t="shared" si="335"/>
        <v>6</v>
      </c>
      <c r="K2260">
        <v>82</v>
      </c>
      <c r="L2260">
        <v>22</v>
      </c>
      <c r="M2260" s="2">
        <v>3.73</v>
      </c>
      <c r="N2260" s="2">
        <v>3.69</v>
      </c>
      <c r="O2260">
        <v>0</v>
      </c>
      <c r="P2260">
        <v>5</v>
      </c>
      <c r="Q2260" s="4" t="str">
        <f t="shared" si="336"/>
        <v>2018/2019-Ganjil</v>
      </c>
      <c r="R2260" t="s">
        <v>260</v>
      </c>
      <c r="S2260" t="str">
        <f t="shared" si="333"/>
        <v>PA</v>
      </c>
    </row>
    <row r="2261" spans="1:19" x14ac:dyDescent="0.3">
      <c r="A2261" t="s">
        <v>12</v>
      </c>
      <c r="B2261">
        <v>2016110064</v>
      </c>
      <c r="C2261" t="s">
        <v>52</v>
      </c>
      <c r="E2261" t="s">
        <v>165</v>
      </c>
      <c r="F2261" t="s">
        <v>166</v>
      </c>
      <c r="G2261">
        <v>2</v>
      </c>
      <c r="H2261" t="s">
        <v>438</v>
      </c>
      <c r="I2261" s="4">
        <f t="shared" si="334"/>
        <v>3</v>
      </c>
      <c r="J2261">
        <f t="shared" si="335"/>
        <v>6</v>
      </c>
      <c r="K2261">
        <v>74</v>
      </c>
      <c r="L2261">
        <v>20</v>
      </c>
      <c r="M2261" s="2">
        <v>3.7</v>
      </c>
      <c r="N2261" s="2">
        <v>3.69</v>
      </c>
      <c r="O2261">
        <v>0</v>
      </c>
      <c r="P2261">
        <v>1</v>
      </c>
      <c r="Q2261" s="4" t="str">
        <f t="shared" si="336"/>
        <v>2016/2017-Ganjil</v>
      </c>
      <c r="R2261" t="s">
        <v>260</v>
      </c>
      <c r="S2261" t="str">
        <f t="shared" si="333"/>
        <v>PA</v>
      </c>
    </row>
    <row r="2262" spans="1:19" x14ac:dyDescent="0.3">
      <c r="A2262" t="s">
        <v>12</v>
      </c>
      <c r="B2262">
        <v>2016110064</v>
      </c>
      <c r="C2262" t="s">
        <v>52</v>
      </c>
      <c r="E2262" t="s">
        <v>73</v>
      </c>
      <c r="F2262" t="s">
        <v>74</v>
      </c>
      <c r="G2262">
        <v>0</v>
      </c>
      <c r="H2262" t="s">
        <v>438</v>
      </c>
      <c r="I2262" s="4">
        <f t="shared" si="334"/>
        <v>3</v>
      </c>
      <c r="J2262">
        <f t="shared" si="335"/>
        <v>0</v>
      </c>
      <c r="K2262">
        <v>82</v>
      </c>
      <c r="L2262">
        <v>22</v>
      </c>
      <c r="M2262" s="2">
        <v>3.73</v>
      </c>
      <c r="N2262" s="2">
        <v>3.69</v>
      </c>
      <c r="O2262">
        <v>0</v>
      </c>
      <c r="P2262">
        <v>5</v>
      </c>
      <c r="Q2262" s="4" t="str">
        <f t="shared" si="336"/>
        <v>2018/2019-Ganjil</v>
      </c>
      <c r="R2262" t="s">
        <v>260</v>
      </c>
      <c r="S2262" t="str">
        <f t="shared" si="333"/>
        <v>PA</v>
      </c>
    </row>
    <row r="2263" spans="1:19" x14ac:dyDescent="0.3">
      <c r="A2263" t="s">
        <v>12</v>
      </c>
      <c r="B2263">
        <v>2016110064</v>
      </c>
      <c r="C2263" t="s">
        <v>52</v>
      </c>
      <c r="E2263" t="s">
        <v>248</v>
      </c>
      <c r="F2263" t="s">
        <v>249</v>
      </c>
      <c r="G2263">
        <v>2</v>
      </c>
      <c r="H2263" t="s">
        <v>438</v>
      </c>
      <c r="I2263" s="4">
        <f t="shared" si="334"/>
        <v>3</v>
      </c>
      <c r="J2263">
        <f t="shared" si="335"/>
        <v>6</v>
      </c>
      <c r="K2263">
        <v>78</v>
      </c>
      <c r="L2263">
        <v>22</v>
      </c>
      <c r="M2263" s="2">
        <v>3.55</v>
      </c>
      <c r="N2263" s="2">
        <v>3.69</v>
      </c>
      <c r="O2263">
        <v>0</v>
      </c>
      <c r="P2263">
        <v>4</v>
      </c>
      <c r="Q2263" s="4" t="str">
        <f t="shared" si="336"/>
        <v>2017/2018-Genap</v>
      </c>
      <c r="R2263" t="s">
        <v>260</v>
      </c>
      <c r="S2263" t="str">
        <f t="shared" si="333"/>
        <v>PA</v>
      </c>
    </row>
    <row r="2264" spans="1:19" x14ac:dyDescent="0.3">
      <c r="A2264" t="s">
        <v>12</v>
      </c>
      <c r="B2264">
        <v>2016110064</v>
      </c>
      <c r="C2264" t="s">
        <v>52</v>
      </c>
      <c r="E2264" t="s">
        <v>446</v>
      </c>
      <c r="F2264" t="s">
        <v>447</v>
      </c>
      <c r="G2264">
        <v>2</v>
      </c>
      <c r="H2264" t="s">
        <v>438</v>
      </c>
      <c r="I2264" s="4">
        <f t="shared" si="334"/>
        <v>3</v>
      </c>
      <c r="J2264">
        <f t="shared" si="335"/>
        <v>6</v>
      </c>
      <c r="K2264">
        <v>80</v>
      </c>
      <c r="L2264">
        <v>22</v>
      </c>
      <c r="M2264" s="2">
        <v>3.64</v>
      </c>
      <c r="N2264" s="2">
        <v>3.69</v>
      </c>
      <c r="O2264">
        <v>0</v>
      </c>
      <c r="P2264">
        <v>6</v>
      </c>
      <c r="Q2264" s="4" t="str">
        <f t="shared" si="336"/>
        <v>2018/2019-Genap</v>
      </c>
      <c r="R2264" t="s">
        <v>260</v>
      </c>
      <c r="S2264" t="str">
        <f t="shared" si="333"/>
        <v>PA</v>
      </c>
    </row>
    <row r="2265" spans="1:19" x14ac:dyDescent="0.3">
      <c r="A2265" t="s">
        <v>12</v>
      </c>
      <c r="B2265">
        <v>2016110064</v>
      </c>
      <c r="C2265" t="s">
        <v>52</v>
      </c>
      <c r="E2265" t="s">
        <v>244</v>
      </c>
      <c r="F2265" t="s">
        <v>228</v>
      </c>
      <c r="G2265">
        <v>2</v>
      </c>
      <c r="H2265" t="s">
        <v>438</v>
      </c>
      <c r="I2265" s="4">
        <f t="shared" si="334"/>
        <v>3</v>
      </c>
      <c r="J2265">
        <f t="shared" si="335"/>
        <v>6</v>
      </c>
      <c r="K2265">
        <v>78</v>
      </c>
      <c r="L2265">
        <v>22</v>
      </c>
      <c r="M2265" s="2">
        <v>3.55</v>
      </c>
      <c r="N2265" s="2">
        <v>3.69</v>
      </c>
      <c r="O2265">
        <v>0</v>
      </c>
      <c r="P2265">
        <v>4</v>
      </c>
      <c r="Q2265" s="4" t="str">
        <f t="shared" si="336"/>
        <v>2017/2018-Genap</v>
      </c>
      <c r="R2265" t="s">
        <v>260</v>
      </c>
      <c r="S2265" t="str">
        <f t="shared" si="333"/>
        <v>PA</v>
      </c>
    </row>
    <row r="2266" spans="1:19" x14ac:dyDescent="0.3">
      <c r="A2266" t="s">
        <v>12</v>
      </c>
      <c r="B2266">
        <v>2016110064</v>
      </c>
      <c r="C2266" t="s">
        <v>52</v>
      </c>
      <c r="E2266" t="s">
        <v>348</v>
      </c>
      <c r="F2266" t="s">
        <v>402</v>
      </c>
      <c r="G2266">
        <v>4</v>
      </c>
      <c r="H2266" t="s">
        <v>438</v>
      </c>
      <c r="I2266" s="4">
        <f t="shared" si="334"/>
        <v>3</v>
      </c>
      <c r="J2266">
        <f t="shared" si="335"/>
        <v>12</v>
      </c>
      <c r="K2266">
        <v>78</v>
      </c>
      <c r="L2266">
        <v>22</v>
      </c>
      <c r="M2266" s="2">
        <v>3.55</v>
      </c>
      <c r="N2266" s="2">
        <v>3.69</v>
      </c>
      <c r="O2266">
        <v>0</v>
      </c>
      <c r="P2266">
        <v>4</v>
      </c>
      <c r="Q2266" s="4" t="str">
        <f t="shared" si="336"/>
        <v>2017/2018-Genap</v>
      </c>
      <c r="R2266" t="s">
        <v>260</v>
      </c>
      <c r="S2266" t="str">
        <f t="shared" si="333"/>
        <v>PA</v>
      </c>
    </row>
    <row r="2267" spans="1:19" x14ac:dyDescent="0.3">
      <c r="A2267" t="s">
        <v>12</v>
      </c>
      <c r="B2267">
        <v>2016110064</v>
      </c>
      <c r="C2267" t="s">
        <v>52</v>
      </c>
      <c r="E2267" t="s">
        <v>262</v>
      </c>
      <c r="F2267" t="s">
        <v>263</v>
      </c>
      <c r="G2267">
        <v>2</v>
      </c>
      <c r="H2267" t="s">
        <v>438</v>
      </c>
      <c r="I2267" s="4">
        <f t="shared" si="334"/>
        <v>3</v>
      </c>
      <c r="J2267">
        <f t="shared" si="335"/>
        <v>6</v>
      </c>
      <c r="K2267">
        <v>80</v>
      </c>
      <c r="L2267">
        <v>22</v>
      </c>
      <c r="M2267" s="2">
        <v>3.64</v>
      </c>
      <c r="N2267" s="2">
        <v>3.69</v>
      </c>
      <c r="O2267">
        <v>0</v>
      </c>
      <c r="P2267">
        <v>6</v>
      </c>
      <c r="Q2267" s="4" t="str">
        <f t="shared" si="336"/>
        <v>2018/2019-Genap</v>
      </c>
      <c r="R2267" t="s">
        <v>260</v>
      </c>
      <c r="S2267" t="str">
        <f t="shared" si="333"/>
        <v>PA</v>
      </c>
    </row>
    <row r="2268" spans="1:19" x14ac:dyDescent="0.3">
      <c r="A2268" t="s">
        <v>12</v>
      </c>
      <c r="B2268">
        <v>2016110064</v>
      </c>
      <c r="C2268" t="s">
        <v>52</v>
      </c>
      <c r="E2268" t="s">
        <v>205</v>
      </c>
      <c r="F2268" t="s">
        <v>116</v>
      </c>
      <c r="G2268">
        <v>4</v>
      </c>
      <c r="H2268" t="s">
        <v>438</v>
      </c>
      <c r="I2268" s="4">
        <f t="shared" si="334"/>
        <v>3</v>
      </c>
      <c r="J2268">
        <f t="shared" si="335"/>
        <v>12</v>
      </c>
      <c r="K2268">
        <v>82</v>
      </c>
      <c r="L2268">
        <v>22</v>
      </c>
      <c r="M2268" s="2">
        <v>3.73</v>
      </c>
      <c r="N2268" s="2">
        <v>3.69</v>
      </c>
      <c r="O2268">
        <v>0</v>
      </c>
      <c r="P2268">
        <v>3</v>
      </c>
      <c r="Q2268" s="4" t="str">
        <f t="shared" si="336"/>
        <v>2017/2018-Ganjil</v>
      </c>
      <c r="R2268" t="s">
        <v>260</v>
      </c>
      <c r="S2268" t="str">
        <f t="shared" si="333"/>
        <v>PA</v>
      </c>
    </row>
    <row r="2269" spans="1:19" x14ac:dyDescent="0.3">
      <c r="A2269" t="s">
        <v>12</v>
      </c>
      <c r="B2269">
        <v>2016110064</v>
      </c>
      <c r="C2269" t="s">
        <v>52</v>
      </c>
      <c r="E2269" t="s">
        <v>437</v>
      </c>
      <c r="F2269" t="s">
        <v>169</v>
      </c>
      <c r="G2269">
        <v>4</v>
      </c>
      <c r="H2269" t="s">
        <v>438</v>
      </c>
      <c r="I2269" s="4">
        <f t="shared" si="334"/>
        <v>3</v>
      </c>
      <c r="J2269">
        <f t="shared" si="335"/>
        <v>12</v>
      </c>
      <c r="K2269">
        <v>74</v>
      </c>
      <c r="L2269">
        <v>20</v>
      </c>
      <c r="M2269" s="2">
        <v>3.7</v>
      </c>
      <c r="N2269" s="2">
        <v>3.69</v>
      </c>
      <c r="O2269">
        <v>0</v>
      </c>
      <c r="P2269">
        <v>1</v>
      </c>
      <c r="Q2269" s="4" t="str">
        <f t="shared" si="336"/>
        <v>2016/2017-Ganjil</v>
      </c>
      <c r="R2269" t="s">
        <v>260</v>
      </c>
      <c r="S2269" t="str">
        <f t="shared" si="333"/>
        <v>PA</v>
      </c>
    </row>
    <row r="2270" spans="1:19" x14ac:dyDescent="0.3">
      <c r="A2270" t="s">
        <v>12</v>
      </c>
      <c r="B2270">
        <v>2016110064</v>
      </c>
      <c r="C2270" t="s">
        <v>52</v>
      </c>
      <c r="E2270" t="s">
        <v>211</v>
      </c>
      <c r="F2270" t="s">
        <v>186</v>
      </c>
      <c r="G2270">
        <v>4</v>
      </c>
      <c r="H2270" t="s">
        <v>438</v>
      </c>
      <c r="I2270" s="4">
        <f t="shared" si="334"/>
        <v>3</v>
      </c>
      <c r="J2270">
        <f t="shared" si="335"/>
        <v>12</v>
      </c>
      <c r="K2270">
        <v>82</v>
      </c>
      <c r="L2270">
        <v>22</v>
      </c>
      <c r="M2270" s="2">
        <v>3.73</v>
      </c>
      <c r="N2270" s="2">
        <v>3.69</v>
      </c>
      <c r="O2270">
        <v>0</v>
      </c>
      <c r="P2270">
        <v>5</v>
      </c>
      <c r="Q2270" s="4" t="str">
        <f t="shared" si="336"/>
        <v>2018/2019-Ganjil</v>
      </c>
      <c r="R2270" t="s">
        <v>260</v>
      </c>
      <c r="S2270" t="str">
        <f t="shared" si="333"/>
        <v>PA</v>
      </c>
    </row>
    <row r="2271" spans="1:19" x14ac:dyDescent="0.3">
      <c r="A2271" t="s">
        <v>12</v>
      </c>
      <c r="B2271">
        <v>2016110064</v>
      </c>
      <c r="C2271" t="s">
        <v>52</v>
      </c>
      <c r="E2271" t="s">
        <v>370</v>
      </c>
      <c r="F2271" t="s">
        <v>371</v>
      </c>
      <c r="G2271">
        <v>2</v>
      </c>
      <c r="H2271" t="s">
        <v>438</v>
      </c>
      <c r="I2271" s="4">
        <f t="shared" si="334"/>
        <v>3</v>
      </c>
      <c r="J2271">
        <f t="shared" si="335"/>
        <v>6</v>
      </c>
      <c r="K2271">
        <v>82</v>
      </c>
      <c r="L2271">
        <v>22</v>
      </c>
      <c r="M2271" s="2">
        <v>3.73</v>
      </c>
      <c r="N2271" s="2">
        <v>3.69</v>
      </c>
      <c r="O2271">
        <v>0</v>
      </c>
      <c r="P2271">
        <v>5</v>
      </c>
      <c r="Q2271" s="4" t="str">
        <f t="shared" si="336"/>
        <v>2018/2019-Ganjil</v>
      </c>
      <c r="R2271" t="s">
        <v>260</v>
      </c>
      <c r="S2271" t="str">
        <f t="shared" si="333"/>
        <v>PA</v>
      </c>
    </row>
    <row r="2272" spans="1:19" x14ac:dyDescent="0.3">
      <c r="A2272" t="s">
        <v>12</v>
      </c>
      <c r="B2272">
        <v>2016110064</v>
      </c>
      <c r="C2272" t="s">
        <v>52</v>
      </c>
      <c r="E2272" t="s">
        <v>14</v>
      </c>
      <c r="F2272" t="s">
        <v>15</v>
      </c>
      <c r="G2272">
        <v>2</v>
      </c>
      <c r="H2272" t="s">
        <v>438</v>
      </c>
      <c r="I2272" s="4">
        <f t="shared" si="334"/>
        <v>3</v>
      </c>
      <c r="J2272">
        <f t="shared" si="335"/>
        <v>6</v>
      </c>
      <c r="K2272">
        <v>44</v>
      </c>
      <c r="L2272">
        <v>12</v>
      </c>
      <c r="M2272" s="2">
        <v>3.67</v>
      </c>
      <c r="N2272" s="2">
        <v>3.69</v>
      </c>
      <c r="O2272">
        <v>0</v>
      </c>
      <c r="P2272">
        <v>7</v>
      </c>
      <c r="Q2272" s="4" t="str">
        <f t="shared" si="336"/>
        <v>2019/2020-Ganjil</v>
      </c>
      <c r="R2272" t="s">
        <v>260</v>
      </c>
      <c r="S2272" t="str">
        <f t="shared" si="333"/>
        <v>PA</v>
      </c>
    </row>
    <row r="2273" spans="1:19" x14ac:dyDescent="0.3">
      <c r="A2273" t="s">
        <v>12</v>
      </c>
      <c r="B2273">
        <v>2016110064</v>
      </c>
      <c r="C2273" t="s">
        <v>52</v>
      </c>
      <c r="E2273" t="s">
        <v>257</v>
      </c>
      <c r="F2273" t="s">
        <v>258</v>
      </c>
      <c r="G2273">
        <v>4</v>
      </c>
      <c r="H2273" t="s">
        <v>438</v>
      </c>
      <c r="I2273" s="4">
        <f t="shared" si="334"/>
        <v>3</v>
      </c>
      <c r="J2273">
        <f t="shared" si="335"/>
        <v>12</v>
      </c>
      <c r="K2273">
        <v>80</v>
      </c>
      <c r="L2273">
        <v>22</v>
      </c>
      <c r="M2273" s="2">
        <v>3.64</v>
      </c>
      <c r="N2273" s="2">
        <v>3.69</v>
      </c>
      <c r="O2273">
        <v>0</v>
      </c>
      <c r="P2273">
        <v>6</v>
      </c>
      <c r="Q2273" s="4" t="str">
        <f t="shared" si="336"/>
        <v>2018/2019-Genap</v>
      </c>
      <c r="R2273" t="s">
        <v>260</v>
      </c>
      <c r="S2273" t="str">
        <f t="shared" si="333"/>
        <v>PA</v>
      </c>
    </row>
    <row r="2274" spans="1:19" x14ac:dyDescent="0.3">
      <c r="A2274" t="s">
        <v>12</v>
      </c>
      <c r="B2274">
        <v>2016110064</v>
      </c>
      <c r="C2274" t="s">
        <v>52</v>
      </c>
      <c r="E2274" t="s">
        <v>374</v>
      </c>
      <c r="F2274" t="s">
        <v>375</v>
      </c>
      <c r="G2274">
        <v>2</v>
      </c>
      <c r="H2274" t="s">
        <v>438</v>
      </c>
      <c r="I2274" s="4">
        <f t="shared" si="334"/>
        <v>3</v>
      </c>
      <c r="J2274">
        <f t="shared" si="335"/>
        <v>6</v>
      </c>
      <c r="K2274">
        <v>78</v>
      </c>
      <c r="L2274">
        <v>22</v>
      </c>
      <c r="M2274" s="2">
        <v>3.55</v>
      </c>
      <c r="N2274" s="2">
        <v>3.69</v>
      </c>
      <c r="O2274">
        <v>0</v>
      </c>
      <c r="P2274">
        <v>4</v>
      </c>
      <c r="Q2274" s="4" t="str">
        <f t="shared" si="336"/>
        <v>2017/2018-Genap</v>
      </c>
      <c r="R2274" t="s">
        <v>260</v>
      </c>
      <c r="S2274" t="str">
        <f t="shared" si="333"/>
        <v>PA</v>
      </c>
    </row>
    <row r="2275" spans="1:19" x14ac:dyDescent="0.3">
      <c r="A2275" t="s">
        <v>12</v>
      </c>
      <c r="B2275">
        <v>2016110065</v>
      </c>
      <c r="C2275" t="s">
        <v>341</v>
      </c>
      <c r="E2275" t="s">
        <v>131</v>
      </c>
      <c r="F2275" t="s">
        <v>132</v>
      </c>
      <c r="G2275">
        <v>2</v>
      </c>
      <c r="H2275" t="s">
        <v>260</v>
      </c>
      <c r="I2275" s="4">
        <f t="shared" si="334"/>
        <v>4</v>
      </c>
      <c r="J2275">
        <f t="shared" si="335"/>
        <v>8</v>
      </c>
      <c r="K2275">
        <v>72</v>
      </c>
      <c r="L2275">
        <v>20</v>
      </c>
      <c r="M2275" s="2">
        <v>3.6</v>
      </c>
      <c r="N2275" s="2">
        <v>3.25</v>
      </c>
      <c r="O2275">
        <v>0</v>
      </c>
      <c r="P2275">
        <v>1</v>
      </c>
      <c r="Q2275" s="4" t="str">
        <f t="shared" si="336"/>
        <v>2016/2017-Ganjil</v>
      </c>
      <c r="R2275" t="s">
        <v>260</v>
      </c>
      <c r="S2275" t="str">
        <f t="shared" si="333"/>
        <v>PA</v>
      </c>
    </row>
    <row r="2276" spans="1:19" x14ac:dyDescent="0.3">
      <c r="A2276" t="s">
        <v>12</v>
      </c>
      <c r="B2276">
        <v>2016110065</v>
      </c>
      <c r="C2276" t="s">
        <v>341</v>
      </c>
      <c r="E2276" t="s">
        <v>142</v>
      </c>
      <c r="F2276" t="s">
        <v>143</v>
      </c>
      <c r="G2276">
        <v>2</v>
      </c>
      <c r="H2276" t="s">
        <v>260</v>
      </c>
      <c r="I2276" s="4">
        <f t="shared" si="334"/>
        <v>4</v>
      </c>
      <c r="J2276">
        <f t="shared" si="335"/>
        <v>8</v>
      </c>
      <c r="K2276">
        <v>72</v>
      </c>
      <c r="L2276">
        <v>20</v>
      </c>
      <c r="M2276" s="2">
        <v>3.6</v>
      </c>
      <c r="N2276" s="2">
        <v>3.25</v>
      </c>
      <c r="O2276">
        <v>0</v>
      </c>
      <c r="P2276">
        <v>1</v>
      </c>
      <c r="Q2276" s="4" t="str">
        <f t="shared" si="336"/>
        <v>2016/2017-Ganjil</v>
      </c>
      <c r="R2276" t="s">
        <v>260</v>
      </c>
      <c r="S2276" t="str">
        <f t="shared" si="333"/>
        <v>PA</v>
      </c>
    </row>
    <row r="2277" spans="1:19" x14ac:dyDescent="0.3">
      <c r="A2277" t="s">
        <v>12</v>
      </c>
      <c r="B2277">
        <v>2016110065</v>
      </c>
      <c r="C2277" t="s">
        <v>341</v>
      </c>
      <c r="E2277" t="s">
        <v>77</v>
      </c>
      <c r="F2277" t="s">
        <v>78</v>
      </c>
      <c r="G2277">
        <v>2</v>
      </c>
      <c r="H2277" t="s">
        <v>260</v>
      </c>
      <c r="I2277" s="4">
        <f t="shared" si="334"/>
        <v>4</v>
      </c>
      <c r="J2277">
        <f t="shared" si="335"/>
        <v>8</v>
      </c>
      <c r="K2277">
        <v>72</v>
      </c>
      <c r="L2277">
        <v>20</v>
      </c>
      <c r="M2277" s="2">
        <v>3.6</v>
      </c>
      <c r="N2277" s="2">
        <v>3.25</v>
      </c>
      <c r="O2277">
        <v>0</v>
      </c>
      <c r="P2277">
        <v>1</v>
      </c>
      <c r="Q2277" s="4" t="str">
        <f t="shared" si="336"/>
        <v>2016/2017-Ganjil</v>
      </c>
      <c r="R2277" t="s">
        <v>260</v>
      </c>
      <c r="S2277" t="str">
        <f t="shared" si="333"/>
        <v>PA</v>
      </c>
    </row>
    <row r="2278" spans="1:19" x14ac:dyDescent="0.3">
      <c r="A2278" t="s">
        <v>12</v>
      </c>
      <c r="B2278">
        <v>2016110065</v>
      </c>
      <c r="C2278" t="s">
        <v>341</v>
      </c>
      <c r="E2278" t="s">
        <v>103</v>
      </c>
      <c r="F2278" t="s">
        <v>104</v>
      </c>
      <c r="G2278">
        <v>4</v>
      </c>
      <c r="H2278" t="s">
        <v>260</v>
      </c>
      <c r="I2278" s="4">
        <f t="shared" si="334"/>
        <v>4</v>
      </c>
      <c r="J2278">
        <f t="shared" si="335"/>
        <v>16</v>
      </c>
      <c r="K2278">
        <v>58</v>
      </c>
      <c r="L2278">
        <v>20</v>
      </c>
      <c r="M2278" s="2">
        <v>2.9</v>
      </c>
      <c r="N2278" s="2">
        <v>3.25</v>
      </c>
      <c r="O2278">
        <v>0</v>
      </c>
      <c r="P2278">
        <v>2</v>
      </c>
      <c r="Q2278" s="4" t="str">
        <f t="shared" si="336"/>
        <v>2016/2017-Genap</v>
      </c>
      <c r="R2278" t="s">
        <v>535</v>
      </c>
      <c r="S2278" t="str">
        <f t="shared" si="333"/>
        <v>PA</v>
      </c>
    </row>
    <row r="2279" spans="1:19" x14ac:dyDescent="0.3">
      <c r="A2279" t="s">
        <v>12</v>
      </c>
      <c r="B2279">
        <v>2016110065</v>
      </c>
      <c r="C2279" t="s">
        <v>341</v>
      </c>
      <c r="E2279" t="s">
        <v>122</v>
      </c>
      <c r="F2279" t="s">
        <v>123</v>
      </c>
      <c r="G2279">
        <v>4</v>
      </c>
      <c r="H2279" t="s">
        <v>260</v>
      </c>
      <c r="I2279" s="4">
        <f t="shared" si="334"/>
        <v>4</v>
      </c>
      <c r="J2279">
        <f t="shared" si="335"/>
        <v>16</v>
      </c>
      <c r="K2279">
        <v>72</v>
      </c>
      <c r="L2279">
        <v>20</v>
      </c>
      <c r="M2279" s="2">
        <v>3.6</v>
      </c>
      <c r="N2279" s="2">
        <v>3.25</v>
      </c>
      <c r="O2279">
        <v>0</v>
      </c>
      <c r="P2279">
        <v>1</v>
      </c>
      <c r="Q2279" s="4" t="str">
        <f t="shared" si="336"/>
        <v>2016/2017-Ganjil</v>
      </c>
      <c r="R2279" t="s">
        <v>260</v>
      </c>
      <c r="S2279" t="str">
        <f t="shared" si="333"/>
        <v>PA</v>
      </c>
    </row>
    <row r="2280" spans="1:19" x14ac:dyDescent="0.3">
      <c r="A2280" t="s">
        <v>12</v>
      </c>
      <c r="B2280">
        <v>2016110065</v>
      </c>
      <c r="C2280" t="s">
        <v>341</v>
      </c>
      <c r="E2280" t="s">
        <v>151</v>
      </c>
      <c r="F2280" t="s">
        <v>152</v>
      </c>
      <c r="G2280">
        <v>2</v>
      </c>
      <c r="H2280" t="s">
        <v>260</v>
      </c>
      <c r="I2280" s="4">
        <f t="shared" si="334"/>
        <v>4</v>
      </c>
      <c r="J2280">
        <f t="shared" si="335"/>
        <v>8</v>
      </c>
      <c r="K2280">
        <v>72</v>
      </c>
      <c r="L2280">
        <v>20</v>
      </c>
      <c r="M2280" s="2">
        <v>3.6</v>
      </c>
      <c r="N2280" s="2">
        <v>3.25</v>
      </c>
      <c r="O2280">
        <v>0</v>
      </c>
      <c r="P2280">
        <v>1</v>
      </c>
      <c r="Q2280" s="4" t="str">
        <f t="shared" si="336"/>
        <v>2016/2017-Ganjil</v>
      </c>
      <c r="R2280" t="s">
        <v>260</v>
      </c>
      <c r="S2280" t="str">
        <f t="shared" si="333"/>
        <v>PA</v>
      </c>
    </row>
    <row r="2281" spans="1:19" x14ac:dyDescent="0.3">
      <c r="A2281" t="s">
        <v>12</v>
      </c>
      <c r="B2281">
        <v>2016110065</v>
      </c>
      <c r="C2281" t="s">
        <v>341</v>
      </c>
      <c r="E2281" t="s">
        <v>90</v>
      </c>
      <c r="F2281" t="s">
        <v>91</v>
      </c>
      <c r="G2281">
        <v>2</v>
      </c>
      <c r="H2281" t="s">
        <v>438</v>
      </c>
      <c r="I2281" s="4">
        <f t="shared" si="334"/>
        <v>3</v>
      </c>
      <c r="J2281">
        <f t="shared" si="335"/>
        <v>6</v>
      </c>
      <c r="K2281">
        <v>72</v>
      </c>
      <c r="L2281">
        <v>20</v>
      </c>
      <c r="M2281" s="2">
        <v>3.6</v>
      </c>
      <c r="N2281" s="2">
        <v>3.25</v>
      </c>
      <c r="O2281">
        <v>0</v>
      </c>
      <c r="P2281">
        <v>1</v>
      </c>
      <c r="Q2281" s="4" t="str">
        <f t="shared" si="336"/>
        <v>2016/2017-Ganjil</v>
      </c>
      <c r="R2281" t="s">
        <v>260</v>
      </c>
      <c r="S2281" t="str">
        <f t="shared" si="333"/>
        <v>PA</v>
      </c>
    </row>
    <row r="2282" spans="1:19" x14ac:dyDescent="0.3">
      <c r="A2282" t="s">
        <v>12</v>
      </c>
      <c r="B2282">
        <v>2016110065</v>
      </c>
      <c r="C2282" t="s">
        <v>341</v>
      </c>
      <c r="E2282" t="s">
        <v>279</v>
      </c>
      <c r="F2282" t="s">
        <v>280</v>
      </c>
      <c r="G2282">
        <v>2</v>
      </c>
      <c r="H2282" t="s">
        <v>438</v>
      </c>
      <c r="I2282" s="4">
        <f t="shared" si="334"/>
        <v>3</v>
      </c>
      <c r="J2282">
        <f t="shared" si="335"/>
        <v>6</v>
      </c>
      <c r="K2282">
        <v>58</v>
      </c>
      <c r="L2282">
        <v>20</v>
      </c>
      <c r="M2282" s="2">
        <v>2.9</v>
      </c>
      <c r="N2282" s="2">
        <v>3.25</v>
      </c>
      <c r="O2282">
        <v>0</v>
      </c>
      <c r="P2282">
        <v>2</v>
      </c>
      <c r="Q2282" s="4" t="str">
        <f t="shared" si="336"/>
        <v>2016/2017-Genap</v>
      </c>
      <c r="R2282" t="s">
        <v>535</v>
      </c>
      <c r="S2282" t="str">
        <f t="shared" si="333"/>
        <v>PA</v>
      </c>
    </row>
    <row r="2283" spans="1:19" x14ac:dyDescent="0.3">
      <c r="A2283" t="s">
        <v>12</v>
      </c>
      <c r="B2283">
        <v>2016110065</v>
      </c>
      <c r="C2283" t="s">
        <v>341</v>
      </c>
      <c r="E2283" t="s">
        <v>165</v>
      </c>
      <c r="F2283" t="s">
        <v>166</v>
      </c>
      <c r="G2283">
        <v>2</v>
      </c>
      <c r="H2283" t="s">
        <v>438</v>
      </c>
      <c r="I2283" s="4">
        <f t="shared" si="334"/>
        <v>3</v>
      </c>
      <c r="J2283">
        <f t="shared" si="335"/>
        <v>6</v>
      </c>
      <c r="K2283">
        <v>72</v>
      </c>
      <c r="L2283">
        <v>20</v>
      </c>
      <c r="M2283" s="2">
        <v>3.6</v>
      </c>
      <c r="N2283" s="2">
        <v>3.25</v>
      </c>
      <c r="O2283">
        <v>0</v>
      </c>
      <c r="P2283">
        <v>1</v>
      </c>
      <c r="Q2283" s="4" t="str">
        <f t="shared" si="336"/>
        <v>2016/2017-Ganjil</v>
      </c>
      <c r="R2283" t="s">
        <v>260</v>
      </c>
      <c r="S2283" t="str">
        <f t="shared" si="333"/>
        <v>PA</v>
      </c>
    </row>
    <row r="2284" spans="1:19" x14ac:dyDescent="0.3">
      <c r="A2284" t="s">
        <v>12</v>
      </c>
      <c r="B2284">
        <v>2016110065</v>
      </c>
      <c r="C2284" t="s">
        <v>341</v>
      </c>
      <c r="E2284" t="s">
        <v>437</v>
      </c>
      <c r="F2284" t="s">
        <v>169</v>
      </c>
      <c r="G2284">
        <v>4</v>
      </c>
      <c r="H2284" t="s">
        <v>438</v>
      </c>
      <c r="I2284" s="4">
        <f t="shared" si="334"/>
        <v>3</v>
      </c>
      <c r="J2284">
        <f t="shared" si="335"/>
        <v>12</v>
      </c>
      <c r="K2284">
        <v>72</v>
      </c>
      <c r="L2284">
        <v>20</v>
      </c>
      <c r="M2284" s="2">
        <v>3.6</v>
      </c>
      <c r="N2284" s="2">
        <v>3.25</v>
      </c>
      <c r="O2284">
        <v>0</v>
      </c>
      <c r="P2284">
        <v>1</v>
      </c>
      <c r="Q2284" s="4" t="str">
        <f t="shared" si="336"/>
        <v>2016/2017-Ganjil</v>
      </c>
      <c r="R2284" t="s">
        <v>260</v>
      </c>
      <c r="S2284" t="str">
        <f t="shared" si="333"/>
        <v>PA</v>
      </c>
    </row>
    <row r="2285" spans="1:19" x14ac:dyDescent="0.3">
      <c r="A2285" t="s">
        <v>12</v>
      </c>
      <c r="B2285">
        <v>2016110065</v>
      </c>
      <c r="C2285" t="s">
        <v>341</v>
      </c>
      <c r="E2285" t="s">
        <v>290</v>
      </c>
      <c r="F2285" t="s">
        <v>327</v>
      </c>
      <c r="G2285">
        <v>4</v>
      </c>
      <c r="H2285" t="s">
        <v>438</v>
      </c>
      <c r="I2285" s="4">
        <f t="shared" si="334"/>
        <v>3</v>
      </c>
      <c r="J2285">
        <f t="shared" si="335"/>
        <v>12</v>
      </c>
      <c r="K2285">
        <v>58</v>
      </c>
      <c r="L2285">
        <v>20</v>
      </c>
      <c r="M2285" s="2">
        <v>2.9</v>
      </c>
      <c r="N2285" s="2">
        <v>3.25</v>
      </c>
      <c r="O2285">
        <v>0</v>
      </c>
      <c r="P2285">
        <v>2</v>
      </c>
      <c r="Q2285" s="4" t="str">
        <f t="shared" ref="Q2285:Q2316" si="337">IF(P2285=1,"2016/2017-Ganjil",IF(P2285=2,"2016/2017-Genap",IF(P2285=3,"2017/2018-Ganjil",IF(P2285=4,"2017/2018-Genap",IF(P2285=5,"2018/2019-Ganjil",IF(P2285=6,"2018/2019-Genap",IF(P2285=7,"2019/2020-Ganjil",IF(P2285=8,"2019/2020-Genap",IF(P2285=9,"2020/2021-Ganjil",IF(P2285=10,"2020/2021-Genap",IF(P2285=11,"2021/2022-Ganjil",IF(P2285=12,"2021/2022-Genap",IF(P2285=13,"2022/2023-Ganjil","2022/2023-Genap")))))))))))))</f>
        <v>2016/2017-Genap</v>
      </c>
      <c r="R2285" t="s">
        <v>535</v>
      </c>
      <c r="S2285" t="str">
        <f t="shared" si="333"/>
        <v>PA</v>
      </c>
    </row>
    <row r="2286" spans="1:19" x14ac:dyDescent="0.3">
      <c r="A2286" t="s">
        <v>12</v>
      </c>
      <c r="B2286">
        <v>2016110065</v>
      </c>
      <c r="C2286" t="s">
        <v>341</v>
      </c>
      <c r="E2286" t="s">
        <v>97</v>
      </c>
      <c r="F2286" t="s">
        <v>98</v>
      </c>
      <c r="G2286">
        <v>4</v>
      </c>
      <c r="H2286" t="s">
        <v>438</v>
      </c>
      <c r="I2286" s="4">
        <f t="shared" si="334"/>
        <v>3</v>
      </c>
      <c r="J2286">
        <f t="shared" si="335"/>
        <v>12</v>
      </c>
      <c r="K2286">
        <v>58</v>
      </c>
      <c r="L2286">
        <v>20</v>
      </c>
      <c r="M2286" s="2">
        <v>2.9</v>
      </c>
      <c r="N2286" s="2">
        <v>3.25</v>
      </c>
      <c r="O2286">
        <v>0</v>
      </c>
      <c r="P2286">
        <v>2</v>
      </c>
      <c r="Q2286" s="4" t="str">
        <f t="shared" si="337"/>
        <v>2016/2017-Genap</v>
      </c>
      <c r="R2286" t="s">
        <v>535</v>
      </c>
      <c r="S2286" t="str">
        <f t="shared" ref="S2286:S2349" si="338">IF(OR(H2286="A",H2286="B",H2286="C"),"PA","FA")</f>
        <v>PA</v>
      </c>
    </row>
    <row r="2287" spans="1:19" x14ac:dyDescent="0.3">
      <c r="A2287" t="s">
        <v>12</v>
      </c>
      <c r="B2287">
        <v>2016110065</v>
      </c>
      <c r="C2287" t="s">
        <v>341</v>
      </c>
      <c r="E2287" t="s">
        <v>139</v>
      </c>
      <c r="F2287" t="s">
        <v>140</v>
      </c>
      <c r="G2287">
        <v>2</v>
      </c>
      <c r="H2287" t="s">
        <v>524</v>
      </c>
      <c r="I2287" s="4">
        <f t="shared" ref="I2287:I2350" si="339">IF(H2287="A",4,IF(H2287="B",3,IF(H2287="C",2,IF(H2287="D",1,0))))</f>
        <v>2</v>
      </c>
      <c r="J2287">
        <f t="shared" ref="J2287:J2350" si="340">G2287*I2287</f>
        <v>4</v>
      </c>
      <c r="K2287">
        <v>58</v>
      </c>
      <c r="L2287">
        <v>20</v>
      </c>
      <c r="M2287" s="2">
        <v>2.9</v>
      </c>
      <c r="N2287" s="2">
        <v>3.25</v>
      </c>
      <c r="O2287">
        <v>0</v>
      </c>
      <c r="P2287">
        <v>2</v>
      </c>
      <c r="Q2287" s="4" t="str">
        <f t="shared" si="337"/>
        <v>2016/2017-Genap</v>
      </c>
      <c r="R2287" t="s">
        <v>535</v>
      </c>
      <c r="S2287" t="str">
        <f t="shared" si="338"/>
        <v>PA</v>
      </c>
    </row>
    <row r="2288" spans="1:19" x14ac:dyDescent="0.3">
      <c r="A2288" t="s">
        <v>12</v>
      </c>
      <c r="B2288">
        <v>2016110065</v>
      </c>
      <c r="C2288" t="s">
        <v>341</v>
      </c>
      <c r="E2288" t="s">
        <v>100</v>
      </c>
      <c r="F2288" t="s">
        <v>101</v>
      </c>
      <c r="G2288">
        <v>4</v>
      </c>
      <c r="H2288" t="s">
        <v>524</v>
      </c>
      <c r="I2288" s="4">
        <f t="shared" si="339"/>
        <v>2</v>
      </c>
      <c r="J2288">
        <f t="shared" si="340"/>
        <v>8</v>
      </c>
      <c r="K2288">
        <v>58</v>
      </c>
      <c r="L2288">
        <v>20</v>
      </c>
      <c r="M2288" s="2">
        <v>2.9</v>
      </c>
      <c r="N2288" s="2">
        <v>3.25</v>
      </c>
      <c r="O2288">
        <v>0</v>
      </c>
      <c r="P2288">
        <v>2</v>
      </c>
      <c r="Q2288" s="4" t="str">
        <f t="shared" si="337"/>
        <v>2016/2017-Genap</v>
      </c>
      <c r="R2288" t="s">
        <v>535</v>
      </c>
      <c r="S2288" t="str">
        <f t="shared" si="338"/>
        <v>PA</v>
      </c>
    </row>
    <row r="2289" spans="1:19" x14ac:dyDescent="0.3">
      <c r="A2289" t="s">
        <v>12</v>
      </c>
      <c r="B2289">
        <v>2016110066</v>
      </c>
      <c r="C2289" t="s">
        <v>285</v>
      </c>
      <c r="E2289" t="s">
        <v>77</v>
      </c>
      <c r="F2289" t="s">
        <v>78</v>
      </c>
      <c r="G2289">
        <v>2</v>
      </c>
      <c r="H2289" t="s">
        <v>260</v>
      </c>
      <c r="I2289" s="4">
        <f t="shared" si="339"/>
        <v>4</v>
      </c>
      <c r="J2289">
        <f t="shared" si="340"/>
        <v>8</v>
      </c>
      <c r="K2289">
        <v>72</v>
      </c>
      <c r="L2289">
        <v>20</v>
      </c>
      <c r="M2289" s="2">
        <v>3.6</v>
      </c>
      <c r="N2289" s="2">
        <v>3.1</v>
      </c>
      <c r="O2289">
        <v>0</v>
      </c>
      <c r="P2289">
        <v>1</v>
      </c>
      <c r="Q2289" s="4" t="str">
        <f t="shared" si="337"/>
        <v>2016/2017-Ganjil</v>
      </c>
      <c r="R2289" t="s">
        <v>260</v>
      </c>
      <c r="S2289" t="str">
        <f t="shared" si="338"/>
        <v>PA</v>
      </c>
    </row>
    <row r="2290" spans="1:19" x14ac:dyDescent="0.3">
      <c r="A2290" t="s">
        <v>12</v>
      </c>
      <c r="B2290">
        <v>2016110066</v>
      </c>
      <c r="C2290" t="s">
        <v>285</v>
      </c>
      <c r="E2290" t="s">
        <v>122</v>
      </c>
      <c r="F2290" t="s">
        <v>123</v>
      </c>
      <c r="G2290">
        <v>4</v>
      </c>
      <c r="H2290" t="s">
        <v>260</v>
      </c>
      <c r="I2290" s="4">
        <f t="shared" si="339"/>
        <v>4</v>
      </c>
      <c r="J2290">
        <f t="shared" si="340"/>
        <v>16</v>
      </c>
      <c r="K2290">
        <v>72</v>
      </c>
      <c r="L2290">
        <v>20</v>
      </c>
      <c r="M2290" s="2">
        <v>3.6</v>
      </c>
      <c r="N2290" s="2">
        <v>3.1</v>
      </c>
      <c r="O2290">
        <v>0</v>
      </c>
      <c r="P2290">
        <v>1</v>
      </c>
      <c r="Q2290" s="4" t="str">
        <f t="shared" si="337"/>
        <v>2016/2017-Ganjil</v>
      </c>
      <c r="R2290" t="s">
        <v>260</v>
      </c>
      <c r="S2290" t="str">
        <f t="shared" si="338"/>
        <v>PA</v>
      </c>
    </row>
    <row r="2291" spans="1:19" x14ac:dyDescent="0.3">
      <c r="A2291" t="s">
        <v>12</v>
      </c>
      <c r="B2291">
        <v>2016110066</v>
      </c>
      <c r="C2291" t="s">
        <v>285</v>
      </c>
      <c r="E2291" t="s">
        <v>151</v>
      </c>
      <c r="F2291" t="s">
        <v>152</v>
      </c>
      <c r="G2291">
        <v>2</v>
      </c>
      <c r="H2291" t="s">
        <v>260</v>
      </c>
      <c r="I2291" s="4">
        <f t="shared" si="339"/>
        <v>4</v>
      </c>
      <c r="J2291">
        <f t="shared" si="340"/>
        <v>8</v>
      </c>
      <c r="K2291">
        <v>72</v>
      </c>
      <c r="L2291">
        <v>20</v>
      </c>
      <c r="M2291" s="2">
        <v>3.6</v>
      </c>
      <c r="N2291" s="2">
        <v>3.1</v>
      </c>
      <c r="O2291">
        <v>0</v>
      </c>
      <c r="P2291">
        <v>1</v>
      </c>
      <c r="Q2291" s="4" t="str">
        <f t="shared" si="337"/>
        <v>2016/2017-Ganjil</v>
      </c>
      <c r="R2291" t="s">
        <v>260</v>
      </c>
      <c r="S2291" t="str">
        <f t="shared" si="338"/>
        <v>PA</v>
      </c>
    </row>
    <row r="2292" spans="1:19" x14ac:dyDescent="0.3">
      <c r="A2292" t="s">
        <v>12</v>
      </c>
      <c r="B2292">
        <v>2016110066</v>
      </c>
      <c r="C2292" t="s">
        <v>285</v>
      </c>
      <c r="E2292" t="s">
        <v>131</v>
      </c>
      <c r="F2292" t="s">
        <v>132</v>
      </c>
      <c r="G2292">
        <v>2</v>
      </c>
      <c r="H2292" t="s">
        <v>260</v>
      </c>
      <c r="I2292" s="4">
        <f t="shared" si="339"/>
        <v>4</v>
      </c>
      <c r="J2292">
        <f t="shared" si="340"/>
        <v>8</v>
      </c>
      <c r="K2292">
        <v>72</v>
      </c>
      <c r="L2292">
        <v>20</v>
      </c>
      <c r="M2292" s="2">
        <v>3.6</v>
      </c>
      <c r="N2292" s="2">
        <v>3.1</v>
      </c>
      <c r="O2292">
        <v>0</v>
      </c>
      <c r="P2292">
        <v>1</v>
      </c>
      <c r="Q2292" s="4" t="str">
        <f t="shared" si="337"/>
        <v>2016/2017-Ganjil</v>
      </c>
      <c r="R2292" t="s">
        <v>260</v>
      </c>
      <c r="S2292" t="str">
        <f t="shared" si="338"/>
        <v>PA</v>
      </c>
    </row>
    <row r="2293" spans="1:19" x14ac:dyDescent="0.3">
      <c r="A2293" t="s">
        <v>12</v>
      </c>
      <c r="B2293">
        <v>2016110066</v>
      </c>
      <c r="C2293" t="s">
        <v>285</v>
      </c>
      <c r="E2293" t="s">
        <v>142</v>
      </c>
      <c r="F2293" t="s">
        <v>143</v>
      </c>
      <c r="G2293">
        <v>2</v>
      </c>
      <c r="H2293" t="s">
        <v>260</v>
      </c>
      <c r="I2293" s="4">
        <f t="shared" si="339"/>
        <v>4</v>
      </c>
      <c r="J2293">
        <f t="shared" si="340"/>
        <v>8</v>
      </c>
      <c r="K2293">
        <v>72</v>
      </c>
      <c r="L2293">
        <v>20</v>
      </c>
      <c r="M2293" s="2">
        <v>3.6</v>
      </c>
      <c r="N2293" s="2">
        <v>3.1</v>
      </c>
      <c r="O2293">
        <v>0</v>
      </c>
      <c r="P2293">
        <v>1</v>
      </c>
      <c r="Q2293" s="4" t="str">
        <f t="shared" si="337"/>
        <v>2016/2017-Ganjil</v>
      </c>
      <c r="R2293" t="s">
        <v>260</v>
      </c>
      <c r="S2293" t="str">
        <f t="shared" si="338"/>
        <v>PA</v>
      </c>
    </row>
    <row r="2294" spans="1:19" x14ac:dyDescent="0.3">
      <c r="A2294" t="s">
        <v>12</v>
      </c>
      <c r="B2294">
        <v>2016110066</v>
      </c>
      <c r="C2294" t="s">
        <v>285</v>
      </c>
      <c r="E2294" t="s">
        <v>437</v>
      </c>
      <c r="F2294" t="s">
        <v>169</v>
      </c>
      <c r="G2294">
        <v>4</v>
      </c>
      <c r="H2294" t="s">
        <v>438</v>
      </c>
      <c r="I2294" s="4">
        <f t="shared" si="339"/>
        <v>3</v>
      </c>
      <c r="J2294">
        <f t="shared" si="340"/>
        <v>12</v>
      </c>
      <c r="K2294">
        <v>72</v>
      </c>
      <c r="L2294">
        <v>20</v>
      </c>
      <c r="M2294" s="2">
        <v>3.6</v>
      </c>
      <c r="N2294" s="2">
        <v>3.1</v>
      </c>
      <c r="O2294">
        <v>0</v>
      </c>
      <c r="P2294">
        <v>1</v>
      </c>
      <c r="Q2294" s="4" t="str">
        <f t="shared" si="337"/>
        <v>2016/2017-Ganjil</v>
      </c>
      <c r="R2294" t="s">
        <v>260</v>
      </c>
      <c r="S2294" t="str">
        <f t="shared" si="338"/>
        <v>PA</v>
      </c>
    </row>
    <row r="2295" spans="1:19" x14ac:dyDescent="0.3">
      <c r="A2295" t="s">
        <v>12</v>
      </c>
      <c r="B2295">
        <v>2016110066</v>
      </c>
      <c r="C2295" t="s">
        <v>285</v>
      </c>
      <c r="E2295" t="s">
        <v>290</v>
      </c>
      <c r="F2295" t="s">
        <v>327</v>
      </c>
      <c r="G2295">
        <v>4</v>
      </c>
      <c r="H2295" t="s">
        <v>438</v>
      </c>
      <c r="I2295" s="4">
        <f t="shared" si="339"/>
        <v>3</v>
      </c>
      <c r="J2295">
        <f t="shared" si="340"/>
        <v>12</v>
      </c>
      <c r="K2295">
        <v>52</v>
      </c>
      <c r="L2295">
        <v>20</v>
      </c>
      <c r="M2295" s="2">
        <v>2.6</v>
      </c>
      <c r="N2295" s="2">
        <v>3.1</v>
      </c>
      <c r="O2295">
        <v>0</v>
      </c>
      <c r="P2295">
        <v>2</v>
      </c>
      <c r="Q2295" s="4" t="str">
        <f t="shared" si="337"/>
        <v>2016/2017-Genap</v>
      </c>
      <c r="R2295" t="s">
        <v>535</v>
      </c>
      <c r="S2295" t="str">
        <f t="shared" si="338"/>
        <v>PA</v>
      </c>
    </row>
    <row r="2296" spans="1:19" x14ac:dyDescent="0.3">
      <c r="A2296" t="s">
        <v>12</v>
      </c>
      <c r="B2296">
        <v>2016110066</v>
      </c>
      <c r="C2296" t="s">
        <v>285</v>
      </c>
      <c r="E2296" t="s">
        <v>103</v>
      </c>
      <c r="F2296" t="s">
        <v>104</v>
      </c>
      <c r="G2296">
        <v>4</v>
      </c>
      <c r="H2296" t="s">
        <v>438</v>
      </c>
      <c r="I2296" s="4">
        <f t="shared" si="339"/>
        <v>3</v>
      </c>
      <c r="J2296">
        <f t="shared" si="340"/>
        <v>12</v>
      </c>
      <c r="K2296">
        <v>52</v>
      </c>
      <c r="L2296">
        <v>20</v>
      </c>
      <c r="M2296" s="2">
        <v>2.6</v>
      </c>
      <c r="N2296" s="2">
        <v>3.1</v>
      </c>
      <c r="O2296">
        <v>0</v>
      </c>
      <c r="P2296">
        <v>2</v>
      </c>
      <c r="Q2296" s="4" t="str">
        <f t="shared" si="337"/>
        <v>2016/2017-Genap</v>
      </c>
      <c r="R2296" t="s">
        <v>535</v>
      </c>
      <c r="S2296" t="str">
        <f t="shared" si="338"/>
        <v>PA</v>
      </c>
    </row>
    <row r="2297" spans="1:19" x14ac:dyDescent="0.3">
      <c r="A2297" t="s">
        <v>12</v>
      </c>
      <c r="B2297">
        <v>2016110066</v>
      </c>
      <c r="C2297" t="s">
        <v>285</v>
      </c>
      <c r="E2297" t="s">
        <v>90</v>
      </c>
      <c r="F2297" t="s">
        <v>91</v>
      </c>
      <c r="G2297">
        <v>2</v>
      </c>
      <c r="H2297" t="s">
        <v>438</v>
      </c>
      <c r="I2297" s="4">
        <f t="shared" si="339"/>
        <v>3</v>
      </c>
      <c r="J2297">
        <f t="shared" si="340"/>
        <v>6</v>
      </c>
      <c r="K2297">
        <v>72</v>
      </c>
      <c r="L2297">
        <v>20</v>
      </c>
      <c r="M2297" s="2">
        <v>3.6</v>
      </c>
      <c r="N2297" s="2">
        <v>3.1</v>
      </c>
      <c r="O2297">
        <v>0</v>
      </c>
      <c r="P2297">
        <v>1</v>
      </c>
      <c r="Q2297" s="4" t="str">
        <f t="shared" si="337"/>
        <v>2016/2017-Ganjil</v>
      </c>
      <c r="R2297" t="s">
        <v>260</v>
      </c>
      <c r="S2297" t="str">
        <f t="shared" si="338"/>
        <v>PA</v>
      </c>
    </row>
    <row r="2298" spans="1:19" x14ac:dyDescent="0.3">
      <c r="A2298" t="s">
        <v>12</v>
      </c>
      <c r="B2298">
        <v>2016110066</v>
      </c>
      <c r="C2298" t="s">
        <v>285</v>
      </c>
      <c r="E2298" t="s">
        <v>139</v>
      </c>
      <c r="F2298" t="s">
        <v>140</v>
      </c>
      <c r="G2298">
        <v>2</v>
      </c>
      <c r="H2298" t="s">
        <v>438</v>
      </c>
      <c r="I2298" s="4">
        <f t="shared" si="339"/>
        <v>3</v>
      </c>
      <c r="J2298">
        <f t="shared" si="340"/>
        <v>6</v>
      </c>
      <c r="K2298">
        <v>52</v>
      </c>
      <c r="L2298">
        <v>20</v>
      </c>
      <c r="M2298" s="2">
        <v>2.6</v>
      </c>
      <c r="N2298" s="2">
        <v>3.1</v>
      </c>
      <c r="O2298">
        <v>0</v>
      </c>
      <c r="P2298">
        <v>2</v>
      </c>
      <c r="Q2298" s="4" t="str">
        <f t="shared" si="337"/>
        <v>2016/2017-Genap</v>
      </c>
      <c r="R2298" t="s">
        <v>535</v>
      </c>
      <c r="S2298" t="str">
        <f t="shared" si="338"/>
        <v>PA</v>
      </c>
    </row>
    <row r="2299" spans="1:19" x14ac:dyDescent="0.3">
      <c r="A2299" t="s">
        <v>12</v>
      </c>
      <c r="B2299">
        <v>2016110066</v>
      </c>
      <c r="C2299" t="s">
        <v>285</v>
      </c>
      <c r="E2299" t="s">
        <v>279</v>
      </c>
      <c r="F2299" t="s">
        <v>280</v>
      </c>
      <c r="G2299">
        <v>2</v>
      </c>
      <c r="H2299" t="s">
        <v>438</v>
      </c>
      <c r="I2299" s="4">
        <f t="shared" si="339"/>
        <v>3</v>
      </c>
      <c r="J2299">
        <f t="shared" si="340"/>
        <v>6</v>
      </c>
      <c r="K2299">
        <v>52</v>
      </c>
      <c r="L2299">
        <v>20</v>
      </c>
      <c r="M2299" s="2">
        <v>2.6</v>
      </c>
      <c r="N2299" s="2">
        <v>3.1</v>
      </c>
      <c r="O2299">
        <v>0</v>
      </c>
      <c r="P2299">
        <v>2</v>
      </c>
      <c r="Q2299" s="4" t="str">
        <f t="shared" si="337"/>
        <v>2016/2017-Genap</v>
      </c>
      <c r="R2299" t="s">
        <v>535</v>
      </c>
      <c r="S2299" t="str">
        <f t="shared" si="338"/>
        <v>PA</v>
      </c>
    </row>
    <row r="2300" spans="1:19" x14ac:dyDescent="0.3">
      <c r="A2300" t="s">
        <v>12</v>
      </c>
      <c r="B2300">
        <v>2016110066</v>
      </c>
      <c r="C2300" t="s">
        <v>285</v>
      </c>
      <c r="E2300" t="s">
        <v>165</v>
      </c>
      <c r="F2300" t="s">
        <v>166</v>
      </c>
      <c r="G2300">
        <v>2</v>
      </c>
      <c r="H2300" t="s">
        <v>438</v>
      </c>
      <c r="I2300" s="4">
        <f t="shared" si="339"/>
        <v>3</v>
      </c>
      <c r="J2300">
        <f t="shared" si="340"/>
        <v>6</v>
      </c>
      <c r="K2300">
        <v>72</v>
      </c>
      <c r="L2300">
        <v>20</v>
      </c>
      <c r="M2300" s="2">
        <v>3.6</v>
      </c>
      <c r="N2300" s="2">
        <v>3.1</v>
      </c>
      <c r="O2300">
        <v>0</v>
      </c>
      <c r="P2300">
        <v>1</v>
      </c>
      <c r="Q2300" s="4" t="str">
        <f t="shared" si="337"/>
        <v>2016/2017-Ganjil</v>
      </c>
      <c r="R2300" t="s">
        <v>260</v>
      </c>
      <c r="S2300" t="str">
        <f t="shared" si="338"/>
        <v>PA</v>
      </c>
    </row>
    <row r="2301" spans="1:19" x14ac:dyDescent="0.3">
      <c r="A2301" t="s">
        <v>12</v>
      </c>
      <c r="B2301">
        <v>2016110066</v>
      </c>
      <c r="C2301" t="s">
        <v>285</v>
      </c>
      <c r="E2301" t="s">
        <v>97</v>
      </c>
      <c r="F2301" t="s">
        <v>98</v>
      </c>
      <c r="G2301">
        <v>4</v>
      </c>
      <c r="H2301" t="s">
        <v>524</v>
      </c>
      <c r="I2301" s="4">
        <f t="shared" si="339"/>
        <v>2</v>
      </c>
      <c r="J2301">
        <f t="shared" si="340"/>
        <v>8</v>
      </c>
      <c r="K2301">
        <v>52</v>
      </c>
      <c r="L2301">
        <v>20</v>
      </c>
      <c r="M2301" s="2">
        <v>2.6</v>
      </c>
      <c r="N2301" s="2">
        <v>3.1</v>
      </c>
      <c r="O2301">
        <v>0</v>
      </c>
      <c r="P2301">
        <v>2</v>
      </c>
      <c r="Q2301" s="4" t="str">
        <f t="shared" si="337"/>
        <v>2016/2017-Genap</v>
      </c>
      <c r="R2301" t="s">
        <v>535</v>
      </c>
      <c r="S2301" t="str">
        <f t="shared" si="338"/>
        <v>PA</v>
      </c>
    </row>
    <row r="2302" spans="1:19" x14ac:dyDescent="0.3">
      <c r="A2302" t="s">
        <v>12</v>
      </c>
      <c r="B2302">
        <v>2016110066</v>
      </c>
      <c r="C2302" t="s">
        <v>285</v>
      </c>
      <c r="E2302" t="s">
        <v>100</v>
      </c>
      <c r="F2302" t="s">
        <v>101</v>
      </c>
      <c r="G2302">
        <v>4</v>
      </c>
      <c r="H2302" t="s">
        <v>524</v>
      </c>
      <c r="I2302" s="4">
        <f t="shared" si="339"/>
        <v>2</v>
      </c>
      <c r="J2302">
        <f t="shared" si="340"/>
        <v>8</v>
      </c>
      <c r="K2302">
        <v>52</v>
      </c>
      <c r="L2302">
        <v>20</v>
      </c>
      <c r="M2302" s="2">
        <v>2.6</v>
      </c>
      <c r="N2302" s="2">
        <v>3.1</v>
      </c>
      <c r="O2302">
        <v>0</v>
      </c>
      <c r="P2302">
        <v>2</v>
      </c>
      <c r="Q2302" s="4" t="str">
        <f t="shared" si="337"/>
        <v>2016/2017-Genap</v>
      </c>
      <c r="R2302" t="s">
        <v>535</v>
      </c>
      <c r="S2302" t="str">
        <f t="shared" si="338"/>
        <v>PA</v>
      </c>
    </row>
    <row r="2303" spans="1:19" x14ac:dyDescent="0.3">
      <c r="A2303" t="s">
        <v>12</v>
      </c>
      <c r="B2303">
        <v>2016110067</v>
      </c>
      <c r="C2303" t="s">
        <v>314</v>
      </c>
      <c r="E2303" t="s">
        <v>279</v>
      </c>
      <c r="F2303" t="s">
        <v>280</v>
      </c>
      <c r="G2303">
        <v>2</v>
      </c>
      <c r="H2303" t="s">
        <v>260</v>
      </c>
      <c r="I2303" s="4">
        <f t="shared" si="339"/>
        <v>4</v>
      </c>
      <c r="J2303">
        <f t="shared" si="340"/>
        <v>8</v>
      </c>
      <c r="K2303">
        <v>64</v>
      </c>
      <c r="L2303">
        <v>20</v>
      </c>
      <c r="M2303" s="2">
        <v>3.2</v>
      </c>
      <c r="N2303" s="2">
        <v>3.38</v>
      </c>
      <c r="O2303">
        <v>0</v>
      </c>
      <c r="P2303">
        <v>2</v>
      </c>
      <c r="Q2303" s="4" t="str">
        <f t="shared" si="337"/>
        <v>2016/2017-Genap</v>
      </c>
      <c r="R2303" t="s">
        <v>260</v>
      </c>
      <c r="S2303" t="str">
        <f t="shared" si="338"/>
        <v>PA</v>
      </c>
    </row>
    <row r="2304" spans="1:19" x14ac:dyDescent="0.3">
      <c r="A2304" t="s">
        <v>12</v>
      </c>
      <c r="B2304">
        <v>2016110067</v>
      </c>
      <c r="C2304" t="s">
        <v>314</v>
      </c>
      <c r="E2304" t="s">
        <v>39</v>
      </c>
      <c r="F2304" t="s">
        <v>11</v>
      </c>
      <c r="G2304">
        <v>2</v>
      </c>
      <c r="H2304" t="s">
        <v>260</v>
      </c>
      <c r="I2304" s="4">
        <f t="shared" si="339"/>
        <v>4</v>
      </c>
      <c r="J2304">
        <f t="shared" si="340"/>
        <v>8</v>
      </c>
      <c r="K2304">
        <v>76</v>
      </c>
      <c r="L2304">
        <v>22</v>
      </c>
      <c r="M2304" s="2">
        <v>3.45</v>
      </c>
      <c r="N2304" s="2">
        <v>3.38</v>
      </c>
      <c r="O2304">
        <v>0</v>
      </c>
      <c r="P2304">
        <v>6</v>
      </c>
      <c r="Q2304" s="4" t="str">
        <f t="shared" si="337"/>
        <v>2018/2019-Genap</v>
      </c>
      <c r="R2304" t="s">
        <v>260</v>
      </c>
      <c r="S2304" t="str">
        <f t="shared" si="338"/>
        <v>PA</v>
      </c>
    </row>
    <row r="2305" spans="1:19" x14ac:dyDescent="0.3">
      <c r="A2305" t="s">
        <v>12</v>
      </c>
      <c r="B2305">
        <v>2016110067</v>
      </c>
      <c r="C2305" t="s">
        <v>314</v>
      </c>
      <c r="E2305" t="s">
        <v>290</v>
      </c>
      <c r="F2305" t="s">
        <v>327</v>
      </c>
      <c r="G2305">
        <v>4</v>
      </c>
      <c r="H2305" t="s">
        <v>260</v>
      </c>
      <c r="I2305" s="4">
        <f t="shared" si="339"/>
        <v>4</v>
      </c>
      <c r="J2305">
        <f t="shared" si="340"/>
        <v>16</v>
      </c>
      <c r="K2305">
        <v>64</v>
      </c>
      <c r="L2305">
        <v>20</v>
      </c>
      <c r="M2305" s="2">
        <v>3.2</v>
      </c>
      <c r="N2305" s="2">
        <v>3.38</v>
      </c>
      <c r="O2305">
        <v>0</v>
      </c>
      <c r="P2305">
        <v>2</v>
      </c>
      <c r="Q2305" s="4" t="str">
        <f t="shared" si="337"/>
        <v>2016/2017-Genap</v>
      </c>
      <c r="R2305" t="s">
        <v>260</v>
      </c>
      <c r="S2305" t="str">
        <f t="shared" si="338"/>
        <v>PA</v>
      </c>
    </row>
    <row r="2306" spans="1:19" x14ac:dyDescent="0.3">
      <c r="A2306" t="s">
        <v>12</v>
      </c>
      <c r="B2306">
        <v>2016110067</v>
      </c>
      <c r="C2306" t="s">
        <v>314</v>
      </c>
      <c r="E2306" t="s">
        <v>236</v>
      </c>
      <c r="F2306" t="s">
        <v>237</v>
      </c>
      <c r="G2306">
        <v>2</v>
      </c>
      <c r="H2306" t="s">
        <v>260</v>
      </c>
      <c r="I2306" s="4">
        <f t="shared" si="339"/>
        <v>4</v>
      </c>
      <c r="J2306">
        <f t="shared" si="340"/>
        <v>8</v>
      </c>
      <c r="K2306">
        <v>62</v>
      </c>
      <c r="L2306">
        <v>20</v>
      </c>
      <c r="M2306" s="2">
        <v>3.1</v>
      </c>
      <c r="N2306" s="2">
        <v>3.38</v>
      </c>
      <c r="O2306">
        <v>0</v>
      </c>
      <c r="P2306">
        <v>1</v>
      </c>
      <c r="Q2306" s="4" t="str">
        <f t="shared" si="337"/>
        <v>2016/2017-Ganjil</v>
      </c>
      <c r="R2306" t="s">
        <v>260</v>
      </c>
      <c r="S2306" t="str">
        <f t="shared" si="338"/>
        <v>PA</v>
      </c>
    </row>
    <row r="2307" spans="1:19" x14ac:dyDescent="0.3">
      <c r="A2307" t="s">
        <v>12</v>
      </c>
      <c r="B2307">
        <v>2016110067</v>
      </c>
      <c r="C2307" t="s">
        <v>314</v>
      </c>
      <c r="E2307" t="s">
        <v>236</v>
      </c>
      <c r="F2307" t="s">
        <v>237</v>
      </c>
      <c r="G2307">
        <v>2</v>
      </c>
      <c r="H2307" t="s">
        <v>260</v>
      </c>
      <c r="I2307" s="4">
        <f t="shared" si="339"/>
        <v>4</v>
      </c>
      <c r="J2307">
        <f t="shared" si="340"/>
        <v>8</v>
      </c>
      <c r="K2307">
        <v>68</v>
      </c>
      <c r="L2307">
        <v>22</v>
      </c>
      <c r="M2307" s="2">
        <v>3.09</v>
      </c>
      <c r="N2307" s="2">
        <v>3.38</v>
      </c>
      <c r="O2307">
        <v>1</v>
      </c>
      <c r="P2307">
        <v>5</v>
      </c>
      <c r="Q2307" s="4" t="str">
        <f t="shared" si="337"/>
        <v>2018/2019-Ganjil</v>
      </c>
      <c r="R2307" t="s">
        <v>260</v>
      </c>
      <c r="S2307" t="str">
        <f t="shared" si="338"/>
        <v>PA</v>
      </c>
    </row>
    <row r="2308" spans="1:19" x14ac:dyDescent="0.3">
      <c r="A2308" t="s">
        <v>12</v>
      </c>
      <c r="B2308">
        <v>2016110067</v>
      </c>
      <c r="C2308" t="s">
        <v>314</v>
      </c>
      <c r="E2308" t="s">
        <v>283</v>
      </c>
      <c r="F2308" t="s">
        <v>284</v>
      </c>
      <c r="G2308">
        <v>2</v>
      </c>
      <c r="H2308" t="s">
        <v>260</v>
      </c>
      <c r="I2308" s="4">
        <f t="shared" si="339"/>
        <v>4</v>
      </c>
      <c r="J2308">
        <f t="shared" si="340"/>
        <v>8</v>
      </c>
      <c r="K2308">
        <v>52</v>
      </c>
      <c r="L2308">
        <v>14</v>
      </c>
      <c r="M2308" s="2">
        <v>3.71</v>
      </c>
      <c r="N2308" s="2">
        <v>3.38</v>
      </c>
      <c r="O2308">
        <v>0</v>
      </c>
      <c r="P2308">
        <v>7</v>
      </c>
      <c r="Q2308" s="4" t="str">
        <f t="shared" si="337"/>
        <v>2019/2020-Ganjil</v>
      </c>
      <c r="R2308" t="s">
        <v>260</v>
      </c>
      <c r="S2308" t="str">
        <f t="shared" si="338"/>
        <v>PA</v>
      </c>
    </row>
    <row r="2309" spans="1:19" x14ac:dyDescent="0.3">
      <c r="A2309" t="s">
        <v>12</v>
      </c>
      <c r="B2309">
        <v>2016110067</v>
      </c>
      <c r="C2309" t="s">
        <v>314</v>
      </c>
      <c r="E2309" t="s">
        <v>316</v>
      </c>
      <c r="F2309" t="s">
        <v>317</v>
      </c>
      <c r="G2309">
        <v>2</v>
      </c>
      <c r="H2309" t="s">
        <v>260</v>
      </c>
      <c r="I2309" s="4">
        <f t="shared" si="339"/>
        <v>4</v>
      </c>
      <c r="J2309">
        <f t="shared" si="340"/>
        <v>8</v>
      </c>
      <c r="K2309">
        <v>52</v>
      </c>
      <c r="L2309">
        <v>14</v>
      </c>
      <c r="M2309" s="2">
        <v>3.71</v>
      </c>
      <c r="N2309" s="2">
        <v>3.38</v>
      </c>
      <c r="O2309">
        <v>0</v>
      </c>
      <c r="P2309">
        <v>7</v>
      </c>
      <c r="Q2309" s="4" t="str">
        <f t="shared" si="337"/>
        <v>2019/2020-Ganjil</v>
      </c>
      <c r="R2309" t="s">
        <v>260</v>
      </c>
      <c r="S2309" t="str">
        <f t="shared" si="338"/>
        <v>PA</v>
      </c>
    </row>
    <row r="2310" spans="1:19" x14ac:dyDescent="0.3">
      <c r="A2310" t="s">
        <v>12</v>
      </c>
      <c r="B2310">
        <v>2016110067</v>
      </c>
      <c r="C2310" t="s">
        <v>314</v>
      </c>
      <c r="E2310" t="s">
        <v>241</v>
      </c>
      <c r="F2310" t="s">
        <v>45</v>
      </c>
      <c r="G2310">
        <v>2</v>
      </c>
      <c r="H2310" t="s">
        <v>260</v>
      </c>
      <c r="I2310" s="4">
        <f t="shared" si="339"/>
        <v>4</v>
      </c>
      <c r="J2310">
        <f t="shared" si="340"/>
        <v>8</v>
      </c>
      <c r="K2310">
        <v>68</v>
      </c>
      <c r="L2310">
        <v>22</v>
      </c>
      <c r="M2310" s="2">
        <v>3.09</v>
      </c>
      <c r="N2310" s="2">
        <v>3.38</v>
      </c>
      <c r="O2310">
        <v>0</v>
      </c>
      <c r="P2310">
        <v>3</v>
      </c>
      <c r="Q2310" s="4" t="str">
        <f t="shared" si="337"/>
        <v>2017/2018-Ganjil</v>
      </c>
      <c r="R2310" t="s">
        <v>260</v>
      </c>
      <c r="S2310" t="str">
        <f t="shared" si="338"/>
        <v>PA</v>
      </c>
    </row>
    <row r="2311" spans="1:19" x14ac:dyDescent="0.3">
      <c r="A2311" t="s">
        <v>12</v>
      </c>
      <c r="B2311">
        <v>2016110067</v>
      </c>
      <c r="C2311" t="s">
        <v>314</v>
      </c>
      <c r="E2311" t="s">
        <v>293</v>
      </c>
      <c r="F2311" t="s">
        <v>294</v>
      </c>
      <c r="G2311">
        <v>2</v>
      </c>
      <c r="H2311" t="s">
        <v>260</v>
      </c>
      <c r="I2311" s="4">
        <f t="shared" si="339"/>
        <v>4</v>
      </c>
      <c r="J2311">
        <f t="shared" si="340"/>
        <v>8</v>
      </c>
      <c r="K2311">
        <v>68</v>
      </c>
      <c r="L2311">
        <v>22</v>
      </c>
      <c r="M2311" s="2">
        <v>3.09</v>
      </c>
      <c r="N2311" s="2">
        <v>3.38</v>
      </c>
      <c r="O2311">
        <v>0</v>
      </c>
      <c r="P2311">
        <v>5</v>
      </c>
      <c r="Q2311" s="4" t="str">
        <f t="shared" si="337"/>
        <v>2018/2019-Ganjil</v>
      </c>
      <c r="R2311" t="s">
        <v>260</v>
      </c>
      <c r="S2311" t="str">
        <f t="shared" si="338"/>
        <v>PA</v>
      </c>
    </row>
    <row r="2312" spans="1:19" x14ac:dyDescent="0.3">
      <c r="A2312" t="s">
        <v>12</v>
      </c>
      <c r="B2312">
        <v>2016110067</v>
      </c>
      <c r="C2312" t="s">
        <v>314</v>
      </c>
      <c r="E2312" t="s">
        <v>131</v>
      </c>
      <c r="F2312" t="s">
        <v>132</v>
      </c>
      <c r="G2312">
        <v>2</v>
      </c>
      <c r="H2312" t="s">
        <v>260</v>
      </c>
      <c r="I2312" s="4">
        <f t="shared" si="339"/>
        <v>4</v>
      </c>
      <c r="J2312">
        <f t="shared" si="340"/>
        <v>8</v>
      </c>
      <c r="K2312">
        <v>62</v>
      </c>
      <c r="L2312">
        <v>20</v>
      </c>
      <c r="M2312" s="2">
        <v>3.1</v>
      </c>
      <c r="N2312" s="2">
        <v>3.38</v>
      </c>
      <c r="O2312">
        <v>0</v>
      </c>
      <c r="P2312">
        <v>1</v>
      </c>
      <c r="Q2312" s="4" t="str">
        <f t="shared" si="337"/>
        <v>2016/2017-Ganjil</v>
      </c>
      <c r="R2312" t="s">
        <v>260</v>
      </c>
      <c r="S2312" t="str">
        <f t="shared" si="338"/>
        <v>PA</v>
      </c>
    </row>
    <row r="2313" spans="1:19" x14ac:dyDescent="0.3">
      <c r="A2313" t="s">
        <v>12</v>
      </c>
      <c r="B2313">
        <v>2016110067</v>
      </c>
      <c r="C2313" t="s">
        <v>314</v>
      </c>
      <c r="E2313" t="s">
        <v>139</v>
      </c>
      <c r="F2313" t="s">
        <v>140</v>
      </c>
      <c r="G2313">
        <v>2</v>
      </c>
      <c r="H2313" t="s">
        <v>260</v>
      </c>
      <c r="I2313" s="4">
        <f t="shared" si="339"/>
        <v>4</v>
      </c>
      <c r="J2313">
        <f t="shared" si="340"/>
        <v>8</v>
      </c>
      <c r="K2313">
        <v>64</v>
      </c>
      <c r="L2313">
        <v>20</v>
      </c>
      <c r="M2313" s="2">
        <v>3.2</v>
      </c>
      <c r="N2313" s="2">
        <v>3.38</v>
      </c>
      <c r="O2313">
        <v>0</v>
      </c>
      <c r="P2313">
        <v>2</v>
      </c>
      <c r="Q2313" s="4" t="str">
        <f t="shared" si="337"/>
        <v>2016/2017-Genap</v>
      </c>
      <c r="R2313" t="s">
        <v>260</v>
      </c>
      <c r="S2313" t="str">
        <f t="shared" si="338"/>
        <v>PA</v>
      </c>
    </row>
    <row r="2314" spans="1:19" x14ac:dyDescent="0.3">
      <c r="A2314" t="s">
        <v>12</v>
      </c>
      <c r="B2314">
        <v>2016110067</v>
      </c>
      <c r="C2314" t="s">
        <v>314</v>
      </c>
      <c r="E2314" t="s">
        <v>297</v>
      </c>
      <c r="F2314" t="s">
        <v>342</v>
      </c>
      <c r="G2314">
        <v>4</v>
      </c>
      <c r="H2314" t="s">
        <v>260</v>
      </c>
      <c r="I2314" s="4">
        <f t="shared" si="339"/>
        <v>4</v>
      </c>
      <c r="J2314">
        <f t="shared" si="340"/>
        <v>16</v>
      </c>
      <c r="K2314">
        <v>76</v>
      </c>
      <c r="L2314">
        <v>22</v>
      </c>
      <c r="M2314" s="2">
        <v>3.45</v>
      </c>
      <c r="N2314" s="2">
        <v>3.38</v>
      </c>
      <c r="O2314">
        <v>0</v>
      </c>
      <c r="P2314">
        <v>6</v>
      </c>
      <c r="Q2314" s="4" t="str">
        <f t="shared" si="337"/>
        <v>2018/2019-Genap</v>
      </c>
      <c r="R2314" t="s">
        <v>260</v>
      </c>
      <c r="S2314" t="str">
        <f t="shared" si="338"/>
        <v>PA</v>
      </c>
    </row>
    <row r="2315" spans="1:19" x14ac:dyDescent="0.3">
      <c r="A2315" t="s">
        <v>12</v>
      </c>
      <c r="B2315">
        <v>2016110067</v>
      </c>
      <c r="C2315" t="s">
        <v>314</v>
      </c>
      <c r="E2315" t="s">
        <v>334</v>
      </c>
      <c r="F2315" t="s">
        <v>335</v>
      </c>
      <c r="G2315">
        <v>2</v>
      </c>
      <c r="H2315" t="s">
        <v>260</v>
      </c>
      <c r="I2315" s="4">
        <f t="shared" si="339"/>
        <v>4</v>
      </c>
      <c r="J2315">
        <f t="shared" si="340"/>
        <v>8</v>
      </c>
      <c r="K2315">
        <v>68</v>
      </c>
      <c r="L2315">
        <v>22</v>
      </c>
      <c r="M2315" s="2">
        <v>3.09</v>
      </c>
      <c r="N2315" s="2">
        <v>3.38</v>
      </c>
      <c r="O2315">
        <v>0</v>
      </c>
      <c r="P2315">
        <v>5</v>
      </c>
      <c r="Q2315" s="4" t="str">
        <f t="shared" si="337"/>
        <v>2018/2019-Ganjil</v>
      </c>
      <c r="R2315" t="s">
        <v>260</v>
      </c>
      <c r="S2315" t="str">
        <f t="shared" si="338"/>
        <v>PA</v>
      </c>
    </row>
    <row r="2316" spans="1:19" x14ac:dyDescent="0.3">
      <c r="A2316" t="s">
        <v>12</v>
      </c>
      <c r="B2316">
        <v>2016110067</v>
      </c>
      <c r="C2316" t="s">
        <v>314</v>
      </c>
      <c r="E2316" t="s">
        <v>344</v>
      </c>
      <c r="F2316" t="s">
        <v>345</v>
      </c>
      <c r="G2316">
        <v>2</v>
      </c>
      <c r="H2316" t="s">
        <v>260</v>
      </c>
      <c r="I2316" s="4">
        <f t="shared" si="339"/>
        <v>4</v>
      </c>
      <c r="J2316">
        <f t="shared" si="340"/>
        <v>8</v>
      </c>
      <c r="K2316">
        <v>52</v>
      </c>
      <c r="L2316">
        <v>14</v>
      </c>
      <c r="M2316" s="2">
        <v>3.71</v>
      </c>
      <c r="N2316" s="2">
        <v>3.38</v>
      </c>
      <c r="O2316">
        <v>0</v>
      </c>
      <c r="P2316">
        <v>7</v>
      </c>
      <c r="Q2316" s="4" t="str">
        <f t="shared" si="337"/>
        <v>2019/2020-Ganjil</v>
      </c>
      <c r="R2316" t="s">
        <v>260</v>
      </c>
      <c r="S2316" t="str">
        <f t="shared" si="338"/>
        <v>PA</v>
      </c>
    </row>
    <row r="2317" spans="1:19" x14ac:dyDescent="0.3">
      <c r="A2317" t="s">
        <v>12</v>
      </c>
      <c r="B2317">
        <v>2016110067</v>
      </c>
      <c r="C2317" t="s">
        <v>314</v>
      </c>
      <c r="E2317" t="s">
        <v>165</v>
      </c>
      <c r="F2317" t="s">
        <v>166</v>
      </c>
      <c r="G2317">
        <v>2</v>
      </c>
      <c r="H2317" t="s">
        <v>260</v>
      </c>
      <c r="I2317" s="4">
        <f t="shared" si="339"/>
        <v>4</v>
      </c>
      <c r="J2317">
        <f t="shared" si="340"/>
        <v>8</v>
      </c>
      <c r="K2317">
        <v>62</v>
      </c>
      <c r="L2317">
        <v>20</v>
      </c>
      <c r="M2317" s="2">
        <v>3.1</v>
      </c>
      <c r="N2317" s="2">
        <v>3.38</v>
      </c>
      <c r="O2317">
        <v>0</v>
      </c>
      <c r="P2317">
        <v>1</v>
      </c>
      <c r="Q2317" s="4" t="str">
        <f t="shared" ref="Q2317:Q2348" si="341">IF(P2317=1,"2016/2017-Ganjil",IF(P2317=2,"2016/2017-Genap",IF(P2317=3,"2017/2018-Ganjil",IF(P2317=4,"2017/2018-Genap",IF(P2317=5,"2018/2019-Ganjil",IF(P2317=6,"2018/2019-Genap",IF(P2317=7,"2019/2020-Ganjil",IF(P2317=8,"2019/2020-Genap",IF(P2317=9,"2020/2021-Ganjil",IF(P2317=10,"2020/2021-Genap",IF(P2317=11,"2021/2022-Ganjil",IF(P2317=12,"2021/2022-Genap",IF(P2317=13,"2022/2023-Ganjil","2022/2023-Genap")))))))))))))</f>
        <v>2016/2017-Ganjil</v>
      </c>
      <c r="R2317" t="s">
        <v>260</v>
      </c>
      <c r="S2317" t="str">
        <f t="shared" si="338"/>
        <v>PA</v>
      </c>
    </row>
    <row r="2318" spans="1:19" x14ac:dyDescent="0.3">
      <c r="A2318" t="s">
        <v>12</v>
      </c>
      <c r="B2318">
        <v>2016110067</v>
      </c>
      <c r="C2318" t="s">
        <v>314</v>
      </c>
      <c r="E2318" t="s">
        <v>382</v>
      </c>
      <c r="F2318" t="s">
        <v>383</v>
      </c>
      <c r="G2318">
        <v>4</v>
      </c>
      <c r="H2318" t="s">
        <v>260</v>
      </c>
      <c r="I2318" s="4">
        <f t="shared" si="339"/>
        <v>4</v>
      </c>
      <c r="J2318">
        <f t="shared" si="340"/>
        <v>16</v>
      </c>
      <c r="K2318">
        <v>68</v>
      </c>
      <c r="L2318">
        <v>22</v>
      </c>
      <c r="M2318" s="2">
        <v>3.09</v>
      </c>
      <c r="N2318" s="2">
        <v>3.38</v>
      </c>
      <c r="O2318">
        <v>0</v>
      </c>
      <c r="P2318">
        <v>5</v>
      </c>
      <c r="Q2318" s="4" t="str">
        <f t="shared" si="341"/>
        <v>2018/2019-Ganjil</v>
      </c>
      <c r="R2318" t="s">
        <v>260</v>
      </c>
      <c r="S2318" t="str">
        <f t="shared" si="338"/>
        <v>PA</v>
      </c>
    </row>
    <row r="2319" spans="1:19" x14ac:dyDescent="0.3">
      <c r="A2319" t="s">
        <v>12</v>
      </c>
      <c r="B2319">
        <v>2016110067</v>
      </c>
      <c r="C2319" t="s">
        <v>314</v>
      </c>
      <c r="E2319" t="s">
        <v>77</v>
      </c>
      <c r="F2319" t="s">
        <v>78</v>
      </c>
      <c r="G2319">
        <v>2</v>
      </c>
      <c r="H2319" t="s">
        <v>260</v>
      </c>
      <c r="I2319" s="4">
        <f t="shared" si="339"/>
        <v>4</v>
      </c>
      <c r="J2319">
        <f t="shared" si="340"/>
        <v>8</v>
      </c>
      <c r="K2319">
        <v>62</v>
      </c>
      <c r="L2319">
        <v>20</v>
      </c>
      <c r="M2319" s="2">
        <v>3.1</v>
      </c>
      <c r="N2319" s="2">
        <v>3.38</v>
      </c>
      <c r="O2319">
        <v>0</v>
      </c>
      <c r="P2319">
        <v>1</v>
      </c>
      <c r="Q2319" s="4" t="str">
        <f t="shared" si="341"/>
        <v>2016/2017-Ganjil</v>
      </c>
      <c r="R2319" t="s">
        <v>260</v>
      </c>
      <c r="S2319" t="str">
        <f t="shared" si="338"/>
        <v>PA</v>
      </c>
    </row>
    <row r="2320" spans="1:19" x14ac:dyDescent="0.3">
      <c r="A2320" t="s">
        <v>12</v>
      </c>
      <c r="B2320">
        <v>2016110067</v>
      </c>
      <c r="C2320" t="s">
        <v>314</v>
      </c>
      <c r="E2320" t="s">
        <v>427</v>
      </c>
      <c r="F2320" t="s">
        <v>428</v>
      </c>
      <c r="G2320">
        <v>2</v>
      </c>
      <c r="H2320" t="s">
        <v>260</v>
      </c>
      <c r="I2320" s="4">
        <f t="shared" si="339"/>
        <v>4</v>
      </c>
      <c r="J2320">
        <f t="shared" si="340"/>
        <v>8</v>
      </c>
      <c r="K2320">
        <v>76</v>
      </c>
      <c r="L2320">
        <v>22</v>
      </c>
      <c r="M2320" s="2">
        <v>3.45</v>
      </c>
      <c r="N2320" s="2">
        <v>3.38</v>
      </c>
      <c r="O2320">
        <v>0</v>
      </c>
      <c r="P2320">
        <v>6</v>
      </c>
      <c r="Q2320" s="4" t="str">
        <f t="shared" si="341"/>
        <v>2018/2019-Genap</v>
      </c>
      <c r="R2320" t="s">
        <v>260</v>
      </c>
      <c r="S2320" t="str">
        <f t="shared" si="338"/>
        <v>PA</v>
      </c>
    </row>
    <row r="2321" spans="1:19" x14ac:dyDescent="0.3">
      <c r="A2321" t="s">
        <v>12</v>
      </c>
      <c r="B2321">
        <v>2016110067</v>
      </c>
      <c r="C2321" t="s">
        <v>314</v>
      </c>
      <c r="E2321" t="s">
        <v>374</v>
      </c>
      <c r="F2321" t="s">
        <v>375</v>
      </c>
      <c r="G2321">
        <v>2</v>
      </c>
      <c r="H2321" t="s">
        <v>438</v>
      </c>
      <c r="I2321" s="4">
        <f t="shared" si="339"/>
        <v>3</v>
      </c>
      <c r="J2321">
        <f t="shared" si="340"/>
        <v>6</v>
      </c>
      <c r="K2321">
        <v>54</v>
      </c>
      <c r="L2321">
        <v>20</v>
      </c>
      <c r="M2321" s="2">
        <v>2.7</v>
      </c>
      <c r="N2321" s="2">
        <v>3.38</v>
      </c>
      <c r="O2321">
        <v>0</v>
      </c>
      <c r="P2321">
        <v>4</v>
      </c>
      <c r="Q2321" s="4" t="str">
        <f t="shared" si="341"/>
        <v>2017/2018-Genap</v>
      </c>
      <c r="R2321" t="s">
        <v>260</v>
      </c>
      <c r="S2321" t="str">
        <f t="shared" si="338"/>
        <v>PA</v>
      </c>
    </row>
    <row r="2322" spans="1:19" x14ac:dyDescent="0.3">
      <c r="A2322" t="s">
        <v>12</v>
      </c>
      <c r="B2322">
        <v>2016110067</v>
      </c>
      <c r="C2322" t="s">
        <v>314</v>
      </c>
      <c r="E2322" t="s">
        <v>273</v>
      </c>
      <c r="F2322" t="s">
        <v>274</v>
      </c>
      <c r="G2322">
        <v>2</v>
      </c>
      <c r="H2322" t="s">
        <v>438</v>
      </c>
      <c r="I2322" s="4">
        <f t="shared" si="339"/>
        <v>3</v>
      </c>
      <c r="J2322">
        <f t="shared" si="340"/>
        <v>6</v>
      </c>
      <c r="K2322">
        <v>76</v>
      </c>
      <c r="L2322">
        <v>22</v>
      </c>
      <c r="M2322" s="2">
        <v>3.45</v>
      </c>
      <c r="N2322" s="2">
        <v>3.38</v>
      </c>
      <c r="O2322">
        <v>0</v>
      </c>
      <c r="P2322">
        <v>6</v>
      </c>
      <c r="Q2322" s="4" t="str">
        <f t="shared" si="341"/>
        <v>2018/2019-Genap</v>
      </c>
      <c r="R2322" t="s">
        <v>260</v>
      </c>
      <c r="S2322" t="str">
        <f t="shared" si="338"/>
        <v>PA</v>
      </c>
    </row>
    <row r="2323" spans="1:19" x14ac:dyDescent="0.3">
      <c r="A2323" t="s">
        <v>12</v>
      </c>
      <c r="B2323">
        <v>2016110067</v>
      </c>
      <c r="C2323" t="s">
        <v>314</v>
      </c>
      <c r="E2323" t="s">
        <v>244</v>
      </c>
      <c r="F2323" t="s">
        <v>228</v>
      </c>
      <c r="G2323">
        <v>2</v>
      </c>
      <c r="H2323" t="s">
        <v>438</v>
      </c>
      <c r="I2323" s="4">
        <f t="shared" si="339"/>
        <v>3</v>
      </c>
      <c r="J2323">
        <f t="shared" si="340"/>
        <v>6</v>
      </c>
      <c r="K2323">
        <v>54</v>
      </c>
      <c r="L2323">
        <v>20</v>
      </c>
      <c r="M2323" s="2">
        <v>2.7</v>
      </c>
      <c r="N2323" s="2">
        <v>3.38</v>
      </c>
      <c r="O2323">
        <v>0</v>
      </c>
      <c r="P2323">
        <v>4</v>
      </c>
      <c r="Q2323" s="4" t="str">
        <f t="shared" si="341"/>
        <v>2017/2018-Genap</v>
      </c>
      <c r="R2323" t="s">
        <v>260</v>
      </c>
      <c r="S2323" t="str">
        <f t="shared" si="338"/>
        <v>PA</v>
      </c>
    </row>
    <row r="2324" spans="1:19" x14ac:dyDescent="0.3">
      <c r="A2324" t="s">
        <v>12</v>
      </c>
      <c r="B2324">
        <v>2016110067</v>
      </c>
      <c r="C2324" t="s">
        <v>314</v>
      </c>
      <c r="E2324" t="s">
        <v>387</v>
      </c>
      <c r="F2324" t="s">
        <v>388</v>
      </c>
      <c r="G2324">
        <v>2</v>
      </c>
      <c r="H2324" t="s">
        <v>438</v>
      </c>
      <c r="I2324" s="4">
        <f t="shared" si="339"/>
        <v>3</v>
      </c>
      <c r="J2324">
        <f t="shared" si="340"/>
        <v>6</v>
      </c>
      <c r="K2324">
        <v>76</v>
      </c>
      <c r="L2324">
        <v>22</v>
      </c>
      <c r="M2324" s="2">
        <v>3.45</v>
      </c>
      <c r="N2324" s="2">
        <v>3.38</v>
      </c>
      <c r="O2324">
        <v>0</v>
      </c>
      <c r="P2324">
        <v>6</v>
      </c>
      <c r="Q2324" s="4" t="str">
        <f t="shared" si="341"/>
        <v>2018/2019-Genap</v>
      </c>
      <c r="R2324" t="s">
        <v>260</v>
      </c>
      <c r="S2324" t="str">
        <f t="shared" si="338"/>
        <v>PA</v>
      </c>
    </row>
    <row r="2325" spans="1:19" x14ac:dyDescent="0.3">
      <c r="A2325" t="s">
        <v>12</v>
      </c>
      <c r="B2325">
        <v>2016110067</v>
      </c>
      <c r="C2325" t="s">
        <v>314</v>
      </c>
      <c r="E2325" t="s">
        <v>205</v>
      </c>
      <c r="F2325" t="s">
        <v>116</v>
      </c>
      <c r="G2325">
        <v>4</v>
      </c>
      <c r="H2325" t="s">
        <v>438</v>
      </c>
      <c r="I2325" s="4">
        <f t="shared" si="339"/>
        <v>3</v>
      </c>
      <c r="J2325">
        <f t="shared" si="340"/>
        <v>12</v>
      </c>
      <c r="K2325">
        <v>68</v>
      </c>
      <c r="L2325">
        <v>22</v>
      </c>
      <c r="M2325" s="2">
        <v>3.09</v>
      </c>
      <c r="N2325" s="2">
        <v>3.38</v>
      </c>
      <c r="O2325">
        <v>0</v>
      </c>
      <c r="P2325">
        <v>3</v>
      </c>
      <c r="Q2325" s="4" t="str">
        <f t="shared" si="341"/>
        <v>2017/2018-Ganjil</v>
      </c>
      <c r="R2325" t="s">
        <v>260</v>
      </c>
      <c r="S2325" t="str">
        <f t="shared" si="338"/>
        <v>PA</v>
      </c>
    </row>
    <row r="2326" spans="1:19" x14ac:dyDescent="0.3">
      <c r="A2326" t="s">
        <v>12</v>
      </c>
      <c r="B2326">
        <v>2016110067</v>
      </c>
      <c r="C2326" t="s">
        <v>314</v>
      </c>
      <c r="E2326" t="s">
        <v>234</v>
      </c>
      <c r="F2326" t="s">
        <v>235</v>
      </c>
      <c r="G2326">
        <v>4</v>
      </c>
      <c r="H2326" t="s">
        <v>438</v>
      </c>
      <c r="I2326" s="4">
        <f t="shared" si="339"/>
        <v>3</v>
      </c>
      <c r="J2326">
        <f t="shared" si="340"/>
        <v>12</v>
      </c>
      <c r="K2326">
        <v>68</v>
      </c>
      <c r="L2326">
        <v>22</v>
      </c>
      <c r="M2326" s="2">
        <v>3.09</v>
      </c>
      <c r="N2326" s="2">
        <v>3.38</v>
      </c>
      <c r="O2326">
        <v>0</v>
      </c>
      <c r="P2326">
        <v>3</v>
      </c>
      <c r="Q2326" s="4" t="str">
        <f t="shared" si="341"/>
        <v>2017/2018-Ganjil</v>
      </c>
      <c r="R2326" t="s">
        <v>260</v>
      </c>
      <c r="S2326" t="str">
        <f t="shared" si="338"/>
        <v>PA</v>
      </c>
    </row>
    <row r="2327" spans="1:19" x14ac:dyDescent="0.3">
      <c r="A2327" t="s">
        <v>12</v>
      </c>
      <c r="B2327">
        <v>2016110067</v>
      </c>
      <c r="C2327" t="s">
        <v>314</v>
      </c>
      <c r="E2327" t="s">
        <v>437</v>
      </c>
      <c r="F2327" t="s">
        <v>169</v>
      </c>
      <c r="G2327">
        <v>4</v>
      </c>
      <c r="H2327" t="s">
        <v>438</v>
      </c>
      <c r="I2327" s="4">
        <f t="shared" si="339"/>
        <v>3</v>
      </c>
      <c r="J2327">
        <f t="shared" si="340"/>
        <v>12</v>
      </c>
      <c r="K2327">
        <v>62</v>
      </c>
      <c r="L2327">
        <v>20</v>
      </c>
      <c r="M2327" s="2">
        <v>3.1</v>
      </c>
      <c r="N2327" s="2">
        <v>3.38</v>
      </c>
      <c r="O2327">
        <v>0</v>
      </c>
      <c r="P2327">
        <v>1</v>
      </c>
      <c r="Q2327" s="4" t="str">
        <f t="shared" si="341"/>
        <v>2016/2017-Ganjil</v>
      </c>
      <c r="R2327" t="s">
        <v>260</v>
      </c>
      <c r="S2327" t="str">
        <f t="shared" si="338"/>
        <v>PA</v>
      </c>
    </row>
    <row r="2328" spans="1:19" x14ac:dyDescent="0.3">
      <c r="A2328" t="s">
        <v>12</v>
      </c>
      <c r="B2328">
        <v>2016110067</v>
      </c>
      <c r="C2328" t="s">
        <v>314</v>
      </c>
      <c r="E2328" t="s">
        <v>370</v>
      </c>
      <c r="F2328" t="s">
        <v>371</v>
      </c>
      <c r="G2328">
        <v>2</v>
      </c>
      <c r="H2328" t="s">
        <v>438</v>
      </c>
      <c r="I2328" s="4">
        <f t="shared" si="339"/>
        <v>3</v>
      </c>
      <c r="J2328">
        <f t="shared" si="340"/>
        <v>6</v>
      </c>
      <c r="K2328">
        <v>68</v>
      </c>
      <c r="L2328">
        <v>22</v>
      </c>
      <c r="M2328" s="2">
        <v>3.09</v>
      </c>
      <c r="N2328" s="2">
        <v>3.38</v>
      </c>
      <c r="O2328">
        <v>0</v>
      </c>
      <c r="P2328">
        <v>5</v>
      </c>
      <c r="Q2328" s="4" t="str">
        <f t="shared" si="341"/>
        <v>2018/2019-Ganjil</v>
      </c>
      <c r="R2328" t="s">
        <v>260</v>
      </c>
      <c r="S2328" t="str">
        <f t="shared" si="338"/>
        <v>PA</v>
      </c>
    </row>
    <row r="2329" spans="1:19" x14ac:dyDescent="0.3">
      <c r="A2329" t="s">
        <v>12</v>
      </c>
      <c r="B2329">
        <v>2016110067</v>
      </c>
      <c r="C2329" t="s">
        <v>314</v>
      </c>
      <c r="E2329" t="s">
        <v>31</v>
      </c>
      <c r="F2329" t="s">
        <v>20</v>
      </c>
      <c r="G2329">
        <v>4</v>
      </c>
      <c r="H2329" t="s">
        <v>438</v>
      </c>
      <c r="I2329" s="4">
        <f t="shared" si="339"/>
        <v>3</v>
      </c>
      <c r="J2329">
        <f t="shared" si="340"/>
        <v>12</v>
      </c>
      <c r="K2329">
        <v>42</v>
      </c>
      <c r="L2329">
        <v>14</v>
      </c>
      <c r="M2329" s="2">
        <v>3</v>
      </c>
      <c r="N2329" s="2">
        <v>3.38</v>
      </c>
      <c r="O2329">
        <v>0</v>
      </c>
      <c r="P2329">
        <v>8</v>
      </c>
      <c r="Q2329" s="4" t="str">
        <f t="shared" si="341"/>
        <v>2019/2020-Genap</v>
      </c>
      <c r="R2329" t="s">
        <v>596</v>
      </c>
      <c r="S2329" t="str">
        <f t="shared" si="338"/>
        <v>PA</v>
      </c>
    </row>
    <row r="2330" spans="1:19" x14ac:dyDescent="0.3">
      <c r="A2330" t="s">
        <v>12</v>
      </c>
      <c r="B2330">
        <v>2016110067</v>
      </c>
      <c r="C2330" t="s">
        <v>314</v>
      </c>
      <c r="E2330" t="s">
        <v>151</v>
      </c>
      <c r="F2330" t="s">
        <v>152</v>
      </c>
      <c r="G2330">
        <v>2</v>
      </c>
      <c r="H2330" t="s">
        <v>438</v>
      </c>
      <c r="I2330" s="4">
        <f t="shared" si="339"/>
        <v>3</v>
      </c>
      <c r="J2330">
        <f t="shared" si="340"/>
        <v>6</v>
      </c>
      <c r="K2330">
        <v>62</v>
      </c>
      <c r="L2330">
        <v>20</v>
      </c>
      <c r="M2330" s="2">
        <v>3.1</v>
      </c>
      <c r="N2330" s="2">
        <v>3.38</v>
      </c>
      <c r="O2330">
        <v>0</v>
      </c>
      <c r="P2330">
        <v>1</v>
      </c>
      <c r="Q2330" s="4" t="str">
        <f t="shared" si="341"/>
        <v>2016/2017-Ganjil</v>
      </c>
      <c r="R2330" t="s">
        <v>260</v>
      </c>
      <c r="S2330" t="str">
        <f t="shared" si="338"/>
        <v>PA</v>
      </c>
    </row>
    <row r="2331" spans="1:19" x14ac:dyDescent="0.3">
      <c r="A2331" t="s">
        <v>12</v>
      </c>
      <c r="B2331">
        <v>2016110067</v>
      </c>
      <c r="C2331" t="s">
        <v>314</v>
      </c>
      <c r="E2331" t="s">
        <v>190</v>
      </c>
      <c r="F2331" t="s">
        <v>191</v>
      </c>
      <c r="G2331">
        <v>4</v>
      </c>
      <c r="H2331" t="s">
        <v>438</v>
      </c>
      <c r="I2331" s="4">
        <f t="shared" si="339"/>
        <v>3</v>
      </c>
      <c r="J2331">
        <f t="shared" si="340"/>
        <v>12</v>
      </c>
      <c r="K2331">
        <v>68</v>
      </c>
      <c r="L2331">
        <v>22</v>
      </c>
      <c r="M2331" s="2">
        <v>3.09</v>
      </c>
      <c r="N2331" s="2">
        <v>3.38</v>
      </c>
      <c r="O2331">
        <v>0</v>
      </c>
      <c r="P2331">
        <v>3</v>
      </c>
      <c r="Q2331" s="4" t="str">
        <f t="shared" si="341"/>
        <v>2017/2018-Ganjil</v>
      </c>
      <c r="R2331" t="s">
        <v>260</v>
      </c>
      <c r="S2331" t="str">
        <f t="shared" si="338"/>
        <v>PA</v>
      </c>
    </row>
    <row r="2332" spans="1:19" x14ac:dyDescent="0.3">
      <c r="A2332" t="s">
        <v>12</v>
      </c>
      <c r="B2332">
        <v>2016110067</v>
      </c>
      <c r="C2332" t="s">
        <v>314</v>
      </c>
      <c r="E2332" t="s">
        <v>348</v>
      </c>
      <c r="F2332" t="s">
        <v>493</v>
      </c>
      <c r="G2332">
        <v>4</v>
      </c>
      <c r="H2332" t="s">
        <v>438</v>
      </c>
      <c r="I2332" s="4">
        <f t="shared" si="339"/>
        <v>3</v>
      </c>
      <c r="J2332">
        <f t="shared" si="340"/>
        <v>12</v>
      </c>
      <c r="K2332">
        <v>42</v>
      </c>
      <c r="L2332">
        <v>14</v>
      </c>
      <c r="M2332" s="2">
        <v>3</v>
      </c>
      <c r="N2332" s="2">
        <v>3.38</v>
      </c>
      <c r="O2332">
        <v>0</v>
      </c>
      <c r="P2332">
        <v>8</v>
      </c>
      <c r="Q2332" s="4" t="str">
        <f t="shared" si="341"/>
        <v>2019/2020-Genap</v>
      </c>
      <c r="R2332" t="s">
        <v>596</v>
      </c>
      <c r="S2332" t="str">
        <f t="shared" si="338"/>
        <v>PA</v>
      </c>
    </row>
    <row r="2333" spans="1:19" x14ac:dyDescent="0.3">
      <c r="A2333" t="s">
        <v>12</v>
      </c>
      <c r="B2333">
        <v>2016110067</v>
      </c>
      <c r="C2333" t="s">
        <v>314</v>
      </c>
      <c r="E2333" t="s">
        <v>90</v>
      </c>
      <c r="F2333" t="s">
        <v>91</v>
      </c>
      <c r="G2333">
        <v>2</v>
      </c>
      <c r="H2333" t="s">
        <v>438</v>
      </c>
      <c r="I2333" s="4">
        <f t="shared" si="339"/>
        <v>3</v>
      </c>
      <c r="J2333">
        <f t="shared" si="340"/>
        <v>6</v>
      </c>
      <c r="K2333">
        <v>62</v>
      </c>
      <c r="L2333">
        <v>20</v>
      </c>
      <c r="M2333" s="2">
        <v>3.1</v>
      </c>
      <c r="N2333" s="2">
        <v>3.38</v>
      </c>
      <c r="O2333">
        <v>0</v>
      </c>
      <c r="P2333">
        <v>1</v>
      </c>
      <c r="Q2333" s="4" t="str">
        <f t="shared" si="341"/>
        <v>2016/2017-Ganjil</v>
      </c>
      <c r="R2333" t="s">
        <v>260</v>
      </c>
      <c r="S2333" t="str">
        <f t="shared" si="338"/>
        <v>PA</v>
      </c>
    </row>
    <row r="2334" spans="1:19" x14ac:dyDescent="0.3">
      <c r="A2334" t="s">
        <v>12</v>
      </c>
      <c r="B2334">
        <v>2016110067</v>
      </c>
      <c r="C2334" t="s">
        <v>314</v>
      </c>
      <c r="E2334" t="s">
        <v>446</v>
      </c>
      <c r="F2334" t="s">
        <v>447</v>
      </c>
      <c r="G2334">
        <v>2</v>
      </c>
      <c r="H2334" t="s">
        <v>438</v>
      </c>
      <c r="I2334" s="4">
        <f t="shared" si="339"/>
        <v>3</v>
      </c>
      <c r="J2334">
        <f t="shared" si="340"/>
        <v>6</v>
      </c>
      <c r="K2334">
        <v>76</v>
      </c>
      <c r="L2334">
        <v>22</v>
      </c>
      <c r="M2334" s="2">
        <v>3.45</v>
      </c>
      <c r="N2334" s="2">
        <v>3.38</v>
      </c>
      <c r="O2334">
        <v>0</v>
      </c>
      <c r="P2334">
        <v>6</v>
      </c>
      <c r="Q2334" s="4" t="str">
        <f t="shared" si="341"/>
        <v>2018/2019-Genap</v>
      </c>
      <c r="R2334" t="s">
        <v>260</v>
      </c>
      <c r="S2334" t="str">
        <f t="shared" si="338"/>
        <v>PA</v>
      </c>
    </row>
    <row r="2335" spans="1:19" x14ac:dyDescent="0.3">
      <c r="A2335" t="s">
        <v>12</v>
      </c>
      <c r="B2335">
        <v>2016110067</v>
      </c>
      <c r="C2335" t="s">
        <v>314</v>
      </c>
      <c r="E2335" t="s">
        <v>248</v>
      </c>
      <c r="F2335" t="s">
        <v>249</v>
      </c>
      <c r="G2335">
        <v>2</v>
      </c>
      <c r="H2335" t="s">
        <v>438</v>
      </c>
      <c r="I2335" s="4">
        <f t="shared" si="339"/>
        <v>3</v>
      </c>
      <c r="J2335">
        <f t="shared" si="340"/>
        <v>6</v>
      </c>
      <c r="K2335">
        <v>54</v>
      </c>
      <c r="L2335">
        <v>20</v>
      </c>
      <c r="M2335" s="2">
        <v>2.7</v>
      </c>
      <c r="N2335" s="2">
        <v>3.38</v>
      </c>
      <c r="O2335">
        <v>0</v>
      </c>
      <c r="P2335">
        <v>4</v>
      </c>
      <c r="Q2335" s="4" t="str">
        <f t="shared" si="341"/>
        <v>2017/2018-Genap</v>
      </c>
      <c r="R2335" t="s">
        <v>260</v>
      </c>
      <c r="S2335" t="str">
        <f t="shared" si="338"/>
        <v>PA</v>
      </c>
    </row>
    <row r="2336" spans="1:19" x14ac:dyDescent="0.3">
      <c r="A2336" t="s">
        <v>12</v>
      </c>
      <c r="B2336">
        <v>2016110067</v>
      </c>
      <c r="C2336" t="s">
        <v>314</v>
      </c>
      <c r="E2336" t="s">
        <v>257</v>
      </c>
      <c r="F2336" t="s">
        <v>258</v>
      </c>
      <c r="G2336">
        <v>4</v>
      </c>
      <c r="H2336" t="s">
        <v>438</v>
      </c>
      <c r="I2336" s="4">
        <f t="shared" si="339"/>
        <v>3</v>
      </c>
      <c r="J2336">
        <f t="shared" si="340"/>
        <v>12</v>
      </c>
      <c r="K2336">
        <v>76</v>
      </c>
      <c r="L2336">
        <v>22</v>
      </c>
      <c r="M2336" s="2">
        <v>3.45</v>
      </c>
      <c r="N2336" s="2">
        <v>3.38</v>
      </c>
      <c r="O2336">
        <v>0</v>
      </c>
      <c r="P2336">
        <v>6</v>
      </c>
      <c r="Q2336" s="4" t="str">
        <f t="shared" si="341"/>
        <v>2018/2019-Genap</v>
      </c>
      <c r="R2336" t="s">
        <v>260</v>
      </c>
      <c r="S2336" t="str">
        <f t="shared" si="338"/>
        <v>PA</v>
      </c>
    </row>
    <row r="2337" spans="1:19" x14ac:dyDescent="0.3">
      <c r="A2337" t="s">
        <v>12</v>
      </c>
      <c r="B2337">
        <v>2016110067</v>
      </c>
      <c r="C2337" t="s">
        <v>314</v>
      </c>
      <c r="E2337" t="s">
        <v>432</v>
      </c>
      <c r="F2337" t="s">
        <v>433</v>
      </c>
      <c r="G2337">
        <v>4</v>
      </c>
      <c r="H2337" t="s">
        <v>438</v>
      </c>
      <c r="I2337" s="4">
        <f t="shared" si="339"/>
        <v>3</v>
      </c>
      <c r="J2337">
        <f t="shared" si="340"/>
        <v>12</v>
      </c>
      <c r="K2337">
        <v>54</v>
      </c>
      <c r="L2337">
        <v>20</v>
      </c>
      <c r="M2337" s="2">
        <v>2.7</v>
      </c>
      <c r="N2337" s="2">
        <v>3.38</v>
      </c>
      <c r="O2337">
        <v>0</v>
      </c>
      <c r="P2337">
        <v>4</v>
      </c>
      <c r="Q2337" s="4" t="str">
        <f t="shared" si="341"/>
        <v>2017/2018-Genap</v>
      </c>
      <c r="R2337" t="s">
        <v>260</v>
      </c>
      <c r="S2337" t="str">
        <f t="shared" si="338"/>
        <v>PA</v>
      </c>
    </row>
    <row r="2338" spans="1:19" x14ac:dyDescent="0.3">
      <c r="A2338" t="s">
        <v>12</v>
      </c>
      <c r="B2338">
        <v>2016110067</v>
      </c>
      <c r="C2338" t="s">
        <v>314</v>
      </c>
      <c r="E2338" t="s">
        <v>276</v>
      </c>
      <c r="F2338" t="s">
        <v>137</v>
      </c>
      <c r="G2338">
        <v>4</v>
      </c>
      <c r="H2338" t="s">
        <v>438</v>
      </c>
      <c r="I2338" s="4">
        <f t="shared" si="339"/>
        <v>3</v>
      </c>
      <c r="J2338">
        <f t="shared" si="340"/>
        <v>12</v>
      </c>
      <c r="K2338">
        <v>54</v>
      </c>
      <c r="L2338">
        <v>20</v>
      </c>
      <c r="M2338" s="2">
        <v>2.7</v>
      </c>
      <c r="N2338" s="2">
        <v>3.38</v>
      </c>
      <c r="O2338">
        <v>0</v>
      </c>
      <c r="P2338">
        <v>4</v>
      </c>
      <c r="Q2338" s="4" t="str">
        <f t="shared" si="341"/>
        <v>2017/2018-Genap</v>
      </c>
      <c r="R2338" t="s">
        <v>260</v>
      </c>
      <c r="S2338" t="str">
        <f t="shared" si="338"/>
        <v>PA</v>
      </c>
    </row>
    <row r="2339" spans="1:19" x14ac:dyDescent="0.3">
      <c r="A2339" t="s">
        <v>12</v>
      </c>
      <c r="B2339">
        <v>2016110067</v>
      </c>
      <c r="C2339" t="s">
        <v>314</v>
      </c>
      <c r="E2339" t="s">
        <v>100</v>
      </c>
      <c r="F2339" t="s">
        <v>101</v>
      </c>
      <c r="G2339">
        <v>4</v>
      </c>
      <c r="H2339" t="s">
        <v>438</v>
      </c>
      <c r="I2339" s="4">
        <f t="shared" si="339"/>
        <v>3</v>
      </c>
      <c r="J2339">
        <f t="shared" si="340"/>
        <v>12</v>
      </c>
      <c r="K2339">
        <v>64</v>
      </c>
      <c r="L2339">
        <v>20</v>
      </c>
      <c r="M2339" s="2">
        <v>3.2</v>
      </c>
      <c r="N2339" s="2">
        <v>3.38</v>
      </c>
      <c r="O2339">
        <v>0</v>
      </c>
      <c r="P2339">
        <v>2</v>
      </c>
      <c r="Q2339" s="4" t="str">
        <f t="shared" si="341"/>
        <v>2016/2017-Genap</v>
      </c>
      <c r="R2339" t="s">
        <v>260</v>
      </c>
      <c r="S2339" t="str">
        <f t="shared" si="338"/>
        <v>PA</v>
      </c>
    </row>
    <row r="2340" spans="1:19" x14ac:dyDescent="0.3">
      <c r="A2340" t="s">
        <v>12</v>
      </c>
      <c r="B2340">
        <v>2016110067</v>
      </c>
      <c r="C2340" t="s">
        <v>314</v>
      </c>
      <c r="E2340" t="s">
        <v>262</v>
      </c>
      <c r="F2340" t="s">
        <v>263</v>
      </c>
      <c r="G2340">
        <v>2</v>
      </c>
      <c r="H2340" t="s">
        <v>438</v>
      </c>
      <c r="I2340" s="4">
        <f t="shared" si="339"/>
        <v>3</v>
      </c>
      <c r="J2340">
        <f t="shared" si="340"/>
        <v>6</v>
      </c>
      <c r="K2340">
        <v>76</v>
      </c>
      <c r="L2340">
        <v>22</v>
      </c>
      <c r="M2340" s="2">
        <v>3.45</v>
      </c>
      <c r="N2340" s="2">
        <v>3.38</v>
      </c>
      <c r="O2340">
        <v>0</v>
      </c>
      <c r="P2340">
        <v>6</v>
      </c>
      <c r="Q2340" s="4" t="str">
        <f t="shared" si="341"/>
        <v>2018/2019-Genap</v>
      </c>
      <c r="R2340" t="s">
        <v>260</v>
      </c>
      <c r="S2340" t="str">
        <f t="shared" si="338"/>
        <v>PA</v>
      </c>
    </row>
    <row r="2341" spans="1:19" x14ac:dyDescent="0.3">
      <c r="A2341" t="s">
        <v>12</v>
      </c>
      <c r="B2341">
        <v>2016110067</v>
      </c>
      <c r="C2341" t="s">
        <v>314</v>
      </c>
      <c r="E2341" t="s">
        <v>97</v>
      </c>
      <c r="F2341" t="s">
        <v>98</v>
      </c>
      <c r="G2341">
        <v>4</v>
      </c>
      <c r="H2341" t="s">
        <v>438</v>
      </c>
      <c r="I2341" s="4">
        <f t="shared" si="339"/>
        <v>3</v>
      </c>
      <c r="J2341">
        <f t="shared" si="340"/>
        <v>12</v>
      </c>
      <c r="K2341">
        <v>64</v>
      </c>
      <c r="L2341">
        <v>20</v>
      </c>
      <c r="M2341" s="2">
        <v>3.2</v>
      </c>
      <c r="N2341" s="2">
        <v>3.38</v>
      </c>
      <c r="O2341">
        <v>0</v>
      </c>
      <c r="P2341">
        <v>2</v>
      </c>
      <c r="Q2341" s="4" t="str">
        <f t="shared" si="341"/>
        <v>2016/2017-Genap</v>
      </c>
      <c r="R2341" t="s">
        <v>260</v>
      </c>
      <c r="S2341" t="str">
        <f t="shared" si="338"/>
        <v>PA</v>
      </c>
    </row>
    <row r="2342" spans="1:19" x14ac:dyDescent="0.3">
      <c r="A2342" t="s">
        <v>12</v>
      </c>
      <c r="B2342">
        <v>2016110067</v>
      </c>
      <c r="C2342" t="s">
        <v>314</v>
      </c>
      <c r="E2342" t="s">
        <v>306</v>
      </c>
      <c r="F2342" t="s">
        <v>307</v>
      </c>
      <c r="G2342">
        <v>2</v>
      </c>
      <c r="H2342" t="s">
        <v>438</v>
      </c>
      <c r="I2342" s="4">
        <f t="shared" si="339"/>
        <v>3</v>
      </c>
      <c r="J2342">
        <f t="shared" si="340"/>
        <v>6</v>
      </c>
      <c r="K2342">
        <v>52</v>
      </c>
      <c r="L2342">
        <v>14</v>
      </c>
      <c r="M2342" s="2">
        <v>3.71</v>
      </c>
      <c r="N2342" s="2">
        <v>3.38</v>
      </c>
      <c r="O2342">
        <v>0</v>
      </c>
      <c r="P2342">
        <v>7</v>
      </c>
      <c r="Q2342" s="4" t="str">
        <f t="shared" si="341"/>
        <v>2019/2020-Ganjil</v>
      </c>
      <c r="R2342" t="s">
        <v>260</v>
      </c>
      <c r="S2342" t="str">
        <f t="shared" si="338"/>
        <v>PA</v>
      </c>
    </row>
    <row r="2343" spans="1:19" x14ac:dyDescent="0.3">
      <c r="A2343" t="s">
        <v>12</v>
      </c>
      <c r="B2343">
        <v>2016110067</v>
      </c>
      <c r="C2343" t="s">
        <v>314</v>
      </c>
      <c r="E2343" t="s">
        <v>264</v>
      </c>
      <c r="F2343" t="s">
        <v>265</v>
      </c>
      <c r="G2343">
        <v>2</v>
      </c>
      <c r="H2343" t="s">
        <v>438</v>
      </c>
      <c r="I2343" s="4">
        <f t="shared" si="339"/>
        <v>3</v>
      </c>
      <c r="J2343">
        <f t="shared" si="340"/>
        <v>6</v>
      </c>
      <c r="K2343">
        <v>68</v>
      </c>
      <c r="L2343">
        <v>22</v>
      </c>
      <c r="M2343" s="2">
        <v>3.09</v>
      </c>
      <c r="N2343" s="2">
        <v>3.38</v>
      </c>
      <c r="O2343">
        <v>0</v>
      </c>
      <c r="P2343">
        <v>5</v>
      </c>
      <c r="Q2343" s="4" t="str">
        <f t="shared" si="341"/>
        <v>2018/2019-Ganjil</v>
      </c>
      <c r="R2343" t="s">
        <v>260</v>
      </c>
      <c r="S2343" t="str">
        <f t="shared" si="338"/>
        <v>PA</v>
      </c>
    </row>
    <row r="2344" spans="1:19" x14ac:dyDescent="0.3">
      <c r="A2344" t="s">
        <v>12</v>
      </c>
      <c r="B2344">
        <v>2016110067</v>
      </c>
      <c r="C2344" t="s">
        <v>314</v>
      </c>
      <c r="E2344" t="s">
        <v>170</v>
      </c>
      <c r="F2344" t="s">
        <v>171</v>
      </c>
      <c r="G2344">
        <v>4</v>
      </c>
      <c r="H2344" t="s">
        <v>438</v>
      </c>
      <c r="I2344" s="4">
        <f t="shared" si="339"/>
        <v>3</v>
      </c>
      <c r="J2344">
        <f t="shared" si="340"/>
        <v>12</v>
      </c>
      <c r="K2344">
        <v>68</v>
      </c>
      <c r="L2344">
        <v>22</v>
      </c>
      <c r="M2344" s="2">
        <v>3.09</v>
      </c>
      <c r="N2344" s="2">
        <v>3.38</v>
      </c>
      <c r="O2344">
        <v>0</v>
      </c>
      <c r="P2344">
        <v>3</v>
      </c>
      <c r="Q2344" s="4" t="str">
        <f t="shared" si="341"/>
        <v>2017/2018-Ganjil</v>
      </c>
      <c r="R2344" t="s">
        <v>260</v>
      </c>
      <c r="S2344" t="str">
        <f t="shared" si="338"/>
        <v>PA</v>
      </c>
    </row>
    <row r="2345" spans="1:19" x14ac:dyDescent="0.3">
      <c r="A2345" t="s">
        <v>12</v>
      </c>
      <c r="B2345">
        <v>2016110067</v>
      </c>
      <c r="C2345" t="s">
        <v>314</v>
      </c>
      <c r="E2345" t="s">
        <v>330</v>
      </c>
      <c r="F2345" t="s">
        <v>108</v>
      </c>
      <c r="G2345">
        <v>2</v>
      </c>
      <c r="H2345" t="s">
        <v>438</v>
      </c>
      <c r="I2345" s="4">
        <f t="shared" si="339"/>
        <v>3</v>
      </c>
      <c r="J2345">
        <f t="shared" si="340"/>
        <v>6</v>
      </c>
      <c r="K2345">
        <v>52</v>
      </c>
      <c r="L2345">
        <v>14</v>
      </c>
      <c r="M2345" s="2">
        <v>3.71</v>
      </c>
      <c r="N2345" s="2">
        <v>3.38</v>
      </c>
      <c r="O2345">
        <v>0</v>
      </c>
      <c r="P2345">
        <v>7</v>
      </c>
      <c r="Q2345" s="4" t="str">
        <f t="shared" si="341"/>
        <v>2019/2020-Ganjil</v>
      </c>
      <c r="R2345" t="s">
        <v>260</v>
      </c>
      <c r="S2345" t="str">
        <f t="shared" si="338"/>
        <v>PA</v>
      </c>
    </row>
    <row r="2346" spans="1:19" x14ac:dyDescent="0.3">
      <c r="A2346" t="s">
        <v>12</v>
      </c>
      <c r="B2346">
        <v>2016110067</v>
      </c>
      <c r="C2346" t="s">
        <v>314</v>
      </c>
      <c r="E2346" t="s">
        <v>211</v>
      </c>
      <c r="F2346" t="s">
        <v>186</v>
      </c>
      <c r="G2346">
        <v>4</v>
      </c>
      <c r="H2346" t="s">
        <v>438</v>
      </c>
      <c r="I2346" s="4">
        <f t="shared" si="339"/>
        <v>3</v>
      </c>
      <c r="J2346">
        <f t="shared" si="340"/>
        <v>12</v>
      </c>
      <c r="K2346">
        <v>68</v>
      </c>
      <c r="L2346">
        <v>22</v>
      </c>
      <c r="M2346" s="2">
        <v>3.09</v>
      </c>
      <c r="N2346" s="2">
        <v>3.38</v>
      </c>
      <c r="O2346">
        <v>0</v>
      </c>
      <c r="P2346">
        <v>5</v>
      </c>
      <c r="Q2346" s="4" t="str">
        <f t="shared" si="341"/>
        <v>2018/2019-Ganjil</v>
      </c>
      <c r="R2346" t="s">
        <v>260</v>
      </c>
      <c r="S2346" t="str">
        <f t="shared" si="338"/>
        <v>PA</v>
      </c>
    </row>
    <row r="2347" spans="1:19" x14ac:dyDescent="0.3">
      <c r="A2347" t="s">
        <v>12</v>
      </c>
      <c r="B2347">
        <v>2016110067</v>
      </c>
      <c r="C2347" t="s">
        <v>314</v>
      </c>
      <c r="E2347" t="s">
        <v>192</v>
      </c>
      <c r="F2347" t="s">
        <v>106</v>
      </c>
      <c r="G2347">
        <v>2</v>
      </c>
      <c r="H2347" t="s">
        <v>438</v>
      </c>
      <c r="I2347" s="4">
        <f t="shared" si="339"/>
        <v>3</v>
      </c>
      <c r="J2347">
        <f t="shared" si="340"/>
        <v>6</v>
      </c>
      <c r="K2347">
        <v>68</v>
      </c>
      <c r="L2347">
        <v>22</v>
      </c>
      <c r="M2347" s="2">
        <v>3.09</v>
      </c>
      <c r="N2347" s="2">
        <v>3.38</v>
      </c>
      <c r="O2347">
        <v>0</v>
      </c>
      <c r="P2347">
        <v>3</v>
      </c>
      <c r="Q2347" s="4" t="str">
        <f t="shared" si="341"/>
        <v>2017/2018-Ganjil</v>
      </c>
      <c r="R2347" t="s">
        <v>260</v>
      </c>
      <c r="S2347" t="str">
        <f t="shared" si="338"/>
        <v>PA</v>
      </c>
    </row>
    <row r="2348" spans="1:19" x14ac:dyDescent="0.3">
      <c r="A2348" t="s">
        <v>12</v>
      </c>
      <c r="B2348">
        <v>2016110067</v>
      </c>
      <c r="C2348" t="s">
        <v>314</v>
      </c>
      <c r="E2348" t="s">
        <v>142</v>
      </c>
      <c r="F2348" t="s">
        <v>143</v>
      </c>
      <c r="G2348">
        <v>2</v>
      </c>
      <c r="H2348" t="s">
        <v>438</v>
      </c>
      <c r="I2348" s="4">
        <f t="shared" si="339"/>
        <v>3</v>
      </c>
      <c r="J2348">
        <f t="shared" si="340"/>
        <v>6</v>
      </c>
      <c r="K2348">
        <v>62</v>
      </c>
      <c r="L2348">
        <v>20</v>
      </c>
      <c r="M2348" s="2">
        <v>3.1</v>
      </c>
      <c r="N2348" s="2">
        <v>3.38</v>
      </c>
      <c r="O2348">
        <v>0</v>
      </c>
      <c r="P2348">
        <v>1</v>
      </c>
      <c r="Q2348" s="4" t="str">
        <f t="shared" si="341"/>
        <v>2016/2017-Ganjil</v>
      </c>
      <c r="R2348" t="s">
        <v>260</v>
      </c>
      <c r="S2348" t="str">
        <f t="shared" si="338"/>
        <v>PA</v>
      </c>
    </row>
    <row r="2349" spans="1:19" x14ac:dyDescent="0.3">
      <c r="A2349" t="s">
        <v>12</v>
      </c>
      <c r="B2349">
        <v>2016110067</v>
      </c>
      <c r="C2349" t="s">
        <v>314</v>
      </c>
      <c r="E2349" t="s">
        <v>73</v>
      </c>
      <c r="F2349" t="s">
        <v>74</v>
      </c>
      <c r="G2349">
        <v>0</v>
      </c>
      <c r="H2349" t="s">
        <v>438</v>
      </c>
      <c r="I2349" s="4">
        <f t="shared" si="339"/>
        <v>3</v>
      </c>
      <c r="J2349">
        <f t="shared" si="340"/>
        <v>0</v>
      </c>
      <c r="K2349">
        <v>68</v>
      </c>
      <c r="L2349">
        <v>22</v>
      </c>
      <c r="M2349" s="2">
        <v>3.09</v>
      </c>
      <c r="N2349" s="2">
        <v>3.38</v>
      </c>
      <c r="O2349">
        <v>0</v>
      </c>
      <c r="P2349">
        <v>5</v>
      </c>
      <c r="Q2349" s="4" t="str">
        <f t="shared" ref="Q2349:Q2359" si="342">IF(P2349=1,"2016/2017-Ganjil",IF(P2349=2,"2016/2017-Genap",IF(P2349=3,"2017/2018-Ganjil",IF(P2349=4,"2017/2018-Genap",IF(P2349=5,"2018/2019-Ganjil",IF(P2349=6,"2018/2019-Genap",IF(P2349=7,"2019/2020-Ganjil",IF(P2349=8,"2019/2020-Genap",IF(P2349=9,"2020/2021-Ganjil",IF(P2349=10,"2020/2021-Genap",IF(P2349=11,"2021/2022-Ganjil",IF(P2349=12,"2021/2022-Genap",IF(P2349=13,"2022/2023-Ganjil","2022/2023-Genap")))))))))))))</f>
        <v>2018/2019-Ganjil</v>
      </c>
      <c r="R2349" t="s">
        <v>260</v>
      </c>
      <c r="S2349" t="str">
        <f t="shared" si="338"/>
        <v>PA</v>
      </c>
    </row>
    <row r="2350" spans="1:19" x14ac:dyDescent="0.3">
      <c r="A2350" t="s">
        <v>12</v>
      </c>
      <c r="B2350">
        <v>2016110067</v>
      </c>
      <c r="C2350" t="s">
        <v>314</v>
      </c>
      <c r="E2350" t="s">
        <v>173</v>
      </c>
      <c r="F2350" t="s">
        <v>8</v>
      </c>
      <c r="G2350">
        <v>2</v>
      </c>
      <c r="H2350" t="s">
        <v>438</v>
      </c>
      <c r="I2350" s="4">
        <f t="shared" si="339"/>
        <v>3</v>
      </c>
      <c r="J2350">
        <f t="shared" si="340"/>
        <v>6</v>
      </c>
      <c r="K2350">
        <v>68</v>
      </c>
      <c r="L2350">
        <v>22</v>
      </c>
      <c r="M2350" s="2">
        <v>3.09</v>
      </c>
      <c r="N2350" s="2">
        <v>3.38</v>
      </c>
      <c r="O2350">
        <v>0</v>
      </c>
      <c r="P2350">
        <v>3</v>
      </c>
      <c r="Q2350" s="4" t="str">
        <f t="shared" si="342"/>
        <v>2017/2018-Ganjil</v>
      </c>
      <c r="R2350" t="s">
        <v>260</v>
      </c>
      <c r="S2350" t="str">
        <f t="shared" ref="S2350:S2361" si="343">IF(OR(H2350="A",H2350="B",H2350="C"),"PA","FA")</f>
        <v>PA</v>
      </c>
    </row>
    <row r="2351" spans="1:19" x14ac:dyDescent="0.3">
      <c r="A2351" t="s">
        <v>12</v>
      </c>
      <c r="B2351">
        <v>2016110067</v>
      </c>
      <c r="C2351" t="s">
        <v>314</v>
      </c>
      <c r="E2351" t="s">
        <v>14</v>
      </c>
      <c r="F2351" t="s">
        <v>15</v>
      </c>
      <c r="G2351">
        <v>2</v>
      </c>
      <c r="H2351" t="s">
        <v>438</v>
      </c>
      <c r="I2351" s="4">
        <f t="shared" ref="I2351:I2361" si="344">IF(H2351="A",4,IF(H2351="B",3,IF(H2351="C",2,IF(H2351="D",1,0))))</f>
        <v>3</v>
      </c>
      <c r="J2351">
        <f t="shared" ref="J2351:J2361" si="345">G2351*I2351</f>
        <v>6</v>
      </c>
      <c r="K2351">
        <v>42</v>
      </c>
      <c r="L2351">
        <v>14</v>
      </c>
      <c r="M2351" s="2">
        <v>3</v>
      </c>
      <c r="N2351" s="2">
        <v>3.38</v>
      </c>
      <c r="O2351">
        <v>0</v>
      </c>
      <c r="P2351">
        <v>8</v>
      </c>
      <c r="Q2351" s="4" t="str">
        <f t="shared" si="342"/>
        <v>2019/2020-Genap</v>
      </c>
      <c r="R2351" t="s">
        <v>596</v>
      </c>
      <c r="S2351" t="str">
        <f t="shared" si="343"/>
        <v>PA</v>
      </c>
    </row>
    <row r="2352" spans="1:19" x14ac:dyDescent="0.3">
      <c r="A2352" t="s">
        <v>12</v>
      </c>
      <c r="B2352">
        <v>2016110067</v>
      </c>
      <c r="C2352" t="s">
        <v>314</v>
      </c>
      <c r="E2352" t="s">
        <v>103</v>
      </c>
      <c r="F2352" t="s">
        <v>104</v>
      </c>
      <c r="G2352">
        <v>4</v>
      </c>
      <c r="H2352" t="s">
        <v>524</v>
      </c>
      <c r="I2352" s="4">
        <f t="shared" si="344"/>
        <v>2</v>
      </c>
      <c r="J2352">
        <f t="shared" si="345"/>
        <v>8</v>
      </c>
      <c r="K2352">
        <v>64</v>
      </c>
      <c r="L2352">
        <v>20</v>
      </c>
      <c r="M2352" s="2">
        <v>3.2</v>
      </c>
      <c r="N2352" s="2">
        <v>3.38</v>
      </c>
      <c r="O2352">
        <v>0</v>
      </c>
      <c r="P2352">
        <v>2</v>
      </c>
      <c r="Q2352" s="4" t="str">
        <f t="shared" si="342"/>
        <v>2016/2017-Genap</v>
      </c>
      <c r="R2352" t="s">
        <v>260</v>
      </c>
      <c r="S2352" t="str">
        <f t="shared" si="343"/>
        <v>PA</v>
      </c>
    </row>
    <row r="2353" spans="1:19" x14ac:dyDescent="0.3">
      <c r="A2353" t="s">
        <v>12</v>
      </c>
      <c r="B2353">
        <v>2016110067</v>
      </c>
      <c r="C2353" t="s">
        <v>314</v>
      </c>
      <c r="E2353" t="s">
        <v>103</v>
      </c>
      <c r="F2353" t="s">
        <v>104</v>
      </c>
      <c r="G2353">
        <v>4</v>
      </c>
      <c r="H2353" t="s">
        <v>438</v>
      </c>
      <c r="I2353" s="4">
        <f t="shared" si="344"/>
        <v>3</v>
      </c>
      <c r="J2353">
        <f t="shared" si="345"/>
        <v>12</v>
      </c>
      <c r="K2353">
        <v>42</v>
      </c>
      <c r="L2353">
        <v>14</v>
      </c>
      <c r="M2353" s="2">
        <v>3</v>
      </c>
      <c r="N2353" s="2">
        <v>3.38</v>
      </c>
      <c r="O2353">
        <v>1</v>
      </c>
      <c r="P2353">
        <v>8</v>
      </c>
      <c r="Q2353" s="4" t="str">
        <f t="shared" si="342"/>
        <v>2019/2020-Genap</v>
      </c>
      <c r="R2353" t="s">
        <v>596</v>
      </c>
      <c r="S2353" t="str">
        <f t="shared" si="343"/>
        <v>PA</v>
      </c>
    </row>
    <row r="2354" spans="1:19" x14ac:dyDescent="0.3">
      <c r="A2354" t="s">
        <v>12</v>
      </c>
      <c r="B2354">
        <v>2016110067</v>
      </c>
      <c r="C2354" t="s">
        <v>314</v>
      </c>
      <c r="E2354" t="s">
        <v>360</v>
      </c>
      <c r="F2354" t="s">
        <v>361</v>
      </c>
      <c r="G2354">
        <v>2</v>
      </c>
      <c r="H2354" t="s">
        <v>524</v>
      </c>
      <c r="I2354" s="4">
        <f t="shared" si="344"/>
        <v>2</v>
      </c>
      <c r="J2354">
        <f t="shared" si="345"/>
        <v>4</v>
      </c>
      <c r="K2354">
        <v>54</v>
      </c>
      <c r="L2354">
        <v>20</v>
      </c>
      <c r="M2354" s="2">
        <v>2.7</v>
      </c>
      <c r="N2354" s="2">
        <v>3.38</v>
      </c>
      <c r="O2354">
        <v>0</v>
      </c>
      <c r="P2354">
        <v>4</v>
      </c>
      <c r="Q2354" s="4" t="str">
        <f t="shared" si="342"/>
        <v>2017/2018-Genap</v>
      </c>
      <c r="R2354" t="s">
        <v>260</v>
      </c>
      <c r="S2354" t="str">
        <f t="shared" si="343"/>
        <v>PA</v>
      </c>
    </row>
    <row r="2355" spans="1:19" x14ac:dyDescent="0.3">
      <c r="A2355" t="s">
        <v>12</v>
      </c>
      <c r="B2355">
        <v>2016110067</v>
      </c>
      <c r="C2355" t="s">
        <v>314</v>
      </c>
      <c r="E2355" t="s">
        <v>360</v>
      </c>
      <c r="F2355" t="s">
        <v>361</v>
      </c>
      <c r="G2355">
        <v>2</v>
      </c>
      <c r="H2355" t="s">
        <v>260</v>
      </c>
      <c r="I2355" s="4">
        <f t="shared" si="344"/>
        <v>4</v>
      </c>
      <c r="J2355">
        <f t="shared" si="345"/>
        <v>8</v>
      </c>
      <c r="K2355">
        <v>76</v>
      </c>
      <c r="L2355">
        <v>22</v>
      </c>
      <c r="M2355" s="2">
        <v>3.45</v>
      </c>
      <c r="N2355" s="2">
        <v>3.38</v>
      </c>
      <c r="O2355">
        <v>1</v>
      </c>
      <c r="P2355">
        <v>6</v>
      </c>
      <c r="Q2355" s="4" t="str">
        <f t="shared" si="342"/>
        <v>2018/2019-Genap</v>
      </c>
      <c r="R2355" t="s">
        <v>260</v>
      </c>
      <c r="S2355" t="str">
        <f t="shared" si="343"/>
        <v>PA</v>
      </c>
    </row>
    <row r="2356" spans="1:19" x14ac:dyDescent="0.3">
      <c r="A2356" t="s">
        <v>12</v>
      </c>
      <c r="B2356">
        <v>2016110067</v>
      </c>
      <c r="C2356" t="s">
        <v>314</v>
      </c>
      <c r="E2356" t="s">
        <v>122</v>
      </c>
      <c r="F2356" t="s">
        <v>123</v>
      </c>
      <c r="G2356">
        <v>4</v>
      </c>
      <c r="H2356" t="s">
        <v>260</v>
      </c>
      <c r="I2356" s="4">
        <f t="shared" si="344"/>
        <v>4</v>
      </c>
      <c r="J2356">
        <f t="shared" si="345"/>
        <v>16</v>
      </c>
      <c r="K2356">
        <v>52</v>
      </c>
      <c r="L2356">
        <v>14</v>
      </c>
      <c r="M2356" s="2">
        <v>3.71</v>
      </c>
      <c r="N2356" s="2">
        <v>3.38</v>
      </c>
      <c r="O2356">
        <v>1</v>
      </c>
      <c r="P2356">
        <v>7</v>
      </c>
      <c r="Q2356" s="4" t="str">
        <f t="shared" si="342"/>
        <v>2019/2020-Ganjil</v>
      </c>
      <c r="R2356" t="s">
        <v>260</v>
      </c>
      <c r="S2356" t="str">
        <f t="shared" si="343"/>
        <v>PA</v>
      </c>
    </row>
    <row r="2357" spans="1:19" x14ac:dyDescent="0.3">
      <c r="A2357" t="s">
        <v>12</v>
      </c>
      <c r="B2357">
        <v>2016110067</v>
      </c>
      <c r="C2357" t="s">
        <v>314</v>
      </c>
      <c r="E2357" t="s">
        <v>122</v>
      </c>
      <c r="F2357" t="s">
        <v>123</v>
      </c>
      <c r="G2357">
        <v>4</v>
      </c>
      <c r="H2357" t="s">
        <v>524</v>
      </c>
      <c r="I2357" s="4">
        <f t="shared" si="344"/>
        <v>2</v>
      </c>
      <c r="J2357">
        <f t="shared" si="345"/>
        <v>8</v>
      </c>
      <c r="K2357">
        <v>62</v>
      </c>
      <c r="L2357">
        <v>20</v>
      </c>
      <c r="M2357" s="2">
        <v>3.1</v>
      </c>
      <c r="N2357" s="2">
        <v>3.38</v>
      </c>
      <c r="O2357">
        <v>0</v>
      </c>
      <c r="P2357">
        <v>1</v>
      </c>
      <c r="Q2357" s="4" t="str">
        <f t="shared" si="342"/>
        <v>2016/2017-Ganjil</v>
      </c>
      <c r="R2357" t="s">
        <v>260</v>
      </c>
      <c r="S2357" t="str">
        <f t="shared" si="343"/>
        <v>PA</v>
      </c>
    </row>
    <row r="2358" spans="1:19" x14ac:dyDescent="0.3">
      <c r="A2358" t="s">
        <v>12</v>
      </c>
      <c r="B2358">
        <v>2016110067</v>
      </c>
      <c r="C2358" t="s">
        <v>314</v>
      </c>
      <c r="E2358" t="s">
        <v>309</v>
      </c>
      <c r="F2358" t="s">
        <v>310</v>
      </c>
      <c r="G2358">
        <v>4</v>
      </c>
      <c r="H2358" t="s">
        <v>524</v>
      </c>
      <c r="I2358" s="4">
        <f t="shared" si="344"/>
        <v>2</v>
      </c>
      <c r="J2358">
        <f t="shared" si="345"/>
        <v>8</v>
      </c>
      <c r="K2358">
        <v>54</v>
      </c>
      <c r="L2358">
        <v>20</v>
      </c>
      <c r="M2358" s="2">
        <v>2.7</v>
      </c>
      <c r="N2358" s="2">
        <v>3.38</v>
      </c>
      <c r="O2358">
        <v>0</v>
      </c>
      <c r="P2358">
        <v>4</v>
      </c>
      <c r="Q2358" s="4" t="str">
        <f t="shared" si="342"/>
        <v>2017/2018-Genap</v>
      </c>
      <c r="R2358" t="s">
        <v>260</v>
      </c>
      <c r="S2358" t="str">
        <f t="shared" si="343"/>
        <v>PA</v>
      </c>
    </row>
    <row r="2359" spans="1:19" x14ac:dyDescent="0.3">
      <c r="A2359" t="s">
        <v>12</v>
      </c>
      <c r="B2359">
        <v>2016110067</v>
      </c>
      <c r="C2359" t="s">
        <v>314</v>
      </c>
      <c r="E2359" t="s">
        <v>357</v>
      </c>
      <c r="F2359" t="s">
        <v>358</v>
      </c>
      <c r="G2359">
        <v>4</v>
      </c>
      <c r="H2359" t="s">
        <v>535</v>
      </c>
      <c r="I2359" s="4">
        <f t="shared" si="344"/>
        <v>1</v>
      </c>
      <c r="J2359">
        <f t="shared" si="345"/>
        <v>4</v>
      </c>
      <c r="K2359">
        <v>68</v>
      </c>
      <c r="L2359">
        <v>22</v>
      </c>
      <c r="M2359" s="2">
        <v>3.09</v>
      </c>
      <c r="N2359" s="2">
        <v>3.38</v>
      </c>
      <c r="O2359">
        <v>0</v>
      </c>
      <c r="P2359">
        <v>5</v>
      </c>
      <c r="Q2359" s="4" t="str">
        <f t="shared" si="342"/>
        <v>2018/2019-Ganjil</v>
      </c>
      <c r="R2359" t="s">
        <v>260</v>
      </c>
      <c r="S2359" t="str">
        <f t="shared" si="343"/>
        <v>FA</v>
      </c>
    </row>
    <row r="2360" spans="1:19" x14ac:dyDescent="0.3">
      <c r="A2360" t="s">
        <v>12</v>
      </c>
      <c r="B2360">
        <v>2016110067</v>
      </c>
      <c r="C2360" t="s">
        <v>314</v>
      </c>
      <c r="E2360" t="s">
        <v>309</v>
      </c>
      <c r="F2360" t="s">
        <v>310</v>
      </c>
      <c r="G2360">
        <v>4</v>
      </c>
      <c r="H2360" t="s">
        <v>260</v>
      </c>
      <c r="I2360" s="4">
        <f t="shared" si="344"/>
        <v>4</v>
      </c>
      <c r="J2360">
        <f t="shared" si="345"/>
        <v>16</v>
      </c>
      <c r="K2360">
        <v>32</v>
      </c>
      <c r="L2360">
        <v>8</v>
      </c>
      <c r="M2360" s="2">
        <v>4</v>
      </c>
      <c r="N2360" s="2">
        <v>3.38</v>
      </c>
      <c r="O2360">
        <v>1</v>
      </c>
      <c r="P2360">
        <v>6</v>
      </c>
      <c r="Q2360" s="4" t="s">
        <v>572</v>
      </c>
      <c r="R2360" t="s">
        <v>260</v>
      </c>
      <c r="S2360" t="str">
        <f t="shared" si="343"/>
        <v>PA</v>
      </c>
    </row>
    <row r="2361" spans="1:19" x14ac:dyDescent="0.3">
      <c r="A2361" t="s">
        <v>12</v>
      </c>
      <c r="B2361">
        <v>2016110067</v>
      </c>
      <c r="C2361" t="s">
        <v>314</v>
      </c>
      <c r="E2361" t="s">
        <v>357</v>
      </c>
      <c r="F2361" t="s">
        <v>358</v>
      </c>
      <c r="G2361">
        <v>4</v>
      </c>
      <c r="H2361" t="s">
        <v>260</v>
      </c>
      <c r="I2361" s="4">
        <f t="shared" si="344"/>
        <v>4</v>
      </c>
      <c r="J2361">
        <f t="shared" si="345"/>
        <v>16</v>
      </c>
      <c r="K2361">
        <v>32</v>
      </c>
      <c r="L2361">
        <v>8</v>
      </c>
      <c r="M2361" s="2">
        <v>4</v>
      </c>
      <c r="N2361" s="2">
        <v>3.38</v>
      </c>
      <c r="O2361">
        <v>1</v>
      </c>
      <c r="P2361">
        <v>6</v>
      </c>
      <c r="Q2361" s="4" t="s">
        <v>572</v>
      </c>
      <c r="R2361" t="s">
        <v>260</v>
      </c>
      <c r="S2361" t="str">
        <f t="shared" si="343"/>
        <v>PA</v>
      </c>
    </row>
    <row r="2362" spans="1:19" x14ac:dyDescent="0.3">
      <c r="A2362" t="s">
        <v>12</v>
      </c>
      <c r="B2362" t="s">
        <v>29</v>
      </c>
      <c r="C2362" t="s">
        <v>30</v>
      </c>
      <c r="E2362" t="s">
        <v>31</v>
      </c>
      <c r="F2362" t="s">
        <v>20</v>
      </c>
      <c r="G2362">
        <v>4</v>
      </c>
      <c r="J2362">
        <v>0</v>
      </c>
      <c r="K2362">
        <v>6</v>
      </c>
      <c r="L2362">
        <v>2</v>
      </c>
      <c r="M2362" s="2">
        <v>3</v>
      </c>
      <c r="N2362" s="2">
        <v>3.71</v>
      </c>
      <c r="O2362">
        <v>0</v>
      </c>
      <c r="P2362">
        <v>7</v>
      </c>
      <c r="Q2362" t="s">
        <v>568</v>
      </c>
      <c r="R2362" t="s">
        <v>260</v>
      </c>
      <c r="S2362" t="s">
        <v>595</v>
      </c>
    </row>
    <row r="2363" spans="1:19" x14ac:dyDescent="0.3">
      <c r="A2363" t="s">
        <v>12</v>
      </c>
      <c r="B2363" t="s">
        <v>29</v>
      </c>
      <c r="C2363" t="s">
        <v>30</v>
      </c>
      <c r="E2363" t="s">
        <v>31</v>
      </c>
      <c r="F2363" t="s">
        <v>20</v>
      </c>
      <c r="G2363">
        <v>4</v>
      </c>
      <c r="H2363" t="s">
        <v>438</v>
      </c>
      <c r="I2363" s="4">
        <f>IF(H2363="A",4,IF(H2363="B",3,IF(H2363="C",2,IF(H2363="D",1,0))))</f>
        <v>3</v>
      </c>
      <c r="J2363">
        <f>G2363*I2363</f>
        <v>12</v>
      </c>
      <c r="K2363">
        <v>12</v>
      </c>
      <c r="L2363">
        <v>4</v>
      </c>
      <c r="M2363" s="2">
        <v>3</v>
      </c>
      <c r="N2363" s="2">
        <v>3.71</v>
      </c>
      <c r="O2363">
        <v>1</v>
      </c>
      <c r="P2363">
        <v>8</v>
      </c>
      <c r="Q2363" t="s">
        <v>569</v>
      </c>
      <c r="R2363" t="s">
        <v>596</v>
      </c>
      <c r="S2363" t="str">
        <f t="shared" ref="S2363:S2415" si="346">IF(OR(H2363="A",H2363="B",H2363="C"),"PA","FA")</f>
        <v>PA</v>
      </c>
    </row>
    <row r="2364" spans="1:19" x14ac:dyDescent="0.3">
      <c r="A2364" t="s">
        <v>12</v>
      </c>
      <c r="B2364" t="s">
        <v>29</v>
      </c>
      <c r="C2364" t="s">
        <v>30</v>
      </c>
      <c r="E2364" t="s">
        <v>264</v>
      </c>
      <c r="F2364" t="s">
        <v>265</v>
      </c>
      <c r="G2364">
        <v>2</v>
      </c>
      <c r="H2364" t="s">
        <v>260</v>
      </c>
      <c r="I2364" s="4">
        <f t="shared" ref="I2364:I2415" si="347">IF(H2364="A",4,IF(H2364="B",3,IF(H2364="C",2,IF(H2364="D",1,0))))</f>
        <v>4</v>
      </c>
      <c r="J2364">
        <f t="shared" ref="J2364:J2415" si="348">G2364*I2364</f>
        <v>8</v>
      </c>
      <c r="K2364">
        <v>80</v>
      </c>
      <c r="L2364">
        <v>20</v>
      </c>
      <c r="M2364" s="2">
        <v>4</v>
      </c>
      <c r="N2364" s="2">
        <v>3.71</v>
      </c>
      <c r="O2364">
        <v>0</v>
      </c>
      <c r="P2364">
        <v>1</v>
      </c>
      <c r="Q2364" t="s">
        <v>558</v>
      </c>
      <c r="R2364" t="s">
        <v>260</v>
      </c>
      <c r="S2364" t="str">
        <f t="shared" si="346"/>
        <v>PA</v>
      </c>
    </row>
    <row r="2365" spans="1:19" x14ac:dyDescent="0.3">
      <c r="A2365" t="s">
        <v>12</v>
      </c>
      <c r="B2365" t="s">
        <v>29</v>
      </c>
      <c r="C2365" t="s">
        <v>30</v>
      </c>
      <c r="E2365" t="s">
        <v>205</v>
      </c>
      <c r="F2365" t="s">
        <v>116</v>
      </c>
      <c r="G2365">
        <v>4</v>
      </c>
      <c r="H2365" t="s">
        <v>260</v>
      </c>
      <c r="I2365" s="4">
        <f t="shared" si="347"/>
        <v>4</v>
      </c>
      <c r="J2365">
        <f t="shared" si="348"/>
        <v>16</v>
      </c>
      <c r="K2365">
        <v>80</v>
      </c>
      <c r="L2365">
        <v>20</v>
      </c>
      <c r="M2365" s="2">
        <v>4</v>
      </c>
      <c r="N2365" s="2">
        <v>3.71</v>
      </c>
      <c r="O2365">
        <v>0</v>
      </c>
      <c r="P2365">
        <v>1</v>
      </c>
      <c r="Q2365" t="s">
        <v>558</v>
      </c>
      <c r="R2365" t="s">
        <v>260</v>
      </c>
      <c r="S2365" t="str">
        <f t="shared" si="346"/>
        <v>PA</v>
      </c>
    </row>
    <row r="2366" spans="1:19" x14ac:dyDescent="0.3">
      <c r="A2366" t="s">
        <v>12</v>
      </c>
      <c r="B2366" t="s">
        <v>29</v>
      </c>
      <c r="C2366" t="s">
        <v>30</v>
      </c>
      <c r="E2366" t="s">
        <v>131</v>
      </c>
      <c r="F2366" s="1" t="s">
        <v>132</v>
      </c>
      <c r="G2366">
        <v>2</v>
      </c>
      <c r="H2366" t="s">
        <v>260</v>
      </c>
      <c r="I2366" s="4">
        <f t="shared" si="347"/>
        <v>4</v>
      </c>
      <c r="J2366">
        <f t="shared" si="348"/>
        <v>8</v>
      </c>
      <c r="K2366">
        <v>160</v>
      </c>
      <c r="L2366">
        <v>40</v>
      </c>
      <c r="M2366" s="2">
        <v>4</v>
      </c>
      <c r="N2366" s="2">
        <v>3.71</v>
      </c>
      <c r="O2366">
        <v>0</v>
      </c>
      <c r="P2366">
        <v>1</v>
      </c>
      <c r="Q2366" t="s">
        <v>558</v>
      </c>
      <c r="R2366" t="s">
        <v>260</v>
      </c>
      <c r="S2366" t="str">
        <f t="shared" si="346"/>
        <v>PA</v>
      </c>
    </row>
    <row r="2367" spans="1:19" x14ac:dyDescent="0.3">
      <c r="A2367" t="s">
        <v>12</v>
      </c>
      <c r="B2367" t="s">
        <v>29</v>
      </c>
      <c r="C2367" t="s">
        <v>30</v>
      </c>
      <c r="E2367" t="s">
        <v>100</v>
      </c>
      <c r="F2367" t="s">
        <v>101</v>
      </c>
      <c r="G2367">
        <v>4</v>
      </c>
      <c r="H2367" t="s">
        <v>260</v>
      </c>
      <c r="I2367" s="4">
        <f t="shared" si="347"/>
        <v>4</v>
      </c>
      <c r="J2367">
        <f t="shared" si="348"/>
        <v>16</v>
      </c>
      <c r="K2367">
        <v>72</v>
      </c>
      <c r="L2367">
        <v>20</v>
      </c>
      <c r="M2367" s="2">
        <v>3.6</v>
      </c>
      <c r="N2367" s="2">
        <v>3.71</v>
      </c>
      <c r="O2367">
        <v>0</v>
      </c>
      <c r="P2367">
        <v>4</v>
      </c>
      <c r="Q2367" t="s">
        <v>565</v>
      </c>
      <c r="R2367" t="s">
        <v>260</v>
      </c>
      <c r="S2367" t="str">
        <f t="shared" si="346"/>
        <v>PA</v>
      </c>
    </row>
    <row r="2368" spans="1:19" x14ac:dyDescent="0.3">
      <c r="A2368" t="s">
        <v>12</v>
      </c>
      <c r="B2368" t="s">
        <v>29</v>
      </c>
      <c r="C2368" t="s">
        <v>30</v>
      </c>
      <c r="E2368" t="s">
        <v>151</v>
      </c>
      <c r="F2368" s="1" t="s">
        <v>152</v>
      </c>
      <c r="G2368">
        <v>2</v>
      </c>
      <c r="H2368" t="s">
        <v>260</v>
      </c>
      <c r="I2368" s="4">
        <f t="shared" si="347"/>
        <v>4</v>
      </c>
      <c r="J2368">
        <f t="shared" si="348"/>
        <v>8</v>
      </c>
      <c r="K2368">
        <v>160</v>
      </c>
      <c r="L2368">
        <v>40</v>
      </c>
      <c r="M2368" s="2">
        <v>4</v>
      </c>
      <c r="N2368" s="2">
        <v>3.71</v>
      </c>
      <c r="O2368">
        <v>0</v>
      </c>
      <c r="P2368">
        <v>1</v>
      </c>
      <c r="Q2368" t="s">
        <v>558</v>
      </c>
      <c r="R2368" t="s">
        <v>260</v>
      </c>
      <c r="S2368" t="str">
        <f t="shared" si="346"/>
        <v>PA</v>
      </c>
    </row>
    <row r="2369" spans="1:19" x14ac:dyDescent="0.3">
      <c r="A2369" t="s">
        <v>12</v>
      </c>
      <c r="B2369" t="s">
        <v>29</v>
      </c>
      <c r="C2369" t="s">
        <v>30</v>
      </c>
      <c r="E2369" t="s">
        <v>348</v>
      </c>
      <c r="F2369" t="s">
        <v>349</v>
      </c>
      <c r="G2369">
        <v>4</v>
      </c>
      <c r="H2369" t="s">
        <v>260</v>
      </c>
      <c r="I2369" s="4">
        <f t="shared" si="347"/>
        <v>4</v>
      </c>
      <c r="J2369">
        <f t="shared" si="348"/>
        <v>16</v>
      </c>
      <c r="K2369">
        <v>90</v>
      </c>
      <c r="L2369">
        <v>24</v>
      </c>
      <c r="M2369" s="2">
        <v>3.75</v>
      </c>
      <c r="N2369" s="2">
        <v>3.71</v>
      </c>
      <c r="O2369">
        <v>0</v>
      </c>
      <c r="P2369">
        <v>2</v>
      </c>
      <c r="Q2369" t="s">
        <v>559</v>
      </c>
      <c r="R2369" t="s">
        <v>260</v>
      </c>
      <c r="S2369" t="str">
        <f t="shared" si="346"/>
        <v>PA</v>
      </c>
    </row>
    <row r="2370" spans="1:19" x14ac:dyDescent="0.3">
      <c r="A2370" t="s">
        <v>12</v>
      </c>
      <c r="B2370" t="s">
        <v>29</v>
      </c>
      <c r="C2370" t="s">
        <v>30</v>
      </c>
      <c r="E2370" t="s">
        <v>241</v>
      </c>
      <c r="F2370" s="1" t="s">
        <v>45</v>
      </c>
      <c r="G2370">
        <v>2</v>
      </c>
      <c r="H2370" t="s">
        <v>260</v>
      </c>
      <c r="I2370" s="4">
        <f t="shared" si="347"/>
        <v>4</v>
      </c>
      <c r="J2370">
        <f t="shared" si="348"/>
        <v>8</v>
      </c>
      <c r="K2370">
        <v>160</v>
      </c>
      <c r="L2370">
        <v>40</v>
      </c>
      <c r="M2370" s="2">
        <v>4</v>
      </c>
      <c r="N2370" s="2">
        <v>3.71</v>
      </c>
      <c r="O2370">
        <v>0</v>
      </c>
      <c r="P2370">
        <v>1</v>
      </c>
      <c r="Q2370" t="s">
        <v>558</v>
      </c>
      <c r="R2370" t="s">
        <v>260</v>
      </c>
      <c r="S2370" t="str">
        <f t="shared" si="346"/>
        <v>PA</v>
      </c>
    </row>
    <row r="2371" spans="1:19" x14ac:dyDescent="0.3">
      <c r="A2371" t="s">
        <v>12</v>
      </c>
      <c r="B2371" t="s">
        <v>29</v>
      </c>
      <c r="C2371" t="s">
        <v>30</v>
      </c>
      <c r="E2371" t="s">
        <v>374</v>
      </c>
      <c r="F2371" t="s">
        <v>375</v>
      </c>
      <c r="G2371">
        <v>2</v>
      </c>
      <c r="H2371" t="s">
        <v>260</v>
      </c>
      <c r="I2371" s="4">
        <f t="shared" si="347"/>
        <v>4</v>
      </c>
      <c r="J2371">
        <f t="shared" si="348"/>
        <v>8</v>
      </c>
      <c r="K2371">
        <v>90</v>
      </c>
      <c r="L2371">
        <v>24</v>
      </c>
      <c r="M2371" s="2">
        <v>3.75</v>
      </c>
      <c r="N2371" s="2">
        <v>3.71</v>
      </c>
      <c r="O2371">
        <v>0</v>
      </c>
      <c r="P2371">
        <v>2</v>
      </c>
      <c r="Q2371" t="s">
        <v>559</v>
      </c>
      <c r="R2371" t="s">
        <v>260</v>
      </c>
      <c r="S2371" t="str">
        <f t="shared" si="346"/>
        <v>PA</v>
      </c>
    </row>
    <row r="2372" spans="1:19" x14ac:dyDescent="0.3">
      <c r="A2372" t="s">
        <v>12</v>
      </c>
      <c r="B2372" t="s">
        <v>29</v>
      </c>
      <c r="C2372" t="s">
        <v>30</v>
      </c>
      <c r="E2372" t="s">
        <v>173</v>
      </c>
      <c r="F2372" s="1" t="s">
        <v>8</v>
      </c>
      <c r="G2372">
        <v>2</v>
      </c>
      <c r="H2372" t="s">
        <v>260</v>
      </c>
      <c r="I2372" s="4">
        <f t="shared" si="347"/>
        <v>4</v>
      </c>
      <c r="J2372">
        <f t="shared" si="348"/>
        <v>8</v>
      </c>
      <c r="K2372">
        <v>160</v>
      </c>
      <c r="L2372">
        <v>40</v>
      </c>
      <c r="M2372" s="2">
        <v>4</v>
      </c>
      <c r="N2372" s="2">
        <v>3.71</v>
      </c>
      <c r="O2372">
        <v>0</v>
      </c>
      <c r="P2372">
        <v>1</v>
      </c>
      <c r="Q2372" t="s">
        <v>558</v>
      </c>
      <c r="R2372" t="s">
        <v>260</v>
      </c>
      <c r="S2372" t="str">
        <f t="shared" si="346"/>
        <v>PA</v>
      </c>
    </row>
    <row r="2373" spans="1:19" x14ac:dyDescent="0.3">
      <c r="A2373" t="s">
        <v>12</v>
      </c>
      <c r="B2373" t="s">
        <v>29</v>
      </c>
      <c r="C2373" t="s">
        <v>30</v>
      </c>
      <c r="E2373" t="s">
        <v>273</v>
      </c>
      <c r="F2373" t="s">
        <v>274</v>
      </c>
      <c r="G2373">
        <v>2</v>
      </c>
      <c r="H2373" t="s">
        <v>260</v>
      </c>
      <c r="I2373" s="4">
        <f t="shared" si="347"/>
        <v>4</v>
      </c>
      <c r="J2373">
        <f t="shared" si="348"/>
        <v>8</v>
      </c>
      <c r="K2373">
        <v>90</v>
      </c>
      <c r="L2373">
        <v>24</v>
      </c>
      <c r="M2373" s="2">
        <v>3.75</v>
      </c>
      <c r="N2373" s="2">
        <v>3.71</v>
      </c>
      <c r="O2373">
        <v>0</v>
      </c>
      <c r="P2373">
        <v>2</v>
      </c>
      <c r="Q2373" t="s">
        <v>559</v>
      </c>
      <c r="R2373" t="s">
        <v>260</v>
      </c>
      <c r="S2373" t="str">
        <f t="shared" si="346"/>
        <v>PA</v>
      </c>
    </row>
    <row r="2374" spans="1:19" x14ac:dyDescent="0.3">
      <c r="A2374" t="s">
        <v>12</v>
      </c>
      <c r="B2374" t="s">
        <v>29</v>
      </c>
      <c r="C2374" t="s">
        <v>30</v>
      </c>
      <c r="E2374" t="s">
        <v>306</v>
      </c>
      <c r="F2374" s="1" t="s">
        <v>307</v>
      </c>
      <c r="G2374">
        <v>2</v>
      </c>
      <c r="H2374" t="s">
        <v>260</v>
      </c>
      <c r="I2374" s="4">
        <f t="shared" si="347"/>
        <v>4</v>
      </c>
      <c r="J2374">
        <f t="shared" si="348"/>
        <v>8</v>
      </c>
      <c r="K2374">
        <v>160</v>
      </c>
      <c r="L2374">
        <v>40</v>
      </c>
      <c r="M2374" s="2">
        <v>4</v>
      </c>
      <c r="N2374" s="2">
        <v>3.71</v>
      </c>
      <c r="O2374">
        <v>0</v>
      </c>
      <c r="P2374">
        <v>1</v>
      </c>
      <c r="Q2374" t="s">
        <v>558</v>
      </c>
      <c r="R2374" t="s">
        <v>260</v>
      </c>
      <c r="S2374" t="str">
        <f t="shared" si="346"/>
        <v>PA</v>
      </c>
    </row>
    <row r="2375" spans="1:19" x14ac:dyDescent="0.3">
      <c r="A2375" t="s">
        <v>12</v>
      </c>
      <c r="B2375" t="s">
        <v>29</v>
      </c>
      <c r="C2375" t="s">
        <v>30</v>
      </c>
      <c r="E2375" t="s">
        <v>357</v>
      </c>
      <c r="F2375" t="s">
        <v>358</v>
      </c>
      <c r="G2375">
        <v>4</v>
      </c>
      <c r="H2375" t="s">
        <v>260</v>
      </c>
      <c r="I2375" s="4">
        <f t="shared" si="347"/>
        <v>4</v>
      </c>
      <c r="J2375">
        <f t="shared" si="348"/>
        <v>16</v>
      </c>
      <c r="K2375">
        <v>72</v>
      </c>
      <c r="L2375">
        <v>22</v>
      </c>
      <c r="M2375" s="2">
        <v>3.27</v>
      </c>
      <c r="N2375" s="2">
        <v>3.71</v>
      </c>
      <c r="O2375">
        <v>0</v>
      </c>
      <c r="P2375">
        <v>3</v>
      </c>
      <c r="Q2375" t="s">
        <v>563</v>
      </c>
      <c r="R2375" t="s">
        <v>260</v>
      </c>
      <c r="S2375" t="str">
        <f t="shared" si="346"/>
        <v>PA</v>
      </c>
    </row>
    <row r="2376" spans="1:19" x14ac:dyDescent="0.3">
      <c r="A2376" t="s">
        <v>12</v>
      </c>
      <c r="B2376" t="s">
        <v>29</v>
      </c>
      <c r="C2376" t="s">
        <v>30</v>
      </c>
      <c r="E2376" t="s">
        <v>279</v>
      </c>
      <c r="F2376" s="1" t="s">
        <v>280</v>
      </c>
      <c r="G2376">
        <v>2</v>
      </c>
      <c r="H2376" t="s">
        <v>260</v>
      </c>
      <c r="I2376" s="4">
        <f t="shared" si="347"/>
        <v>4</v>
      </c>
      <c r="J2376">
        <f t="shared" si="348"/>
        <v>8</v>
      </c>
      <c r="K2376">
        <v>160</v>
      </c>
      <c r="L2376">
        <v>40</v>
      </c>
      <c r="M2376" s="2">
        <v>4</v>
      </c>
      <c r="N2376" s="2">
        <v>3.71</v>
      </c>
      <c r="O2376">
        <v>0</v>
      </c>
      <c r="P2376">
        <v>1</v>
      </c>
      <c r="Q2376" t="s">
        <v>558</v>
      </c>
      <c r="R2376" t="s">
        <v>260</v>
      </c>
      <c r="S2376" t="str">
        <f t="shared" si="346"/>
        <v>PA</v>
      </c>
    </row>
    <row r="2377" spans="1:19" x14ac:dyDescent="0.3">
      <c r="A2377" t="s">
        <v>12</v>
      </c>
      <c r="B2377" t="s">
        <v>29</v>
      </c>
      <c r="C2377" t="s">
        <v>30</v>
      </c>
      <c r="E2377" t="s">
        <v>122</v>
      </c>
      <c r="F2377" t="s">
        <v>123</v>
      </c>
      <c r="G2377">
        <v>4</v>
      </c>
      <c r="H2377" t="s">
        <v>260</v>
      </c>
      <c r="I2377" s="4">
        <f t="shared" si="347"/>
        <v>4</v>
      </c>
      <c r="J2377">
        <f t="shared" si="348"/>
        <v>16</v>
      </c>
      <c r="K2377">
        <v>80</v>
      </c>
      <c r="L2377">
        <v>20</v>
      </c>
      <c r="M2377" s="2">
        <v>4</v>
      </c>
      <c r="N2377" s="2">
        <v>3.71</v>
      </c>
      <c r="O2377">
        <v>0</v>
      </c>
      <c r="P2377">
        <v>1</v>
      </c>
      <c r="Q2377" t="s">
        <v>558</v>
      </c>
      <c r="R2377" t="s">
        <v>260</v>
      </c>
      <c r="S2377" t="str">
        <f t="shared" si="346"/>
        <v>PA</v>
      </c>
    </row>
    <row r="2378" spans="1:19" x14ac:dyDescent="0.3">
      <c r="A2378" t="s">
        <v>12</v>
      </c>
      <c r="B2378" t="s">
        <v>29</v>
      </c>
      <c r="C2378" t="s">
        <v>30</v>
      </c>
      <c r="E2378" t="s">
        <v>334</v>
      </c>
      <c r="F2378" t="s">
        <v>335</v>
      </c>
      <c r="G2378">
        <v>2</v>
      </c>
      <c r="H2378" t="s">
        <v>260</v>
      </c>
      <c r="I2378" s="4">
        <f t="shared" si="347"/>
        <v>4</v>
      </c>
      <c r="J2378">
        <f t="shared" si="348"/>
        <v>8</v>
      </c>
      <c r="K2378">
        <v>72</v>
      </c>
      <c r="L2378">
        <v>22</v>
      </c>
      <c r="M2378" s="2">
        <v>3.27</v>
      </c>
      <c r="N2378" s="2">
        <v>3.71</v>
      </c>
      <c r="O2378">
        <v>0</v>
      </c>
      <c r="P2378">
        <v>3</v>
      </c>
      <c r="Q2378" t="s">
        <v>563</v>
      </c>
      <c r="R2378" t="s">
        <v>260</v>
      </c>
      <c r="S2378" t="str">
        <f t="shared" si="346"/>
        <v>PA</v>
      </c>
    </row>
    <row r="2379" spans="1:19" x14ac:dyDescent="0.3">
      <c r="A2379" t="s">
        <v>12</v>
      </c>
      <c r="B2379" t="s">
        <v>29</v>
      </c>
      <c r="C2379" t="s">
        <v>30</v>
      </c>
      <c r="E2379" t="s">
        <v>309</v>
      </c>
      <c r="F2379" s="1" t="s">
        <v>310</v>
      </c>
      <c r="G2379">
        <v>4</v>
      </c>
      <c r="H2379" t="s">
        <v>260</v>
      </c>
      <c r="I2379" s="4">
        <f t="shared" si="347"/>
        <v>4</v>
      </c>
      <c r="J2379">
        <f t="shared" si="348"/>
        <v>16</v>
      </c>
      <c r="K2379">
        <v>160</v>
      </c>
      <c r="L2379">
        <v>40</v>
      </c>
      <c r="M2379" s="2">
        <v>4</v>
      </c>
      <c r="N2379" s="2">
        <v>3.71</v>
      </c>
      <c r="O2379">
        <v>0</v>
      </c>
      <c r="P2379">
        <v>1</v>
      </c>
      <c r="Q2379" t="s">
        <v>558</v>
      </c>
      <c r="R2379" t="s">
        <v>260</v>
      </c>
      <c r="S2379" t="str">
        <f t="shared" si="346"/>
        <v>PA</v>
      </c>
    </row>
    <row r="2380" spans="1:19" x14ac:dyDescent="0.3">
      <c r="A2380" t="s">
        <v>12</v>
      </c>
      <c r="B2380" t="s">
        <v>29</v>
      </c>
      <c r="C2380" t="s">
        <v>30</v>
      </c>
      <c r="E2380" t="s">
        <v>262</v>
      </c>
      <c r="F2380" t="s">
        <v>263</v>
      </c>
      <c r="G2380">
        <v>2</v>
      </c>
      <c r="H2380" t="s">
        <v>260</v>
      </c>
      <c r="I2380" s="4">
        <f t="shared" si="347"/>
        <v>4</v>
      </c>
      <c r="J2380">
        <f t="shared" si="348"/>
        <v>8</v>
      </c>
      <c r="K2380">
        <v>72</v>
      </c>
      <c r="L2380">
        <v>20</v>
      </c>
      <c r="M2380" s="2">
        <v>3.6</v>
      </c>
      <c r="N2380" s="2">
        <v>3.71</v>
      </c>
      <c r="O2380">
        <v>0</v>
      </c>
      <c r="P2380">
        <v>4</v>
      </c>
      <c r="Q2380" t="s">
        <v>565</v>
      </c>
      <c r="R2380" t="s">
        <v>260</v>
      </c>
      <c r="S2380" t="str">
        <f t="shared" si="346"/>
        <v>PA</v>
      </c>
    </row>
    <row r="2381" spans="1:19" x14ac:dyDescent="0.3">
      <c r="A2381" t="s">
        <v>12</v>
      </c>
      <c r="B2381" t="s">
        <v>29</v>
      </c>
      <c r="C2381" t="s">
        <v>30</v>
      </c>
      <c r="E2381" t="s">
        <v>190</v>
      </c>
      <c r="F2381" s="1" t="s">
        <v>191</v>
      </c>
      <c r="G2381">
        <v>4</v>
      </c>
      <c r="H2381" t="s">
        <v>260</v>
      </c>
      <c r="I2381" s="4">
        <f t="shared" si="347"/>
        <v>4</v>
      </c>
      <c r="J2381">
        <f t="shared" si="348"/>
        <v>16</v>
      </c>
      <c r="K2381">
        <v>160</v>
      </c>
      <c r="L2381">
        <v>40</v>
      </c>
      <c r="M2381" s="2">
        <v>4</v>
      </c>
      <c r="N2381" s="2">
        <v>3.71</v>
      </c>
      <c r="O2381">
        <v>0</v>
      </c>
      <c r="P2381">
        <v>1</v>
      </c>
      <c r="Q2381" t="s">
        <v>558</v>
      </c>
      <c r="R2381" t="s">
        <v>260</v>
      </c>
      <c r="S2381" t="str">
        <f t="shared" si="346"/>
        <v>PA</v>
      </c>
    </row>
    <row r="2382" spans="1:19" x14ac:dyDescent="0.3">
      <c r="A2382" t="s">
        <v>12</v>
      </c>
      <c r="B2382" t="s">
        <v>29</v>
      </c>
      <c r="C2382" t="s">
        <v>30</v>
      </c>
      <c r="E2382" t="s">
        <v>211</v>
      </c>
      <c r="F2382" t="s">
        <v>186</v>
      </c>
      <c r="G2382">
        <v>4</v>
      </c>
      <c r="H2382" t="s">
        <v>260</v>
      </c>
      <c r="I2382" s="4">
        <f t="shared" si="347"/>
        <v>4</v>
      </c>
      <c r="J2382">
        <f t="shared" si="348"/>
        <v>16</v>
      </c>
      <c r="K2382">
        <v>80</v>
      </c>
      <c r="L2382">
        <v>20</v>
      </c>
      <c r="M2382" s="2">
        <v>4</v>
      </c>
      <c r="N2382" s="2">
        <v>3.71</v>
      </c>
      <c r="O2382">
        <v>0</v>
      </c>
      <c r="P2382">
        <v>1</v>
      </c>
      <c r="Q2382" t="s">
        <v>558</v>
      </c>
      <c r="R2382" t="s">
        <v>260</v>
      </c>
      <c r="S2382" t="str">
        <f t="shared" si="346"/>
        <v>PA</v>
      </c>
    </row>
    <row r="2383" spans="1:19" x14ac:dyDescent="0.3">
      <c r="A2383" t="s">
        <v>12</v>
      </c>
      <c r="B2383" t="s">
        <v>29</v>
      </c>
      <c r="C2383" t="s">
        <v>30</v>
      </c>
      <c r="E2383" t="s">
        <v>77</v>
      </c>
      <c r="F2383" s="1" t="s">
        <v>78</v>
      </c>
      <c r="G2383">
        <v>2</v>
      </c>
      <c r="H2383" t="s">
        <v>260</v>
      </c>
      <c r="I2383" s="4">
        <f t="shared" si="347"/>
        <v>4</v>
      </c>
      <c r="J2383">
        <f t="shared" si="348"/>
        <v>8</v>
      </c>
      <c r="K2383">
        <v>160</v>
      </c>
      <c r="L2383">
        <v>40</v>
      </c>
      <c r="M2383" s="2">
        <v>4</v>
      </c>
      <c r="N2383" s="2">
        <v>3.71</v>
      </c>
      <c r="O2383">
        <v>0</v>
      </c>
      <c r="P2383">
        <v>1</v>
      </c>
      <c r="Q2383" t="s">
        <v>558</v>
      </c>
      <c r="R2383" t="s">
        <v>260</v>
      </c>
      <c r="S2383" t="str">
        <f t="shared" si="346"/>
        <v>PA</v>
      </c>
    </row>
    <row r="2384" spans="1:19" x14ac:dyDescent="0.3">
      <c r="A2384" t="s">
        <v>12</v>
      </c>
      <c r="B2384" t="s">
        <v>29</v>
      </c>
      <c r="C2384" t="s">
        <v>30</v>
      </c>
      <c r="E2384" t="s">
        <v>39</v>
      </c>
      <c r="F2384" t="s">
        <v>11</v>
      </c>
      <c r="G2384">
        <v>2</v>
      </c>
      <c r="H2384" t="s">
        <v>260</v>
      </c>
      <c r="I2384" s="4">
        <f t="shared" si="347"/>
        <v>4</v>
      </c>
      <c r="J2384">
        <f t="shared" si="348"/>
        <v>8</v>
      </c>
      <c r="K2384">
        <v>90</v>
      </c>
      <c r="L2384">
        <v>24</v>
      </c>
      <c r="M2384" s="2">
        <v>3.75</v>
      </c>
      <c r="N2384" s="2">
        <v>3.71</v>
      </c>
      <c r="O2384">
        <v>0</v>
      </c>
      <c r="P2384">
        <v>2</v>
      </c>
      <c r="Q2384" t="s">
        <v>559</v>
      </c>
      <c r="R2384" t="s">
        <v>260</v>
      </c>
      <c r="S2384" t="str">
        <f t="shared" si="346"/>
        <v>PA</v>
      </c>
    </row>
    <row r="2385" spans="1:19" x14ac:dyDescent="0.3">
      <c r="A2385" t="s">
        <v>12</v>
      </c>
      <c r="B2385" t="s">
        <v>29</v>
      </c>
      <c r="C2385" t="s">
        <v>30</v>
      </c>
      <c r="E2385" t="s">
        <v>103</v>
      </c>
      <c r="F2385" t="s">
        <v>104</v>
      </c>
      <c r="G2385">
        <v>4</v>
      </c>
      <c r="H2385" t="s">
        <v>260</v>
      </c>
      <c r="I2385" s="4">
        <f t="shared" si="347"/>
        <v>4</v>
      </c>
      <c r="J2385">
        <f t="shared" si="348"/>
        <v>16</v>
      </c>
      <c r="K2385">
        <v>90</v>
      </c>
      <c r="L2385">
        <v>24</v>
      </c>
      <c r="M2385" s="2">
        <v>3.75</v>
      </c>
      <c r="N2385" s="2">
        <v>3.71</v>
      </c>
      <c r="O2385">
        <v>0</v>
      </c>
      <c r="P2385">
        <v>2</v>
      </c>
      <c r="Q2385" t="s">
        <v>559</v>
      </c>
      <c r="R2385" t="s">
        <v>260</v>
      </c>
      <c r="S2385" t="str">
        <f t="shared" si="346"/>
        <v>PA</v>
      </c>
    </row>
    <row r="2386" spans="1:19" x14ac:dyDescent="0.3">
      <c r="A2386" t="s">
        <v>12</v>
      </c>
      <c r="B2386" t="s">
        <v>29</v>
      </c>
      <c r="C2386" t="s">
        <v>30</v>
      </c>
      <c r="E2386" t="s">
        <v>165</v>
      </c>
      <c r="F2386" s="1" t="s">
        <v>166</v>
      </c>
      <c r="G2386">
        <v>2</v>
      </c>
      <c r="H2386" t="s">
        <v>260</v>
      </c>
      <c r="I2386" s="4">
        <f t="shared" si="347"/>
        <v>4</v>
      </c>
      <c r="J2386">
        <f t="shared" si="348"/>
        <v>8</v>
      </c>
      <c r="K2386">
        <v>160</v>
      </c>
      <c r="L2386">
        <v>40</v>
      </c>
      <c r="M2386" s="2">
        <v>4</v>
      </c>
      <c r="N2386" s="2">
        <v>3.71</v>
      </c>
      <c r="O2386">
        <v>0</v>
      </c>
      <c r="P2386">
        <v>1</v>
      </c>
      <c r="Q2386" t="s">
        <v>558</v>
      </c>
      <c r="R2386" t="s">
        <v>260</v>
      </c>
      <c r="S2386" t="str">
        <f t="shared" si="346"/>
        <v>PA</v>
      </c>
    </row>
    <row r="2387" spans="1:19" x14ac:dyDescent="0.3">
      <c r="A2387" t="s">
        <v>12</v>
      </c>
      <c r="B2387" t="s">
        <v>29</v>
      </c>
      <c r="C2387" t="s">
        <v>30</v>
      </c>
      <c r="E2387" t="s">
        <v>297</v>
      </c>
      <c r="F2387" t="s">
        <v>342</v>
      </c>
      <c r="G2387">
        <v>4</v>
      </c>
      <c r="H2387" t="s">
        <v>260</v>
      </c>
      <c r="I2387" s="4">
        <f t="shared" si="347"/>
        <v>4</v>
      </c>
      <c r="J2387">
        <f t="shared" si="348"/>
        <v>16</v>
      </c>
      <c r="K2387">
        <v>16</v>
      </c>
      <c r="L2387">
        <v>4</v>
      </c>
      <c r="M2387" s="2">
        <v>4</v>
      </c>
      <c r="N2387" s="2">
        <v>3.71</v>
      </c>
      <c r="O2387">
        <v>0</v>
      </c>
      <c r="P2387">
        <v>6</v>
      </c>
      <c r="Q2387" t="s">
        <v>567</v>
      </c>
      <c r="R2387" t="s">
        <v>260</v>
      </c>
      <c r="S2387" t="str">
        <f t="shared" si="346"/>
        <v>PA</v>
      </c>
    </row>
    <row r="2388" spans="1:19" x14ac:dyDescent="0.3">
      <c r="A2388" t="s">
        <v>12</v>
      </c>
      <c r="B2388" t="s">
        <v>29</v>
      </c>
      <c r="C2388" t="s">
        <v>30</v>
      </c>
      <c r="E2388" t="s">
        <v>90</v>
      </c>
      <c r="F2388" s="1" t="s">
        <v>91</v>
      </c>
      <c r="G2388">
        <v>2</v>
      </c>
      <c r="H2388" t="s">
        <v>260</v>
      </c>
      <c r="I2388" s="4">
        <f t="shared" si="347"/>
        <v>4</v>
      </c>
      <c r="J2388">
        <f t="shared" si="348"/>
        <v>8</v>
      </c>
      <c r="K2388">
        <v>160</v>
      </c>
      <c r="L2388">
        <v>40</v>
      </c>
      <c r="M2388" s="2">
        <v>4</v>
      </c>
      <c r="N2388" s="2">
        <v>3.71</v>
      </c>
      <c r="O2388">
        <v>0</v>
      </c>
      <c r="P2388">
        <v>1</v>
      </c>
      <c r="Q2388" t="s">
        <v>558</v>
      </c>
      <c r="R2388" t="s">
        <v>260</v>
      </c>
      <c r="S2388" t="str">
        <f t="shared" si="346"/>
        <v>PA</v>
      </c>
    </row>
    <row r="2389" spans="1:19" x14ac:dyDescent="0.3">
      <c r="A2389" t="s">
        <v>12</v>
      </c>
      <c r="B2389" t="s">
        <v>29</v>
      </c>
      <c r="C2389" t="s">
        <v>30</v>
      </c>
      <c r="E2389" t="s">
        <v>360</v>
      </c>
      <c r="F2389" t="s">
        <v>361</v>
      </c>
      <c r="G2389">
        <v>2</v>
      </c>
      <c r="H2389" t="s">
        <v>260</v>
      </c>
      <c r="I2389" s="4">
        <f t="shared" si="347"/>
        <v>4</v>
      </c>
      <c r="J2389">
        <f t="shared" si="348"/>
        <v>8</v>
      </c>
      <c r="K2389">
        <v>72</v>
      </c>
      <c r="L2389">
        <v>20</v>
      </c>
      <c r="M2389" s="2">
        <v>3.6</v>
      </c>
      <c r="N2389" s="2">
        <v>3.71</v>
      </c>
      <c r="O2389">
        <v>0</v>
      </c>
      <c r="P2389">
        <v>4</v>
      </c>
      <c r="Q2389" t="s">
        <v>565</v>
      </c>
      <c r="R2389" t="s">
        <v>260</v>
      </c>
      <c r="S2389" t="str">
        <f t="shared" si="346"/>
        <v>PA</v>
      </c>
    </row>
    <row r="2390" spans="1:19" x14ac:dyDescent="0.3">
      <c r="A2390" t="s">
        <v>12</v>
      </c>
      <c r="B2390" t="s">
        <v>29</v>
      </c>
      <c r="C2390" t="s">
        <v>30</v>
      </c>
      <c r="E2390" t="s">
        <v>192</v>
      </c>
      <c r="F2390" s="1" t="s">
        <v>106</v>
      </c>
      <c r="G2390">
        <v>2</v>
      </c>
      <c r="H2390" t="s">
        <v>260</v>
      </c>
      <c r="I2390" s="4">
        <f t="shared" si="347"/>
        <v>4</v>
      </c>
      <c r="J2390">
        <f t="shared" si="348"/>
        <v>8</v>
      </c>
      <c r="K2390">
        <v>160</v>
      </c>
      <c r="L2390">
        <v>40</v>
      </c>
      <c r="M2390" s="2">
        <v>4</v>
      </c>
      <c r="N2390" s="2">
        <v>3.71</v>
      </c>
      <c r="O2390">
        <v>0</v>
      </c>
      <c r="P2390">
        <v>1</v>
      </c>
      <c r="Q2390" t="s">
        <v>558</v>
      </c>
      <c r="R2390" t="s">
        <v>260</v>
      </c>
      <c r="S2390" t="str">
        <f t="shared" si="346"/>
        <v>PA</v>
      </c>
    </row>
    <row r="2391" spans="1:19" x14ac:dyDescent="0.3">
      <c r="A2391" t="s">
        <v>12</v>
      </c>
      <c r="B2391" t="s">
        <v>29</v>
      </c>
      <c r="C2391" t="s">
        <v>30</v>
      </c>
      <c r="E2391" t="s">
        <v>290</v>
      </c>
      <c r="F2391" t="s">
        <v>291</v>
      </c>
      <c r="G2391">
        <v>4</v>
      </c>
      <c r="H2391" t="s">
        <v>260</v>
      </c>
      <c r="I2391" s="4">
        <f t="shared" si="347"/>
        <v>4</v>
      </c>
      <c r="J2391">
        <f t="shared" si="348"/>
        <v>16</v>
      </c>
      <c r="K2391">
        <v>72</v>
      </c>
      <c r="L2391">
        <v>20</v>
      </c>
      <c r="M2391" s="2">
        <v>3.6</v>
      </c>
      <c r="N2391" s="2">
        <v>3.71</v>
      </c>
      <c r="O2391">
        <v>0</v>
      </c>
      <c r="P2391">
        <v>4</v>
      </c>
      <c r="Q2391" t="s">
        <v>565</v>
      </c>
      <c r="R2391" t="s">
        <v>260</v>
      </c>
      <c r="S2391" t="str">
        <f t="shared" si="346"/>
        <v>PA</v>
      </c>
    </row>
    <row r="2392" spans="1:19" x14ac:dyDescent="0.3">
      <c r="A2392" t="s">
        <v>12</v>
      </c>
      <c r="B2392" t="s">
        <v>29</v>
      </c>
      <c r="C2392" t="s">
        <v>30</v>
      </c>
      <c r="E2392" t="s">
        <v>97</v>
      </c>
      <c r="F2392" t="s">
        <v>98</v>
      </c>
      <c r="G2392">
        <v>4</v>
      </c>
      <c r="H2392" t="s">
        <v>260</v>
      </c>
      <c r="I2392" s="4">
        <f t="shared" si="347"/>
        <v>4</v>
      </c>
      <c r="J2392">
        <f t="shared" si="348"/>
        <v>16</v>
      </c>
      <c r="K2392">
        <v>90</v>
      </c>
      <c r="L2392">
        <v>24</v>
      </c>
      <c r="M2392" s="2">
        <v>3.75</v>
      </c>
      <c r="N2392" s="2">
        <v>3.71</v>
      </c>
      <c r="O2392">
        <v>0</v>
      </c>
      <c r="P2392">
        <v>2</v>
      </c>
      <c r="Q2392" t="s">
        <v>559</v>
      </c>
      <c r="R2392" t="s">
        <v>260</v>
      </c>
      <c r="S2392" t="str">
        <f t="shared" si="346"/>
        <v>PA</v>
      </c>
    </row>
    <row r="2393" spans="1:19" x14ac:dyDescent="0.3">
      <c r="A2393" t="s">
        <v>12</v>
      </c>
      <c r="B2393" t="s">
        <v>29</v>
      </c>
      <c r="C2393" t="s">
        <v>30</v>
      </c>
      <c r="E2393" t="s">
        <v>283</v>
      </c>
      <c r="F2393" s="1" t="s">
        <v>284</v>
      </c>
      <c r="G2393">
        <v>2</v>
      </c>
      <c r="H2393" t="s">
        <v>260</v>
      </c>
      <c r="I2393" s="4">
        <f t="shared" si="347"/>
        <v>4</v>
      </c>
      <c r="J2393">
        <f t="shared" si="348"/>
        <v>8</v>
      </c>
      <c r="K2393">
        <v>160</v>
      </c>
      <c r="L2393">
        <v>40</v>
      </c>
      <c r="M2393" s="2">
        <v>4</v>
      </c>
      <c r="N2393" s="2">
        <v>3.71</v>
      </c>
      <c r="O2393">
        <v>0</v>
      </c>
      <c r="P2393">
        <v>1</v>
      </c>
      <c r="Q2393" t="s">
        <v>558</v>
      </c>
      <c r="R2393" t="s">
        <v>260</v>
      </c>
      <c r="S2393" t="str">
        <f t="shared" si="346"/>
        <v>PA</v>
      </c>
    </row>
    <row r="2394" spans="1:19" x14ac:dyDescent="0.3">
      <c r="A2394" t="s">
        <v>12</v>
      </c>
      <c r="B2394" t="s">
        <v>29</v>
      </c>
      <c r="C2394" t="s">
        <v>30</v>
      </c>
      <c r="E2394" t="s">
        <v>139</v>
      </c>
      <c r="F2394" s="1" t="s">
        <v>140</v>
      </c>
      <c r="G2394">
        <v>2</v>
      </c>
      <c r="H2394" t="s">
        <v>260</v>
      </c>
      <c r="I2394" s="4">
        <f t="shared" si="347"/>
        <v>4</v>
      </c>
      <c r="J2394">
        <f t="shared" si="348"/>
        <v>8</v>
      </c>
      <c r="K2394">
        <v>160</v>
      </c>
      <c r="L2394">
        <v>40</v>
      </c>
      <c r="M2394" s="2">
        <v>4</v>
      </c>
      <c r="N2394" s="2">
        <v>3.71</v>
      </c>
      <c r="O2394">
        <v>0</v>
      </c>
      <c r="P2394">
        <v>1</v>
      </c>
      <c r="Q2394" t="s">
        <v>558</v>
      </c>
      <c r="R2394" t="s">
        <v>260</v>
      </c>
      <c r="S2394" t="str">
        <f t="shared" si="346"/>
        <v>PA</v>
      </c>
    </row>
    <row r="2395" spans="1:19" x14ac:dyDescent="0.3">
      <c r="A2395" t="s">
        <v>12</v>
      </c>
      <c r="B2395" t="s">
        <v>29</v>
      </c>
      <c r="C2395" t="s">
        <v>30</v>
      </c>
      <c r="E2395" t="s">
        <v>276</v>
      </c>
      <c r="F2395" s="1" t="s">
        <v>137</v>
      </c>
      <c r="G2395">
        <v>4</v>
      </c>
      <c r="H2395" t="s">
        <v>260</v>
      </c>
      <c r="I2395" s="4">
        <f t="shared" si="347"/>
        <v>4</v>
      </c>
      <c r="J2395">
        <f t="shared" si="348"/>
        <v>16</v>
      </c>
      <c r="K2395">
        <v>160</v>
      </c>
      <c r="L2395">
        <v>40</v>
      </c>
      <c r="M2395" s="2">
        <v>4</v>
      </c>
      <c r="N2395" s="2">
        <v>3.71</v>
      </c>
      <c r="O2395">
        <v>0</v>
      </c>
      <c r="P2395">
        <v>1</v>
      </c>
      <c r="Q2395" t="s">
        <v>558</v>
      </c>
      <c r="R2395" t="s">
        <v>260</v>
      </c>
      <c r="S2395" t="str">
        <f t="shared" si="346"/>
        <v>PA</v>
      </c>
    </row>
    <row r="2396" spans="1:19" x14ac:dyDescent="0.3">
      <c r="A2396" t="s">
        <v>12</v>
      </c>
      <c r="B2396" t="s">
        <v>29</v>
      </c>
      <c r="C2396" t="s">
        <v>30</v>
      </c>
      <c r="E2396" t="s">
        <v>142</v>
      </c>
      <c r="F2396" t="s">
        <v>143</v>
      </c>
      <c r="G2396">
        <v>2</v>
      </c>
      <c r="H2396" t="s">
        <v>260</v>
      </c>
      <c r="I2396" s="4">
        <f t="shared" si="347"/>
        <v>4</v>
      </c>
      <c r="J2396">
        <f t="shared" si="348"/>
        <v>8</v>
      </c>
      <c r="K2396">
        <v>80</v>
      </c>
      <c r="L2396">
        <v>20</v>
      </c>
      <c r="M2396" s="2">
        <v>4</v>
      </c>
      <c r="N2396" s="2">
        <v>3.71</v>
      </c>
      <c r="O2396">
        <v>0</v>
      </c>
      <c r="P2396">
        <v>1</v>
      </c>
      <c r="Q2396" t="s">
        <v>558</v>
      </c>
      <c r="R2396" t="s">
        <v>260</v>
      </c>
      <c r="S2396" t="str">
        <f t="shared" si="346"/>
        <v>PA</v>
      </c>
    </row>
    <row r="2397" spans="1:19" x14ac:dyDescent="0.3">
      <c r="A2397" t="s">
        <v>12</v>
      </c>
      <c r="B2397" t="s">
        <v>29</v>
      </c>
      <c r="C2397" t="s">
        <v>30</v>
      </c>
      <c r="E2397" t="s">
        <v>257</v>
      </c>
      <c r="F2397" s="1" t="s">
        <v>258</v>
      </c>
      <c r="G2397">
        <v>4</v>
      </c>
      <c r="H2397" t="s">
        <v>260</v>
      </c>
      <c r="I2397" s="4">
        <f t="shared" si="347"/>
        <v>4</v>
      </c>
      <c r="J2397">
        <f t="shared" si="348"/>
        <v>16</v>
      </c>
      <c r="K2397">
        <v>160</v>
      </c>
      <c r="L2397">
        <v>40</v>
      </c>
      <c r="M2397" s="2">
        <v>4</v>
      </c>
      <c r="N2397" s="2">
        <v>3.71</v>
      </c>
      <c r="O2397">
        <v>0</v>
      </c>
      <c r="P2397">
        <v>1</v>
      </c>
      <c r="Q2397" t="s">
        <v>558</v>
      </c>
      <c r="R2397" t="s">
        <v>260</v>
      </c>
      <c r="S2397" t="str">
        <f t="shared" si="346"/>
        <v>PA</v>
      </c>
    </row>
    <row r="2398" spans="1:19" x14ac:dyDescent="0.3">
      <c r="A2398" t="s">
        <v>12</v>
      </c>
      <c r="B2398" t="s">
        <v>29</v>
      </c>
      <c r="C2398" t="s">
        <v>30</v>
      </c>
      <c r="E2398" t="s">
        <v>344</v>
      </c>
      <c r="F2398" t="s">
        <v>345</v>
      </c>
      <c r="G2398">
        <v>2</v>
      </c>
      <c r="H2398" t="s">
        <v>260</v>
      </c>
      <c r="I2398" s="4">
        <f t="shared" si="347"/>
        <v>4</v>
      </c>
      <c r="J2398">
        <f t="shared" si="348"/>
        <v>8</v>
      </c>
      <c r="K2398">
        <v>26</v>
      </c>
      <c r="L2398">
        <v>12</v>
      </c>
      <c r="M2398" s="2">
        <v>2.17</v>
      </c>
      <c r="N2398" s="2">
        <v>3.71</v>
      </c>
      <c r="O2398">
        <v>0</v>
      </c>
      <c r="P2398">
        <v>5</v>
      </c>
      <c r="Q2398" t="s">
        <v>566</v>
      </c>
      <c r="R2398" t="s">
        <v>260</v>
      </c>
      <c r="S2398" t="str">
        <f t="shared" si="346"/>
        <v>PA</v>
      </c>
    </row>
    <row r="2399" spans="1:19" x14ac:dyDescent="0.3">
      <c r="A2399" t="s">
        <v>12</v>
      </c>
      <c r="B2399" t="s">
        <v>29</v>
      </c>
      <c r="C2399" t="s">
        <v>30</v>
      </c>
      <c r="E2399" t="s">
        <v>234</v>
      </c>
      <c r="F2399" t="s">
        <v>235</v>
      </c>
      <c r="G2399">
        <v>4</v>
      </c>
      <c r="H2399" t="s">
        <v>438</v>
      </c>
      <c r="I2399" s="4">
        <f t="shared" si="347"/>
        <v>3</v>
      </c>
      <c r="J2399">
        <f t="shared" si="348"/>
        <v>12</v>
      </c>
      <c r="K2399">
        <v>72</v>
      </c>
      <c r="L2399">
        <v>22</v>
      </c>
      <c r="M2399" s="2">
        <v>3.27</v>
      </c>
      <c r="N2399" s="2">
        <v>3.71</v>
      </c>
      <c r="O2399">
        <v>0</v>
      </c>
      <c r="P2399">
        <v>3</v>
      </c>
      <c r="Q2399" t="s">
        <v>563</v>
      </c>
      <c r="R2399" t="s">
        <v>260</v>
      </c>
      <c r="S2399" t="str">
        <f t="shared" si="346"/>
        <v>PA</v>
      </c>
    </row>
    <row r="2400" spans="1:19" x14ac:dyDescent="0.3">
      <c r="A2400" t="s">
        <v>12</v>
      </c>
      <c r="B2400" t="s">
        <v>29</v>
      </c>
      <c r="C2400" t="s">
        <v>30</v>
      </c>
      <c r="E2400" t="s">
        <v>316</v>
      </c>
      <c r="F2400" t="s">
        <v>317</v>
      </c>
      <c r="G2400">
        <v>2</v>
      </c>
      <c r="H2400" t="s">
        <v>438</v>
      </c>
      <c r="I2400" s="4">
        <f t="shared" si="347"/>
        <v>3</v>
      </c>
      <c r="J2400">
        <f t="shared" si="348"/>
        <v>6</v>
      </c>
      <c r="K2400">
        <v>26</v>
      </c>
      <c r="L2400">
        <v>12</v>
      </c>
      <c r="M2400" s="2">
        <v>2.17</v>
      </c>
      <c r="N2400" s="2">
        <v>3.71</v>
      </c>
      <c r="O2400">
        <v>0</v>
      </c>
      <c r="P2400">
        <v>5</v>
      </c>
      <c r="Q2400" t="s">
        <v>566</v>
      </c>
      <c r="R2400" t="s">
        <v>260</v>
      </c>
      <c r="S2400" t="str">
        <f t="shared" si="346"/>
        <v>PA</v>
      </c>
    </row>
    <row r="2401" spans="1:19" x14ac:dyDescent="0.3">
      <c r="A2401" t="s">
        <v>12</v>
      </c>
      <c r="B2401" t="s">
        <v>29</v>
      </c>
      <c r="C2401" t="s">
        <v>30</v>
      </c>
      <c r="E2401" t="s">
        <v>427</v>
      </c>
      <c r="F2401" t="s">
        <v>428</v>
      </c>
      <c r="G2401">
        <v>2</v>
      </c>
      <c r="H2401" t="s">
        <v>438</v>
      </c>
      <c r="I2401" s="4">
        <f t="shared" si="347"/>
        <v>3</v>
      </c>
      <c r="J2401">
        <f t="shared" si="348"/>
        <v>6</v>
      </c>
      <c r="K2401">
        <v>90</v>
      </c>
      <c r="L2401">
        <v>24</v>
      </c>
      <c r="M2401" s="2">
        <v>3.75</v>
      </c>
      <c r="N2401" s="2">
        <v>3.71</v>
      </c>
      <c r="O2401">
        <v>0</v>
      </c>
      <c r="P2401">
        <v>2</v>
      </c>
      <c r="Q2401" t="s">
        <v>559</v>
      </c>
      <c r="R2401" t="s">
        <v>260</v>
      </c>
      <c r="S2401" t="str">
        <f t="shared" si="346"/>
        <v>PA</v>
      </c>
    </row>
    <row r="2402" spans="1:19" x14ac:dyDescent="0.3">
      <c r="A2402" t="s">
        <v>12</v>
      </c>
      <c r="B2402" t="s">
        <v>29</v>
      </c>
      <c r="C2402" t="s">
        <v>30</v>
      </c>
      <c r="E2402" t="s">
        <v>370</v>
      </c>
      <c r="F2402" t="s">
        <v>371</v>
      </c>
      <c r="G2402">
        <v>2</v>
      </c>
      <c r="H2402" t="s">
        <v>438</v>
      </c>
      <c r="I2402" s="4">
        <f t="shared" si="347"/>
        <v>3</v>
      </c>
      <c r="J2402">
        <f t="shared" si="348"/>
        <v>6</v>
      </c>
      <c r="K2402">
        <v>26</v>
      </c>
      <c r="L2402">
        <v>12</v>
      </c>
      <c r="M2402" s="2">
        <v>2.17</v>
      </c>
      <c r="N2402" s="2">
        <v>3.71</v>
      </c>
      <c r="O2402">
        <v>0</v>
      </c>
      <c r="P2402">
        <v>5</v>
      </c>
      <c r="Q2402" t="s">
        <v>566</v>
      </c>
      <c r="R2402" t="s">
        <v>260</v>
      </c>
      <c r="S2402" t="str">
        <f t="shared" si="346"/>
        <v>PA</v>
      </c>
    </row>
    <row r="2403" spans="1:19" x14ac:dyDescent="0.3">
      <c r="A2403" t="s">
        <v>12</v>
      </c>
      <c r="B2403" t="s">
        <v>29</v>
      </c>
      <c r="C2403" t="s">
        <v>30</v>
      </c>
      <c r="E2403" t="s">
        <v>387</v>
      </c>
      <c r="F2403" t="s">
        <v>388</v>
      </c>
      <c r="G2403">
        <v>2</v>
      </c>
      <c r="H2403" t="s">
        <v>438</v>
      </c>
      <c r="I2403" s="4">
        <f t="shared" si="347"/>
        <v>3</v>
      </c>
      <c r="J2403">
        <f t="shared" si="348"/>
        <v>6</v>
      </c>
      <c r="K2403">
        <v>72</v>
      </c>
      <c r="L2403">
        <v>20</v>
      </c>
      <c r="M2403" s="2">
        <v>3.6</v>
      </c>
      <c r="N2403" s="2">
        <v>3.71</v>
      </c>
      <c r="O2403">
        <v>0</v>
      </c>
      <c r="P2403">
        <v>4</v>
      </c>
      <c r="Q2403" t="s">
        <v>565</v>
      </c>
      <c r="R2403" t="s">
        <v>260</v>
      </c>
      <c r="S2403" t="str">
        <f t="shared" si="346"/>
        <v>PA</v>
      </c>
    </row>
    <row r="2404" spans="1:19" x14ac:dyDescent="0.3">
      <c r="A2404" t="s">
        <v>12</v>
      </c>
      <c r="B2404" t="s">
        <v>29</v>
      </c>
      <c r="C2404" t="s">
        <v>30</v>
      </c>
      <c r="E2404" t="s">
        <v>432</v>
      </c>
      <c r="F2404" t="s">
        <v>433</v>
      </c>
      <c r="G2404">
        <v>4</v>
      </c>
      <c r="H2404" t="s">
        <v>438</v>
      </c>
      <c r="I2404" s="4">
        <f t="shared" si="347"/>
        <v>3</v>
      </c>
      <c r="J2404">
        <f t="shared" si="348"/>
        <v>12</v>
      </c>
      <c r="K2404">
        <v>72</v>
      </c>
      <c r="L2404">
        <v>20</v>
      </c>
      <c r="M2404" s="2">
        <v>3.6</v>
      </c>
      <c r="N2404" s="2">
        <v>3.71</v>
      </c>
      <c r="O2404">
        <v>0</v>
      </c>
      <c r="P2404">
        <v>4</v>
      </c>
      <c r="Q2404" t="s">
        <v>565</v>
      </c>
      <c r="R2404" t="s">
        <v>260</v>
      </c>
      <c r="S2404" t="str">
        <f t="shared" si="346"/>
        <v>PA</v>
      </c>
    </row>
    <row r="2405" spans="1:19" x14ac:dyDescent="0.3">
      <c r="A2405" t="s">
        <v>12</v>
      </c>
      <c r="B2405" t="s">
        <v>29</v>
      </c>
      <c r="C2405" t="s">
        <v>30</v>
      </c>
      <c r="E2405" t="s">
        <v>293</v>
      </c>
      <c r="F2405" t="s">
        <v>294</v>
      </c>
      <c r="G2405">
        <v>2</v>
      </c>
      <c r="H2405" t="s">
        <v>438</v>
      </c>
      <c r="I2405" s="4">
        <f t="shared" si="347"/>
        <v>3</v>
      </c>
      <c r="J2405">
        <f t="shared" si="348"/>
        <v>6</v>
      </c>
      <c r="K2405">
        <v>72</v>
      </c>
      <c r="L2405">
        <v>22</v>
      </c>
      <c r="M2405" s="2">
        <v>3.27</v>
      </c>
      <c r="N2405" s="2">
        <v>3.71</v>
      </c>
      <c r="O2405">
        <v>0</v>
      </c>
      <c r="P2405">
        <v>3</v>
      </c>
      <c r="Q2405" t="s">
        <v>563</v>
      </c>
      <c r="R2405" t="s">
        <v>260</v>
      </c>
      <c r="S2405" t="str">
        <f t="shared" si="346"/>
        <v>PA</v>
      </c>
    </row>
    <row r="2406" spans="1:19" x14ac:dyDescent="0.3">
      <c r="A2406" t="s">
        <v>12</v>
      </c>
      <c r="B2406" t="s">
        <v>29</v>
      </c>
      <c r="C2406" t="s">
        <v>30</v>
      </c>
      <c r="E2406" t="s">
        <v>330</v>
      </c>
      <c r="F2406" t="s">
        <v>108</v>
      </c>
      <c r="G2406">
        <v>2</v>
      </c>
      <c r="H2406" t="s">
        <v>438</v>
      </c>
      <c r="I2406" s="4">
        <f t="shared" si="347"/>
        <v>3</v>
      </c>
      <c r="J2406">
        <f t="shared" si="348"/>
        <v>6</v>
      </c>
      <c r="K2406">
        <v>26</v>
      </c>
      <c r="L2406">
        <v>12</v>
      </c>
      <c r="M2406" s="2">
        <v>2.17</v>
      </c>
      <c r="N2406" s="2">
        <v>3.71</v>
      </c>
      <c r="O2406">
        <v>0</v>
      </c>
      <c r="P2406">
        <v>5</v>
      </c>
      <c r="Q2406" t="s">
        <v>566</v>
      </c>
      <c r="R2406" t="s">
        <v>260</v>
      </c>
      <c r="S2406" t="str">
        <f t="shared" si="346"/>
        <v>PA</v>
      </c>
    </row>
    <row r="2407" spans="1:19" x14ac:dyDescent="0.3">
      <c r="A2407" t="s">
        <v>12</v>
      </c>
      <c r="B2407" t="s">
        <v>29</v>
      </c>
      <c r="C2407" t="s">
        <v>30</v>
      </c>
      <c r="E2407" t="s">
        <v>248</v>
      </c>
      <c r="F2407" t="s">
        <v>249</v>
      </c>
      <c r="G2407">
        <v>2</v>
      </c>
      <c r="H2407" t="s">
        <v>438</v>
      </c>
      <c r="I2407" s="4">
        <f t="shared" si="347"/>
        <v>3</v>
      </c>
      <c r="J2407">
        <f t="shared" si="348"/>
        <v>6</v>
      </c>
      <c r="K2407">
        <v>72</v>
      </c>
      <c r="L2407">
        <v>20</v>
      </c>
      <c r="M2407" s="2">
        <v>3.6</v>
      </c>
      <c r="N2407" s="2">
        <v>3.71</v>
      </c>
      <c r="O2407">
        <v>0</v>
      </c>
      <c r="P2407">
        <v>4</v>
      </c>
      <c r="Q2407" t="s">
        <v>565</v>
      </c>
      <c r="R2407" t="s">
        <v>260</v>
      </c>
      <c r="S2407" t="str">
        <f t="shared" si="346"/>
        <v>PA</v>
      </c>
    </row>
    <row r="2408" spans="1:19" x14ac:dyDescent="0.3">
      <c r="A2408" t="s">
        <v>12</v>
      </c>
      <c r="B2408" t="s">
        <v>29</v>
      </c>
      <c r="C2408" t="s">
        <v>30</v>
      </c>
      <c r="E2408" t="s">
        <v>446</v>
      </c>
      <c r="F2408" t="s">
        <v>447</v>
      </c>
      <c r="G2408">
        <v>2</v>
      </c>
      <c r="H2408" t="s">
        <v>438</v>
      </c>
      <c r="I2408" s="4">
        <f t="shared" si="347"/>
        <v>3</v>
      </c>
      <c r="J2408">
        <f t="shared" si="348"/>
        <v>6</v>
      </c>
      <c r="K2408">
        <v>90</v>
      </c>
      <c r="L2408">
        <v>24</v>
      </c>
      <c r="M2408" s="2">
        <v>3.75</v>
      </c>
      <c r="N2408" s="2">
        <v>3.71</v>
      </c>
      <c r="O2408">
        <v>0</v>
      </c>
      <c r="P2408">
        <v>2</v>
      </c>
      <c r="Q2408" t="s">
        <v>559</v>
      </c>
      <c r="R2408" t="s">
        <v>260</v>
      </c>
      <c r="S2408" t="str">
        <f t="shared" si="346"/>
        <v>PA</v>
      </c>
    </row>
    <row r="2409" spans="1:19" x14ac:dyDescent="0.3">
      <c r="A2409" t="s">
        <v>12</v>
      </c>
      <c r="B2409" t="s">
        <v>29</v>
      </c>
      <c r="C2409" t="s">
        <v>30</v>
      </c>
      <c r="E2409" t="s">
        <v>244</v>
      </c>
      <c r="F2409" t="s">
        <v>228</v>
      </c>
      <c r="G2409">
        <v>2</v>
      </c>
      <c r="H2409" t="s">
        <v>438</v>
      </c>
      <c r="I2409" s="4">
        <f t="shared" si="347"/>
        <v>3</v>
      </c>
      <c r="J2409">
        <f t="shared" si="348"/>
        <v>6</v>
      </c>
      <c r="K2409">
        <v>90</v>
      </c>
      <c r="L2409">
        <v>24</v>
      </c>
      <c r="M2409" s="2">
        <v>3.75</v>
      </c>
      <c r="N2409" s="2">
        <v>3.71</v>
      </c>
      <c r="O2409">
        <v>0</v>
      </c>
      <c r="P2409">
        <v>2</v>
      </c>
      <c r="Q2409" t="s">
        <v>559</v>
      </c>
      <c r="R2409" t="s">
        <v>260</v>
      </c>
      <c r="S2409" t="str">
        <f t="shared" si="346"/>
        <v>PA</v>
      </c>
    </row>
    <row r="2410" spans="1:19" x14ac:dyDescent="0.3">
      <c r="A2410" t="s">
        <v>12</v>
      </c>
      <c r="B2410" t="s">
        <v>29</v>
      </c>
      <c r="C2410" t="s">
        <v>30</v>
      </c>
      <c r="E2410" t="s">
        <v>14</v>
      </c>
      <c r="F2410" t="s">
        <v>15</v>
      </c>
      <c r="G2410">
        <v>2</v>
      </c>
      <c r="H2410" t="s">
        <v>438</v>
      </c>
      <c r="I2410" s="4">
        <f t="shared" si="347"/>
        <v>3</v>
      </c>
      <c r="J2410">
        <f t="shared" si="348"/>
        <v>6</v>
      </c>
      <c r="K2410">
        <v>6</v>
      </c>
      <c r="L2410">
        <v>2</v>
      </c>
      <c r="M2410" s="2">
        <v>3</v>
      </c>
      <c r="N2410" s="2">
        <v>3.71</v>
      </c>
      <c r="O2410">
        <v>0</v>
      </c>
      <c r="P2410">
        <v>7</v>
      </c>
      <c r="Q2410" t="s">
        <v>568</v>
      </c>
      <c r="R2410" t="s">
        <v>260</v>
      </c>
      <c r="S2410" t="str">
        <f t="shared" si="346"/>
        <v>PA</v>
      </c>
    </row>
    <row r="2411" spans="1:19" x14ac:dyDescent="0.3">
      <c r="A2411" t="s">
        <v>12</v>
      </c>
      <c r="B2411" t="s">
        <v>29</v>
      </c>
      <c r="C2411" t="s">
        <v>30</v>
      </c>
      <c r="E2411" t="s">
        <v>437</v>
      </c>
      <c r="F2411" t="s">
        <v>169</v>
      </c>
      <c r="G2411">
        <v>4</v>
      </c>
      <c r="H2411" t="s">
        <v>438</v>
      </c>
      <c r="I2411" s="4">
        <f t="shared" si="347"/>
        <v>3</v>
      </c>
      <c r="J2411">
        <f t="shared" si="348"/>
        <v>12</v>
      </c>
      <c r="K2411">
        <v>72</v>
      </c>
      <c r="L2411">
        <v>22</v>
      </c>
      <c r="M2411" s="2">
        <v>3.27</v>
      </c>
      <c r="N2411" s="2">
        <v>3.71</v>
      </c>
      <c r="O2411">
        <v>0</v>
      </c>
      <c r="P2411">
        <v>3</v>
      </c>
      <c r="Q2411" t="s">
        <v>563</v>
      </c>
      <c r="R2411" t="s">
        <v>260</v>
      </c>
      <c r="S2411" t="str">
        <f t="shared" si="346"/>
        <v>PA</v>
      </c>
    </row>
    <row r="2412" spans="1:19" x14ac:dyDescent="0.3">
      <c r="A2412" t="s">
        <v>12</v>
      </c>
      <c r="B2412" t="s">
        <v>29</v>
      </c>
      <c r="C2412" t="s">
        <v>30</v>
      </c>
      <c r="E2412" t="s">
        <v>236</v>
      </c>
      <c r="F2412" t="s">
        <v>237</v>
      </c>
      <c r="G2412">
        <v>2</v>
      </c>
      <c r="H2412" t="s">
        <v>438</v>
      </c>
      <c r="I2412" s="4">
        <f t="shared" si="347"/>
        <v>3</v>
      </c>
      <c r="J2412">
        <f t="shared" si="348"/>
        <v>6</v>
      </c>
      <c r="K2412">
        <v>72</v>
      </c>
      <c r="L2412">
        <v>22</v>
      </c>
      <c r="M2412" s="2">
        <v>3.27</v>
      </c>
      <c r="N2412" s="2">
        <v>3.71</v>
      </c>
      <c r="O2412">
        <v>0</v>
      </c>
      <c r="P2412">
        <v>3</v>
      </c>
      <c r="Q2412" t="s">
        <v>563</v>
      </c>
      <c r="R2412" t="s">
        <v>260</v>
      </c>
      <c r="S2412" t="str">
        <f t="shared" si="346"/>
        <v>PA</v>
      </c>
    </row>
    <row r="2413" spans="1:19" x14ac:dyDescent="0.3">
      <c r="A2413" t="s">
        <v>12</v>
      </c>
      <c r="B2413" t="s">
        <v>29</v>
      </c>
      <c r="C2413" t="s">
        <v>30</v>
      </c>
      <c r="E2413" t="s">
        <v>382</v>
      </c>
      <c r="F2413" t="s">
        <v>383</v>
      </c>
      <c r="G2413">
        <v>4</v>
      </c>
      <c r="H2413" t="s">
        <v>438</v>
      </c>
      <c r="I2413" s="4">
        <f t="shared" si="347"/>
        <v>3</v>
      </c>
      <c r="J2413">
        <f t="shared" si="348"/>
        <v>12</v>
      </c>
      <c r="K2413">
        <v>72</v>
      </c>
      <c r="L2413">
        <v>22</v>
      </c>
      <c r="M2413" s="2">
        <v>3.27</v>
      </c>
      <c r="N2413" s="2">
        <v>3.71</v>
      </c>
      <c r="O2413">
        <v>0</v>
      </c>
      <c r="P2413">
        <v>3</v>
      </c>
      <c r="Q2413" t="s">
        <v>563</v>
      </c>
      <c r="R2413" t="s">
        <v>260</v>
      </c>
      <c r="S2413" t="str">
        <f t="shared" si="346"/>
        <v>PA</v>
      </c>
    </row>
    <row r="2414" spans="1:19" x14ac:dyDescent="0.3">
      <c r="A2414" t="s">
        <v>12</v>
      </c>
      <c r="B2414" t="s">
        <v>29</v>
      </c>
      <c r="C2414" t="s">
        <v>30</v>
      </c>
      <c r="E2414" t="s">
        <v>170</v>
      </c>
      <c r="F2414" t="s">
        <v>171</v>
      </c>
      <c r="G2414">
        <v>4</v>
      </c>
      <c r="H2414" t="s">
        <v>539</v>
      </c>
      <c r="I2414" s="4">
        <f t="shared" si="347"/>
        <v>0</v>
      </c>
      <c r="J2414">
        <f t="shared" si="348"/>
        <v>0</v>
      </c>
      <c r="K2414">
        <v>26</v>
      </c>
      <c r="L2414">
        <v>12</v>
      </c>
      <c r="M2414" s="2">
        <v>2.17</v>
      </c>
      <c r="N2414" s="2">
        <v>3.71</v>
      </c>
      <c r="O2414">
        <v>0</v>
      </c>
      <c r="P2414">
        <v>5</v>
      </c>
      <c r="Q2414" t="s">
        <v>566</v>
      </c>
      <c r="R2414" t="s">
        <v>260</v>
      </c>
      <c r="S2414" t="str">
        <f t="shared" si="346"/>
        <v>FA</v>
      </c>
    </row>
    <row r="2415" spans="1:19" x14ac:dyDescent="0.3">
      <c r="A2415" t="s">
        <v>12</v>
      </c>
      <c r="B2415" t="s">
        <v>29</v>
      </c>
      <c r="C2415" t="s">
        <v>30</v>
      </c>
      <c r="E2415" t="s">
        <v>170</v>
      </c>
      <c r="F2415" t="s">
        <v>171</v>
      </c>
      <c r="G2415">
        <v>4</v>
      </c>
      <c r="H2415" t="s">
        <v>260</v>
      </c>
      <c r="I2415" s="4">
        <f t="shared" si="347"/>
        <v>4</v>
      </c>
      <c r="J2415">
        <f t="shared" si="348"/>
        <v>16</v>
      </c>
      <c r="K2415">
        <v>16</v>
      </c>
      <c r="L2415">
        <v>4</v>
      </c>
      <c r="M2415" s="2">
        <v>4</v>
      </c>
      <c r="N2415" s="2">
        <v>3.71</v>
      </c>
      <c r="O2415">
        <v>1</v>
      </c>
      <c r="P2415">
        <v>6</v>
      </c>
      <c r="Q2415" s="4" t="s">
        <v>572</v>
      </c>
      <c r="R2415" t="s">
        <v>260</v>
      </c>
      <c r="S2415" t="str">
        <f t="shared" si="346"/>
        <v>PA</v>
      </c>
    </row>
    <row r="2416" spans="1:19" x14ac:dyDescent="0.3">
      <c r="A2416" t="s">
        <v>12</v>
      </c>
      <c r="B2416" t="s">
        <v>47</v>
      </c>
      <c r="C2416" t="s">
        <v>48</v>
      </c>
      <c r="E2416" t="s">
        <v>31</v>
      </c>
      <c r="F2416" t="s">
        <v>20</v>
      </c>
      <c r="G2416">
        <v>4</v>
      </c>
      <c r="J2416">
        <v>0</v>
      </c>
      <c r="K2416">
        <v>0</v>
      </c>
      <c r="L2416">
        <v>0</v>
      </c>
      <c r="M2416" s="2" t="s">
        <v>574</v>
      </c>
      <c r="N2416" s="2">
        <v>2.87</v>
      </c>
      <c r="O2416">
        <v>0</v>
      </c>
      <c r="P2416">
        <v>8</v>
      </c>
      <c r="Q2416" t="s">
        <v>569</v>
      </c>
      <c r="R2416" s="7"/>
      <c r="S2416" t="s">
        <v>595</v>
      </c>
    </row>
    <row r="2417" spans="1:19" x14ac:dyDescent="0.3">
      <c r="A2417" t="s">
        <v>12</v>
      </c>
      <c r="B2417" t="s">
        <v>47</v>
      </c>
      <c r="C2417" t="s">
        <v>48</v>
      </c>
      <c r="E2417" t="s">
        <v>14</v>
      </c>
      <c r="F2417" t="s">
        <v>15</v>
      </c>
      <c r="G2417">
        <v>2</v>
      </c>
      <c r="J2417">
        <v>0</v>
      </c>
      <c r="K2417">
        <v>8</v>
      </c>
      <c r="L2417">
        <v>4</v>
      </c>
      <c r="M2417" s="2">
        <v>2</v>
      </c>
      <c r="N2417" s="2">
        <v>2.87</v>
      </c>
      <c r="O2417">
        <v>0</v>
      </c>
      <c r="P2417">
        <v>7</v>
      </c>
      <c r="Q2417" t="s">
        <v>568</v>
      </c>
      <c r="R2417" t="s">
        <v>260</v>
      </c>
      <c r="S2417" t="s">
        <v>595</v>
      </c>
    </row>
    <row r="2418" spans="1:19" x14ac:dyDescent="0.3">
      <c r="A2418" t="s">
        <v>12</v>
      </c>
      <c r="B2418" t="s">
        <v>47</v>
      </c>
      <c r="C2418" t="s">
        <v>48</v>
      </c>
      <c r="E2418" t="s">
        <v>14</v>
      </c>
      <c r="F2418" t="s">
        <v>15</v>
      </c>
      <c r="G2418">
        <v>2</v>
      </c>
      <c r="J2418">
        <v>0</v>
      </c>
      <c r="K2418">
        <v>0</v>
      </c>
      <c r="L2418">
        <v>0</v>
      </c>
      <c r="M2418" s="2" t="s">
        <v>574</v>
      </c>
      <c r="N2418" s="2">
        <v>2.87</v>
      </c>
      <c r="O2418">
        <v>1</v>
      </c>
      <c r="P2418">
        <v>8</v>
      </c>
      <c r="Q2418" t="s">
        <v>569</v>
      </c>
      <c r="S2418" t="s">
        <v>595</v>
      </c>
    </row>
    <row r="2419" spans="1:19" x14ac:dyDescent="0.3">
      <c r="A2419" t="s">
        <v>12</v>
      </c>
      <c r="B2419" t="s">
        <v>47</v>
      </c>
      <c r="C2419" t="s">
        <v>48</v>
      </c>
      <c r="E2419" t="s">
        <v>170</v>
      </c>
      <c r="F2419" t="s">
        <v>171</v>
      </c>
      <c r="G2419">
        <v>4</v>
      </c>
      <c r="H2419" t="s">
        <v>524</v>
      </c>
      <c r="I2419" s="4">
        <f>IF(H2419="A",4,IF(H2419="B",3,IF(H2419="C",2,IF(H2419="D",1,0))))</f>
        <v>2</v>
      </c>
      <c r="J2419">
        <f>G2419*I2419</f>
        <v>8</v>
      </c>
      <c r="K2419">
        <v>8</v>
      </c>
      <c r="L2419">
        <v>4</v>
      </c>
      <c r="M2419" s="2">
        <v>2</v>
      </c>
      <c r="N2419" s="2">
        <v>2.87</v>
      </c>
      <c r="O2419">
        <v>1</v>
      </c>
      <c r="P2419">
        <v>7</v>
      </c>
      <c r="Q2419" t="s">
        <v>568</v>
      </c>
      <c r="R2419" t="s">
        <v>260</v>
      </c>
      <c r="S2419" t="str">
        <f>IF(OR(H2419="A",H2419="B",H2419="C"),"PA","FA")</f>
        <v>PA</v>
      </c>
    </row>
    <row r="2420" spans="1:19" x14ac:dyDescent="0.3">
      <c r="A2420" t="s">
        <v>12</v>
      </c>
      <c r="B2420" t="s">
        <v>47</v>
      </c>
      <c r="C2420" t="s">
        <v>48</v>
      </c>
      <c r="E2420" t="s">
        <v>170</v>
      </c>
      <c r="F2420" t="s">
        <v>171</v>
      </c>
      <c r="G2420">
        <v>4</v>
      </c>
      <c r="I2420" s="4"/>
      <c r="J2420">
        <f>G2420*I2420</f>
        <v>0</v>
      </c>
      <c r="K2420">
        <v>24</v>
      </c>
      <c r="L2420">
        <v>8</v>
      </c>
      <c r="M2420" s="2">
        <v>3</v>
      </c>
      <c r="N2420" s="2">
        <v>2.87</v>
      </c>
      <c r="O2420">
        <v>0</v>
      </c>
      <c r="P2420">
        <v>5</v>
      </c>
      <c r="Q2420" t="s">
        <v>566</v>
      </c>
      <c r="R2420" t="s">
        <v>260</v>
      </c>
      <c r="S2420" t="s">
        <v>595</v>
      </c>
    </row>
    <row r="2421" spans="1:19" x14ac:dyDescent="0.3">
      <c r="A2421" t="s">
        <v>12</v>
      </c>
      <c r="B2421" t="s">
        <v>47</v>
      </c>
      <c r="C2421" t="s">
        <v>48</v>
      </c>
      <c r="E2421" t="s">
        <v>248</v>
      </c>
      <c r="F2421" t="s">
        <v>249</v>
      </c>
      <c r="G2421">
        <v>2</v>
      </c>
      <c r="J2421">
        <v>0</v>
      </c>
      <c r="K2421">
        <v>54</v>
      </c>
      <c r="L2421">
        <v>18</v>
      </c>
      <c r="M2421" s="2">
        <v>3</v>
      </c>
      <c r="N2421" s="2">
        <v>2.87</v>
      </c>
      <c r="O2421">
        <v>0</v>
      </c>
      <c r="P2421">
        <v>4</v>
      </c>
      <c r="Q2421" t="s">
        <v>565</v>
      </c>
      <c r="R2421" t="s">
        <v>260</v>
      </c>
      <c r="S2421" t="s">
        <v>595</v>
      </c>
    </row>
    <row r="2422" spans="1:19" x14ac:dyDescent="0.3">
      <c r="A2422" t="s">
        <v>12</v>
      </c>
      <c r="B2422" t="s">
        <v>47</v>
      </c>
      <c r="C2422" t="s">
        <v>48</v>
      </c>
      <c r="E2422" t="s">
        <v>248</v>
      </c>
      <c r="F2422" t="s">
        <v>249</v>
      </c>
      <c r="G2422">
        <v>2</v>
      </c>
      <c r="H2422" t="s">
        <v>438</v>
      </c>
      <c r="I2422" s="4">
        <f t="shared" ref="I2422" si="349">IF(H2422="A",4,IF(H2422="B",3,IF(H2422="C",2,IF(H2422="D",1,0))))</f>
        <v>3</v>
      </c>
      <c r="J2422">
        <f t="shared" ref="J2422" si="350">G2422*I2422</f>
        <v>6</v>
      </c>
      <c r="K2422">
        <v>14</v>
      </c>
      <c r="L2422">
        <v>6</v>
      </c>
      <c r="M2422" s="2">
        <v>2.33</v>
      </c>
      <c r="N2422" s="2">
        <v>2.87</v>
      </c>
      <c r="O2422">
        <v>1</v>
      </c>
      <c r="P2422">
        <v>6</v>
      </c>
      <c r="Q2422" t="s">
        <v>567</v>
      </c>
      <c r="R2422" t="s">
        <v>260</v>
      </c>
      <c r="S2422" t="str">
        <f t="shared" ref="S2422:S2485" si="351">IF(OR(H2422="A",H2422="B",H2422="C"),"PA","FA")</f>
        <v>PA</v>
      </c>
    </row>
    <row r="2423" spans="1:19" x14ac:dyDescent="0.3">
      <c r="A2423" t="s">
        <v>12</v>
      </c>
      <c r="B2423" t="s">
        <v>47</v>
      </c>
      <c r="C2423" t="s">
        <v>48</v>
      </c>
      <c r="E2423" t="s">
        <v>273</v>
      </c>
      <c r="F2423" t="s">
        <v>274</v>
      </c>
      <c r="G2423">
        <v>2</v>
      </c>
      <c r="H2423" t="s">
        <v>260</v>
      </c>
      <c r="I2423" s="4">
        <f t="shared" ref="I2423:I2486" si="352">IF(H2423="A",4,IF(H2423="B",3,IF(H2423="C",2,IF(H2423="D",1,0))))</f>
        <v>4</v>
      </c>
      <c r="J2423">
        <f t="shared" ref="J2423:J2486" si="353">G2423*I2423</f>
        <v>8</v>
      </c>
      <c r="K2423">
        <v>74</v>
      </c>
      <c r="L2423">
        <v>24</v>
      </c>
      <c r="M2423" s="2">
        <v>3.08</v>
      </c>
      <c r="N2423" s="2">
        <v>2.87</v>
      </c>
      <c r="O2423">
        <v>0</v>
      </c>
      <c r="P2423">
        <v>2</v>
      </c>
      <c r="Q2423" t="s">
        <v>559</v>
      </c>
      <c r="R2423" t="s">
        <v>260</v>
      </c>
      <c r="S2423" t="str">
        <f t="shared" si="351"/>
        <v>PA</v>
      </c>
    </row>
    <row r="2424" spans="1:19" x14ac:dyDescent="0.3">
      <c r="A2424" t="s">
        <v>12</v>
      </c>
      <c r="B2424" t="s">
        <v>47</v>
      </c>
      <c r="C2424" t="s">
        <v>48</v>
      </c>
      <c r="E2424" t="s">
        <v>344</v>
      </c>
      <c r="F2424" t="s">
        <v>345</v>
      </c>
      <c r="G2424">
        <v>2</v>
      </c>
      <c r="H2424" t="s">
        <v>260</v>
      </c>
      <c r="I2424" s="4">
        <f t="shared" si="352"/>
        <v>4</v>
      </c>
      <c r="J2424">
        <f t="shared" si="353"/>
        <v>8</v>
      </c>
      <c r="K2424">
        <v>24</v>
      </c>
      <c r="L2424">
        <v>8</v>
      </c>
      <c r="M2424" s="2">
        <v>3</v>
      </c>
      <c r="N2424" s="2">
        <v>2.87</v>
      </c>
      <c r="O2424">
        <v>0</v>
      </c>
      <c r="P2424">
        <v>5</v>
      </c>
      <c r="Q2424" t="s">
        <v>566</v>
      </c>
      <c r="R2424" t="s">
        <v>260</v>
      </c>
      <c r="S2424" t="str">
        <f t="shared" si="351"/>
        <v>PA</v>
      </c>
    </row>
    <row r="2425" spans="1:19" x14ac:dyDescent="0.3">
      <c r="A2425" t="s">
        <v>12</v>
      </c>
      <c r="B2425" t="s">
        <v>47</v>
      </c>
      <c r="C2425" t="s">
        <v>48</v>
      </c>
      <c r="E2425" t="s">
        <v>211</v>
      </c>
      <c r="F2425" t="s">
        <v>186</v>
      </c>
      <c r="G2425">
        <v>4</v>
      </c>
      <c r="H2425" t="s">
        <v>260</v>
      </c>
      <c r="I2425" s="4">
        <f t="shared" si="352"/>
        <v>4</v>
      </c>
      <c r="J2425">
        <f t="shared" si="353"/>
        <v>16</v>
      </c>
      <c r="K2425">
        <v>66</v>
      </c>
      <c r="L2425">
        <v>20</v>
      </c>
      <c r="M2425" s="2">
        <v>3.3</v>
      </c>
      <c r="N2425" s="2">
        <v>2.87</v>
      </c>
      <c r="O2425">
        <v>0</v>
      </c>
      <c r="P2425">
        <v>1</v>
      </c>
      <c r="Q2425" t="s">
        <v>558</v>
      </c>
      <c r="R2425" t="s">
        <v>260</v>
      </c>
      <c r="S2425" t="str">
        <f t="shared" si="351"/>
        <v>PA</v>
      </c>
    </row>
    <row r="2426" spans="1:19" x14ac:dyDescent="0.3">
      <c r="A2426" t="s">
        <v>12</v>
      </c>
      <c r="B2426" t="s">
        <v>47</v>
      </c>
      <c r="C2426" t="s">
        <v>48</v>
      </c>
      <c r="E2426" t="s">
        <v>264</v>
      </c>
      <c r="F2426" t="s">
        <v>265</v>
      </c>
      <c r="G2426">
        <v>2</v>
      </c>
      <c r="H2426" t="s">
        <v>260</v>
      </c>
      <c r="I2426" s="4">
        <f t="shared" si="352"/>
        <v>4</v>
      </c>
      <c r="J2426">
        <f t="shared" si="353"/>
        <v>8</v>
      </c>
      <c r="K2426">
        <v>66</v>
      </c>
      <c r="L2426">
        <v>20</v>
      </c>
      <c r="M2426" s="2">
        <v>3.3</v>
      </c>
      <c r="N2426" s="2">
        <v>2.87</v>
      </c>
      <c r="O2426">
        <v>0</v>
      </c>
      <c r="P2426">
        <v>1</v>
      </c>
      <c r="Q2426" t="s">
        <v>558</v>
      </c>
      <c r="R2426" t="s">
        <v>260</v>
      </c>
      <c r="S2426" t="str">
        <f t="shared" si="351"/>
        <v>PA</v>
      </c>
    </row>
    <row r="2427" spans="1:19" x14ac:dyDescent="0.3">
      <c r="A2427" t="s">
        <v>12</v>
      </c>
      <c r="B2427" t="s">
        <v>47</v>
      </c>
      <c r="C2427" t="s">
        <v>48</v>
      </c>
      <c r="E2427" t="s">
        <v>348</v>
      </c>
      <c r="F2427" t="s">
        <v>349</v>
      </c>
      <c r="G2427">
        <v>4</v>
      </c>
      <c r="H2427" t="s">
        <v>260</v>
      </c>
      <c r="I2427" s="4">
        <f t="shared" si="352"/>
        <v>4</v>
      </c>
      <c r="J2427">
        <f t="shared" si="353"/>
        <v>16</v>
      </c>
      <c r="K2427">
        <v>74</v>
      </c>
      <c r="L2427">
        <v>24</v>
      </c>
      <c r="M2427" s="2">
        <v>3.08</v>
      </c>
      <c r="N2427" s="2">
        <v>2.87</v>
      </c>
      <c r="O2427">
        <v>0</v>
      </c>
      <c r="P2427">
        <v>2</v>
      </c>
      <c r="Q2427" t="s">
        <v>559</v>
      </c>
      <c r="R2427" t="s">
        <v>260</v>
      </c>
      <c r="S2427" t="str">
        <f t="shared" si="351"/>
        <v>PA</v>
      </c>
    </row>
    <row r="2428" spans="1:19" x14ac:dyDescent="0.3">
      <c r="A2428" t="s">
        <v>12</v>
      </c>
      <c r="B2428" t="s">
        <v>47</v>
      </c>
      <c r="C2428" t="s">
        <v>48</v>
      </c>
      <c r="E2428" t="s">
        <v>100</v>
      </c>
      <c r="F2428" t="s">
        <v>101</v>
      </c>
      <c r="G2428">
        <v>4</v>
      </c>
      <c r="H2428" t="s">
        <v>260</v>
      </c>
      <c r="I2428" s="4">
        <f t="shared" si="352"/>
        <v>4</v>
      </c>
      <c r="J2428">
        <f t="shared" si="353"/>
        <v>16</v>
      </c>
      <c r="K2428">
        <v>54</v>
      </c>
      <c r="L2428">
        <v>18</v>
      </c>
      <c r="M2428" s="2">
        <v>3</v>
      </c>
      <c r="N2428" s="2">
        <v>2.87</v>
      </c>
      <c r="O2428">
        <v>0</v>
      </c>
      <c r="P2428">
        <v>4</v>
      </c>
      <c r="Q2428" t="s">
        <v>565</v>
      </c>
      <c r="R2428" t="s">
        <v>260</v>
      </c>
      <c r="S2428" t="str">
        <f t="shared" si="351"/>
        <v>PA</v>
      </c>
    </row>
    <row r="2429" spans="1:19" x14ac:dyDescent="0.3">
      <c r="A2429" t="s">
        <v>12</v>
      </c>
      <c r="B2429" t="s">
        <v>47</v>
      </c>
      <c r="C2429" t="s">
        <v>48</v>
      </c>
      <c r="E2429" t="s">
        <v>241</v>
      </c>
      <c r="F2429" s="1" t="s">
        <v>45</v>
      </c>
      <c r="G2429">
        <v>2</v>
      </c>
      <c r="H2429" t="s">
        <v>438</v>
      </c>
      <c r="I2429" s="4">
        <f t="shared" si="352"/>
        <v>3</v>
      </c>
      <c r="J2429">
        <f t="shared" si="353"/>
        <v>6</v>
      </c>
      <c r="K2429">
        <v>90</v>
      </c>
      <c r="L2429">
        <v>36</v>
      </c>
      <c r="M2429" s="2">
        <v>3.3</v>
      </c>
      <c r="N2429" s="2">
        <v>2.87</v>
      </c>
      <c r="O2429">
        <v>0</v>
      </c>
      <c r="P2429">
        <v>1</v>
      </c>
      <c r="Q2429" t="s">
        <v>558</v>
      </c>
      <c r="R2429" t="s">
        <v>260</v>
      </c>
      <c r="S2429" t="str">
        <f t="shared" si="351"/>
        <v>PA</v>
      </c>
    </row>
    <row r="2430" spans="1:19" x14ac:dyDescent="0.3">
      <c r="A2430" t="s">
        <v>12</v>
      </c>
      <c r="B2430" t="s">
        <v>47</v>
      </c>
      <c r="C2430" t="s">
        <v>48</v>
      </c>
      <c r="E2430" t="s">
        <v>262</v>
      </c>
      <c r="F2430" t="s">
        <v>263</v>
      </c>
      <c r="G2430">
        <v>2</v>
      </c>
      <c r="H2430" t="s">
        <v>438</v>
      </c>
      <c r="I2430" s="4">
        <f t="shared" si="352"/>
        <v>3</v>
      </c>
      <c r="J2430">
        <f t="shared" si="353"/>
        <v>6</v>
      </c>
      <c r="K2430">
        <v>54</v>
      </c>
      <c r="L2430">
        <v>18</v>
      </c>
      <c r="M2430" s="2">
        <v>3</v>
      </c>
      <c r="N2430" s="2">
        <v>2.87</v>
      </c>
      <c r="O2430">
        <v>0</v>
      </c>
      <c r="P2430">
        <v>4</v>
      </c>
      <c r="Q2430" t="s">
        <v>565</v>
      </c>
      <c r="R2430" t="s">
        <v>260</v>
      </c>
      <c r="S2430" t="str">
        <f t="shared" si="351"/>
        <v>PA</v>
      </c>
    </row>
    <row r="2431" spans="1:19" x14ac:dyDescent="0.3">
      <c r="A2431" t="s">
        <v>12</v>
      </c>
      <c r="B2431" t="s">
        <v>47</v>
      </c>
      <c r="C2431" t="s">
        <v>48</v>
      </c>
      <c r="E2431" t="s">
        <v>427</v>
      </c>
      <c r="F2431" t="s">
        <v>428</v>
      </c>
      <c r="G2431">
        <v>2</v>
      </c>
      <c r="H2431" t="s">
        <v>438</v>
      </c>
      <c r="I2431" s="4">
        <f t="shared" si="352"/>
        <v>3</v>
      </c>
      <c r="J2431">
        <f t="shared" si="353"/>
        <v>6</v>
      </c>
      <c r="K2431">
        <v>74</v>
      </c>
      <c r="L2431">
        <v>24</v>
      </c>
      <c r="M2431" s="2">
        <v>3.08</v>
      </c>
      <c r="N2431" s="2">
        <v>2.87</v>
      </c>
      <c r="O2431">
        <v>0</v>
      </c>
      <c r="P2431">
        <v>2</v>
      </c>
      <c r="Q2431" t="s">
        <v>559</v>
      </c>
      <c r="R2431" t="s">
        <v>260</v>
      </c>
      <c r="S2431" t="str">
        <f t="shared" si="351"/>
        <v>PA</v>
      </c>
    </row>
    <row r="2432" spans="1:19" x14ac:dyDescent="0.3">
      <c r="A2432" t="s">
        <v>12</v>
      </c>
      <c r="B2432" t="s">
        <v>47</v>
      </c>
      <c r="C2432" t="s">
        <v>48</v>
      </c>
      <c r="E2432" t="s">
        <v>283</v>
      </c>
      <c r="F2432" s="1" t="s">
        <v>284</v>
      </c>
      <c r="G2432">
        <v>2</v>
      </c>
      <c r="H2432" t="s">
        <v>438</v>
      </c>
      <c r="I2432" s="4">
        <f t="shared" si="352"/>
        <v>3</v>
      </c>
      <c r="J2432">
        <f t="shared" si="353"/>
        <v>6</v>
      </c>
      <c r="K2432">
        <v>90</v>
      </c>
      <c r="L2432">
        <v>36</v>
      </c>
      <c r="M2432" s="2">
        <v>3.3</v>
      </c>
      <c r="N2432" s="2">
        <v>2.87</v>
      </c>
      <c r="O2432">
        <v>0</v>
      </c>
      <c r="P2432">
        <v>1</v>
      </c>
      <c r="Q2432" t="s">
        <v>558</v>
      </c>
      <c r="R2432" t="s">
        <v>260</v>
      </c>
      <c r="S2432" t="str">
        <f t="shared" si="351"/>
        <v>PA</v>
      </c>
    </row>
    <row r="2433" spans="1:19" x14ac:dyDescent="0.3">
      <c r="A2433" t="s">
        <v>12</v>
      </c>
      <c r="B2433" t="s">
        <v>47</v>
      </c>
      <c r="C2433" t="s">
        <v>48</v>
      </c>
      <c r="E2433" t="s">
        <v>290</v>
      </c>
      <c r="F2433" t="s">
        <v>291</v>
      </c>
      <c r="G2433">
        <v>4</v>
      </c>
      <c r="H2433" t="s">
        <v>438</v>
      </c>
      <c r="I2433" s="4">
        <f t="shared" si="352"/>
        <v>3</v>
      </c>
      <c r="J2433">
        <f t="shared" si="353"/>
        <v>12</v>
      </c>
      <c r="K2433">
        <v>54</v>
      </c>
      <c r="L2433">
        <v>18</v>
      </c>
      <c r="M2433" s="2">
        <v>3</v>
      </c>
      <c r="N2433" s="2">
        <v>2.87</v>
      </c>
      <c r="O2433">
        <v>0</v>
      </c>
      <c r="P2433">
        <v>4</v>
      </c>
      <c r="Q2433" t="s">
        <v>565</v>
      </c>
      <c r="R2433" t="s">
        <v>260</v>
      </c>
      <c r="S2433" t="str">
        <f t="shared" si="351"/>
        <v>PA</v>
      </c>
    </row>
    <row r="2434" spans="1:19" x14ac:dyDescent="0.3">
      <c r="A2434" t="s">
        <v>12</v>
      </c>
      <c r="B2434" t="s">
        <v>47</v>
      </c>
      <c r="C2434" t="s">
        <v>48</v>
      </c>
      <c r="E2434" t="s">
        <v>437</v>
      </c>
      <c r="F2434" t="s">
        <v>169</v>
      </c>
      <c r="G2434">
        <v>4</v>
      </c>
      <c r="H2434" t="s">
        <v>438</v>
      </c>
      <c r="I2434" s="4">
        <f t="shared" si="352"/>
        <v>3</v>
      </c>
      <c r="J2434">
        <f t="shared" si="353"/>
        <v>12</v>
      </c>
      <c r="K2434">
        <v>64</v>
      </c>
      <c r="L2434">
        <v>22</v>
      </c>
      <c r="M2434" s="2">
        <v>2.91</v>
      </c>
      <c r="N2434" s="2">
        <v>2.87</v>
      </c>
      <c r="O2434">
        <v>0</v>
      </c>
      <c r="P2434">
        <v>3</v>
      </c>
      <c r="Q2434" t="s">
        <v>563</v>
      </c>
      <c r="R2434" t="s">
        <v>260</v>
      </c>
      <c r="S2434" t="str">
        <f t="shared" si="351"/>
        <v>PA</v>
      </c>
    </row>
    <row r="2435" spans="1:19" x14ac:dyDescent="0.3">
      <c r="A2435" t="s">
        <v>12</v>
      </c>
      <c r="B2435" t="s">
        <v>47</v>
      </c>
      <c r="C2435" t="s">
        <v>48</v>
      </c>
      <c r="E2435" t="s">
        <v>142</v>
      </c>
      <c r="F2435" t="s">
        <v>143</v>
      </c>
      <c r="G2435">
        <v>2</v>
      </c>
      <c r="H2435" t="s">
        <v>438</v>
      </c>
      <c r="I2435" s="4">
        <f t="shared" si="352"/>
        <v>3</v>
      </c>
      <c r="J2435">
        <f t="shared" si="353"/>
        <v>6</v>
      </c>
      <c r="K2435">
        <v>66</v>
      </c>
      <c r="L2435">
        <v>20</v>
      </c>
      <c r="M2435" s="2">
        <v>3.3</v>
      </c>
      <c r="N2435" s="2">
        <v>2.87</v>
      </c>
      <c r="O2435">
        <v>0</v>
      </c>
      <c r="P2435">
        <v>1</v>
      </c>
      <c r="Q2435" t="s">
        <v>558</v>
      </c>
      <c r="R2435" t="s">
        <v>260</v>
      </c>
      <c r="S2435" t="str">
        <f t="shared" si="351"/>
        <v>PA</v>
      </c>
    </row>
    <row r="2436" spans="1:19" x14ac:dyDescent="0.3">
      <c r="A2436" t="s">
        <v>12</v>
      </c>
      <c r="B2436" t="s">
        <v>47</v>
      </c>
      <c r="C2436" t="s">
        <v>48</v>
      </c>
      <c r="E2436" t="s">
        <v>334</v>
      </c>
      <c r="F2436" t="s">
        <v>335</v>
      </c>
      <c r="G2436">
        <v>2</v>
      </c>
      <c r="H2436" t="s">
        <v>438</v>
      </c>
      <c r="I2436" s="4">
        <f t="shared" si="352"/>
        <v>3</v>
      </c>
      <c r="J2436">
        <f t="shared" si="353"/>
        <v>6</v>
      </c>
      <c r="K2436">
        <v>64</v>
      </c>
      <c r="L2436">
        <v>22</v>
      </c>
      <c r="M2436" s="2">
        <v>2.91</v>
      </c>
      <c r="N2436" s="2">
        <v>2.87</v>
      </c>
      <c r="O2436">
        <v>0</v>
      </c>
      <c r="P2436">
        <v>3</v>
      </c>
      <c r="Q2436" t="s">
        <v>563</v>
      </c>
      <c r="R2436" t="s">
        <v>260</v>
      </c>
      <c r="S2436" t="str">
        <f t="shared" si="351"/>
        <v>PA</v>
      </c>
    </row>
    <row r="2437" spans="1:19" x14ac:dyDescent="0.3">
      <c r="A2437" t="s">
        <v>12</v>
      </c>
      <c r="B2437" t="s">
        <v>47</v>
      </c>
      <c r="C2437" t="s">
        <v>48</v>
      </c>
      <c r="E2437" t="s">
        <v>257</v>
      </c>
      <c r="F2437" s="1" t="s">
        <v>258</v>
      </c>
      <c r="G2437">
        <v>4</v>
      </c>
      <c r="H2437" t="s">
        <v>438</v>
      </c>
      <c r="I2437" s="4">
        <f t="shared" si="352"/>
        <v>3</v>
      </c>
      <c r="J2437">
        <f t="shared" si="353"/>
        <v>12</v>
      </c>
      <c r="K2437">
        <v>90</v>
      </c>
      <c r="L2437">
        <v>36</v>
      </c>
      <c r="M2437" s="2">
        <v>3.3</v>
      </c>
      <c r="N2437" s="2">
        <v>2.87</v>
      </c>
      <c r="O2437">
        <v>0</v>
      </c>
      <c r="P2437">
        <v>1</v>
      </c>
      <c r="Q2437" t="s">
        <v>558</v>
      </c>
      <c r="R2437" t="s">
        <v>260</v>
      </c>
      <c r="S2437" t="str">
        <f t="shared" si="351"/>
        <v>PA</v>
      </c>
    </row>
    <row r="2438" spans="1:19" x14ac:dyDescent="0.3">
      <c r="A2438" t="s">
        <v>12</v>
      </c>
      <c r="B2438" t="s">
        <v>47</v>
      </c>
      <c r="C2438" t="s">
        <v>48</v>
      </c>
      <c r="E2438" t="s">
        <v>190</v>
      </c>
      <c r="F2438" t="s">
        <v>191</v>
      </c>
      <c r="G2438">
        <v>4</v>
      </c>
      <c r="H2438" t="s">
        <v>438</v>
      </c>
      <c r="I2438" s="4">
        <f t="shared" si="352"/>
        <v>3</v>
      </c>
      <c r="J2438">
        <f t="shared" si="353"/>
        <v>12</v>
      </c>
      <c r="K2438">
        <v>66</v>
      </c>
      <c r="L2438">
        <v>20</v>
      </c>
      <c r="M2438" s="2">
        <v>3.3</v>
      </c>
      <c r="N2438" s="2">
        <v>2.87</v>
      </c>
      <c r="O2438">
        <v>0</v>
      </c>
      <c r="P2438">
        <v>1</v>
      </c>
      <c r="Q2438" t="s">
        <v>558</v>
      </c>
      <c r="R2438" t="s">
        <v>260</v>
      </c>
      <c r="S2438" t="str">
        <f t="shared" si="351"/>
        <v>PA</v>
      </c>
    </row>
    <row r="2439" spans="1:19" x14ac:dyDescent="0.3">
      <c r="A2439" t="s">
        <v>12</v>
      </c>
      <c r="B2439" t="s">
        <v>47</v>
      </c>
      <c r="C2439" t="s">
        <v>48</v>
      </c>
      <c r="E2439" t="s">
        <v>39</v>
      </c>
      <c r="F2439" t="s">
        <v>11</v>
      </c>
      <c r="G2439">
        <v>2</v>
      </c>
      <c r="H2439" t="s">
        <v>438</v>
      </c>
      <c r="I2439" s="4">
        <f t="shared" si="352"/>
        <v>3</v>
      </c>
      <c r="J2439">
        <f t="shared" si="353"/>
        <v>6</v>
      </c>
      <c r="K2439">
        <v>74</v>
      </c>
      <c r="L2439">
        <v>24</v>
      </c>
      <c r="M2439" s="2">
        <v>3.08</v>
      </c>
      <c r="N2439" s="2">
        <v>2.87</v>
      </c>
      <c r="O2439">
        <v>0</v>
      </c>
      <c r="P2439">
        <v>2</v>
      </c>
      <c r="Q2439" t="s">
        <v>559</v>
      </c>
      <c r="R2439" t="s">
        <v>260</v>
      </c>
      <c r="S2439" t="str">
        <f t="shared" si="351"/>
        <v>PA</v>
      </c>
    </row>
    <row r="2440" spans="1:19" x14ac:dyDescent="0.3">
      <c r="A2440" t="s">
        <v>12</v>
      </c>
      <c r="B2440" t="s">
        <v>47</v>
      </c>
      <c r="C2440" t="s">
        <v>48</v>
      </c>
      <c r="E2440" t="s">
        <v>103</v>
      </c>
      <c r="F2440" t="s">
        <v>104</v>
      </c>
      <c r="G2440">
        <v>4</v>
      </c>
      <c r="H2440" t="s">
        <v>438</v>
      </c>
      <c r="I2440" s="4">
        <f t="shared" si="352"/>
        <v>3</v>
      </c>
      <c r="J2440">
        <f t="shared" si="353"/>
        <v>12</v>
      </c>
      <c r="K2440">
        <v>74</v>
      </c>
      <c r="L2440">
        <v>24</v>
      </c>
      <c r="M2440" s="2">
        <v>3.08</v>
      </c>
      <c r="N2440" s="2">
        <v>2.87</v>
      </c>
      <c r="O2440">
        <v>0</v>
      </c>
      <c r="P2440">
        <v>2</v>
      </c>
      <c r="Q2440" t="s">
        <v>559</v>
      </c>
      <c r="R2440" t="s">
        <v>260</v>
      </c>
      <c r="S2440" t="str">
        <f t="shared" si="351"/>
        <v>PA</v>
      </c>
    </row>
    <row r="2441" spans="1:19" x14ac:dyDescent="0.3">
      <c r="A2441" t="s">
        <v>12</v>
      </c>
      <c r="B2441" t="s">
        <v>47</v>
      </c>
      <c r="C2441" t="s">
        <v>48</v>
      </c>
      <c r="E2441" t="s">
        <v>165</v>
      </c>
      <c r="F2441" s="1" t="s">
        <v>166</v>
      </c>
      <c r="G2441">
        <v>2</v>
      </c>
      <c r="H2441" t="s">
        <v>438</v>
      </c>
      <c r="I2441" s="4">
        <f t="shared" si="352"/>
        <v>3</v>
      </c>
      <c r="J2441">
        <f t="shared" si="353"/>
        <v>6</v>
      </c>
      <c r="K2441">
        <v>90</v>
      </c>
      <c r="L2441">
        <v>36</v>
      </c>
      <c r="M2441" s="2">
        <v>3.3</v>
      </c>
      <c r="N2441" s="2">
        <v>2.87</v>
      </c>
      <c r="O2441">
        <v>0</v>
      </c>
      <c r="P2441">
        <v>1</v>
      </c>
      <c r="Q2441" t="s">
        <v>558</v>
      </c>
      <c r="R2441" t="s">
        <v>260</v>
      </c>
      <c r="S2441" t="str">
        <f t="shared" si="351"/>
        <v>PA</v>
      </c>
    </row>
    <row r="2442" spans="1:19" x14ac:dyDescent="0.3">
      <c r="A2442" t="s">
        <v>12</v>
      </c>
      <c r="B2442" t="s">
        <v>47</v>
      </c>
      <c r="C2442" t="s">
        <v>48</v>
      </c>
      <c r="E2442" t="s">
        <v>432</v>
      </c>
      <c r="F2442" t="s">
        <v>433</v>
      </c>
      <c r="G2442">
        <v>4</v>
      </c>
      <c r="H2442" t="s">
        <v>438</v>
      </c>
      <c r="I2442" s="4">
        <f t="shared" si="352"/>
        <v>3</v>
      </c>
      <c r="J2442">
        <f t="shared" si="353"/>
        <v>12</v>
      </c>
      <c r="K2442">
        <v>54</v>
      </c>
      <c r="L2442">
        <v>18</v>
      </c>
      <c r="M2442" s="2">
        <v>3</v>
      </c>
      <c r="N2442" s="2">
        <v>2.87</v>
      </c>
      <c r="O2442">
        <v>0</v>
      </c>
      <c r="P2442">
        <v>4</v>
      </c>
      <c r="Q2442" t="s">
        <v>565</v>
      </c>
      <c r="R2442" t="s">
        <v>260</v>
      </c>
      <c r="S2442" t="str">
        <f t="shared" si="351"/>
        <v>PA</v>
      </c>
    </row>
    <row r="2443" spans="1:19" x14ac:dyDescent="0.3">
      <c r="A2443" t="s">
        <v>12</v>
      </c>
      <c r="B2443" t="s">
        <v>47</v>
      </c>
      <c r="C2443" t="s">
        <v>48</v>
      </c>
      <c r="E2443" t="s">
        <v>244</v>
      </c>
      <c r="F2443" t="s">
        <v>228</v>
      </c>
      <c r="G2443">
        <v>2</v>
      </c>
      <c r="H2443" t="s">
        <v>438</v>
      </c>
      <c r="I2443" s="4">
        <f t="shared" si="352"/>
        <v>3</v>
      </c>
      <c r="J2443">
        <f t="shared" si="353"/>
        <v>6</v>
      </c>
      <c r="K2443">
        <v>74</v>
      </c>
      <c r="L2443">
        <v>24</v>
      </c>
      <c r="M2443" s="2">
        <v>3.08</v>
      </c>
      <c r="N2443" s="2">
        <v>2.87</v>
      </c>
      <c r="O2443">
        <v>0</v>
      </c>
      <c r="P2443">
        <v>2</v>
      </c>
      <c r="Q2443" t="s">
        <v>559</v>
      </c>
      <c r="R2443" t="s">
        <v>260</v>
      </c>
      <c r="S2443" t="str">
        <f t="shared" si="351"/>
        <v>PA</v>
      </c>
    </row>
    <row r="2444" spans="1:19" x14ac:dyDescent="0.3">
      <c r="A2444" t="s">
        <v>12</v>
      </c>
      <c r="B2444" t="s">
        <v>47</v>
      </c>
      <c r="C2444" t="s">
        <v>48</v>
      </c>
      <c r="E2444" t="s">
        <v>192</v>
      </c>
      <c r="F2444" s="1" t="s">
        <v>106</v>
      </c>
      <c r="G2444">
        <v>2</v>
      </c>
      <c r="H2444" t="s">
        <v>438</v>
      </c>
      <c r="I2444" s="4">
        <f t="shared" si="352"/>
        <v>3</v>
      </c>
      <c r="J2444">
        <f t="shared" si="353"/>
        <v>6</v>
      </c>
      <c r="K2444">
        <v>90</v>
      </c>
      <c r="L2444">
        <v>36</v>
      </c>
      <c r="M2444" s="2">
        <v>3.3</v>
      </c>
      <c r="N2444" s="2">
        <v>2.87</v>
      </c>
      <c r="O2444">
        <v>0</v>
      </c>
      <c r="P2444">
        <v>1</v>
      </c>
      <c r="Q2444" t="s">
        <v>558</v>
      </c>
      <c r="R2444" t="s">
        <v>260</v>
      </c>
      <c r="S2444" t="str">
        <f t="shared" si="351"/>
        <v>PA</v>
      </c>
    </row>
    <row r="2445" spans="1:19" x14ac:dyDescent="0.3">
      <c r="A2445" t="s">
        <v>12</v>
      </c>
      <c r="B2445" t="s">
        <v>47</v>
      </c>
      <c r="C2445" t="s">
        <v>48</v>
      </c>
      <c r="E2445" t="s">
        <v>97</v>
      </c>
      <c r="F2445" t="s">
        <v>98</v>
      </c>
      <c r="G2445">
        <v>4</v>
      </c>
      <c r="H2445" t="s">
        <v>438</v>
      </c>
      <c r="I2445" s="4">
        <f t="shared" si="352"/>
        <v>3</v>
      </c>
      <c r="J2445">
        <f t="shared" si="353"/>
        <v>12</v>
      </c>
      <c r="K2445">
        <v>74</v>
      </c>
      <c r="L2445">
        <v>24</v>
      </c>
      <c r="M2445" s="2">
        <v>3.08</v>
      </c>
      <c r="N2445" s="2">
        <v>2.87</v>
      </c>
      <c r="O2445">
        <v>0</v>
      </c>
      <c r="P2445">
        <v>2</v>
      </c>
      <c r="Q2445" t="s">
        <v>559</v>
      </c>
      <c r="R2445" t="s">
        <v>260</v>
      </c>
      <c r="S2445" t="str">
        <f t="shared" si="351"/>
        <v>PA</v>
      </c>
    </row>
    <row r="2446" spans="1:19" x14ac:dyDescent="0.3">
      <c r="A2446" t="s">
        <v>12</v>
      </c>
      <c r="B2446" t="s">
        <v>47</v>
      </c>
      <c r="C2446" t="s">
        <v>48</v>
      </c>
      <c r="E2446" t="s">
        <v>306</v>
      </c>
      <c r="F2446" s="1" t="s">
        <v>307</v>
      </c>
      <c r="G2446">
        <v>2</v>
      </c>
      <c r="H2446" t="s">
        <v>438</v>
      </c>
      <c r="I2446" s="4">
        <f t="shared" si="352"/>
        <v>3</v>
      </c>
      <c r="J2446">
        <f t="shared" si="353"/>
        <v>6</v>
      </c>
      <c r="K2446">
        <v>90</v>
      </c>
      <c r="L2446">
        <v>36</v>
      </c>
      <c r="M2446" s="2">
        <v>3.3</v>
      </c>
      <c r="N2446" s="2">
        <v>2.87</v>
      </c>
      <c r="O2446">
        <v>0</v>
      </c>
      <c r="P2446">
        <v>1</v>
      </c>
      <c r="Q2446" t="s">
        <v>558</v>
      </c>
      <c r="R2446" t="s">
        <v>260</v>
      </c>
      <c r="S2446" t="str">
        <f t="shared" si="351"/>
        <v>PA</v>
      </c>
    </row>
    <row r="2447" spans="1:19" x14ac:dyDescent="0.3">
      <c r="A2447" t="s">
        <v>12</v>
      </c>
      <c r="B2447" t="s">
        <v>47</v>
      </c>
      <c r="C2447" t="s">
        <v>48</v>
      </c>
      <c r="E2447" t="s">
        <v>357</v>
      </c>
      <c r="F2447" t="s">
        <v>358</v>
      </c>
      <c r="G2447">
        <v>4</v>
      </c>
      <c r="H2447" t="s">
        <v>438</v>
      </c>
      <c r="I2447" s="4">
        <f t="shared" si="352"/>
        <v>3</v>
      </c>
      <c r="J2447">
        <f t="shared" si="353"/>
        <v>12</v>
      </c>
      <c r="K2447">
        <v>64</v>
      </c>
      <c r="L2447">
        <v>22</v>
      </c>
      <c r="M2447" s="2">
        <v>2.91</v>
      </c>
      <c r="N2447" s="2">
        <v>2.87</v>
      </c>
      <c r="O2447">
        <v>0</v>
      </c>
      <c r="P2447">
        <v>3</v>
      </c>
      <c r="Q2447" t="s">
        <v>563</v>
      </c>
      <c r="R2447" t="s">
        <v>260</v>
      </c>
      <c r="S2447" t="str">
        <f t="shared" si="351"/>
        <v>PA</v>
      </c>
    </row>
    <row r="2448" spans="1:19" x14ac:dyDescent="0.3">
      <c r="A2448" t="s">
        <v>12</v>
      </c>
      <c r="B2448" t="s">
        <v>47</v>
      </c>
      <c r="C2448" t="s">
        <v>48</v>
      </c>
      <c r="E2448" t="s">
        <v>330</v>
      </c>
      <c r="F2448" t="s">
        <v>108</v>
      </c>
      <c r="G2448">
        <v>2</v>
      </c>
      <c r="H2448" t="s">
        <v>438</v>
      </c>
      <c r="I2448" s="4">
        <f t="shared" si="352"/>
        <v>3</v>
      </c>
      <c r="J2448">
        <f t="shared" si="353"/>
        <v>6</v>
      </c>
      <c r="K2448">
        <v>24</v>
      </c>
      <c r="L2448">
        <v>8</v>
      </c>
      <c r="M2448" s="2">
        <v>3</v>
      </c>
      <c r="N2448" s="2">
        <v>2.87</v>
      </c>
      <c r="O2448">
        <v>0</v>
      </c>
      <c r="P2448">
        <v>5</v>
      </c>
      <c r="Q2448" t="s">
        <v>566</v>
      </c>
      <c r="R2448" t="s">
        <v>260</v>
      </c>
      <c r="S2448" t="str">
        <f t="shared" si="351"/>
        <v>PA</v>
      </c>
    </row>
    <row r="2449" spans="1:19" x14ac:dyDescent="0.3">
      <c r="A2449" t="s">
        <v>12</v>
      </c>
      <c r="B2449" t="s">
        <v>47</v>
      </c>
      <c r="C2449" t="s">
        <v>48</v>
      </c>
      <c r="E2449" t="s">
        <v>236</v>
      </c>
      <c r="F2449" t="s">
        <v>237</v>
      </c>
      <c r="G2449">
        <v>2</v>
      </c>
      <c r="H2449" t="s">
        <v>438</v>
      </c>
      <c r="I2449" s="4">
        <f t="shared" si="352"/>
        <v>3</v>
      </c>
      <c r="J2449">
        <f t="shared" si="353"/>
        <v>6</v>
      </c>
      <c r="K2449">
        <v>64</v>
      </c>
      <c r="L2449">
        <v>22</v>
      </c>
      <c r="M2449" s="2">
        <v>2.91</v>
      </c>
      <c r="N2449" s="2">
        <v>2.87</v>
      </c>
      <c r="O2449">
        <v>0</v>
      </c>
      <c r="P2449">
        <v>3</v>
      </c>
      <c r="Q2449" t="s">
        <v>563</v>
      </c>
      <c r="R2449" t="s">
        <v>260</v>
      </c>
      <c r="S2449" t="str">
        <f t="shared" si="351"/>
        <v>PA</v>
      </c>
    </row>
    <row r="2450" spans="1:19" x14ac:dyDescent="0.3">
      <c r="A2450" t="s">
        <v>12</v>
      </c>
      <c r="B2450" t="s">
        <v>47</v>
      </c>
      <c r="C2450" t="s">
        <v>48</v>
      </c>
      <c r="E2450" t="s">
        <v>370</v>
      </c>
      <c r="F2450" t="s">
        <v>371</v>
      </c>
      <c r="G2450">
        <v>2</v>
      </c>
      <c r="H2450" t="s">
        <v>438</v>
      </c>
      <c r="I2450" s="4">
        <f t="shared" si="352"/>
        <v>3</v>
      </c>
      <c r="J2450">
        <f t="shared" si="353"/>
        <v>6</v>
      </c>
      <c r="K2450">
        <v>24</v>
      </c>
      <c r="L2450">
        <v>8</v>
      </c>
      <c r="M2450" s="2">
        <v>3</v>
      </c>
      <c r="N2450" s="2">
        <v>2.87</v>
      </c>
      <c r="O2450">
        <v>0</v>
      </c>
      <c r="P2450">
        <v>5</v>
      </c>
      <c r="Q2450" t="s">
        <v>566</v>
      </c>
      <c r="R2450" t="s">
        <v>260</v>
      </c>
      <c r="S2450" t="str">
        <f t="shared" si="351"/>
        <v>PA</v>
      </c>
    </row>
    <row r="2451" spans="1:19" x14ac:dyDescent="0.3">
      <c r="A2451" t="s">
        <v>12</v>
      </c>
      <c r="B2451" t="s">
        <v>47</v>
      </c>
      <c r="C2451" t="s">
        <v>48</v>
      </c>
      <c r="E2451" t="s">
        <v>122</v>
      </c>
      <c r="F2451" t="s">
        <v>123</v>
      </c>
      <c r="G2451">
        <v>4</v>
      </c>
      <c r="H2451" t="s">
        <v>438</v>
      </c>
      <c r="I2451" s="4">
        <f t="shared" si="352"/>
        <v>3</v>
      </c>
      <c r="J2451">
        <f t="shared" si="353"/>
        <v>12</v>
      </c>
      <c r="K2451">
        <v>66</v>
      </c>
      <c r="L2451">
        <v>20</v>
      </c>
      <c r="M2451" s="2">
        <v>3.3</v>
      </c>
      <c r="N2451" s="2">
        <v>2.87</v>
      </c>
      <c r="O2451">
        <v>0</v>
      </c>
      <c r="P2451">
        <v>1</v>
      </c>
      <c r="Q2451" t="s">
        <v>558</v>
      </c>
      <c r="R2451" t="s">
        <v>260</v>
      </c>
      <c r="S2451" t="str">
        <f t="shared" si="351"/>
        <v>PA</v>
      </c>
    </row>
    <row r="2452" spans="1:19" x14ac:dyDescent="0.3">
      <c r="A2452" t="s">
        <v>12</v>
      </c>
      <c r="B2452" t="s">
        <v>47</v>
      </c>
      <c r="C2452" t="s">
        <v>48</v>
      </c>
      <c r="E2452" t="s">
        <v>382</v>
      </c>
      <c r="F2452" t="s">
        <v>383</v>
      </c>
      <c r="G2452">
        <v>4</v>
      </c>
      <c r="H2452" t="s">
        <v>438</v>
      </c>
      <c r="I2452" s="4">
        <f t="shared" si="352"/>
        <v>3</v>
      </c>
      <c r="J2452">
        <f t="shared" si="353"/>
        <v>12</v>
      </c>
      <c r="K2452">
        <v>64</v>
      </c>
      <c r="L2452">
        <v>22</v>
      </c>
      <c r="M2452" s="2">
        <v>2.91</v>
      </c>
      <c r="N2452" s="2">
        <v>2.87</v>
      </c>
      <c r="O2452">
        <v>0</v>
      </c>
      <c r="P2452">
        <v>3</v>
      </c>
      <c r="Q2452" t="s">
        <v>563</v>
      </c>
      <c r="R2452" t="s">
        <v>260</v>
      </c>
      <c r="S2452" t="str">
        <f t="shared" si="351"/>
        <v>PA</v>
      </c>
    </row>
    <row r="2453" spans="1:19" x14ac:dyDescent="0.3">
      <c r="A2453" t="s">
        <v>12</v>
      </c>
      <c r="B2453" t="s">
        <v>47</v>
      </c>
      <c r="C2453" t="s">
        <v>48</v>
      </c>
      <c r="E2453" t="s">
        <v>173</v>
      </c>
      <c r="F2453" s="1" t="s">
        <v>8</v>
      </c>
      <c r="G2453">
        <v>2</v>
      </c>
      <c r="H2453" t="s">
        <v>438</v>
      </c>
      <c r="I2453" s="4">
        <f t="shared" si="352"/>
        <v>3</v>
      </c>
      <c r="J2453">
        <f t="shared" si="353"/>
        <v>6</v>
      </c>
      <c r="K2453">
        <v>90</v>
      </c>
      <c r="L2453">
        <v>36</v>
      </c>
      <c r="M2453" s="2">
        <v>3.3</v>
      </c>
      <c r="N2453" s="2">
        <v>2.87</v>
      </c>
      <c r="O2453">
        <v>0</v>
      </c>
      <c r="P2453">
        <v>1</v>
      </c>
      <c r="Q2453" t="s">
        <v>558</v>
      </c>
      <c r="R2453" t="s">
        <v>260</v>
      </c>
      <c r="S2453" t="str">
        <f t="shared" si="351"/>
        <v>PA</v>
      </c>
    </row>
    <row r="2454" spans="1:19" x14ac:dyDescent="0.3">
      <c r="A2454" t="s">
        <v>12</v>
      </c>
      <c r="B2454" t="s">
        <v>47</v>
      </c>
      <c r="C2454" t="s">
        <v>48</v>
      </c>
      <c r="E2454" t="s">
        <v>234</v>
      </c>
      <c r="F2454" t="s">
        <v>235</v>
      </c>
      <c r="G2454">
        <v>4</v>
      </c>
      <c r="H2454" t="s">
        <v>438</v>
      </c>
      <c r="I2454" s="4">
        <f t="shared" si="352"/>
        <v>3</v>
      </c>
      <c r="J2454">
        <f t="shared" si="353"/>
        <v>12</v>
      </c>
      <c r="K2454">
        <v>64</v>
      </c>
      <c r="L2454">
        <v>22</v>
      </c>
      <c r="M2454" s="2">
        <v>2.91</v>
      </c>
      <c r="N2454" s="2">
        <v>2.87</v>
      </c>
      <c r="O2454">
        <v>0</v>
      </c>
      <c r="P2454">
        <v>3</v>
      </c>
      <c r="Q2454" t="s">
        <v>563</v>
      </c>
      <c r="R2454" t="s">
        <v>260</v>
      </c>
      <c r="S2454" t="str">
        <f t="shared" si="351"/>
        <v>PA</v>
      </c>
    </row>
    <row r="2455" spans="1:19" x14ac:dyDescent="0.3">
      <c r="A2455" t="s">
        <v>12</v>
      </c>
      <c r="B2455" t="s">
        <v>47</v>
      </c>
      <c r="C2455" t="s">
        <v>48</v>
      </c>
      <c r="E2455" t="s">
        <v>205</v>
      </c>
      <c r="F2455" t="s">
        <v>116</v>
      </c>
      <c r="G2455">
        <v>4</v>
      </c>
      <c r="H2455" t="s">
        <v>438</v>
      </c>
      <c r="I2455" s="4">
        <f t="shared" si="352"/>
        <v>3</v>
      </c>
      <c r="J2455">
        <f t="shared" si="353"/>
        <v>12</v>
      </c>
      <c r="K2455">
        <v>66</v>
      </c>
      <c r="L2455">
        <v>20</v>
      </c>
      <c r="M2455" s="2">
        <v>3.3</v>
      </c>
      <c r="N2455" s="2">
        <v>2.87</v>
      </c>
      <c r="O2455">
        <v>0</v>
      </c>
      <c r="P2455">
        <v>1</v>
      </c>
      <c r="Q2455" t="s">
        <v>558</v>
      </c>
      <c r="R2455" t="s">
        <v>260</v>
      </c>
      <c r="S2455" t="str">
        <f t="shared" si="351"/>
        <v>PA</v>
      </c>
    </row>
    <row r="2456" spans="1:19" x14ac:dyDescent="0.3">
      <c r="A2456" t="s">
        <v>12</v>
      </c>
      <c r="B2456" t="s">
        <v>47</v>
      </c>
      <c r="C2456" t="s">
        <v>48</v>
      </c>
      <c r="E2456" t="s">
        <v>151</v>
      </c>
      <c r="F2456" s="1" t="s">
        <v>152</v>
      </c>
      <c r="G2456">
        <v>2</v>
      </c>
      <c r="H2456" t="s">
        <v>438</v>
      </c>
      <c r="I2456" s="4">
        <f t="shared" si="352"/>
        <v>3</v>
      </c>
      <c r="J2456">
        <f t="shared" si="353"/>
        <v>6</v>
      </c>
      <c r="K2456">
        <v>90</v>
      </c>
      <c r="L2456">
        <v>36</v>
      </c>
      <c r="M2456" s="2">
        <v>3.3</v>
      </c>
      <c r="N2456" s="2">
        <v>2.87</v>
      </c>
      <c r="O2456">
        <v>0</v>
      </c>
      <c r="P2456">
        <v>1</v>
      </c>
      <c r="Q2456" t="s">
        <v>558</v>
      </c>
      <c r="R2456" t="s">
        <v>260</v>
      </c>
      <c r="S2456" t="str">
        <f t="shared" si="351"/>
        <v>PA</v>
      </c>
    </row>
    <row r="2457" spans="1:19" x14ac:dyDescent="0.3">
      <c r="A2457" t="s">
        <v>12</v>
      </c>
      <c r="B2457" t="s">
        <v>47</v>
      </c>
      <c r="C2457" t="s">
        <v>48</v>
      </c>
      <c r="E2457" t="s">
        <v>139</v>
      </c>
      <c r="F2457" s="1" t="s">
        <v>140</v>
      </c>
      <c r="G2457">
        <v>2</v>
      </c>
      <c r="H2457" t="s">
        <v>524</v>
      </c>
      <c r="I2457" s="4">
        <f t="shared" si="352"/>
        <v>2</v>
      </c>
      <c r="J2457">
        <f t="shared" si="353"/>
        <v>4</v>
      </c>
      <c r="K2457">
        <v>90</v>
      </c>
      <c r="L2457">
        <v>36</v>
      </c>
      <c r="M2457" s="2">
        <v>3.3</v>
      </c>
      <c r="N2457" s="2">
        <v>2.87</v>
      </c>
      <c r="O2457">
        <v>0</v>
      </c>
      <c r="P2457">
        <v>1</v>
      </c>
      <c r="Q2457" t="s">
        <v>558</v>
      </c>
      <c r="R2457" t="s">
        <v>260</v>
      </c>
      <c r="S2457" t="str">
        <f t="shared" si="351"/>
        <v>PA</v>
      </c>
    </row>
    <row r="2458" spans="1:19" x14ac:dyDescent="0.3">
      <c r="A2458" t="s">
        <v>12</v>
      </c>
      <c r="B2458" t="s">
        <v>47</v>
      </c>
      <c r="C2458" t="s">
        <v>48</v>
      </c>
      <c r="E2458" t="s">
        <v>276</v>
      </c>
      <c r="F2458" s="1" t="s">
        <v>137</v>
      </c>
      <c r="G2458">
        <v>4</v>
      </c>
      <c r="H2458" t="s">
        <v>524</v>
      </c>
      <c r="I2458" s="4">
        <f t="shared" si="352"/>
        <v>2</v>
      </c>
      <c r="J2458">
        <f t="shared" si="353"/>
        <v>8</v>
      </c>
      <c r="K2458">
        <v>90</v>
      </c>
      <c r="L2458">
        <v>36</v>
      </c>
      <c r="M2458" s="2">
        <v>3.3</v>
      </c>
      <c r="N2458" s="2">
        <v>2.87</v>
      </c>
      <c r="O2458">
        <v>0</v>
      </c>
      <c r="P2458">
        <v>1</v>
      </c>
      <c r="Q2458" t="s">
        <v>558</v>
      </c>
      <c r="R2458" t="s">
        <v>260</v>
      </c>
      <c r="S2458" t="str">
        <f t="shared" si="351"/>
        <v>PA</v>
      </c>
    </row>
    <row r="2459" spans="1:19" x14ac:dyDescent="0.3">
      <c r="A2459" t="s">
        <v>12</v>
      </c>
      <c r="B2459" t="s">
        <v>47</v>
      </c>
      <c r="C2459" t="s">
        <v>48</v>
      </c>
      <c r="E2459" t="s">
        <v>297</v>
      </c>
      <c r="F2459" t="s">
        <v>342</v>
      </c>
      <c r="G2459">
        <v>4</v>
      </c>
      <c r="H2459" t="s">
        <v>524</v>
      </c>
      <c r="I2459" s="4">
        <f t="shared" si="352"/>
        <v>2</v>
      </c>
      <c r="J2459">
        <f t="shared" si="353"/>
        <v>8</v>
      </c>
      <c r="K2459">
        <v>14</v>
      </c>
      <c r="L2459">
        <v>6</v>
      </c>
      <c r="M2459" s="2">
        <v>2.33</v>
      </c>
      <c r="N2459" s="2">
        <v>2.87</v>
      </c>
      <c r="O2459">
        <v>0</v>
      </c>
      <c r="P2459">
        <v>6</v>
      </c>
      <c r="Q2459" t="s">
        <v>567</v>
      </c>
      <c r="R2459" t="s">
        <v>260</v>
      </c>
      <c r="S2459" t="str">
        <f t="shared" si="351"/>
        <v>PA</v>
      </c>
    </row>
    <row r="2460" spans="1:19" x14ac:dyDescent="0.3">
      <c r="A2460" t="s">
        <v>12</v>
      </c>
      <c r="B2460" t="s">
        <v>47</v>
      </c>
      <c r="C2460" t="s">
        <v>48</v>
      </c>
      <c r="E2460" t="s">
        <v>293</v>
      </c>
      <c r="F2460" t="s">
        <v>294</v>
      </c>
      <c r="G2460">
        <v>2</v>
      </c>
      <c r="H2460" t="s">
        <v>524</v>
      </c>
      <c r="I2460" s="4">
        <f t="shared" si="352"/>
        <v>2</v>
      </c>
      <c r="J2460">
        <f t="shared" si="353"/>
        <v>4</v>
      </c>
      <c r="K2460">
        <v>64</v>
      </c>
      <c r="L2460">
        <v>22</v>
      </c>
      <c r="M2460" s="2">
        <v>2.91</v>
      </c>
      <c r="N2460" s="2">
        <v>2.87</v>
      </c>
      <c r="O2460">
        <v>0</v>
      </c>
      <c r="P2460">
        <v>3</v>
      </c>
      <c r="Q2460" t="s">
        <v>563</v>
      </c>
      <c r="R2460" t="s">
        <v>260</v>
      </c>
      <c r="S2460" t="str">
        <f t="shared" si="351"/>
        <v>PA</v>
      </c>
    </row>
    <row r="2461" spans="1:19" x14ac:dyDescent="0.3">
      <c r="A2461" t="s">
        <v>12</v>
      </c>
      <c r="B2461" t="s">
        <v>47</v>
      </c>
      <c r="C2461" t="s">
        <v>48</v>
      </c>
      <c r="E2461" t="s">
        <v>77</v>
      </c>
      <c r="F2461" s="1" t="s">
        <v>78</v>
      </c>
      <c r="G2461">
        <v>2</v>
      </c>
      <c r="H2461" t="s">
        <v>524</v>
      </c>
      <c r="I2461" s="4">
        <f t="shared" si="352"/>
        <v>2</v>
      </c>
      <c r="J2461">
        <f t="shared" si="353"/>
        <v>4</v>
      </c>
      <c r="K2461">
        <v>90</v>
      </c>
      <c r="L2461">
        <v>36</v>
      </c>
      <c r="M2461" s="2">
        <v>3.3</v>
      </c>
      <c r="N2461" s="2">
        <v>2.87</v>
      </c>
      <c r="O2461">
        <v>0</v>
      </c>
      <c r="P2461">
        <v>1</v>
      </c>
      <c r="Q2461" t="s">
        <v>558</v>
      </c>
      <c r="R2461" t="s">
        <v>260</v>
      </c>
      <c r="S2461" t="str">
        <f t="shared" si="351"/>
        <v>PA</v>
      </c>
    </row>
    <row r="2462" spans="1:19" x14ac:dyDescent="0.3">
      <c r="A2462" t="s">
        <v>12</v>
      </c>
      <c r="B2462" t="s">
        <v>47</v>
      </c>
      <c r="C2462" t="s">
        <v>48</v>
      </c>
      <c r="E2462" t="s">
        <v>90</v>
      </c>
      <c r="F2462" s="1" t="s">
        <v>91</v>
      </c>
      <c r="G2462">
        <v>2</v>
      </c>
      <c r="H2462" t="s">
        <v>524</v>
      </c>
      <c r="I2462" s="4">
        <f t="shared" si="352"/>
        <v>2</v>
      </c>
      <c r="J2462">
        <f t="shared" si="353"/>
        <v>4</v>
      </c>
      <c r="K2462">
        <v>90</v>
      </c>
      <c r="L2462">
        <v>36</v>
      </c>
      <c r="M2462" s="2">
        <v>3.3</v>
      </c>
      <c r="N2462" s="2">
        <v>2.87</v>
      </c>
      <c r="O2462">
        <v>0</v>
      </c>
      <c r="P2462">
        <v>1</v>
      </c>
      <c r="Q2462" t="s">
        <v>558</v>
      </c>
      <c r="R2462" t="s">
        <v>260</v>
      </c>
      <c r="S2462" t="str">
        <f t="shared" si="351"/>
        <v>PA</v>
      </c>
    </row>
    <row r="2463" spans="1:19" x14ac:dyDescent="0.3">
      <c r="A2463" t="s">
        <v>12</v>
      </c>
      <c r="B2463" t="s">
        <v>47</v>
      </c>
      <c r="C2463" t="s">
        <v>48</v>
      </c>
      <c r="E2463" t="s">
        <v>360</v>
      </c>
      <c r="F2463" t="s">
        <v>361</v>
      </c>
      <c r="G2463">
        <v>2</v>
      </c>
      <c r="H2463" t="s">
        <v>524</v>
      </c>
      <c r="I2463" s="4">
        <f t="shared" si="352"/>
        <v>2</v>
      </c>
      <c r="J2463">
        <f t="shared" si="353"/>
        <v>4</v>
      </c>
      <c r="K2463">
        <v>54</v>
      </c>
      <c r="L2463">
        <v>18</v>
      </c>
      <c r="M2463" s="2">
        <v>3</v>
      </c>
      <c r="N2463" s="2">
        <v>2.87</v>
      </c>
      <c r="O2463">
        <v>0</v>
      </c>
      <c r="P2463">
        <v>4</v>
      </c>
      <c r="Q2463" t="s">
        <v>565</v>
      </c>
      <c r="R2463" t="s">
        <v>260</v>
      </c>
      <c r="S2463" t="str">
        <f t="shared" si="351"/>
        <v>PA</v>
      </c>
    </row>
    <row r="2464" spans="1:19" x14ac:dyDescent="0.3">
      <c r="A2464" t="s">
        <v>12</v>
      </c>
      <c r="B2464" t="s">
        <v>47</v>
      </c>
      <c r="C2464" t="s">
        <v>48</v>
      </c>
      <c r="E2464" t="s">
        <v>374</v>
      </c>
      <c r="F2464" t="s">
        <v>375</v>
      </c>
      <c r="G2464">
        <v>2</v>
      </c>
      <c r="H2464" t="s">
        <v>524</v>
      </c>
      <c r="I2464" s="4">
        <f t="shared" si="352"/>
        <v>2</v>
      </c>
      <c r="J2464">
        <f t="shared" si="353"/>
        <v>4</v>
      </c>
      <c r="K2464">
        <v>74</v>
      </c>
      <c r="L2464">
        <v>24</v>
      </c>
      <c r="M2464" s="2">
        <v>3.08</v>
      </c>
      <c r="N2464" s="2">
        <v>2.87</v>
      </c>
      <c r="O2464">
        <v>0</v>
      </c>
      <c r="P2464">
        <v>2</v>
      </c>
      <c r="Q2464" t="s">
        <v>559</v>
      </c>
      <c r="R2464" t="s">
        <v>260</v>
      </c>
      <c r="S2464" t="str">
        <f t="shared" si="351"/>
        <v>PA</v>
      </c>
    </row>
    <row r="2465" spans="1:19" x14ac:dyDescent="0.3">
      <c r="A2465" t="s">
        <v>12</v>
      </c>
      <c r="B2465" t="s">
        <v>47</v>
      </c>
      <c r="C2465" t="s">
        <v>48</v>
      </c>
      <c r="E2465" t="s">
        <v>387</v>
      </c>
      <c r="F2465" t="s">
        <v>388</v>
      </c>
      <c r="G2465">
        <v>2</v>
      </c>
      <c r="H2465" t="s">
        <v>524</v>
      </c>
      <c r="I2465" s="4">
        <f t="shared" si="352"/>
        <v>2</v>
      </c>
      <c r="J2465">
        <f t="shared" si="353"/>
        <v>4</v>
      </c>
      <c r="K2465">
        <v>54</v>
      </c>
      <c r="L2465">
        <v>18</v>
      </c>
      <c r="M2465" s="2">
        <v>3</v>
      </c>
      <c r="N2465" s="2">
        <v>2.87</v>
      </c>
      <c r="O2465">
        <v>0</v>
      </c>
      <c r="P2465">
        <v>4</v>
      </c>
      <c r="Q2465" t="s">
        <v>565</v>
      </c>
      <c r="R2465" t="s">
        <v>260</v>
      </c>
      <c r="S2465" t="str">
        <f t="shared" si="351"/>
        <v>PA</v>
      </c>
    </row>
    <row r="2466" spans="1:19" x14ac:dyDescent="0.3">
      <c r="A2466" t="s">
        <v>12</v>
      </c>
      <c r="B2466" t="s">
        <v>47</v>
      </c>
      <c r="C2466" t="s">
        <v>48</v>
      </c>
      <c r="E2466" t="s">
        <v>316</v>
      </c>
      <c r="F2466" t="s">
        <v>317</v>
      </c>
      <c r="G2466">
        <v>2</v>
      </c>
      <c r="H2466" t="s">
        <v>524</v>
      </c>
      <c r="I2466" s="4">
        <f t="shared" si="352"/>
        <v>2</v>
      </c>
      <c r="J2466">
        <f t="shared" si="353"/>
        <v>4</v>
      </c>
      <c r="K2466">
        <v>24</v>
      </c>
      <c r="L2466">
        <v>8</v>
      </c>
      <c r="M2466" s="2">
        <v>3</v>
      </c>
      <c r="N2466" s="2">
        <v>2.87</v>
      </c>
      <c r="O2466">
        <v>0</v>
      </c>
      <c r="P2466">
        <v>5</v>
      </c>
      <c r="Q2466" t="s">
        <v>566</v>
      </c>
      <c r="R2466" t="s">
        <v>260</v>
      </c>
      <c r="S2466" t="str">
        <f t="shared" si="351"/>
        <v>PA</v>
      </c>
    </row>
    <row r="2467" spans="1:19" x14ac:dyDescent="0.3">
      <c r="A2467" t="s">
        <v>12</v>
      </c>
      <c r="B2467" t="s">
        <v>47</v>
      </c>
      <c r="C2467" t="s">
        <v>48</v>
      </c>
      <c r="E2467" t="s">
        <v>279</v>
      </c>
      <c r="F2467" s="1" t="s">
        <v>280</v>
      </c>
      <c r="G2467">
        <v>2</v>
      </c>
      <c r="H2467" t="s">
        <v>524</v>
      </c>
      <c r="I2467" s="4">
        <f t="shared" si="352"/>
        <v>2</v>
      </c>
      <c r="J2467">
        <f t="shared" si="353"/>
        <v>4</v>
      </c>
      <c r="K2467">
        <v>90</v>
      </c>
      <c r="L2467">
        <v>36</v>
      </c>
      <c r="M2467" s="2">
        <v>3.3</v>
      </c>
      <c r="N2467" s="2">
        <v>2.87</v>
      </c>
      <c r="O2467">
        <v>0</v>
      </c>
      <c r="P2467">
        <v>1</v>
      </c>
      <c r="Q2467" t="s">
        <v>558</v>
      </c>
      <c r="R2467" t="s">
        <v>260</v>
      </c>
      <c r="S2467" t="str">
        <f t="shared" si="351"/>
        <v>PA</v>
      </c>
    </row>
    <row r="2468" spans="1:19" x14ac:dyDescent="0.3">
      <c r="A2468" t="s">
        <v>12</v>
      </c>
      <c r="B2468" t="s">
        <v>47</v>
      </c>
      <c r="C2468" t="s">
        <v>48</v>
      </c>
      <c r="E2468" t="s">
        <v>309</v>
      </c>
      <c r="F2468" s="1" t="s">
        <v>310</v>
      </c>
      <c r="G2468">
        <v>4</v>
      </c>
      <c r="H2468" t="s">
        <v>524</v>
      </c>
      <c r="I2468" s="4">
        <f t="shared" si="352"/>
        <v>2</v>
      </c>
      <c r="J2468">
        <f t="shared" si="353"/>
        <v>8</v>
      </c>
      <c r="K2468">
        <v>90</v>
      </c>
      <c r="L2468">
        <v>36</v>
      </c>
      <c r="M2468" s="2">
        <v>3.3</v>
      </c>
      <c r="N2468" s="2">
        <v>2.87</v>
      </c>
      <c r="O2468">
        <v>0</v>
      </c>
      <c r="P2468">
        <v>1</v>
      </c>
      <c r="Q2468" t="s">
        <v>558</v>
      </c>
      <c r="R2468" t="s">
        <v>260</v>
      </c>
      <c r="S2468" t="str">
        <f t="shared" si="351"/>
        <v>PA</v>
      </c>
    </row>
    <row r="2469" spans="1:19" x14ac:dyDescent="0.3">
      <c r="A2469" t="s">
        <v>12</v>
      </c>
      <c r="B2469" t="s">
        <v>47</v>
      </c>
      <c r="C2469" t="s">
        <v>48</v>
      </c>
      <c r="E2469" t="s">
        <v>131</v>
      </c>
      <c r="F2469" s="1" t="s">
        <v>132</v>
      </c>
      <c r="G2469">
        <v>2</v>
      </c>
      <c r="H2469" t="s">
        <v>524</v>
      </c>
      <c r="I2469" s="4">
        <f t="shared" si="352"/>
        <v>2</v>
      </c>
      <c r="J2469">
        <f t="shared" si="353"/>
        <v>4</v>
      </c>
      <c r="K2469">
        <v>90</v>
      </c>
      <c r="L2469">
        <v>36</v>
      </c>
      <c r="M2469" s="2">
        <v>3.3</v>
      </c>
      <c r="N2469" s="2">
        <v>2.87</v>
      </c>
      <c r="O2469">
        <v>0</v>
      </c>
      <c r="P2469">
        <v>1</v>
      </c>
      <c r="Q2469" t="s">
        <v>558</v>
      </c>
      <c r="R2469" t="s">
        <v>260</v>
      </c>
      <c r="S2469" t="str">
        <f t="shared" si="351"/>
        <v>PA</v>
      </c>
    </row>
    <row r="2470" spans="1:19" x14ac:dyDescent="0.3">
      <c r="A2470" t="s">
        <v>12</v>
      </c>
      <c r="B2470" t="s">
        <v>47</v>
      </c>
      <c r="C2470" t="s">
        <v>48</v>
      </c>
      <c r="E2470" t="s">
        <v>446</v>
      </c>
      <c r="F2470" t="s">
        <v>447</v>
      </c>
      <c r="G2470">
        <v>2</v>
      </c>
      <c r="H2470" t="s">
        <v>524</v>
      </c>
      <c r="I2470" s="4">
        <f t="shared" si="352"/>
        <v>2</v>
      </c>
      <c r="J2470">
        <f t="shared" si="353"/>
        <v>4</v>
      </c>
      <c r="K2470">
        <v>74</v>
      </c>
      <c r="L2470">
        <v>24</v>
      </c>
      <c r="M2470" s="2">
        <v>3.08</v>
      </c>
      <c r="N2470" s="2">
        <v>2.87</v>
      </c>
      <c r="O2470">
        <v>0</v>
      </c>
      <c r="P2470">
        <v>2</v>
      </c>
      <c r="Q2470" t="s">
        <v>559</v>
      </c>
      <c r="R2470" t="s">
        <v>260</v>
      </c>
      <c r="S2470" t="str">
        <f t="shared" si="351"/>
        <v>PA</v>
      </c>
    </row>
    <row r="2471" spans="1:19" x14ac:dyDescent="0.3">
      <c r="A2471" t="s">
        <v>12</v>
      </c>
      <c r="B2471" t="s">
        <v>281</v>
      </c>
      <c r="C2471" t="s">
        <v>282</v>
      </c>
      <c r="E2471" t="s">
        <v>283</v>
      </c>
      <c r="F2471" s="1" t="s">
        <v>284</v>
      </c>
      <c r="G2471">
        <v>2</v>
      </c>
      <c r="H2471" t="s">
        <v>260</v>
      </c>
      <c r="I2471" s="4">
        <f t="shared" si="352"/>
        <v>4</v>
      </c>
      <c r="J2471">
        <f t="shared" si="353"/>
        <v>8</v>
      </c>
      <c r="K2471">
        <v>140</v>
      </c>
      <c r="L2471">
        <v>40</v>
      </c>
      <c r="M2471" s="2">
        <v>3.7</v>
      </c>
      <c r="N2471" s="2">
        <v>3.42</v>
      </c>
      <c r="O2471">
        <v>0</v>
      </c>
      <c r="P2471">
        <v>1</v>
      </c>
      <c r="Q2471" t="s">
        <v>558</v>
      </c>
      <c r="R2471" t="s">
        <v>260</v>
      </c>
      <c r="S2471" t="str">
        <f t="shared" si="351"/>
        <v>PA</v>
      </c>
    </row>
    <row r="2472" spans="1:19" x14ac:dyDescent="0.3">
      <c r="A2472" t="s">
        <v>12</v>
      </c>
      <c r="B2472" t="s">
        <v>281</v>
      </c>
      <c r="C2472" t="s">
        <v>282</v>
      </c>
      <c r="E2472" t="s">
        <v>290</v>
      </c>
      <c r="F2472" t="s">
        <v>291</v>
      </c>
      <c r="G2472">
        <v>4</v>
      </c>
      <c r="H2472" t="s">
        <v>260</v>
      </c>
      <c r="I2472" s="4">
        <f t="shared" si="352"/>
        <v>4</v>
      </c>
      <c r="J2472">
        <f t="shared" si="353"/>
        <v>16</v>
      </c>
      <c r="K2472">
        <v>70</v>
      </c>
      <c r="L2472">
        <v>20</v>
      </c>
      <c r="M2472" s="2">
        <v>3.5</v>
      </c>
      <c r="N2472" s="2">
        <v>3.42</v>
      </c>
      <c r="O2472">
        <v>0</v>
      </c>
      <c r="P2472">
        <v>4</v>
      </c>
      <c r="Q2472" t="s">
        <v>565</v>
      </c>
      <c r="R2472" t="s">
        <v>260</v>
      </c>
      <c r="S2472" t="str">
        <f t="shared" si="351"/>
        <v>PA</v>
      </c>
    </row>
    <row r="2473" spans="1:19" x14ac:dyDescent="0.3">
      <c r="A2473" t="s">
        <v>12</v>
      </c>
      <c r="B2473" t="s">
        <v>281</v>
      </c>
      <c r="C2473" t="s">
        <v>282</v>
      </c>
      <c r="E2473" t="s">
        <v>97</v>
      </c>
      <c r="F2473" t="s">
        <v>98</v>
      </c>
      <c r="G2473">
        <v>4</v>
      </c>
      <c r="H2473" t="s">
        <v>260</v>
      </c>
      <c r="I2473" s="4">
        <f t="shared" si="352"/>
        <v>4</v>
      </c>
      <c r="J2473">
        <f t="shared" si="353"/>
        <v>16</v>
      </c>
      <c r="K2473">
        <v>84</v>
      </c>
      <c r="L2473">
        <v>24</v>
      </c>
      <c r="M2473" s="2">
        <v>3.5</v>
      </c>
      <c r="N2473" s="2">
        <v>3.42</v>
      </c>
      <c r="O2473">
        <v>0</v>
      </c>
      <c r="P2473">
        <v>2</v>
      </c>
      <c r="Q2473" t="s">
        <v>559</v>
      </c>
      <c r="R2473" t="s">
        <v>260</v>
      </c>
      <c r="S2473" t="str">
        <f t="shared" si="351"/>
        <v>PA</v>
      </c>
    </row>
    <row r="2474" spans="1:19" x14ac:dyDescent="0.3">
      <c r="A2474" t="s">
        <v>12</v>
      </c>
      <c r="B2474" t="s">
        <v>281</v>
      </c>
      <c r="C2474" t="s">
        <v>282</v>
      </c>
      <c r="E2474" t="s">
        <v>139</v>
      </c>
      <c r="F2474" s="1" t="s">
        <v>140</v>
      </c>
      <c r="G2474">
        <v>2</v>
      </c>
      <c r="H2474" t="s">
        <v>260</v>
      </c>
      <c r="I2474" s="4">
        <f t="shared" si="352"/>
        <v>4</v>
      </c>
      <c r="J2474">
        <f t="shared" si="353"/>
        <v>8</v>
      </c>
      <c r="K2474">
        <v>140</v>
      </c>
      <c r="L2474">
        <v>40</v>
      </c>
      <c r="M2474" s="2">
        <v>3.7</v>
      </c>
      <c r="N2474" s="2">
        <v>3.42</v>
      </c>
      <c r="O2474">
        <v>0</v>
      </c>
      <c r="P2474">
        <v>1</v>
      </c>
      <c r="Q2474" t="s">
        <v>558</v>
      </c>
      <c r="R2474" t="s">
        <v>260</v>
      </c>
      <c r="S2474" t="str">
        <f t="shared" si="351"/>
        <v>PA</v>
      </c>
    </row>
    <row r="2475" spans="1:19" x14ac:dyDescent="0.3">
      <c r="A2475" t="s">
        <v>12</v>
      </c>
      <c r="B2475" t="s">
        <v>281</v>
      </c>
      <c r="C2475" t="s">
        <v>282</v>
      </c>
      <c r="E2475" t="s">
        <v>330</v>
      </c>
      <c r="F2475" t="s">
        <v>108</v>
      </c>
      <c r="G2475">
        <v>2</v>
      </c>
      <c r="H2475" t="s">
        <v>260</v>
      </c>
      <c r="I2475" s="4">
        <f t="shared" si="352"/>
        <v>4</v>
      </c>
      <c r="J2475">
        <f t="shared" si="353"/>
        <v>8</v>
      </c>
      <c r="K2475">
        <v>40</v>
      </c>
      <c r="L2475">
        <v>12</v>
      </c>
      <c r="M2475" s="2">
        <v>3.33</v>
      </c>
      <c r="N2475" s="2">
        <v>3.42</v>
      </c>
      <c r="O2475">
        <v>0</v>
      </c>
      <c r="P2475">
        <v>5</v>
      </c>
      <c r="Q2475" t="s">
        <v>566</v>
      </c>
      <c r="R2475" t="s">
        <v>260</v>
      </c>
      <c r="S2475" t="str">
        <f t="shared" si="351"/>
        <v>PA</v>
      </c>
    </row>
    <row r="2476" spans="1:19" x14ac:dyDescent="0.3">
      <c r="A2476" t="s">
        <v>12</v>
      </c>
      <c r="B2476" t="s">
        <v>281</v>
      </c>
      <c r="C2476" t="s">
        <v>282</v>
      </c>
      <c r="E2476" t="s">
        <v>122</v>
      </c>
      <c r="F2476" t="s">
        <v>123</v>
      </c>
      <c r="G2476">
        <v>4</v>
      </c>
      <c r="H2476" t="s">
        <v>260</v>
      </c>
      <c r="I2476" s="4">
        <f t="shared" si="352"/>
        <v>4</v>
      </c>
      <c r="J2476">
        <f t="shared" si="353"/>
        <v>16</v>
      </c>
      <c r="K2476">
        <v>74</v>
      </c>
      <c r="L2476">
        <v>20</v>
      </c>
      <c r="M2476" s="2">
        <v>3.7</v>
      </c>
      <c r="N2476" s="2">
        <v>3.42</v>
      </c>
      <c r="O2476">
        <v>0</v>
      </c>
      <c r="P2476">
        <v>1</v>
      </c>
      <c r="Q2476" t="s">
        <v>558</v>
      </c>
      <c r="R2476" t="s">
        <v>260</v>
      </c>
      <c r="S2476" t="str">
        <f t="shared" si="351"/>
        <v>PA</v>
      </c>
    </row>
    <row r="2477" spans="1:19" x14ac:dyDescent="0.3">
      <c r="A2477" t="s">
        <v>12</v>
      </c>
      <c r="B2477" t="s">
        <v>281</v>
      </c>
      <c r="C2477" t="s">
        <v>282</v>
      </c>
      <c r="E2477" t="s">
        <v>357</v>
      </c>
      <c r="F2477" t="s">
        <v>358</v>
      </c>
      <c r="G2477">
        <v>4</v>
      </c>
      <c r="H2477" t="s">
        <v>260</v>
      </c>
      <c r="I2477" s="4">
        <f t="shared" si="352"/>
        <v>4</v>
      </c>
      <c r="J2477">
        <f t="shared" si="353"/>
        <v>16</v>
      </c>
      <c r="K2477">
        <v>70</v>
      </c>
      <c r="L2477">
        <v>22</v>
      </c>
      <c r="M2477" s="2">
        <v>3.18</v>
      </c>
      <c r="N2477" s="2">
        <v>3.42</v>
      </c>
      <c r="O2477">
        <v>0</v>
      </c>
      <c r="P2477">
        <v>3</v>
      </c>
      <c r="Q2477" t="s">
        <v>563</v>
      </c>
      <c r="R2477" t="s">
        <v>260</v>
      </c>
      <c r="S2477" t="str">
        <f t="shared" si="351"/>
        <v>PA</v>
      </c>
    </row>
    <row r="2478" spans="1:19" x14ac:dyDescent="0.3">
      <c r="A2478" t="s">
        <v>12</v>
      </c>
      <c r="B2478" t="s">
        <v>281</v>
      </c>
      <c r="C2478" t="s">
        <v>282</v>
      </c>
      <c r="E2478" t="s">
        <v>211</v>
      </c>
      <c r="F2478" t="s">
        <v>186</v>
      </c>
      <c r="G2478">
        <v>4</v>
      </c>
      <c r="H2478" t="s">
        <v>260</v>
      </c>
      <c r="I2478" s="4">
        <f t="shared" si="352"/>
        <v>4</v>
      </c>
      <c r="J2478">
        <f t="shared" si="353"/>
        <v>16</v>
      </c>
      <c r="K2478">
        <v>74</v>
      </c>
      <c r="L2478">
        <v>20</v>
      </c>
      <c r="M2478" s="2">
        <v>3.7</v>
      </c>
      <c r="N2478" s="2">
        <v>3.42</v>
      </c>
      <c r="O2478">
        <v>0</v>
      </c>
      <c r="P2478">
        <v>1</v>
      </c>
      <c r="Q2478" t="s">
        <v>558</v>
      </c>
      <c r="R2478" t="s">
        <v>260</v>
      </c>
      <c r="S2478" t="str">
        <f t="shared" si="351"/>
        <v>PA</v>
      </c>
    </row>
    <row r="2479" spans="1:19" x14ac:dyDescent="0.3">
      <c r="A2479" t="s">
        <v>12</v>
      </c>
      <c r="B2479" t="s">
        <v>281</v>
      </c>
      <c r="C2479" t="s">
        <v>282</v>
      </c>
      <c r="E2479" t="s">
        <v>151</v>
      </c>
      <c r="F2479" s="1" t="s">
        <v>152</v>
      </c>
      <c r="G2479">
        <v>2</v>
      </c>
      <c r="H2479" t="s">
        <v>260</v>
      </c>
      <c r="I2479" s="4">
        <f t="shared" si="352"/>
        <v>4</v>
      </c>
      <c r="J2479">
        <f t="shared" si="353"/>
        <v>8</v>
      </c>
      <c r="K2479">
        <v>140</v>
      </c>
      <c r="L2479">
        <v>40</v>
      </c>
      <c r="M2479" s="2">
        <v>3.7</v>
      </c>
      <c r="N2479" s="2">
        <v>3.42</v>
      </c>
      <c r="O2479">
        <v>0</v>
      </c>
      <c r="P2479">
        <v>1</v>
      </c>
      <c r="Q2479" t="s">
        <v>558</v>
      </c>
      <c r="R2479" t="s">
        <v>260</v>
      </c>
      <c r="S2479" t="str">
        <f t="shared" si="351"/>
        <v>PA</v>
      </c>
    </row>
    <row r="2480" spans="1:19" x14ac:dyDescent="0.3">
      <c r="A2480" t="s">
        <v>12</v>
      </c>
      <c r="B2480" t="s">
        <v>281</v>
      </c>
      <c r="C2480" t="s">
        <v>282</v>
      </c>
      <c r="E2480" t="s">
        <v>360</v>
      </c>
      <c r="F2480" t="s">
        <v>361</v>
      </c>
      <c r="G2480">
        <v>2</v>
      </c>
      <c r="H2480" t="s">
        <v>260</v>
      </c>
      <c r="I2480" s="4">
        <f t="shared" si="352"/>
        <v>4</v>
      </c>
      <c r="J2480">
        <f t="shared" si="353"/>
        <v>8</v>
      </c>
      <c r="K2480">
        <v>70</v>
      </c>
      <c r="L2480">
        <v>20</v>
      </c>
      <c r="M2480" s="2">
        <v>3.5</v>
      </c>
      <c r="N2480" s="2">
        <v>3.42</v>
      </c>
      <c r="O2480">
        <v>0</v>
      </c>
      <c r="P2480">
        <v>4</v>
      </c>
      <c r="Q2480" t="s">
        <v>565</v>
      </c>
      <c r="R2480" t="s">
        <v>260</v>
      </c>
      <c r="S2480" t="str">
        <f t="shared" si="351"/>
        <v>PA</v>
      </c>
    </row>
    <row r="2481" spans="1:19" x14ac:dyDescent="0.3">
      <c r="A2481" t="s">
        <v>12</v>
      </c>
      <c r="B2481" t="s">
        <v>281</v>
      </c>
      <c r="C2481" t="s">
        <v>282</v>
      </c>
      <c r="E2481" t="s">
        <v>374</v>
      </c>
      <c r="F2481" t="s">
        <v>375</v>
      </c>
      <c r="G2481">
        <v>2</v>
      </c>
      <c r="H2481" t="s">
        <v>260</v>
      </c>
      <c r="I2481" s="4">
        <f t="shared" si="352"/>
        <v>4</v>
      </c>
      <c r="J2481">
        <f t="shared" si="353"/>
        <v>8</v>
      </c>
      <c r="K2481">
        <v>84</v>
      </c>
      <c r="L2481">
        <v>24</v>
      </c>
      <c r="M2481" s="2">
        <v>3.5</v>
      </c>
      <c r="N2481" s="2">
        <v>3.42</v>
      </c>
      <c r="O2481">
        <v>0</v>
      </c>
      <c r="P2481">
        <v>2</v>
      </c>
      <c r="Q2481" t="s">
        <v>559</v>
      </c>
      <c r="R2481" t="s">
        <v>260</v>
      </c>
      <c r="S2481" t="str">
        <f t="shared" si="351"/>
        <v>PA</v>
      </c>
    </row>
    <row r="2482" spans="1:19" x14ac:dyDescent="0.3">
      <c r="A2482" t="s">
        <v>12</v>
      </c>
      <c r="B2482" t="s">
        <v>281</v>
      </c>
      <c r="C2482" t="s">
        <v>282</v>
      </c>
      <c r="E2482" t="s">
        <v>173</v>
      </c>
      <c r="F2482" s="1" t="s">
        <v>8</v>
      </c>
      <c r="G2482">
        <v>2</v>
      </c>
      <c r="H2482" t="s">
        <v>260</v>
      </c>
      <c r="I2482" s="4">
        <f t="shared" si="352"/>
        <v>4</v>
      </c>
      <c r="J2482">
        <f t="shared" si="353"/>
        <v>8</v>
      </c>
      <c r="K2482">
        <v>140</v>
      </c>
      <c r="L2482">
        <v>40</v>
      </c>
      <c r="M2482" s="2">
        <v>3.7</v>
      </c>
      <c r="N2482" s="2">
        <v>3.42</v>
      </c>
      <c r="O2482">
        <v>0</v>
      </c>
      <c r="P2482">
        <v>1</v>
      </c>
      <c r="Q2482" t="s">
        <v>558</v>
      </c>
      <c r="R2482" t="s">
        <v>260</v>
      </c>
      <c r="S2482" t="str">
        <f t="shared" si="351"/>
        <v>PA</v>
      </c>
    </row>
    <row r="2483" spans="1:19" x14ac:dyDescent="0.3">
      <c r="A2483" t="s">
        <v>12</v>
      </c>
      <c r="B2483" t="s">
        <v>281</v>
      </c>
      <c r="C2483" t="s">
        <v>282</v>
      </c>
      <c r="E2483" t="s">
        <v>273</v>
      </c>
      <c r="F2483" t="s">
        <v>274</v>
      </c>
      <c r="G2483">
        <v>2</v>
      </c>
      <c r="H2483" t="s">
        <v>260</v>
      </c>
      <c r="I2483" s="4">
        <f t="shared" si="352"/>
        <v>4</v>
      </c>
      <c r="J2483">
        <f t="shared" si="353"/>
        <v>8</v>
      </c>
      <c r="K2483">
        <v>84</v>
      </c>
      <c r="L2483">
        <v>24</v>
      </c>
      <c r="M2483" s="2">
        <v>3.5</v>
      </c>
      <c r="N2483" s="2">
        <v>3.42</v>
      </c>
      <c r="O2483">
        <v>0</v>
      </c>
      <c r="P2483">
        <v>2</v>
      </c>
      <c r="Q2483" t="s">
        <v>559</v>
      </c>
      <c r="R2483" t="s">
        <v>260</v>
      </c>
      <c r="S2483" t="str">
        <f t="shared" si="351"/>
        <v>PA</v>
      </c>
    </row>
    <row r="2484" spans="1:19" x14ac:dyDescent="0.3">
      <c r="A2484" t="s">
        <v>12</v>
      </c>
      <c r="B2484" t="s">
        <v>281</v>
      </c>
      <c r="C2484" t="s">
        <v>282</v>
      </c>
      <c r="E2484" t="s">
        <v>306</v>
      </c>
      <c r="F2484" s="1" t="s">
        <v>307</v>
      </c>
      <c r="G2484">
        <v>2</v>
      </c>
      <c r="H2484" t="s">
        <v>260</v>
      </c>
      <c r="I2484" s="4">
        <f t="shared" si="352"/>
        <v>4</v>
      </c>
      <c r="J2484">
        <f t="shared" si="353"/>
        <v>8</v>
      </c>
      <c r="K2484">
        <v>140</v>
      </c>
      <c r="L2484">
        <v>40</v>
      </c>
      <c r="M2484" s="2">
        <v>3.7</v>
      </c>
      <c r="N2484" s="2">
        <v>3.42</v>
      </c>
      <c r="O2484">
        <v>0</v>
      </c>
      <c r="P2484">
        <v>1</v>
      </c>
      <c r="Q2484" t="s">
        <v>558</v>
      </c>
      <c r="R2484" t="s">
        <v>260</v>
      </c>
      <c r="S2484" t="str">
        <f t="shared" si="351"/>
        <v>PA</v>
      </c>
    </row>
    <row r="2485" spans="1:19" x14ac:dyDescent="0.3">
      <c r="A2485" t="s">
        <v>12</v>
      </c>
      <c r="B2485" t="s">
        <v>281</v>
      </c>
      <c r="C2485" t="s">
        <v>282</v>
      </c>
      <c r="E2485" t="s">
        <v>344</v>
      </c>
      <c r="F2485" t="s">
        <v>345</v>
      </c>
      <c r="G2485">
        <v>2</v>
      </c>
      <c r="H2485" t="s">
        <v>260</v>
      </c>
      <c r="I2485" s="4">
        <f t="shared" si="352"/>
        <v>4</v>
      </c>
      <c r="J2485">
        <f t="shared" si="353"/>
        <v>8</v>
      </c>
      <c r="K2485">
        <v>40</v>
      </c>
      <c r="L2485">
        <v>12</v>
      </c>
      <c r="M2485" s="2">
        <v>3.33</v>
      </c>
      <c r="N2485" s="2">
        <v>3.42</v>
      </c>
      <c r="O2485">
        <v>0</v>
      </c>
      <c r="P2485">
        <v>5</v>
      </c>
      <c r="Q2485" t="s">
        <v>566</v>
      </c>
      <c r="R2485" t="s">
        <v>260</v>
      </c>
      <c r="S2485" t="str">
        <f t="shared" si="351"/>
        <v>PA</v>
      </c>
    </row>
    <row r="2486" spans="1:19" x14ac:dyDescent="0.3">
      <c r="A2486" t="s">
        <v>12</v>
      </c>
      <c r="B2486" t="s">
        <v>281</v>
      </c>
      <c r="C2486" t="s">
        <v>282</v>
      </c>
      <c r="E2486" t="s">
        <v>309</v>
      </c>
      <c r="F2486" s="1" t="s">
        <v>310</v>
      </c>
      <c r="G2486">
        <v>4</v>
      </c>
      <c r="H2486" t="s">
        <v>260</v>
      </c>
      <c r="I2486" s="4">
        <f t="shared" si="352"/>
        <v>4</v>
      </c>
      <c r="J2486">
        <f t="shared" si="353"/>
        <v>16</v>
      </c>
      <c r="K2486">
        <v>140</v>
      </c>
      <c r="L2486">
        <v>40</v>
      </c>
      <c r="M2486" s="2">
        <v>3.7</v>
      </c>
      <c r="N2486" s="2">
        <v>3.42</v>
      </c>
      <c r="O2486">
        <v>0</v>
      </c>
      <c r="P2486">
        <v>1</v>
      </c>
      <c r="Q2486" t="s">
        <v>558</v>
      </c>
      <c r="R2486" t="s">
        <v>260</v>
      </c>
      <c r="S2486" t="str">
        <f t="shared" ref="S2486:S2549" si="354">IF(OR(H2486="A",H2486="B",H2486="C"),"PA","FA")</f>
        <v>PA</v>
      </c>
    </row>
    <row r="2487" spans="1:19" x14ac:dyDescent="0.3">
      <c r="A2487" t="s">
        <v>12</v>
      </c>
      <c r="B2487" t="s">
        <v>281</v>
      </c>
      <c r="C2487" t="s">
        <v>282</v>
      </c>
      <c r="E2487" t="s">
        <v>190</v>
      </c>
      <c r="F2487" s="1" t="s">
        <v>191</v>
      </c>
      <c r="G2487">
        <v>4</v>
      </c>
      <c r="H2487" t="s">
        <v>260</v>
      </c>
      <c r="I2487" s="4">
        <f t="shared" ref="I2487:I2550" si="355">IF(H2487="A",4,IF(H2487="B",3,IF(H2487="C",2,IF(H2487="D",1,0))))</f>
        <v>4</v>
      </c>
      <c r="J2487">
        <f t="shared" ref="J2487:J2550" si="356">G2487*I2487</f>
        <v>16</v>
      </c>
      <c r="K2487">
        <v>140</v>
      </c>
      <c r="L2487">
        <v>40</v>
      </c>
      <c r="M2487" s="2">
        <v>3.7</v>
      </c>
      <c r="N2487" s="2">
        <v>3.42</v>
      </c>
      <c r="O2487">
        <v>0</v>
      </c>
      <c r="P2487">
        <v>1</v>
      </c>
      <c r="Q2487" t="s">
        <v>558</v>
      </c>
      <c r="R2487" t="s">
        <v>260</v>
      </c>
      <c r="S2487" t="str">
        <f t="shared" si="354"/>
        <v>PA</v>
      </c>
    </row>
    <row r="2488" spans="1:19" x14ac:dyDescent="0.3">
      <c r="A2488" t="s">
        <v>12</v>
      </c>
      <c r="B2488" t="s">
        <v>281</v>
      </c>
      <c r="C2488" t="s">
        <v>282</v>
      </c>
      <c r="E2488" t="s">
        <v>142</v>
      </c>
      <c r="F2488" t="s">
        <v>143</v>
      </c>
      <c r="G2488">
        <v>2</v>
      </c>
      <c r="H2488" t="s">
        <v>260</v>
      </c>
      <c r="I2488" s="4">
        <f t="shared" si="355"/>
        <v>4</v>
      </c>
      <c r="J2488">
        <f t="shared" si="356"/>
        <v>8</v>
      </c>
      <c r="K2488">
        <v>74</v>
      </c>
      <c r="L2488">
        <v>20</v>
      </c>
      <c r="M2488" s="2">
        <v>3.7</v>
      </c>
      <c r="N2488" s="2">
        <v>3.42</v>
      </c>
      <c r="O2488">
        <v>0</v>
      </c>
      <c r="P2488">
        <v>1</v>
      </c>
      <c r="Q2488" t="s">
        <v>558</v>
      </c>
      <c r="R2488" t="s">
        <v>260</v>
      </c>
      <c r="S2488" t="str">
        <f t="shared" si="354"/>
        <v>PA</v>
      </c>
    </row>
    <row r="2489" spans="1:19" x14ac:dyDescent="0.3">
      <c r="A2489" t="s">
        <v>12</v>
      </c>
      <c r="B2489" t="s">
        <v>281</v>
      </c>
      <c r="C2489" t="s">
        <v>282</v>
      </c>
      <c r="E2489" t="s">
        <v>77</v>
      </c>
      <c r="F2489" s="1" t="s">
        <v>78</v>
      </c>
      <c r="G2489">
        <v>2</v>
      </c>
      <c r="H2489" t="s">
        <v>260</v>
      </c>
      <c r="I2489" s="4">
        <f t="shared" si="355"/>
        <v>4</v>
      </c>
      <c r="J2489">
        <f t="shared" si="356"/>
        <v>8</v>
      </c>
      <c r="K2489">
        <v>140</v>
      </c>
      <c r="L2489">
        <v>40</v>
      </c>
      <c r="M2489" s="2">
        <v>3.7</v>
      </c>
      <c r="N2489" s="2">
        <v>3.42</v>
      </c>
      <c r="O2489">
        <v>0</v>
      </c>
      <c r="P2489">
        <v>1</v>
      </c>
      <c r="Q2489" t="s">
        <v>558</v>
      </c>
      <c r="R2489" t="s">
        <v>260</v>
      </c>
      <c r="S2489" t="str">
        <f t="shared" si="354"/>
        <v>PA</v>
      </c>
    </row>
    <row r="2490" spans="1:19" x14ac:dyDescent="0.3">
      <c r="A2490" t="s">
        <v>12</v>
      </c>
      <c r="B2490" t="s">
        <v>281</v>
      </c>
      <c r="C2490" t="s">
        <v>282</v>
      </c>
      <c r="E2490" t="s">
        <v>348</v>
      </c>
      <c r="F2490" t="s">
        <v>349</v>
      </c>
      <c r="G2490">
        <v>4</v>
      </c>
      <c r="H2490" t="s">
        <v>260</v>
      </c>
      <c r="I2490" s="4">
        <f t="shared" si="355"/>
        <v>4</v>
      </c>
      <c r="J2490">
        <f t="shared" si="356"/>
        <v>16</v>
      </c>
      <c r="K2490">
        <v>84</v>
      </c>
      <c r="L2490">
        <v>24</v>
      </c>
      <c r="M2490" s="2">
        <v>3.5</v>
      </c>
      <c r="N2490" s="2">
        <v>3.42</v>
      </c>
      <c r="O2490">
        <v>0</v>
      </c>
      <c r="P2490">
        <v>2</v>
      </c>
      <c r="Q2490" t="s">
        <v>559</v>
      </c>
      <c r="R2490" t="s">
        <v>260</v>
      </c>
      <c r="S2490" t="str">
        <f t="shared" si="354"/>
        <v>PA</v>
      </c>
    </row>
    <row r="2491" spans="1:19" x14ac:dyDescent="0.3">
      <c r="A2491" t="s">
        <v>12</v>
      </c>
      <c r="B2491" t="s">
        <v>281</v>
      </c>
      <c r="C2491" t="s">
        <v>282</v>
      </c>
      <c r="E2491" t="s">
        <v>90</v>
      </c>
      <c r="F2491" s="1" t="s">
        <v>91</v>
      </c>
      <c r="G2491">
        <v>2</v>
      </c>
      <c r="H2491" t="s">
        <v>260</v>
      </c>
      <c r="I2491" s="4">
        <f t="shared" si="355"/>
        <v>4</v>
      </c>
      <c r="J2491">
        <f t="shared" si="356"/>
        <v>8</v>
      </c>
      <c r="K2491">
        <v>140</v>
      </c>
      <c r="L2491">
        <v>40</v>
      </c>
      <c r="M2491" s="2">
        <v>3.7</v>
      </c>
      <c r="N2491" s="2">
        <v>3.42</v>
      </c>
      <c r="O2491">
        <v>0</v>
      </c>
      <c r="P2491">
        <v>1</v>
      </c>
      <c r="Q2491" t="s">
        <v>558</v>
      </c>
      <c r="R2491" t="s">
        <v>260</v>
      </c>
      <c r="S2491" t="str">
        <f t="shared" si="354"/>
        <v>PA</v>
      </c>
    </row>
    <row r="2492" spans="1:19" x14ac:dyDescent="0.3">
      <c r="A2492" t="s">
        <v>12</v>
      </c>
      <c r="B2492" t="s">
        <v>281</v>
      </c>
      <c r="C2492" t="s">
        <v>282</v>
      </c>
      <c r="E2492" t="s">
        <v>100</v>
      </c>
      <c r="F2492" t="s">
        <v>101</v>
      </c>
      <c r="G2492">
        <v>4</v>
      </c>
      <c r="H2492" t="s">
        <v>260</v>
      </c>
      <c r="I2492" s="4">
        <f t="shared" si="355"/>
        <v>4</v>
      </c>
      <c r="J2492">
        <f t="shared" si="356"/>
        <v>16</v>
      </c>
      <c r="K2492">
        <v>70</v>
      </c>
      <c r="L2492">
        <v>20</v>
      </c>
      <c r="M2492" s="2">
        <v>3.5</v>
      </c>
      <c r="N2492" s="2">
        <v>3.42</v>
      </c>
      <c r="O2492">
        <v>0</v>
      </c>
      <c r="P2492">
        <v>4</v>
      </c>
      <c r="Q2492" t="s">
        <v>565</v>
      </c>
      <c r="R2492" t="s">
        <v>260</v>
      </c>
      <c r="S2492" t="str">
        <f t="shared" si="354"/>
        <v>PA</v>
      </c>
    </row>
    <row r="2493" spans="1:19" x14ac:dyDescent="0.3">
      <c r="A2493" t="s">
        <v>12</v>
      </c>
      <c r="B2493" t="s">
        <v>281</v>
      </c>
      <c r="C2493" t="s">
        <v>282</v>
      </c>
      <c r="E2493" t="s">
        <v>236</v>
      </c>
      <c r="F2493" t="s">
        <v>237</v>
      </c>
      <c r="G2493">
        <v>2</v>
      </c>
      <c r="H2493" t="s">
        <v>438</v>
      </c>
      <c r="I2493" s="4">
        <f t="shared" si="355"/>
        <v>3</v>
      </c>
      <c r="J2493">
        <f t="shared" si="356"/>
        <v>6</v>
      </c>
      <c r="K2493">
        <v>70</v>
      </c>
      <c r="L2493">
        <v>22</v>
      </c>
      <c r="M2493" s="2">
        <v>3.18</v>
      </c>
      <c r="N2493" s="2">
        <v>3.42</v>
      </c>
      <c r="O2493">
        <v>0</v>
      </c>
      <c r="P2493">
        <v>3</v>
      </c>
      <c r="Q2493" t="s">
        <v>563</v>
      </c>
      <c r="R2493" t="s">
        <v>260</v>
      </c>
      <c r="S2493" t="str">
        <f t="shared" si="354"/>
        <v>PA</v>
      </c>
    </row>
    <row r="2494" spans="1:19" x14ac:dyDescent="0.3">
      <c r="A2494" t="s">
        <v>12</v>
      </c>
      <c r="B2494" t="s">
        <v>281</v>
      </c>
      <c r="C2494" t="s">
        <v>282</v>
      </c>
      <c r="E2494" t="s">
        <v>276</v>
      </c>
      <c r="F2494" s="1" t="s">
        <v>137</v>
      </c>
      <c r="G2494">
        <v>4</v>
      </c>
      <c r="H2494" t="s">
        <v>438</v>
      </c>
      <c r="I2494" s="4">
        <f t="shared" si="355"/>
        <v>3</v>
      </c>
      <c r="J2494">
        <f t="shared" si="356"/>
        <v>12</v>
      </c>
      <c r="K2494">
        <v>140</v>
      </c>
      <c r="L2494">
        <v>40</v>
      </c>
      <c r="M2494" s="2">
        <v>3.7</v>
      </c>
      <c r="N2494" s="2">
        <v>3.42</v>
      </c>
      <c r="O2494">
        <v>0</v>
      </c>
      <c r="P2494">
        <v>1</v>
      </c>
      <c r="Q2494" t="s">
        <v>558</v>
      </c>
      <c r="R2494" t="s">
        <v>260</v>
      </c>
      <c r="S2494" t="str">
        <f t="shared" si="354"/>
        <v>PA</v>
      </c>
    </row>
    <row r="2495" spans="1:19" x14ac:dyDescent="0.3">
      <c r="A2495" t="s">
        <v>12</v>
      </c>
      <c r="B2495" t="s">
        <v>281</v>
      </c>
      <c r="C2495" t="s">
        <v>282</v>
      </c>
      <c r="E2495" t="s">
        <v>316</v>
      </c>
      <c r="F2495" t="s">
        <v>317</v>
      </c>
      <c r="G2495">
        <v>2</v>
      </c>
      <c r="H2495" t="s">
        <v>438</v>
      </c>
      <c r="I2495" s="4">
        <f t="shared" si="355"/>
        <v>3</v>
      </c>
      <c r="J2495">
        <f t="shared" si="356"/>
        <v>6</v>
      </c>
      <c r="K2495">
        <v>40</v>
      </c>
      <c r="L2495">
        <v>12</v>
      </c>
      <c r="M2495" s="2">
        <v>3.33</v>
      </c>
      <c r="N2495" s="2">
        <v>3.42</v>
      </c>
      <c r="O2495">
        <v>0</v>
      </c>
      <c r="P2495">
        <v>5</v>
      </c>
      <c r="Q2495" t="s">
        <v>566</v>
      </c>
      <c r="R2495" t="s">
        <v>260</v>
      </c>
      <c r="S2495" t="str">
        <f t="shared" si="354"/>
        <v>PA</v>
      </c>
    </row>
    <row r="2496" spans="1:19" x14ac:dyDescent="0.3">
      <c r="A2496" t="s">
        <v>12</v>
      </c>
      <c r="B2496" t="s">
        <v>281</v>
      </c>
      <c r="C2496" t="s">
        <v>282</v>
      </c>
      <c r="E2496" t="s">
        <v>257</v>
      </c>
      <c r="F2496" s="1" t="s">
        <v>258</v>
      </c>
      <c r="G2496">
        <v>4</v>
      </c>
      <c r="H2496" t="s">
        <v>438</v>
      </c>
      <c r="I2496" s="4">
        <f t="shared" si="355"/>
        <v>3</v>
      </c>
      <c r="J2496">
        <f t="shared" si="356"/>
        <v>12</v>
      </c>
      <c r="K2496">
        <v>140</v>
      </c>
      <c r="L2496">
        <v>40</v>
      </c>
      <c r="M2496" s="2">
        <v>3.7</v>
      </c>
      <c r="N2496" s="2">
        <v>3.42</v>
      </c>
      <c r="O2496">
        <v>0</v>
      </c>
      <c r="P2496">
        <v>1</v>
      </c>
      <c r="Q2496" t="s">
        <v>558</v>
      </c>
      <c r="R2496" t="s">
        <v>260</v>
      </c>
      <c r="S2496" t="str">
        <f t="shared" si="354"/>
        <v>PA</v>
      </c>
    </row>
    <row r="2497" spans="1:19" x14ac:dyDescent="0.3">
      <c r="A2497" t="s">
        <v>12</v>
      </c>
      <c r="B2497" t="s">
        <v>281</v>
      </c>
      <c r="C2497" t="s">
        <v>282</v>
      </c>
      <c r="E2497" t="s">
        <v>31</v>
      </c>
      <c r="F2497" t="s">
        <v>20</v>
      </c>
      <c r="G2497">
        <v>4</v>
      </c>
      <c r="H2497" t="s">
        <v>438</v>
      </c>
      <c r="I2497" s="4">
        <f t="shared" si="355"/>
        <v>3</v>
      </c>
      <c r="J2497">
        <f t="shared" si="356"/>
        <v>12</v>
      </c>
      <c r="K2497">
        <v>30</v>
      </c>
      <c r="L2497">
        <v>10</v>
      </c>
      <c r="M2497" s="2">
        <v>3</v>
      </c>
      <c r="N2497" s="2">
        <v>3.42</v>
      </c>
      <c r="O2497">
        <v>0</v>
      </c>
      <c r="P2497">
        <v>6</v>
      </c>
      <c r="Q2497" t="s">
        <v>567</v>
      </c>
      <c r="R2497" t="s">
        <v>596</v>
      </c>
      <c r="S2497" t="str">
        <f t="shared" si="354"/>
        <v>PA</v>
      </c>
    </row>
    <row r="2498" spans="1:19" x14ac:dyDescent="0.3">
      <c r="A2498" t="s">
        <v>12</v>
      </c>
      <c r="B2498" t="s">
        <v>281</v>
      </c>
      <c r="C2498" t="s">
        <v>282</v>
      </c>
      <c r="E2498" t="s">
        <v>264</v>
      </c>
      <c r="F2498" t="s">
        <v>265</v>
      </c>
      <c r="G2498">
        <v>2</v>
      </c>
      <c r="H2498" t="s">
        <v>438</v>
      </c>
      <c r="I2498" s="4">
        <f t="shared" si="355"/>
        <v>3</v>
      </c>
      <c r="J2498">
        <f t="shared" si="356"/>
        <v>6</v>
      </c>
      <c r="K2498">
        <v>74</v>
      </c>
      <c r="L2498">
        <v>20</v>
      </c>
      <c r="M2498" s="2">
        <v>3.7</v>
      </c>
      <c r="N2498" s="2">
        <v>3.42</v>
      </c>
      <c r="O2498">
        <v>0</v>
      </c>
      <c r="P2498">
        <v>1</v>
      </c>
      <c r="Q2498" t="s">
        <v>558</v>
      </c>
      <c r="R2498" t="s">
        <v>260</v>
      </c>
      <c r="S2498" t="str">
        <f t="shared" si="354"/>
        <v>PA</v>
      </c>
    </row>
    <row r="2499" spans="1:19" x14ac:dyDescent="0.3">
      <c r="A2499" t="s">
        <v>12</v>
      </c>
      <c r="B2499" t="s">
        <v>281</v>
      </c>
      <c r="C2499" t="s">
        <v>282</v>
      </c>
      <c r="E2499" t="s">
        <v>293</v>
      </c>
      <c r="F2499" t="s">
        <v>294</v>
      </c>
      <c r="G2499">
        <v>2</v>
      </c>
      <c r="H2499" t="s">
        <v>438</v>
      </c>
      <c r="I2499" s="4">
        <f t="shared" si="355"/>
        <v>3</v>
      </c>
      <c r="J2499">
        <f t="shared" si="356"/>
        <v>6</v>
      </c>
      <c r="K2499">
        <v>70</v>
      </c>
      <c r="L2499">
        <v>22</v>
      </c>
      <c r="M2499" s="2">
        <v>3.18</v>
      </c>
      <c r="N2499" s="2">
        <v>3.42</v>
      </c>
      <c r="O2499">
        <v>0</v>
      </c>
      <c r="P2499">
        <v>3</v>
      </c>
      <c r="Q2499" t="s">
        <v>563</v>
      </c>
      <c r="R2499" t="s">
        <v>260</v>
      </c>
      <c r="S2499" t="str">
        <f t="shared" si="354"/>
        <v>PA</v>
      </c>
    </row>
    <row r="2500" spans="1:19" x14ac:dyDescent="0.3">
      <c r="A2500" t="s">
        <v>12</v>
      </c>
      <c r="B2500" t="s">
        <v>281</v>
      </c>
      <c r="C2500" t="s">
        <v>282</v>
      </c>
      <c r="E2500" t="s">
        <v>297</v>
      </c>
      <c r="F2500" t="s">
        <v>342</v>
      </c>
      <c r="G2500">
        <v>4</v>
      </c>
      <c r="H2500" t="s">
        <v>438</v>
      </c>
      <c r="I2500" s="4">
        <f t="shared" si="355"/>
        <v>3</v>
      </c>
      <c r="J2500">
        <f t="shared" si="356"/>
        <v>12</v>
      </c>
      <c r="K2500">
        <v>30</v>
      </c>
      <c r="L2500">
        <v>10</v>
      </c>
      <c r="M2500" s="2">
        <v>3</v>
      </c>
      <c r="N2500" s="2">
        <v>3.42</v>
      </c>
      <c r="O2500">
        <v>0</v>
      </c>
      <c r="P2500">
        <v>6</v>
      </c>
      <c r="Q2500" t="s">
        <v>567</v>
      </c>
      <c r="R2500" t="s">
        <v>596</v>
      </c>
      <c r="S2500" t="str">
        <f t="shared" si="354"/>
        <v>PA</v>
      </c>
    </row>
    <row r="2501" spans="1:19" x14ac:dyDescent="0.3">
      <c r="A2501" t="s">
        <v>12</v>
      </c>
      <c r="B2501" t="s">
        <v>281</v>
      </c>
      <c r="C2501" t="s">
        <v>282</v>
      </c>
      <c r="E2501" t="s">
        <v>131</v>
      </c>
      <c r="F2501" s="1" t="s">
        <v>132</v>
      </c>
      <c r="G2501">
        <v>2</v>
      </c>
      <c r="H2501" t="s">
        <v>438</v>
      </c>
      <c r="I2501" s="4">
        <f t="shared" si="355"/>
        <v>3</v>
      </c>
      <c r="J2501">
        <f t="shared" si="356"/>
        <v>6</v>
      </c>
      <c r="K2501">
        <v>140</v>
      </c>
      <c r="L2501">
        <v>40</v>
      </c>
      <c r="M2501" s="2">
        <v>3.7</v>
      </c>
      <c r="N2501" s="2">
        <v>3.42</v>
      </c>
      <c r="O2501">
        <v>0</v>
      </c>
      <c r="P2501">
        <v>1</v>
      </c>
      <c r="Q2501" t="s">
        <v>558</v>
      </c>
      <c r="R2501" t="s">
        <v>260</v>
      </c>
      <c r="S2501" t="str">
        <f t="shared" si="354"/>
        <v>PA</v>
      </c>
    </row>
    <row r="2502" spans="1:19" x14ac:dyDescent="0.3">
      <c r="A2502" t="s">
        <v>12</v>
      </c>
      <c r="B2502" t="s">
        <v>281</v>
      </c>
      <c r="C2502" t="s">
        <v>282</v>
      </c>
      <c r="E2502" t="s">
        <v>39</v>
      </c>
      <c r="F2502" t="s">
        <v>11</v>
      </c>
      <c r="G2502">
        <v>2</v>
      </c>
      <c r="H2502" t="s">
        <v>438</v>
      </c>
      <c r="I2502" s="4">
        <f t="shared" si="355"/>
        <v>3</v>
      </c>
      <c r="J2502">
        <f t="shared" si="356"/>
        <v>6</v>
      </c>
      <c r="K2502">
        <v>84</v>
      </c>
      <c r="L2502">
        <v>24</v>
      </c>
      <c r="M2502" s="2">
        <v>3.5</v>
      </c>
      <c r="N2502" s="2">
        <v>3.42</v>
      </c>
      <c r="O2502">
        <v>0</v>
      </c>
      <c r="P2502">
        <v>2</v>
      </c>
      <c r="Q2502" t="s">
        <v>559</v>
      </c>
      <c r="R2502" t="s">
        <v>260</v>
      </c>
      <c r="S2502" t="str">
        <f t="shared" si="354"/>
        <v>PA</v>
      </c>
    </row>
    <row r="2503" spans="1:19" x14ac:dyDescent="0.3">
      <c r="A2503" t="s">
        <v>12</v>
      </c>
      <c r="B2503" t="s">
        <v>281</v>
      </c>
      <c r="C2503" t="s">
        <v>282</v>
      </c>
      <c r="E2503" t="s">
        <v>103</v>
      </c>
      <c r="F2503" t="s">
        <v>104</v>
      </c>
      <c r="G2503">
        <v>4</v>
      </c>
      <c r="H2503" t="s">
        <v>438</v>
      </c>
      <c r="I2503" s="4">
        <f t="shared" si="355"/>
        <v>3</v>
      </c>
      <c r="J2503">
        <f t="shared" si="356"/>
        <v>12</v>
      </c>
      <c r="K2503">
        <v>84</v>
      </c>
      <c r="L2503">
        <v>24</v>
      </c>
      <c r="M2503" s="2">
        <v>3.5</v>
      </c>
      <c r="N2503" s="2">
        <v>3.42</v>
      </c>
      <c r="O2503">
        <v>0</v>
      </c>
      <c r="P2503">
        <v>2</v>
      </c>
      <c r="Q2503" t="s">
        <v>559</v>
      </c>
      <c r="R2503" t="s">
        <v>260</v>
      </c>
      <c r="S2503" t="str">
        <f t="shared" si="354"/>
        <v>PA</v>
      </c>
    </row>
    <row r="2504" spans="1:19" x14ac:dyDescent="0.3">
      <c r="A2504" t="s">
        <v>12</v>
      </c>
      <c r="B2504" t="s">
        <v>281</v>
      </c>
      <c r="C2504" t="s">
        <v>282</v>
      </c>
      <c r="E2504" t="s">
        <v>248</v>
      </c>
      <c r="F2504" t="s">
        <v>249</v>
      </c>
      <c r="G2504">
        <v>2</v>
      </c>
      <c r="H2504" t="s">
        <v>438</v>
      </c>
      <c r="I2504" s="4">
        <f t="shared" si="355"/>
        <v>3</v>
      </c>
      <c r="J2504">
        <f t="shared" si="356"/>
        <v>6</v>
      </c>
      <c r="K2504">
        <v>70</v>
      </c>
      <c r="L2504">
        <v>20</v>
      </c>
      <c r="M2504" s="2">
        <v>3.5</v>
      </c>
      <c r="N2504" s="2">
        <v>3.42</v>
      </c>
      <c r="O2504">
        <v>0</v>
      </c>
      <c r="P2504">
        <v>4</v>
      </c>
      <c r="Q2504" t="s">
        <v>565</v>
      </c>
      <c r="R2504" t="s">
        <v>260</v>
      </c>
      <c r="S2504" t="str">
        <f t="shared" si="354"/>
        <v>PA</v>
      </c>
    </row>
    <row r="2505" spans="1:19" x14ac:dyDescent="0.3">
      <c r="A2505" t="s">
        <v>12</v>
      </c>
      <c r="B2505" t="s">
        <v>281</v>
      </c>
      <c r="C2505" t="s">
        <v>282</v>
      </c>
      <c r="E2505" t="s">
        <v>244</v>
      </c>
      <c r="F2505" t="s">
        <v>228</v>
      </c>
      <c r="G2505">
        <v>2</v>
      </c>
      <c r="H2505" t="s">
        <v>438</v>
      </c>
      <c r="I2505" s="4">
        <f t="shared" si="355"/>
        <v>3</v>
      </c>
      <c r="J2505">
        <f t="shared" si="356"/>
        <v>6</v>
      </c>
      <c r="K2505">
        <v>84</v>
      </c>
      <c r="L2505">
        <v>24</v>
      </c>
      <c r="M2505" s="2">
        <v>3.5</v>
      </c>
      <c r="N2505" s="2">
        <v>3.42</v>
      </c>
      <c r="O2505">
        <v>0</v>
      </c>
      <c r="P2505">
        <v>2</v>
      </c>
      <c r="Q2505" t="s">
        <v>559</v>
      </c>
      <c r="R2505" t="s">
        <v>260</v>
      </c>
      <c r="S2505" t="str">
        <f t="shared" si="354"/>
        <v>PA</v>
      </c>
    </row>
    <row r="2506" spans="1:19" x14ac:dyDescent="0.3">
      <c r="A2506" t="s">
        <v>12</v>
      </c>
      <c r="B2506" t="s">
        <v>281</v>
      </c>
      <c r="C2506" t="s">
        <v>282</v>
      </c>
      <c r="E2506" t="s">
        <v>387</v>
      </c>
      <c r="F2506" t="s">
        <v>388</v>
      </c>
      <c r="G2506">
        <v>2</v>
      </c>
      <c r="H2506" t="s">
        <v>438</v>
      </c>
      <c r="I2506" s="4">
        <f t="shared" si="355"/>
        <v>3</v>
      </c>
      <c r="J2506">
        <f t="shared" si="356"/>
        <v>6</v>
      </c>
      <c r="K2506">
        <v>70</v>
      </c>
      <c r="L2506">
        <v>20</v>
      </c>
      <c r="M2506" s="2">
        <v>3.5</v>
      </c>
      <c r="N2506" s="2">
        <v>3.42</v>
      </c>
      <c r="O2506">
        <v>0</v>
      </c>
      <c r="P2506">
        <v>4</v>
      </c>
      <c r="Q2506" t="s">
        <v>565</v>
      </c>
      <c r="R2506" t="s">
        <v>260</v>
      </c>
      <c r="S2506" t="str">
        <f t="shared" si="354"/>
        <v>PA</v>
      </c>
    </row>
    <row r="2507" spans="1:19" x14ac:dyDescent="0.3">
      <c r="A2507" t="s">
        <v>12</v>
      </c>
      <c r="B2507" t="s">
        <v>281</v>
      </c>
      <c r="C2507" t="s">
        <v>282</v>
      </c>
      <c r="E2507" t="s">
        <v>170</v>
      </c>
      <c r="F2507" t="s">
        <v>171</v>
      </c>
      <c r="G2507">
        <v>4</v>
      </c>
      <c r="H2507" t="s">
        <v>438</v>
      </c>
      <c r="I2507" s="4">
        <f t="shared" si="355"/>
        <v>3</v>
      </c>
      <c r="J2507">
        <f t="shared" si="356"/>
        <v>12</v>
      </c>
      <c r="K2507">
        <v>40</v>
      </c>
      <c r="L2507">
        <v>12</v>
      </c>
      <c r="M2507" s="2">
        <v>3.33</v>
      </c>
      <c r="N2507" s="2">
        <v>3.42</v>
      </c>
      <c r="O2507">
        <v>0</v>
      </c>
      <c r="P2507">
        <v>5</v>
      </c>
      <c r="Q2507" t="s">
        <v>566</v>
      </c>
      <c r="R2507" t="s">
        <v>260</v>
      </c>
      <c r="S2507" t="str">
        <f t="shared" si="354"/>
        <v>PA</v>
      </c>
    </row>
    <row r="2508" spans="1:19" x14ac:dyDescent="0.3">
      <c r="A2508" t="s">
        <v>12</v>
      </c>
      <c r="B2508" t="s">
        <v>281</v>
      </c>
      <c r="C2508" t="s">
        <v>282</v>
      </c>
      <c r="E2508" t="s">
        <v>437</v>
      </c>
      <c r="F2508" t="s">
        <v>169</v>
      </c>
      <c r="G2508">
        <v>4</v>
      </c>
      <c r="H2508" t="s">
        <v>438</v>
      </c>
      <c r="I2508" s="4">
        <f t="shared" si="355"/>
        <v>3</v>
      </c>
      <c r="J2508">
        <f t="shared" si="356"/>
        <v>12</v>
      </c>
      <c r="K2508">
        <v>70</v>
      </c>
      <c r="L2508">
        <v>22</v>
      </c>
      <c r="M2508" s="2">
        <v>3.18</v>
      </c>
      <c r="N2508" s="2">
        <v>3.42</v>
      </c>
      <c r="O2508">
        <v>0</v>
      </c>
      <c r="P2508">
        <v>3</v>
      </c>
      <c r="Q2508" t="s">
        <v>563</v>
      </c>
      <c r="R2508" t="s">
        <v>260</v>
      </c>
      <c r="S2508" t="str">
        <f t="shared" si="354"/>
        <v>PA</v>
      </c>
    </row>
    <row r="2509" spans="1:19" x14ac:dyDescent="0.3">
      <c r="A2509" t="s">
        <v>12</v>
      </c>
      <c r="B2509" t="s">
        <v>281</v>
      </c>
      <c r="C2509" t="s">
        <v>282</v>
      </c>
      <c r="E2509" t="s">
        <v>279</v>
      </c>
      <c r="F2509" s="1" t="s">
        <v>280</v>
      </c>
      <c r="G2509">
        <v>2</v>
      </c>
      <c r="H2509" t="s">
        <v>438</v>
      </c>
      <c r="I2509" s="4">
        <f t="shared" si="355"/>
        <v>3</v>
      </c>
      <c r="J2509">
        <f t="shared" si="356"/>
        <v>6</v>
      </c>
      <c r="K2509">
        <v>140</v>
      </c>
      <c r="L2509">
        <v>40</v>
      </c>
      <c r="M2509" s="2">
        <v>3.7</v>
      </c>
      <c r="N2509" s="2">
        <v>3.42</v>
      </c>
      <c r="O2509">
        <v>0</v>
      </c>
      <c r="P2509">
        <v>1</v>
      </c>
      <c r="Q2509" t="s">
        <v>558</v>
      </c>
      <c r="R2509" t="s">
        <v>260</v>
      </c>
      <c r="S2509" t="str">
        <f t="shared" si="354"/>
        <v>PA</v>
      </c>
    </row>
    <row r="2510" spans="1:19" x14ac:dyDescent="0.3">
      <c r="A2510" t="s">
        <v>12</v>
      </c>
      <c r="B2510" t="s">
        <v>281</v>
      </c>
      <c r="C2510" t="s">
        <v>282</v>
      </c>
      <c r="E2510" t="s">
        <v>334</v>
      </c>
      <c r="F2510" t="s">
        <v>335</v>
      </c>
      <c r="G2510">
        <v>2</v>
      </c>
      <c r="H2510" t="s">
        <v>438</v>
      </c>
      <c r="I2510" s="4">
        <f t="shared" si="355"/>
        <v>3</v>
      </c>
      <c r="J2510">
        <f t="shared" si="356"/>
        <v>6</v>
      </c>
      <c r="K2510">
        <v>70</v>
      </c>
      <c r="L2510">
        <v>22</v>
      </c>
      <c r="M2510" s="2">
        <v>3.18</v>
      </c>
      <c r="N2510" s="2">
        <v>3.42</v>
      </c>
      <c r="O2510">
        <v>0</v>
      </c>
      <c r="P2510">
        <v>3</v>
      </c>
      <c r="Q2510" t="s">
        <v>563</v>
      </c>
      <c r="R2510" t="s">
        <v>260</v>
      </c>
      <c r="S2510" t="str">
        <f t="shared" si="354"/>
        <v>PA</v>
      </c>
    </row>
    <row r="2511" spans="1:19" x14ac:dyDescent="0.3">
      <c r="A2511" t="s">
        <v>12</v>
      </c>
      <c r="B2511" t="s">
        <v>281</v>
      </c>
      <c r="C2511" t="s">
        <v>282</v>
      </c>
      <c r="E2511" t="s">
        <v>370</v>
      </c>
      <c r="F2511" t="s">
        <v>371</v>
      </c>
      <c r="G2511">
        <v>2</v>
      </c>
      <c r="H2511" t="s">
        <v>438</v>
      </c>
      <c r="I2511" s="4">
        <f t="shared" si="355"/>
        <v>3</v>
      </c>
      <c r="J2511">
        <f t="shared" si="356"/>
        <v>6</v>
      </c>
      <c r="K2511">
        <v>40</v>
      </c>
      <c r="L2511">
        <v>12</v>
      </c>
      <c r="M2511" s="2">
        <v>3.33</v>
      </c>
      <c r="N2511" s="2">
        <v>3.42</v>
      </c>
      <c r="O2511">
        <v>0</v>
      </c>
      <c r="P2511">
        <v>5</v>
      </c>
      <c r="Q2511" t="s">
        <v>566</v>
      </c>
      <c r="R2511" t="s">
        <v>260</v>
      </c>
      <c r="S2511" t="str">
        <f t="shared" si="354"/>
        <v>PA</v>
      </c>
    </row>
    <row r="2512" spans="1:19" x14ac:dyDescent="0.3">
      <c r="A2512" t="s">
        <v>12</v>
      </c>
      <c r="B2512" t="s">
        <v>281</v>
      </c>
      <c r="C2512" t="s">
        <v>282</v>
      </c>
      <c r="E2512" t="s">
        <v>382</v>
      </c>
      <c r="F2512" t="s">
        <v>383</v>
      </c>
      <c r="G2512">
        <v>4</v>
      </c>
      <c r="H2512" t="s">
        <v>438</v>
      </c>
      <c r="I2512" s="4">
        <f t="shared" si="355"/>
        <v>3</v>
      </c>
      <c r="J2512">
        <f t="shared" si="356"/>
        <v>12</v>
      </c>
      <c r="K2512">
        <v>70</v>
      </c>
      <c r="L2512">
        <v>22</v>
      </c>
      <c r="M2512" s="2">
        <v>3.18</v>
      </c>
      <c r="N2512" s="2">
        <v>3.42</v>
      </c>
      <c r="O2512">
        <v>0</v>
      </c>
      <c r="P2512">
        <v>3</v>
      </c>
      <c r="Q2512" t="s">
        <v>563</v>
      </c>
      <c r="R2512" t="s">
        <v>260</v>
      </c>
      <c r="S2512" t="str">
        <f t="shared" si="354"/>
        <v>PA</v>
      </c>
    </row>
    <row r="2513" spans="1:19" x14ac:dyDescent="0.3">
      <c r="A2513" t="s">
        <v>12</v>
      </c>
      <c r="B2513" t="s">
        <v>281</v>
      </c>
      <c r="C2513" t="s">
        <v>282</v>
      </c>
      <c r="E2513" t="s">
        <v>14</v>
      </c>
      <c r="F2513" t="s">
        <v>15</v>
      </c>
      <c r="G2513">
        <v>2</v>
      </c>
      <c r="H2513" t="s">
        <v>438</v>
      </c>
      <c r="I2513" s="4">
        <f t="shared" si="355"/>
        <v>3</v>
      </c>
      <c r="J2513">
        <f t="shared" si="356"/>
        <v>6</v>
      </c>
      <c r="K2513">
        <v>30</v>
      </c>
      <c r="L2513">
        <v>10</v>
      </c>
      <c r="M2513" s="2">
        <v>3</v>
      </c>
      <c r="N2513" s="2">
        <v>3.42</v>
      </c>
      <c r="O2513">
        <v>0</v>
      </c>
      <c r="P2513">
        <v>6</v>
      </c>
      <c r="Q2513" t="s">
        <v>567</v>
      </c>
      <c r="R2513" t="s">
        <v>596</v>
      </c>
      <c r="S2513" t="str">
        <f t="shared" si="354"/>
        <v>PA</v>
      </c>
    </row>
    <row r="2514" spans="1:19" x14ac:dyDescent="0.3">
      <c r="A2514" t="s">
        <v>12</v>
      </c>
      <c r="B2514" t="s">
        <v>281</v>
      </c>
      <c r="C2514" t="s">
        <v>282</v>
      </c>
      <c r="E2514" t="s">
        <v>234</v>
      </c>
      <c r="F2514" t="s">
        <v>235</v>
      </c>
      <c r="G2514">
        <v>4</v>
      </c>
      <c r="H2514" t="s">
        <v>438</v>
      </c>
      <c r="I2514" s="4">
        <f t="shared" si="355"/>
        <v>3</v>
      </c>
      <c r="J2514">
        <f t="shared" si="356"/>
        <v>12</v>
      </c>
      <c r="K2514">
        <v>70</v>
      </c>
      <c r="L2514">
        <v>22</v>
      </c>
      <c r="M2514" s="2">
        <v>3.18</v>
      </c>
      <c r="N2514" s="2">
        <v>3.42</v>
      </c>
      <c r="O2514">
        <v>0</v>
      </c>
      <c r="P2514">
        <v>3</v>
      </c>
      <c r="Q2514" t="s">
        <v>563</v>
      </c>
      <c r="R2514" t="s">
        <v>260</v>
      </c>
      <c r="S2514" t="str">
        <f t="shared" si="354"/>
        <v>PA</v>
      </c>
    </row>
    <row r="2515" spans="1:19" x14ac:dyDescent="0.3">
      <c r="A2515" t="s">
        <v>12</v>
      </c>
      <c r="B2515" t="s">
        <v>281</v>
      </c>
      <c r="C2515" t="s">
        <v>282</v>
      </c>
      <c r="E2515" t="s">
        <v>205</v>
      </c>
      <c r="F2515" t="s">
        <v>116</v>
      </c>
      <c r="G2515">
        <v>4</v>
      </c>
      <c r="H2515" t="s">
        <v>438</v>
      </c>
      <c r="I2515" s="4">
        <f t="shared" si="355"/>
        <v>3</v>
      </c>
      <c r="J2515">
        <f t="shared" si="356"/>
        <v>12</v>
      </c>
      <c r="K2515">
        <v>74</v>
      </c>
      <c r="L2515">
        <v>20</v>
      </c>
      <c r="M2515" s="2">
        <v>3.7</v>
      </c>
      <c r="N2515" s="2">
        <v>3.42</v>
      </c>
      <c r="O2515">
        <v>0</v>
      </c>
      <c r="P2515">
        <v>1</v>
      </c>
      <c r="Q2515" t="s">
        <v>558</v>
      </c>
      <c r="R2515" t="s">
        <v>260</v>
      </c>
      <c r="S2515" t="str">
        <f t="shared" si="354"/>
        <v>PA</v>
      </c>
    </row>
    <row r="2516" spans="1:19" x14ac:dyDescent="0.3">
      <c r="A2516" t="s">
        <v>12</v>
      </c>
      <c r="B2516" t="s">
        <v>281</v>
      </c>
      <c r="C2516" t="s">
        <v>282</v>
      </c>
      <c r="E2516" t="s">
        <v>165</v>
      </c>
      <c r="F2516" s="1" t="s">
        <v>166</v>
      </c>
      <c r="G2516">
        <v>2</v>
      </c>
      <c r="H2516" t="s">
        <v>438</v>
      </c>
      <c r="I2516" s="4">
        <f t="shared" si="355"/>
        <v>3</v>
      </c>
      <c r="J2516">
        <f t="shared" si="356"/>
        <v>6</v>
      </c>
      <c r="K2516">
        <v>140</v>
      </c>
      <c r="L2516">
        <v>40</v>
      </c>
      <c r="M2516" s="2">
        <v>3.7</v>
      </c>
      <c r="N2516" s="2">
        <v>3.42</v>
      </c>
      <c r="O2516">
        <v>0</v>
      </c>
      <c r="P2516">
        <v>1</v>
      </c>
      <c r="Q2516" t="s">
        <v>558</v>
      </c>
      <c r="R2516" t="s">
        <v>260</v>
      </c>
      <c r="S2516" t="str">
        <f t="shared" si="354"/>
        <v>PA</v>
      </c>
    </row>
    <row r="2517" spans="1:19" x14ac:dyDescent="0.3">
      <c r="A2517" t="s">
        <v>12</v>
      </c>
      <c r="B2517" t="s">
        <v>281</v>
      </c>
      <c r="C2517" t="s">
        <v>282</v>
      </c>
      <c r="E2517" t="s">
        <v>432</v>
      </c>
      <c r="F2517" t="s">
        <v>433</v>
      </c>
      <c r="G2517">
        <v>4</v>
      </c>
      <c r="H2517" t="s">
        <v>438</v>
      </c>
      <c r="I2517" s="4">
        <f t="shared" si="355"/>
        <v>3</v>
      </c>
      <c r="J2517">
        <f t="shared" si="356"/>
        <v>12</v>
      </c>
      <c r="K2517">
        <v>70</v>
      </c>
      <c r="L2517">
        <v>20</v>
      </c>
      <c r="M2517" s="2">
        <v>3.5</v>
      </c>
      <c r="N2517" s="2">
        <v>3.42</v>
      </c>
      <c r="O2517">
        <v>0</v>
      </c>
      <c r="P2517">
        <v>4</v>
      </c>
      <c r="Q2517" t="s">
        <v>565</v>
      </c>
      <c r="R2517" t="s">
        <v>260</v>
      </c>
      <c r="S2517" t="str">
        <f t="shared" si="354"/>
        <v>PA</v>
      </c>
    </row>
    <row r="2518" spans="1:19" x14ac:dyDescent="0.3">
      <c r="A2518" t="s">
        <v>12</v>
      </c>
      <c r="B2518" t="s">
        <v>281</v>
      </c>
      <c r="C2518" t="s">
        <v>282</v>
      </c>
      <c r="E2518" t="s">
        <v>446</v>
      </c>
      <c r="F2518" t="s">
        <v>447</v>
      </c>
      <c r="G2518">
        <v>2</v>
      </c>
      <c r="H2518" t="s">
        <v>438</v>
      </c>
      <c r="I2518" s="4">
        <f t="shared" si="355"/>
        <v>3</v>
      </c>
      <c r="J2518">
        <f t="shared" si="356"/>
        <v>6</v>
      </c>
      <c r="K2518">
        <v>84</v>
      </c>
      <c r="L2518">
        <v>24</v>
      </c>
      <c r="M2518" s="2">
        <v>3.5</v>
      </c>
      <c r="N2518" s="2">
        <v>3.42</v>
      </c>
      <c r="O2518">
        <v>0</v>
      </c>
      <c r="P2518">
        <v>2</v>
      </c>
      <c r="Q2518" t="s">
        <v>559</v>
      </c>
      <c r="R2518" t="s">
        <v>260</v>
      </c>
      <c r="S2518" t="str">
        <f t="shared" si="354"/>
        <v>PA</v>
      </c>
    </row>
    <row r="2519" spans="1:19" x14ac:dyDescent="0.3">
      <c r="A2519" t="s">
        <v>12</v>
      </c>
      <c r="B2519" t="s">
        <v>281</v>
      </c>
      <c r="C2519" t="s">
        <v>282</v>
      </c>
      <c r="E2519" t="s">
        <v>192</v>
      </c>
      <c r="F2519" s="1" t="s">
        <v>106</v>
      </c>
      <c r="G2519">
        <v>2</v>
      </c>
      <c r="H2519" t="s">
        <v>438</v>
      </c>
      <c r="I2519" s="4">
        <f t="shared" si="355"/>
        <v>3</v>
      </c>
      <c r="J2519">
        <f t="shared" si="356"/>
        <v>6</v>
      </c>
      <c r="K2519">
        <v>140</v>
      </c>
      <c r="L2519">
        <v>40</v>
      </c>
      <c r="M2519" s="2">
        <v>3.7</v>
      </c>
      <c r="N2519" s="2">
        <v>3.42</v>
      </c>
      <c r="O2519">
        <v>0</v>
      </c>
      <c r="P2519">
        <v>1</v>
      </c>
      <c r="Q2519" t="s">
        <v>558</v>
      </c>
      <c r="R2519" t="s">
        <v>260</v>
      </c>
      <c r="S2519" t="str">
        <f t="shared" si="354"/>
        <v>PA</v>
      </c>
    </row>
    <row r="2520" spans="1:19" x14ac:dyDescent="0.3">
      <c r="A2520" t="s">
        <v>12</v>
      </c>
      <c r="B2520" t="s">
        <v>281</v>
      </c>
      <c r="C2520" t="s">
        <v>282</v>
      </c>
      <c r="E2520" t="s">
        <v>262</v>
      </c>
      <c r="F2520" t="s">
        <v>263</v>
      </c>
      <c r="G2520">
        <v>2</v>
      </c>
      <c r="H2520" t="s">
        <v>438</v>
      </c>
      <c r="I2520" s="4">
        <f t="shared" si="355"/>
        <v>3</v>
      </c>
      <c r="J2520">
        <f t="shared" si="356"/>
        <v>6</v>
      </c>
      <c r="K2520">
        <v>70</v>
      </c>
      <c r="L2520">
        <v>20</v>
      </c>
      <c r="M2520" s="2">
        <v>3.5</v>
      </c>
      <c r="N2520" s="2">
        <v>3.42</v>
      </c>
      <c r="O2520">
        <v>0</v>
      </c>
      <c r="P2520">
        <v>4</v>
      </c>
      <c r="Q2520" t="s">
        <v>565</v>
      </c>
      <c r="R2520" t="s">
        <v>260</v>
      </c>
      <c r="S2520" t="str">
        <f t="shared" si="354"/>
        <v>PA</v>
      </c>
    </row>
    <row r="2521" spans="1:19" x14ac:dyDescent="0.3">
      <c r="A2521" t="s">
        <v>12</v>
      </c>
      <c r="B2521" t="s">
        <v>281</v>
      </c>
      <c r="C2521" t="s">
        <v>282</v>
      </c>
      <c r="E2521" t="s">
        <v>427</v>
      </c>
      <c r="F2521" t="s">
        <v>428</v>
      </c>
      <c r="G2521">
        <v>2</v>
      </c>
      <c r="H2521" t="s">
        <v>438</v>
      </c>
      <c r="I2521" s="4">
        <f t="shared" si="355"/>
        <v>3</v>
      </c>
      <c r="J2521">
        <f t="shared" si="356"/>
        <v>6</v>
      </c>
      <c r="K2521">
        <v>84</v>
      </c>
      <c r="L2521">
        <v>24</v>
      </c>
      <c r="M2521" s="2">
        <v>3.5</v>
      </c>
      <c r="N2521" s="2">
        <v>3.42</v>
      </c>
      <c r="O2521">
        <v>0</v>
      </c>
      <c r="P2521">
        <v>2</v>
      </c>
      <c r="Q2521" t="s">
        <v>559</v>
      </c>
      <c r="R2521" t="s">
        <v>260</v>
      </c>
      <c r="S2521" t="str">
        <f t="shared" si="354"/>
        <v>PA</v>
      </c>
    </row>
    <row r="2522" spans="1:19" x14ac:dyDescent="0.3">
      <c r="A2522" t="s">
        <v>12</v>
      </c>
      <c r="B2522" t="s">
        <v>281</v>
      </c>
      <c r="C2522" t="s">
        <v>282</v>
      </c>
      <c r="E2522" t="s">
        <v>241</v>
      </c>
      <c r="F2522" s="1" t="s">
        <v>45</v>
      </c>
      <c r="G2522">
        <v>2</v>
      </c>
      <c r="H2522" t="s">
        <v>524</v>
      </c>
      <c r="I2522" s="4">
        <f t="shared" si="355"/>
        <v>2</v>
      </c>
      <c r="J2522">
        <f t="shared" si="356"/>
        <v>4</v>
      </c>
      <c r="K2522">
        <v>140</v>
      </c>
      <c r="L2522">
        <v>40</v>
      </c>
      <c r="M2522" s="2">
        <v>3.7</v>
      </c>
      <c r="N2522" s="2">
        <v>3.42</v>
      </c>
      <c r="O2522">
        <v>0</v>
      </c>
      <c r="P2522">
        <v>1</v>
      </c>
      <c r="Q2522" t="s">
        <v>558</v>
      </c>
      <c r="R2522" t="s">
        <v>260</v>
      </c>
      <c r="S2522" t="str">
        <f t="shared" si="354"/>
        <v>PA</v>
      </c>
    </row>
    <row r="2523" spans="1:19" x14ac:dyDescent="0.3">
      <c r="A2523" t="s">
        <v>12</v>
      </c>
      <c r="B2523" t="s">
        <v>271</v>
      </c>
      <c r="C2523" t="s">
        <v>272</v>
      </c>
      <c r="E2523" t="s">
        <v>248</v>
      </c>
      <c r="F2523" t="s">
        <v>249</v>
      </c>
      <c r="G2523">
        <v>2</v>
      </c>
      <c r="H2523" t="s">
        <v>260</v>
      </c>
      <c r="I2523" s="4">
        <f t="shared" si="355"/>
        <v>4</v>
      </c>
      <c r="J2523">
        <f t="shared" si="356"/>
        <v>8</v>
      </c>
      <c r="K2523">
        <v>46</v>
      </c>
      <c r="L2523">
        <v>16</v>
      </c>
      <c r="M2523" s="2">
        <v>2.88</v>
      </c>
      <c r="N2523" s="2">
        <v>2.97</v>
      </c>
      <c r="O2523">
        <v>0</v>
      </c>
      <c r="P2523">
        <v>4</v>
      </c>
      <c r="Q2523" t="s">
        <v>565</v>
      </c>
      <c r="R2523" t="s">
        <v>260</v>
      </c>
      <c r="S2523" t="str">
        <f t="shared" si="354"/>
        <v>PA</v>
      </c>
    </row>
    <row r="2524" spans="1:19" x14ac:dyDescent="0.3">
      <c r="A2524" t="s">
        <v>12</v>
      </c>
      <c r="B2524" t="s">
        <v>271</v>
      </c>
      <c r="C2524" t="s">
        <v>272</v>
      </c>
      <c r="E2524" t="s">
        <v>273</v>
      </c>
      <c r="F2524" t="s">
        <v>274</v>
      </c>
      <c r="G2524">
        <v>2</v>
      </c>
      <c r="H2524" t="s">
        <v>260</v>
      </c>
      <c r="I2524" s="4">
        <f t="shared" si="355"/>
        <v>4</v>
      </c>
      <c r="J2524">
        <f t="shared" si="356"/>
        <v>8</v>
      </c>
      <c r="K2524">
        <v>70</v>
      </c>
      <c r="L2524">
        <v>22</v>
      </c>
      <c r="M2524" s="2">
        <v>3.18</v>
      </c>
      <c r="N2524" s="2">
        <v>2.97</v>
      </c>
      <c r="O2524">
        <v>0</v>
      </c>
      <c r="P2524">
        <v>2</v>
      </c>
      <c r="Q2524" t="s">
        <v>559</v>
      </c>
      <c r="R2524" t="s">
        <v>260</v>
      </c>
      <c r="S2524" t="str">
        <f t="shared" si="354"/>
        <v>PA</v>
      </c>
    </row>
    <row r="2525" spans="1:19" x14ac:dyDescent="0.3">
      <c r="A2525" t="s">
        <v>12</v>
      </c>
      <c r="B2525" t="s">
        <v>271</v>
      </c>
      <c r="C2525" t="s">
        <v>272</v>
      </c>
      <c r="E2525" t="s">
        <v>334</v>
      </c>
      <c r="F2525" t="s">
        <v>335</v>
      </c>
      <c r="G2525">
        <v>2</v>
      </c>
      <c r="H2525" t="s">
        <v>260</v>
      </c>
      <c r="I2525" s="4">
        <f t="shared" si="355"/>
        <v>4</v>
      </c>
      <c r="J2525">
        <f t="shared" si="356"/>
        <v>8</v>
      </c>
      <c r="K2525">
        <v>56</v>
      </c>
      <c r="L2525">
        <v>20</v>
      </c>
      <c r="M2525" s="2">
        <v>2.8</v>
      </c>
      <c r="N2525" s="2">
        <v>2.97</v>
      </c>
      <c r="O2525">
        <v>0</v>
      </c>
      <c r="P2525">
        <v>1</v>
      </c>
      <c r="Q2525" t="s">
        <v>558</v>
      </c>
      <c r="R2525" t="s">
        <v>260</v>
      </c>
      <c r="S2525" t="str">
        <f t="shared" si="354"/>
        <v>PA</v>
      </c>
    </row>
    <row r="2526" spans="1:19" x14ac:dyDescent="0.3">
      <c r="A2526" t="s">
        <v>12</v>
      </c>
      <c r="B2526" t="s">
        <v>271</v>
      </c>
      <c r="C2526" t="s">
        <v>272</v>
      </c>
      <c r="E2526" t="s">
        <v>316</v>
      </c>
      <c r="F2526" t="s">
        <v>317</v>
      </c>
      <c r="G2526">
        <v>2</v>
      </c>
      <c r="H2526" t="s">
        <v>260</v>
      </c>
      <c r="I2526" s="4">
        <f t="shared" si="355"/>
        <v>4</v>
      </c>
      <c r="J2526">
        <f t="shared" si="356"/>
        <v>8</v>
      </c>
      <c r="K2526">
        <v>60</v>
      </c>
      <c r="L2526">
        <v>20</v>
      </c>
      <c r="M2526" s="2">
        <v>3</v>
      </c>
      <c r="N2526" s="2">
        <v>2.97</v>
      </c>
      <c r="O2526">
        <v>0</v>
      </c>
      <c r="P2526">
        <v>3</v>
      </c>
      <c r="Q2526" t="s">
        <v>563</v>
      </c>
      <c r="R2526" t="s">
        <v>260</v>
      </c>
      <c r="S2526" t="str">
        <f t="shared" si="354"/>
        <v>PA</v>
      </c>
    </row>
    <row r="2527" spans="1:19" x14ac:dyDescent="0.3">
      <c r="A2527" t="s">
        <v>12</v>
      </c>
      <c r="B2527" t="s">
        <v>271</v>
      </c>
      <c r="C2527" t="s">
        <v>272</v>
      </c>
      <c r="E2527" t="s">
        <v>90</v>
      </c>
      <c r="F2527" t="s">
        <v>91</v>
      </c>
      <c r="G2527">
        <v>2</v>
      </c>
      <c r="H2527" t="s">
        <v>260</v>
      </c>
      <c r="I2527" s="4">
        <f t="shared" si="355"/>
        <v>4</v>
      </c>
      <c r="J2527">
        <f t="shared" si="356"/>
        <v>8</v>
      </c>
      <c r="K2527">
        <v>44</v>
      </c>
      <c r="L2527">
        <v>14</v>
      </c>
      <c r="M2527" s="2">
        <v>3.14</v>
      </c>
      <c r="N2527" s="2">
        <v>2.97</v>
      </c>
      <c r="O2527">
        <v>0</v>
      </c>
      <c r="P2527">
        <v>5</v>
      </c>
      <c r="Q2527" t="s">
        <v>566</v>
      </c>
      <c r="R2527" t="s">
        <v>596</v>
      </c>
      <c r="S2527" t="str">
        <f t="shared" si="354"/>
        <v>PA</v>
      </c>
    </row>
    <row r="2528" spans="1:19" x14ac:dyDescent="0.3">
      <c r="A2528" t="s">
        <v>12</v>
      </c>
      <c r="B2528" t="s">
        <v>271</v>
      </c>
      <c r="C2528" t="s">
        <v>272</v>
      </c>
      <c r="E2528" t="s">
        <v>387</v>
      </c>
      <c r="F2528" t="s">
        <v>388</v>
      </c>
      <c r="G2528">
        <v>2</v>
      </c>
      <c r="H2528" t="s">
        <v>260</v>
      </c>
      <c r="I2528" s="4">
        <f t="shared" si="355"/>
        <v>4</v>
      </c>
      <c r="J2528">
        <f t="shared" si="356"/>
        <v>8</v>
      </c>
      <c r="K2528">
        <v>70</v>
      </c>
      <c r="L2528">
        <v>22</v>
      </c>
      <c r="M2528" s="2">
        <v>3.18</v>
      </c>
      <c r="N2528" s="2">
        <v>2.97</v>
      </c>
      <c r="O2528">
        <v>0</v>
      </c>
      <c r="P2528">
        <v>2</v>
      </c>
      <c r="Q2528" t="s">
        <v>559</v>
      </c>
      <c r="R2528" t="s">
        <v>260</v>
      </c>
      <c r="S2528" t="str">
        <f t="shared" si="354"/>
        <v>PA</v>
      </c>
    </row>
    <row r="2529" spans="1:19" x14ac:dyDescent="0.3">
      <c r="A2529" t="s">
        <v>12</v>
      </c>
      <c r="B2529" t="s">
        <v>271</v>
      </c>
      <c r="C2529" t="s">
        <v>272</v>
      </c>
      <c r="E2529" t="s">
        <v>330</v>
      </c>
      <c r="F2529" t="s">
        <v>108</v>
      </c>
      <c r="G2529">
        <v>2</v>
      </c>
      <c r="H2529" t="s">
        <v>260</v>
      </c>
      <c r="I2529" s="4">
        <f t="shared" si="355"/>
        <v>4</v>
      </c>
      <c r="J2529">
        <f t="shared" si="356"/>
        <v>8</v>
      </c>
      <c r="K2529">
        <v>60</v>
      </c>
      <c r="L2529">
        <v>20</v>
      </c>
      <c r="M2529" s="2">
        <v>3</v>
      </c>
      <c r="N2529" s="2">
        <v>2.97</v>
      </c>
      <c r="O2529">
        <v>0</v>
      </c>
      <c r="P2529">
        <v>3</v>
      </c>
      <c r="Q2529" t="s">
        <v>563</v>
      </c>
      <c r="R2529" t="s">
        <v>260</v>
      </c>
      <c r="S2529" t="str">
        <f t="shared" si="354"/>
        <v>PA</v>
      </c>
    </row>
    <row r="2530" spans="1:19" x14ac:dyDescent="0.3">
      <c r="A2530" t="s">
        <v>12</v>
      </c>
      <c r="B2530" t="s">
        <v>271</v>
      </c>
      <c r="C2530" t="s">
        <v>272</v>
      </c>
      <c r="E2530" t="s">
        <v>39</v>
      </c>
      <c r="F2530" s="1" t="s">
        <v>11</v>
      </c>
      <c r="G2530">
        <v>2</v>
      </c>
      <c r="H2530" t="s">
        <v>260</v>
      </c>
      <c r="I2530" s="4">
        <f t="shared" si="355"/>
        <v>4</v>
      </c>
      <c r="J2530">
        <f t="shared" si="356"/>
        <v>8</v>
      </c>
      <c r="K2530">
        <v>152</v>
      </c>
      <c r="L2530">
        <v>52</v>
      </c>
      <c r="M2530" s="2">
        <v>2.8</v>
      </c>
      <c r="N2530" s="2">
        <v>2.97</v>
      </c>
      <c r="O2530">
        <v>0</v>
      </c>
      <c r="P2530">
        <v>1</v>
      </c>
      <c r="Q2530" t="s">
        <v>558</v>
      </c>
      <c r="R2530" t="s">
        <v>260</v>
      </c>
      <c r="S2530" t="str">
        <f t="shared" si="354"/>
        <v>PA</v>
      </c>
    </row>
    <row r="2531" spans="1:19" x14ac:dyDescent="0.3">
      <c r="A2531" t="s">
        <v>12</v>
      </c>
      <c r="B2531" t="s">
        <v>271</v>
      </c>
      <c r="C2531" t="s">
        <v>272</v>
      </c>
      <c r="E2531" t="s">
        <v>190</v>
      </c>
      <c r="F2531" s="1" t="s">
        <v>191</v>
      </c>
      <c r="G2531">
        <v>4</v>
      </c>
      <c r="H2531" t="s">
        <v>438</v>
      </c>
      <c r="I2531" s="4">
        <f t="shared" si="355"/>
        <v>3</v>
      </c>
      <c r="J2531">
        <f t="shared" si="356"/>
        <v>12</v>
      </c>
      <c r="K2531">
        <v>152</v>
      </c>
      <c r="L2531">
        <v>52</v>
      </c>
      <c r="M2531" s="2">
        <v>2.8</v>
      </c>
      <c r="N2531" s="2">
        <v>2.97</v>
      </c>
      <c r="O2531">
        <v>0</v>
      </c>
      <c r="P2531">
        <v>1</v>
      </c>
      <c r="Q2531" t="s">
        <v>558</v>
      </c>
      <c r="R2531" t="s">
        <v>260</v>
      </c>
      <c r="S2531" t="str">
        <f t="shared" si="354"/>
        <v>PA</v>
      </c>
    </row>
    <row r="2532" spans="1:19" x14ac:dyDescent="0.3">
      <c r="A2532" t="s">
        <v>12</v>
      </c>
      <c r="B2532" t="s">
        <v>271</v>
      </c>
      <c r="C2532" t="s">
        <v>272</v>
      </c>
      <c r="E2532" t="s">
        <v>103</v>
      </c>
      <c r="F2532" t="s">
        <v>104</v>
      </c>
      <c r="G2532">
        <v>4</v>
      </c>
      <c r="H2532" t="s">
        <v>438</v>
      </c>
      <c r="I2532" s="4">
        <f t="shared" si="355"/>
        <v>3</v>
      </c>
      <c r="J2532">
        <f t="shared" si="356"/>
        <v>12</v>
      </c>
      <c r="K2532">
        <v>70</v>
      </c>
      <c r="L2532">
        <v>22</v>
      </c>
      <c r="M2532" s="2">
        <v>3.18</v>
      </c>
      <c r="N2532" s="2">
        <v>2.97</v>
      </c>
      <c r="O2532">
        <v>0</v>
      </c>
      <c r="P2532">
        <v>2</v>
      </c>
      <c r="Q2532" t="s">
        <v>559</v>
      </c>
      <c r="R2532" t="s">
        <v>260</v>
      </c>
      <c r="S2532" t="str">
        <f t="shared" si="354"/>
        <v>PA</v>
      </c>
    </row>
    <row r="2533" spans="1:19" x14ac:dyDescent="0.3">
      <c r="A2533" t="s">
        <v>12</v>
      </c>
      <c r="B2533" t="s">
        <v>271</v>
      </c>
      <c r="C2533" t="s">
        <v>272</v>
      </c>
      <c r="E2533" t="s">
        <v>306</v>
      </c>
      <c r="F2533" s="1" t="s">
        <v>307</v>
      </c>
      <c r="G2533">
        <v>2</v>
      </c>
      <c r="H2533" t="s">
        <v>438</v>
      </c>
      <c r="I2533" s="4">
        <f t="shared" si="355"/>
        <v>3</v>
      </c>
      <c r="J2533">
        <f t="shared" si="356"/>
        <v>6</v>
      </c>
      <c r="K2533">
        <v>152</v>
      </c>
      <c r="L2533">
        <v>52</v>
      </c>
      <c r="M2533" s="2">
        <v>2.8</v>
      </c>
      <c r="N2533" s="2">
        <v>2.97</v>
      </c>
      <c r="O2533">
        <v>0</v>
      </c>
      <c r="P2533">
        <v>1</v>
      </c>
      <c r="Q2533" t="s">
        <v>558</v>
      </c>
      <c r="R2533" t="s">
        <v>260</v>
      </c>
      <c r="S2533" t="str">
        <f t="shared" si="354"/>
        <v>PA</v>
      </c>
    </row>
    <row r="2534" spans="1:19" x14ac:dyDescent="0.3">
      <c r="A2534" t="s">
        <v>12</v>
      </c>
      <c r="B2534" t="s">
        <v>271</v>
      </c>
      <c r="C2534" t="s">
        <v>272</v>
      </c>
      <c r="E2534" t="s">
        <v>382</v>
      </c>
      <c r="F2534" t="s">
        <v>383</v>
      </c>
      <c r="G2534">
        <v>4</v>
      </c>
      <c r="H2534" t="s">
        <v>438</v>
      </c>
      <c r="I2534" s="4">
        <f t="shared" si="355"/>
        <v>3</v>
      </c>
      <c r="J2534">
        <f t="shared" si="356"/>
        <v>12</v>
      </c>
      <c r="K2534">
        <v>56</v>
      </c>
      <c r="L2534">
        <v>20</v>
      </c>
      <c r="M2534" s="2">
        <v>2.8</v>
      </c>
      <c r="N2534" s="2">
        <v>2.97</v>
      </c>
      <c r="O2534">
        <v>0</v>
      </c>
      <c r="P2534">
        <v>1</v>
      </c>
      <c r="Q2534" t="s">
        <v>558</v>
      </c>
      <c r="R2534" t="s">
        <v>260</v>
      </c>
      <c r="S2534" t="str">
        <f t="shared" si="354"/>
        <v>PA</v>
      </c>
    </row>
    <row r="2535" spans="1:19" x14ac:dyDescent="0.3">
      <c r="A2535" t="s">
        <v>12</v>
      </c>
      <c r="B2535" t="s">
        <v>271</v>
      </c>
      <c r="C2535" t="s">
        <v>272</v>
      </c>
      <c r="E2535" t="s">
        <v>279</v>
      </c>
      <c r="F2535" s="1" t="s">
        <v>280</v>
      </c>
      <c r="G2535">
        <v>2</v>
      </c>
      <c r="H2535" t="s">
        <v>438</v>
      </c>
      <c r="I2535" s="4">
        <f t="shared" si="355"/>
        <v>3</v>
      </c>
      <c r="J2535">
        <f t="shared" si="356"/>
        <v>6</v>
      </c>
      <c r="K2535">
        <v>152</v>
      </c>
      <c r="L2535">
        <v>52</v>
      </c>
      <c r="M2535" s="2">
        <v>2.8</v>
      </c>
      <c r="N2535" s="2">
        <v>2.97</v>
      </c>
      <c r="O2535">
        <v>0</v>
      </c>
      <c r="P2535">
        <v>1</v>
      </c>
      <c r="Q2535" t="s">
        <v>558</v>
      </c>
      <c r="R2535" t="s">
        <v>260</v>
      </c>
      <c r="S2535" t="str">
        <f t="shared" si="354"/>
        <v>PA</v>
      </c>
    </row>
    <row r="2536" spans="1:19" x14ac:dyDescent="0.3">
      <c r="A2536" t="s">
        <v>12</v>
      </c>
      <c r="B2536" t="s">
        <v>271</v>
      </c>
      <c r="C2536" t="s">
        <v>272</v>
      </c>
      <c r="E2536" t="s">
        <v>14</v>
      </c>
      <c r="F2536" t="s">
        <v>15</v>
      </c>
      <c r="G2536">
        <v>2</v>
      </c>
      <c r="H2536" t="s">
        <v>438</v>
      </c>
      <c r="I2536" s="4">
        <f t="shared" si="355"/>
        <v>3</v>
      </c>
      <c r="J2536">
        <f t="shared" si="356"/>
        <v>6</v>
      </c>
      <c r="K2536">
        <v>44</v>
      </c>
      <c r="L2536">
        <v>14</v>
      </c>
      <c r="M2536" s="2">
        <v>3.14</v>
      </c>
      <c r="N2536" s="2">
        <v>2.97</v>
      </c>
      <c r="O2536">
        <v>0</v>
      </c>
      <c r="P2536">
        <v>5</v>
      </c>
      <c r="Q2536" t="s">
        <v>566</v>
      </c>
      <c r="R2536" t="s">
        <v>596</v>
      </c>
      <c r="S2536" t="str">
        <f t="shared" si="354"/>
        <v>PA</v>
      </c>
    </row>
    <row r="2537" spans="1:19" x14ac:dyDescent="0.3">
      <c r="A2537" t="s">
        <v>12</v>
      </c>
      <c r="B2537" t="s">
        <v>271</v>
      </c>
      <c r="C2537" t="s">
        <v>272</v>
      </c>
      <c r="E2537" t="s">
        <v>211</v>
      </c>
      <c r="F2537" t="s">
        <v>186</v>
      </c>
      <c r="G2537">
        <v>4</v>
      </c>
      <c r="H2537" t="s">
        <v>438</v>
      </c>
      <c r="I2537" s="4">
        <f t="shared" si="355"/>
        <v>3</v>
      </c>
      <c r="J2537">
        <f t="shared" si="356"/>
        <v>12</v>
      </c>
      <c r="K2537">
        <v>56</v>
      </c>
      <c r="L2537">
        <v>20</v>
      </c>
      <c r="M2537" s="2">
        <v>2.8</v>
      </c>
      <c r="N2537" s="2">
        <v>2.97</v>
      </c>
      <c r="O2537">
        <v>0</v>
      </c>
      <c r="P2537">
        <v>1</v>
      </c>
      <c r="Q2537" t="s">
        <v>558</v>
      </c>
      <c r="R2537" t="s">
        <v>260</v>
      </c>
      <c r="S2537" t="str">
        <f t="shared" si="354"/>
        <v>PA</v>
      </c>
    </row>
    <row r="2538" spans="1:19" x14ac:dyDescent="0.3">
      <c r="A2538" t="s">
        <v>12</v>
      </c>
      <c r="B2538" t="s">
        <v>271</v>
      </c>
      <c r="C2538" t="s">
        <v>272</v>
      </c>
      <c r="E2538" t="s">
        <v>374</v>
      </c>
      <c r="F2538" s="1" t="s">
        <v>375</v>
      </c>
      <c r="G2538">
        <v>2</v>
      </c>
      <c r="H2538" t="s">
        <v>438</v>
      </c>
      <c r="I2538" s="4">
        <f t="shared" si="355"/>
        <v>3</v>
      </c>
      <c r="J2538">
        <f t="shared" si="356"/>
        <v>6</v>
      </c>
      <c r="K2538">
        <v>152</v>
      </c>
      <c r="L2538">
        <v>52</v>
      </c>
      <c r="M2538" s="2">
        <v>2.8</v>
      </c>
      <c r="N2538" s="2">
        <v>2.97</v>
      </c>
      <c r="O2538">
        <v>0</v>
      </c>
      <c r="P2538">
        <v>1</v>
      </c>
      <c r="Q2538" t="s">
        <v>558</v>
      </c>
      <c r="R2538" t="s">
        <v>260</v>
      </c>
      <c r="S2538" t="str">
        <f t="shared" si="354"/>
        <v>PA</v>
      </c>
    </row>
    <row r="2539" spans="1:19" x14ac:dyDescent="0.3">
      <c r="A2539" t="s">
        <v>12</v>
      </c>
      <c r="B2539" t="s">
        <v>271</v>
      </c>
      <c r="C2539" t="s">
        <v>272</v>
      </c>
      <c r="E2539" t="s">
        <v>344</v>
      </c>
      <c r="F2539" t="s">
        <v>345</v>
      </c>
      <c r="G2539">
        <v>2</v>
      </c>
      <c r="H2539" t="s">
        <v>438</v>
      </c>
      <c r="I2539" s="4">
        <f t="shared" si="355"/>
        <v>3</v>
      </c>
      <c r="J2539">
        <f t="shared" si="356"/>
        <v>6</v>
      </c>
      <c r="K2539">
        <v>60</v>
      </c>
      <c r="L2539">
        <v>20</v>
      </c>
      <c r="M2539" s="2">
        <v>3</v>
      </c>
      <c r="N2539" s="2">
        <v>2.97</v>
      </c>
      <c r="O2539">
        <v>0</v>
      </c>
      <c r="P2539">
        <v>3</v>
      </c>
      <c r="Q2539" t="s">
        <v>563</v>
      </c>
      <c r="R2539" t="s">
        <v>260</v>
      </c>
      <c r="S2539" t="str">
        <f t="shared" si="354"/>
        <v>PA</v>
      </c>
    </row>
    <row r="2540" spans="1:19" x14ac:dyDescent="0.3">
      <c r="A2540" t="s">
        <v>12</v>
      </c>
      <c r="B2540" t="s">
        <v>271</v>
      </c>
      <c r="C2540" t="s">
        <v>272</v>
      </c>
      <c r="E2540" t="s">
        <v>309</v>
      </c>
      <c r="F2540" s="1" t="s">
        <v>310</v>
      </c>
      <c r="G2540">
        <v>4</v>
      </c>
      <c r="H2540" t="s">
        <v>438</v>
      </c>
      <c r="I2540" s="4">
        <f t="shared" si="355"/>
        <v>3</v>
      </c>
      <c r="J2540">
        <f t="shared" si="356"/>
        <v>12</v>
      </c>
      <c r="K2540">
        <v>152</v>
      </c>
      <c r="L2540">
        <v>52</v>
      </c>
      <c r="M2540" s="2">
        <v>2.8</v>
      </c>
      <c r="N2540" s="2">
        <v>2.97</v>
      </c>
      <c r="O2540">
        <v>0</v>
      </c>
      <c r="P2540">
        <v>1</v>
      </c>
      <c r="Q2540" t="s">
        <v>558</v>
      </c>
      <c r="R2540" t="s">
        <v>260</v>
      </c>
      <c r="S2540" t="str">
        <f t="shared" si="354"/>
        <v>PA</v>
      </c>
    </row>
    <row r="2541" spans="1:19" x14ac:dyDescent="0.3">
      <c r="A2541" t="s">
        <v>12</v>
      </c>
      <c r="B2541" t="s">
        <v>271</v>
      </c>
      <c r="C2541" t="s">
        <v>272</v>
      </c>
      <c r="E2541" t="s">
        <v>131</v>
      </c>
      <c r="F2541" s="1" t="s">
        <v>132</v>
      </c>
      <c r="G2541">
        <v>2</v>
      </c>
      <c r="H2541" t="s">
        <v>438</v>
      </c>
      <c r="I2541" s="4">
        <f t="shared" si="355"/>
        <v>3</v>
      </c>
      <c r="J2541">
        <f t="shared" si="356"/>
        <v>6</v>
      </c>
      <c r="K2541">
        <v>152</v>
      </c>
      <c r="L2541">
        <v>52</v>
      </c>
      <c r="M2541" s="2">
        <v>2.8</v>
      </c>
      <c r="N2541" s="2">
        <v>2.97</v>
      </c>
      <c r="O2541">
        <v>0</v>
      </c>
      <c r="P2541">
        <v>1</v>
      </c>
      <c r="Q2541" t="s">
        <v>558</v>
      </c>
      <c r="R2541" t="s">
        <v>260</v>
      </c>
      <c r="S2541" t="str">
        <f t="shared" si="354"/>
        <v>PA</v>
      </c>
    </row>
    <row r="2542" spans="1:19" x14ac:dyDescent="0.3">
      <c r="A2542" t="s">
        <v>12</v>
      </c>
      <c r="B2542" t="s">
        <v>271</v>
      </c>
      <c r="C2542" t="s">
        <v>272</v>
      </c>
      <c r="E2542" t="s">
        <v>257</v>
      </c>
      <c r="F2542" s="1" t="s">
        <v>258</v>
      </c>
      <c r="G2542">
        <v>4</v>
      </c>
      <c r="H2542" t="s">
        <v>438</v>
      </c>
      <c r="I2542" s="4">
        <f t="shared" si="355"/>
        <v>3</v>
      </c>
      <c r="J2542">
        <f t="shared" si="356"/>
        <v>12</v>
      </c>
      <c r="K2542">
        <v>152</v>
      </c>
      <c r="L2542">
        <v>52</v>
      </c>
      <c r="M2542" s="2">
        <v>2.8</v>
      </c>
      <c r="N2542" s="2">
        <v>2.97</v>
      </c>
      <c r="O2542">
        <v>0</v>
      </c>
      <c r="P2542">
        <v>1</v>
      </c>
      <c r="Q2542" t="s">
        <v>558</v>
      </c>
      <c r="R2542" t="s">
        <v>260</v>
      </c>
      <c r="S2542" t="str">
        <f t="shared" si="354"/>
        <v>PA</v>
      </c>
    </row>
    <row r="2543" spans="1:19" x14ac:dyDescent="0.3">
      <c r="A2543" t="s">
        <v>12</v>
      </c>
      <c r="B2543" t="s">
        <v>271</v>
      </c>
      <c r="C2543" t="s">
        <v>272</v>
      </c>
      <c r="E2543" t="s">
        <v>437</v>
      </c>
      <c r="F2543" s="1" t="s">
        <v>169</v>
      </c>
      <c r="G2543">
        <v>4</v>
      </c>
      <c r="H2543" t="s">
        <v>438</v>
      </c>
      <c r="I2543" s="4">
        <f t="shared" si="355"/>
        <v>3</v>
      </c>
      <c r="J2543">
        <f t="shared" si="356"/>
        <v>12</v>
      </c>
      <c r="K2543">
        <v>152</v>
      </c>
      <c r="L2543">
        <v>52</v>
      </c>
      <c r="M2543" s="2">
        <v>2.8</v>
      </c>
      <c r="N2543" s="2">
        <v>2.97</v>
      </c>
      <c r="O2543">
        <v>0</v>
      </c>
      <c r="P2543">
        <v>1</v>
      </c>
      <c r="Q2543" t="s">
        <v>558</v>
      </c>
      <c r="R2543" t="s">
        <v>260</v>
      </c>
      <c r="S2543" t="str">
        <f t="shared" si="354"/>
        <v>PA</v>
      </c>
    </row>
    <row r="2544" spans="1:19" x14ac:dyDescent="0.3">
      <c r="A2544" t="s">
        <v>12</v>
      </c>
      <c r="B2544" t="s">
        <v>271</v>
      </c>
      <c r="C2544" t="s">
        <v>272</v>
      </c>
      <c r="E2544" t="s">
        <v>446</v>
      </c>
      <c r="F2544" t="s">
        <v>447</v>
      </c>
      <c r="G2544">
        <v>2</v>
      </c>
      <c r="H2544" t="s">
        <v>438</v>
      </c>
      <c r="I2544" s="4">
        <f t="shared" si="355"/>
        <v>3</v>
      </c>
      <c r="J2544">
        <f t="shared" si="356"/>
        <v>6</v>
      </c>
      <c r="K2544">
        <v>70</v>
      </c>
      <c r="L2544">
        <v>22</v>
      </c>
      <c r="M2544" s="2">
        <v>3.18</v>
      </c>
      <c r="N2544" s="2">
        <v>2.97</v>
      </c>
      <c r="O2544">
        <v>0</v>
      </c>
      <c r="P2544">
        <v>2</v>
      </c>
      <c r="Q2544" t="s">
        <v>559</v>
      </c>
      <c r="R2544" t="s">
        <v>260</v>
      </c>
      <c r="S2544" t="str">
        <f t="shared" si="354"/>
        <v>PA</v>
      </c>
    </row>
    <row r="2545" spans="1:19" x14ac:dyDescent="0.3">
      <c r="A2545" t="s">
        <v>12</v>
      </c>
      <c r="B2545" t="s">
        <v>271</v>
      </c>
      <c r="C2545" t="s">
        <v>272</v>
      </c>
      <c r="E2545" t="s">
        <v>170</v>
      </c>
      <c r="F2545" s="1" t="s">
        <v>171</v>
      </c>
      <c r="G2545">
        <v>4</v>
      </c>
      <c r="H2545" t="s">
        <v>438</v>
      </c>
      <c r="I2545" s="4">
        <f t="shared" si="355"/>
        <v>3</v>
      </c>
      <c r="J2545">
        <f t="shared" si="356"/>
        <v>12</v>
      </c>
      <c r="K2545">
        <v>152</v>
      </c>
      <c r="L2545">
        <v>52</v>
      </c>
      <c r="M2545" s="2">
        <v>2.8</v>
      </c>
      <c r="N2545" s="2">
        <v>2.97</v>
      </c>
      <c r="O2545">
        <v>0</v>
      </c>
      <c r="P2545">
        <v>1</v>
      </c>
      <c r="Q2545" t="s">
        <v>558</v>
      </c>
      <c r="R2545" t="s">
        <v>260</v>
      </c>
      <c r="S2545" t="str">
        <f t="shared" si="354"/>
        <v>PA</v>
      </c>
    </row>
    <row r="2546" spans="1:19" x14ac:dyDescent="0.3">
      <c r="A2546" t="s">
        <v>12</v>
      </c>
      <c r="B2546" t="s">
        <v>271</v>
      </c>
      <c r="C2546" t="s">
        <v>272</v>
      </c>
      <c r="E2546" t="s">
        <v>262</v>
      </c>
      <c r="F2546" t="s">
        <v>263</v>
      </c>
      <c r="G2546">
        <v>2</v>
      </c>
      <c r="H2546" t="s">
        <v>438</v>
      </c>
      <c r="I2546" s="4">
        <f t="shared" si="355"/>
        <v>3</v>
      </c>
      <c r="J2546">
        <f t="shared" si="356"/>
        <v>6</v>
      </c>
      <c r="K2546">
        <v>46</v>
      </c>
      <c r="L2546">
        <v>16</v>
      </c>
      <c r="M2546" s="2">
        <v>2.88</v>
      </c>
      <c r="N2546" s="2">
        <v>2.97</v>
      </c>
      <c r="O2546">
        <v>0</v>
      </c>
      <c r="P2546">
        <v>4</v>
      </c>
      <c r="Q2546" t="s">
        <v>565</v>
      </c>
      <c r="R2546" t="s">
        <v>260</v>
      </c>
      <c r="S2546" t="str">
        <f t="shared" si="354"/>
        <v>PA</v>
      </c>
    </row>
    <row r="2547" spans="1:19" x14ac:dyDescent="0.3">
      <c r="A2547" t="s">
        <v>12</v>
      </c>
      <c r="B2547" t="s">
        <v>271</v>
      </c>
      <c r="C2547" t="s">
        <v>272</v>
      </c>
      <c r="E2547" t="s">
        <v>360</v>
      </c>
      <c r="F2547" t="s">
        <v>361</v>
      </c>
      <c r="G2547">
        <v>2</v>
      </c>
      <c r="H2547" t="s">
        <v>438</v>
      </c>
      <c r="I2547" s="4">
        <f t="shared" si="355"/>
        <v>3</v>
      </c>
      <c r="J2547">
        <f t="shared" si="356"/>
        <v>6</v>
      </c>
      <c r="K2547">
        <v>70</v>
      </c>
      <c r="L2547">
        <v>22</v>
      </c>
      <c r="M2547" s="2">
        <v>3.18</v>
      </c>
      <c r="N2547" s="2">
        <v>2.97</v>
      </c>
      <c r="O2547">
        <v>0</v>
      </c>
      <c r="P2547">
        <v>2</v>
      </c>
      <c r="Q2547" t="s">
        <v>559</v>
      </c>
      <c r="R2547" t="s">
        <v>260</v>
      </c>
      <c r="S2547" t="str">
        <f t="shared" si="354"/>
        <v>PA</v>
      </c>
    </row>
    <row r="2548" spans="1:19" x14ac:dyDescent="0.3">
      <c r="A2548" t="s">
        <v>12</v>
      </c>
      <c r="B2548" t="s">
        <v>271</v>
      </c>
      <c r="C2548" t="s">
        <v>272</v>
      </c>
      <c r="E2548" t="s">
        <v>370</v>
      </c>
      <c r="F2548" s="1" t="s">
        <v>371</v>
      </c>
      <c r="G2548">
        <v>2</v>
      </c>
      <c r="H2548" t="s">
        <v>438</v>
      </c>
      <c r="I2548" s="4">
        <f t="shared" si="355"/>
        <v>3</v>
      </c>
      <c r="J2548">
        <f t="shared" si="356"/>
        <v>6</v>
      </c>
      <c r="K2548">
        <v>152</v>
      </c>
      <c r="L2548">
        <v>52</v>
      </c>
      <c r="M2548" s="2">
        <v>2.8</v>
      </c>
      <c r="N2548" s="2">
        <v>2.97</v>
      </c>
      <c r="O2548">
        <v>0</v>
      </c>
      <c r="P2548">
        <v>1</v>
      </c>
      <c r="Q2548" t="s">
        <v>558</v>
      </c>
      <c r="R2548" t="s">
        <v>260</v>
      </c>
      <c r="S2548" t="str">
        <f t="shared" si="354"/>
        <v>PA</v>
      </c>
    </row>
    <row r="2549" spans="1:19" x14ac:dyDescent="0.3">
      <c r="A2549" t="s">
        <v>12</v>
      </c>
      <c r="B2549" t="s">
        <v>271</v>
      </c>
      <c r="C2549" t="s">
        <v>272</v>
      </c>
      <c r="E2549" t="s">
        <v>264</v>
      </c>
      <c r="F2549" t="s">
        <v>265</v>
      </c>
      <c r="G2549">
        <v>2</v>
      </c>
      <c r="H2549" t="s">
        <v>438</v>
      </c>
      <c r="I2549" s="4">
        <f t="shared" si="355"/>
        <v>3</v>
      </c>
      <c r="J2549">
        <f t="shared" si="356"/>
        <v>6</v>
      </c>
      <c r="K2549">
        <v>56</v>
      </c>
      <c r="L2549">
        <v>20</v>
      </c>
      <c r="M2549" s="2">
        <v>2.8</v>
      </c>
      <c r="N2549" s="2">
        <v>2.97</v>
      </c>
      <c r="O2549">
        <v>0</v>
      </c>
      <c r="P2549">
        <v>1</v>
      </c>
      <c r="Q2549" t="s">
        <v>558</v>
      </c>
      <c r="R2549" t="s">
        <v>260</v>
      </c>
      <c r="S2549" t="str">
        <f t="shared" si="354"/>
        <v>PA</v>
      </c>
    </row>
    <row r="2550" spans="1:19" x14ac:dyDescent="0.3">
      <c r="A2550" t="s">
        <v>12</v>
      </c>
      <c r="B2550" t="s">
        <v>271</v>
      </c>
      <c r="C2550" t="s">
        <v>272</v>
      </c>
      <c r="E2550" t="s">
        <v>173</v>
      </c>
      <c r="F2550" t="s">
        <v>8</v>
      </c>
      <c r="G2550">
        <v>2</v>
      </c>
      <c r="H2550" t="s">
        <v>438</v>
      </c>
      <c r="I2550" s="4">
        <f t="shared" si="355"/>
        <v>3</v>
      </c>
      <c r="J2550">
        <f t="shared" si="356"/>
        <v>6</v>
      </c>
      <c r="K2550">
        <v>44</v>
      </c>
      <c r="L2550">
        <v>14</v>
      </c>
      <c r="M2550" s="2">
        <v>3.14</v>
      </c>
      <c r="N2550" s="2">
        <v>2.97</v>
      </c>
      <c r="O2550">
        <v>0</v>
      </c>
      <c r="P2550">
        <v>5</v>
      </c>
      <c r="Q2550" t="s">
        <v>566</v>
      </c>
      <c r="R2550" t="s">
        <v>596</v>
      </c>
      <c r="S2550" t="str">
        <f t="shared" ref="S2550:S2574" si="357">IF(OR(H2550="A",H2550="B",H2550="C"),"PA","FA")</f>
        <v>PA</v>
      </c>
    </row>
    <row r="2551" spans="1:19" x14ac:dyDescent="0.3">
      <c r="A2551" t="s">
        <v>12</v>
      </c>
      <c r="B2551" t="s">
        <v>271</v>
      </c>
      <c r="C2551" t="s">
        <v>272</v>
      </c>
      <c r="E2551" t="s">
        <v>97</v>
      </c>
      <c r="F2551" t="s">
        <v>98</v>
      </c>
      <c r="G2551">
        <v>4</v>
      </c>
      <c r="H2551" t="s">
        <v>438</v>
      </c>
      <c r="I2551" s="4">
        <f t="shared" ref="I2551:I2614" si="358">IF(H2551="A",4,IF(H2551="B",3,IF(H2551="C",2,IF(H2551="D",1,0))))</f>
        <v>3</v>
      </c>
      <c r="J2551">
        <f t="shared" ref="J2551:J2614" si="359">G2551*I2551</f>
        <v>12</v>
      </c>
      <c r="K2551">
        <v>70</v>
      </c>
      <c r="L2551">
        <v>22</v>
      </c>
      <c r="M2551" s="2">
        <v>3.18</v>
      </c>
      <c r="N2551" s="2">
        <v>2.97</v>
      </c>
      <c r="O2551">
        <v>0</v>
      </c>
      <c r="P2551">
        <v>2</v>
      </c>
      <c r="Q2551" t="s">
        <v>559</v>
      </c>
      <c r="R2551" t="s">
        <v>260</v>
      </c>
      <c r="S2551" t="str">
        <f t="shared" si="357"/>
        <v>PA</v>
      </c>
    </row>
    <row r="2552" spans="1:19" x14ac:dyDescent="0.3">
      <c r="A2552" t="s">
        <v>12</v>
      </c>
      <c r="B2552" t="s">
        <v>271</v>
      </c>
      <c r="C2552" t="s">
        <v>272</v>
      </c>
      <c r="E2552" t="s">
        <v>100</v>
      </c>
      <c r="F2552" s="1" t="s">
        <v>101</v>
      </c>
      <c r="G2552">
        <v>4</v>
      </c>
      <c r="H2552" t="s">
        <v>438</v>
      </c>
      <c r="I2552" s="4">
        <f t="shared" si="358"/>
        <v>3</v>
      </c>
      <c r="J2552">
        <f t="shared" si="359"/>
        <v>12</v>
      </c>
      <c r="K2552">
        <v>152</v>
      </c>
      <c r="L2552">
        <v>52</v>
      </c>
      <c r="M2552" s="2">
        <v>2.8</v>
      </c>
      <c r="N2552" s="2">
        <v>2.97</v>
      </c>
      <c r="O2552">
        <v>0</v>
      </c>
      <c r="P2552">
        <v>1</v>
      </c>
      <c r="Q2552" t="s">
        <v>558</v>
      </c>
      <c r="R2552" t="s">
        <v>260</v>
      </c>
      <c r="S2552" t="str">
        <f t="shared" si="357"/>
        <v>PA</v>
      </c>
    </row>
    <row r="2553" spans="1:19" x14ac:dyDescent="0.3">
      <c r="A2553" t="s">
        <v>12</v>
      </c>
      <c r="B2553" t="s">
        <v>271</v>
      </c>
      <c r="C2553" t="s">
        <v>272</v>
      </c>
      <c r="E2553" t="s">
        <v>31</v>
      </c>
      <c r="F2553" t="s">
        <v>20</v>
      </c>
      <c r="G2553">
        <v>4</v>
      </c>
      <c r="H2553" t="s">
        <v>438</v>
      </c>
      <c r="I2553" s="4">
        <f t="shared" si="358"/>
        <v>3</v>
      </c>
      <c r="J2553">
        <f t="shared" si="359"/>
        <v>12</v>
      </c>
      <c r="K2553">
        <v>44</v>
      </c>
      <c r="L2553">
        <v>14</v>
      </c>
      <c r="M2553" s="2">
        <v>3.14</v>
      </c>
      <c r="N2553" s="2">
        <v>2.97</v>
      </c>
      <c r="O2553">
        <v>0</v>
      </c>
      <c r="P2553">
        <v>5</v>
      </c>
      <c r="Q2553" t="s">
        <v>566</v>
      </c>
      <c r="R2553" t="s">
        <v>596</v>
      </c>
      <c r="S2553" t="str">
        <f t="shared" si="357"/>
        <v>PA</v>
      </c>
    </row>
    <row r="2554" spans="1:19" x14ac:dyDescent="0.3">
      <c r="A2554" t="s">
        <v>12</v>
      </c>
      <c r="B2554" t="s">
        <v>271</v>
      </c>
      <c r="C2554" t="s">
        <v>272</v>
      </c>
      <c r="E2554" t="s">
        <v>293</v>
      </c>
      <c r="F2554" t="s">
        <v>294</v>
      </c>
      <c r="G2554">
        <v>2</v>
      </c>
      <c r="H2554" t="s">
        <v>438</v>
      </c>
      <c r="I2554" s="4">
        <f t="shared" si="358"/>
        <v>3</v>
      </c>
      <c r="J2554">
        <f t="shared" si="359"/>
        <v>6</v>
      </c>
      <c r="K2554">
        <v>56</v>
      </c>
      <c r="L2554">
        <v>20</v>
      </c>
      <c r="M2554" s="2">
        <v>2.8</v>
      </c>
      <c r="N2554" s="2">
        <v>2.97</v>
      </c>
      <c r="O2554">
        <v>0</v>
      </c>
      <c r="P2554">
        <v>1</v>
      </c>
      <c r="Q2554" t="s">
        <v>558</v>
      </c>
      <c r="R2554" t="s">
        <v>260</v>
      </c>
      <c r="S2554" t="str">
        <f t="shared" si="357"/>
        <v>PA</v>
      </c>
    </row>
    <row r="2555" spans="1:19" x14ac:dyDescent="0.3">
      <c r="A2555" t="s">
        <v>12</v>
      </c>
      <c r="B2555" t="s">
        <v>271</v>
      </c>
      <c r="C2555" t="s">
        <v>272</v>
      </c>
      <c r="E2555" t="s">
        <v>283</v>
      </c>
      <c r="F2555" t="s">
        <v>284</v>
      </c>
      <c r="G2555">
        <v>2</v>
      </c>
      <c r="H2555" t="s">
        <v>438</v>
      </c>
      <c r="I2555" s="4">
        <f t="shared" si="358"/>
        <v>3</v>
      </c>
      <c r="J2555">
        <f t="shared" si="359"/>
        <v>6</v>
      </c>
      <c r="K2555">
        <v>60</v>
      </c>
      <c r="L2555">
        <v>20</v>
      </c>
      <c r="M2555" s="2">
        <v>3</v>
      </c>
      <c r="N2555" s="2">
        <v>2.97</v>
      </c>
      <c r="O2555">
        <v>0</v>
      </c>
      <c r="P2555">
        <v>3</v>
      </c>
      <c r="Q2555" t="s">
        <v>563</v>
      </c>
      <c r="R2555" t="s">
        <v>260</v>
      </c>
      <c r="S2555" t="str">
        <f t="shared" si="357"/>
        <v>PA</v>
      </c>
    </row>
    <row r="2556" spans="1:19" x14ac:dyDescent="0.3">
      <c r="A2556" t="s">
        <v>12</v>
      </c>
      <c r="B2556" t="s">
        <v>271</v>
      </c>
      <c r="C2556" t="s">
        <v>272</v>
      </c>
      <c r="E2556" t="s">
        <v>77</v>
      </c>
      <c r="F2556" s="1" t="s">
        <v>78</v>
      </c>
      <c r="G2556">
        <v>2</v>
      </c>
      <c r="H2556" t="s">
        <v>438</v>
      </c>
      <c r="I2556" s="4">
        <f t="shared" si="358"/>
        <v>3</v>
      </c>
      <c r="J2556">
        <f t="shared" si="359"/>
        <v>6</v>
      </c>
      <c r="K2556">
        <v>152</v>
      </c>
      <c r="L2556">
        <v>52</v>
      </c>
      <c r="M2556" s="2">
        <v>2.8</v>
      </c>
      <c r="N2556" s="2">
        <v>2.97</v>
      </c>
      <c r="O2556">
        <v>0</v>
      </c>
      <c r="P2556">
        <v>1</v>
      </c>
      <c r="Q2556" t="s">
        <v>558</v>
      </c>
      <c r="R2556" t="s">
        <v>260</v>
      </c>
      <c r="S2556" t="str">
        <f t="shared" si="357"/>
        <v>PA</v>
      </c>
    </row>
    <row r="2557" spans="1:19" x14ac:dyDescent="0.3">
      <c r="A2557" t="s">
        <v>12</v>
      </c>
      <c r="B2557" t="s">
        <v>271</v>
      </c>
      <c r="C2557" t="s">
        <v>272</v>
      </c>
      <c r="E2557" t="s">
        <v>244</v>
      </c>
      <c r="F2557" s="1" t="s">
        <v>228</v>
      </c>
      <c r="G2557">
        <v>2</v>
      </c>
      <c r="H2557" t="s">
        <v>438</v>
      </c>
      <c r="I2557" s="4">
        <f t="shared" si="358"/>
        <v>3</v>
      </c>
      <c r="J2557">
        <f t="shared" si="359"/>
        <v>6</v>
      </c>
      <c r="K2557">
        <v>152</v>
      </c>
      <c r="L2557">
        <v>52</v>
      </c>
      <c r="M2557" s="2">
        <v>2.8</v>
      </c>
      <c r="N2557" s="2">
        <v>2.97</v>
      </c>
      <c r="O2557">
        <v>0</v>
      </c>
      <c r="P2557">
        <v>1</v>
      </c>
      <c r="Q2557" t="s">
        <v>558</v>
      </c>
      <c r="R2557" t="s">
        <v>260</v>
      </c>
      <c r="S2557" t="str">
        <f t="shared" si="357"/>
        <v>PA</v>
      </c>
    </row>
    <row r="2558" spans="1:19" x14ac:dyDescent="0.3">
      <c r="A2558" t="s">
        <v>12</v>
      </c>
      <c r="B2558" t="s">
        <v>271</v>
      </c>
      <c r="C2558" t="s">
        <v>272</v>
      </c>
      <c r="E2558" t="s">
        <v>165</v>
      </c>
      <c r="F2558" s="1" t="s">
        <v>166</v>
      </c>
      <c r="G2558">
        <v>2</v>
      </c>
      <c r="H2558" t="s">
        <v>438</v>
      </c>
      <c r="I2558" s="4">
        <f t="shared" si="358"/>
        <v>3</v>
      </c>
      <c r="J2558">
        <f t="shared" si="359"/>
        <v>6</v>
      </c>
      <c r="K2558">
        <v>152</v>
      </c>
      <c r="L2558">
        <v>52</v>
      </c>
      <c r="M2558" s="2">
        <v>2.8</v>
      </c>
      <c r="N2558" s="2">
        <v>2.97</v>
      </c>
      <c r="O2558">
        <v>0</v>
      </c>
      <c r="P2558">
        <v>1</v>
      </c>
      <c r="Q2558" t="s">
        <v>558</v>
      </c>
      <c r="R2558" t="s">
        <v>260</v>
      </c>
      <c r="S2558" t="str">
        <f t="shared" si="357"/>
        <v>PA</v>
      </c>
    </row>
    <row r="2559" spans="1:19" x14ac:dyDescent="0.3">
      <c r="A2559" t="s">
        <v>12</v>
      </c>
      <c r="B2559" t="s">
        <v>271</v>
      </c>
      <c r="C2559" t="s">
        <v>272</v>
      </c>
      <c r="E2559" t="s">
        <v>122</v>
      </c>
      <c r="F2559" t="s">
        <v>123</v>
      </c>
      <c r="G2559">
        <v>4</v>
      </c>
      <c r="H2559" t="s">
        <v>438</v>
      </c>
      <c r="I2559" s="4">
        <f t="shared" si="358"/>
        <v>3</v>
      </c>
      <c r="J2559">
        <f t="shared" si="359"/>
        <v>12</v>
      </c>
      <c r="K2559">
        <v>60</v>
      </c>
      <c r="L2559">
        <v>20</v>
      </c>
      <c r="M2559" s="2">
        <v>3</v>
      </c>
      <c r="N2559" s="2">
        <v>2.97</v>
      </c>
      <c r="O2559">
        <v>0</v>
      </c>
      <c r="P2559">
        <v>3</v>
      </c>
      <c r="Q2559" t="s">
        <v>563</v>
      </c>
      <c r="R2559" t="s">
        <v>260</v>
      </c>
      <c r="S2559" t="str">
        <f t="shared" si="357"/>
        <v>PA</v>
      </c>
    </row>
    <row r="2560" spans="1:19" x14ac:dyDescent="0.3">
      <c r="A2560" t="s">
        <v>12</v>
      </c>
      <c r="B2560" t="s">
        <v>271</v>
      </c>
      <c r="C2560" t="s">
        <v>272</v>
      </c>
      <c r="E2560" t="s">
        <v>290</v>
      </c>
      <c r="F2560" t="s">
        <v>291</v>
      </c>
      <c r="G2560">
        <v>4</v>
      </c>
      <c r="H2560" t="s">
        <v>438</v>
      </c>
      <c r="I2560" s="4">
        <f t="shared" si="358"/>
        <v>3</v>
      </c>
      <c r="J2560">
        <f t="shared" si="359"/>
        <v>12</v>
      </c>
      <c r="K2560">
        <v>46</v>
      </c>
      <c r="L2560">
        <v>16</v>
      </c>
      <c r="M2560" s="2">
        <v>2.88</v>
      </c>
      <c r="N2560" s="2">
        <v>2.97</v>
      </c>
      <c r="O2560">
        <v>0</v>
      </c>
      <c r="P2560">
        <v>4</v>
      </c>
      <c r="Q2560" t="s">
        <v>565</v>
      </c>
      <c r="R2560" t="s">
        <v>260</v>
      </c>
      <c r="S2560" t="str">
        <f t="shared" si="357"/>
        <v>PA</v>
      </c>
    </row>
    <row r="2561" spans="1:19" x14ac:dyDescent="0.3">
      <c r="A2561" t="s">
        <v>12</v>
      </c>
      <c r="B2561" t="s">
        <v>271</v>
      </c>
      <c r="C2561" t="s">
        <v>272</v>
      </c>
      <c r="E2561" t="s">
        <v>297</v>
      </c>
      <c r="F2561" t="s">
        <v>298</v>
      </c>
      <c r="G2561">
        <v>4</v>
      </c>
      <c r="H2561" t="s">
        <v>438</v>
      </c>
      <c r="I2561" s="4">
        <f t="shared" si="358"/>
        <v>3</v>
      </c>
      <c r="J2561">
        <f t="shared" si="359"/>
        <v>12</v>
      </c>
      <c r="K2561">
        <v>70</v>
      </c>
      <c r="L2561">
        <v>22</v>
      </c>
      <c r="M2561" s="2">
        <v>3.18</v>
      </c>
      <c r="N2561" s="2">
        <v>2.97</v>
      </c>
      <c r="O2561">
        <v>0</v>
      </c>
      <c r="P2561">
        <v>2</v>
      </c>
      <c r="Q2561" t="s">
        <v>559</v>
      </c>
      <c r="R2561" t="s">
        <v>260</v>
      </c>
      <c r="S2561" t="str">
        <f t="shared" si="357"/>
        <v>PA</v>
      </c>
    </row>
    <row r="2562" spans="1:19" x14ac:dyDescent="0.3">
      <c r="A2562" t="s">
        <v>12</v>
      </c>
      <c r="B2562" t="s">
        <v>271</v>
      </c>
      <c r="C2562" t="s">
        <v>272</v>
      </c>
      <c r="E2562" t="s">
        <v>234</v>
      </c>
      <c r="F2562" s="1" t="s">
        <v>235</v>
      </c>
      <c r="G2562">
        <v>4</v>
      </c>
      <c r="H2562" t="s">
        <v>438</v>
      </c>
      <c r="I2562" s="4">
        <f t="shared" si="358"/>
        <v>3</v>
      </c>
      <c r="J2562">
        <f t="shared" si="359"/>
        <v>12</v>
      </c>
      <c r="K2562">
        <v>152</v>
      </c>
      <c r="L2562">
        <v>52</v>
      </c>
      <c r="M2562" s="2">
        <v>2.8</v>
      </c>
      <c r="N2562" s="2">
        <v>2.97</v>
      </c>
      <c r="O2562">
        <v>0</v>
      </c>
      <c r="P2562">
        <v>1</v>
      </c>
      <c r="Q2562" t="s">
        <v>558</v>
      </c>
      <c r="R2562" t="s">
        <v>260</v>
      </c>
      <c r="S2562" t="str">
        <f t="shared" si="357"/>
        <v>PA</v>
      </c>
    </row>
    <row r="2563" spans="1:19" x14ac:dyDescent="0.3">
      <c r="A2563" t="s">
        <v>12</v>
      </c>
      <c r="B2563" t="s">
        <v>271</v>
      </c>
      <c r="C2563" t="s">
        <v>272</v>
      </c>
      <c r="E2563" t="s">
        <v>432</v>
      </c>
      <c r="F2563" t="s">
        <v>433</v>
      </c>
      <c r="G2563">
        <v>4</v>
      </c>
      <c r="H2563" t="s">
        <v>438</v>
      </c>
      <c r="I2563" s="4">
        <f t="shared" si="358"/>
        <v>3</v>
      </c>
      <c r="J2563">
        <f t="shared" si="359"/>
        <v>12</v>
      </c>
      <c r="K2563">
        <v>46</v>
      </c>
      <c r="L2563">
        <v>16</v>
      </c>
      <c r="M2563" s="2">
        <v>2.88</v>
      </c>
      <c r="N2563" s="2">
        <v>2.97</v>
      </c>
      <c r="O2563">
        <v>0</v>
      </c>
      <c r="P2563">
        <v>4</v>
      </c>
      <c r="Q2563" t="s">
        <v>565</v>
      </c>
      <c r="R2563" t="s">
        <v>260</v>
      </c>
      <c r="S2563" t="str">
        <f t="shared" si="357"/>
        <v>PA</v>
      </c>
    </row>
    <row r="2564" spans="1:19" x14ac:dyDescent="0.3">
      <c r="A2564" t="s">
        <v>12</v>
      </c>
      <c r="B2564" t="s">
        <v>271</v>
      </c>
      <c r="C2564" t="s">
        <v>272</v>
      </c>
      <c r="E2564" t="s">
        <v>427</v>
      </c>
      <c r="F2564" t="s">
        <v>428</v>
      </c>
      <c r="G2564">
        <v>2</v>
      </c>
      <c r="H2564" t="s">
        <v>438</v>
      </c>
      <c r="I2564" s="4">
        <f t="shared" si="358"/>
        <v>3</v>
      </c>
      <c r="J2564">
        <f t="shared" si="359"/>
        <v>6</v>
      </c>
      <c r="K2564">
        <v>70</v>
      </c>
      <c r="L2564">
        <v>22</v>
      </c>
      <c r="M2564" s="2">
        <v>3.18</v>
      </c>
      <c r="N2564" s="2">
        <v>2.97</v>
      </c>
      <c r="O2564">
        <v>0</v>
      </c>
      <c r="P2564">
        <v>2</v>
      </c>
      <c r="Q2564" t="s">
        <v>559</v>
      </c>
      <c r="R2564" t="s">
        <v>260</v>
      </c>
      <c r="S2564" t="str">
        <f t="shared" si="357"/>
        <v>PA</v>
      </c>
    </row>
    <row r="2565" spans="1:19" x14ac:dyDescent="0.3">
      <c r="A2565" t="s">
        <v>12</v>
      </c>
      <c r="B2565" t="s">
        <v>271</v>
      </c>
      <c r="C2565" t="s">
        <v>272</v>
      </c>
      <c r="E2565" t="s">
        <v>151</v>
      </c>
      <c r="F2565" t="s">
        <v>152</v>
      </c>
      <c r="G2565">
        <v>2</v>
      </c>
      <c r="H2565" t="s">
        <v>524</v>
      </c>
      <c r="I2565" s="4">
        <f t="shared" si="358"/>
        <v>2</v>
      </c>
      <c r="J2565">
        <f t="shared" si="359"/>
        <v>4</v>
      </c>
      <c r="K2565">
        <v>44</v>
      </c>
      <c r="L2565">
        <v>14</v>
      </c>
      <c r="M2565" s="2">
        <v>3.14</v>
      </c>
      <c r="N2565" s="2">
        <v>2.97</v>
      </c>
      <c r="O2565">
        <v>0</v>
      </c>
      <c r="P2565">
        <v>5</v>
      </c>
      <c r="Q2565" t="s">
        <v>566</v>
      </c>
      <c r="R2565" t="s">
        <v>596</v>
      </c>
      <c r="S2565" t="str">
        <f t="shared" si="357"/>
        <v>PA</v>
      </c>
    </row>
    <row r="2566" spans="1:19" x14ac:dyDescent="0.3">
      <c r="A2566" t="s">
        <v>12</v>
      </c>
      <c r="B2566" t="s">
        <v>271</v>
      </c>
      <c r="C2566" t="s">
        <v>272</v>
      </c>
      <c r="E2566" t="s">
        <v>205</v>
      </c>
      <c r="F2566" t="s">
        <v>116</v>
      </c>
      <c r="G2566">
        <v>4</v>
      </c>
      <c r="H2566" t="s">
        <v>524</v>
      </c>
      <c r="I2566" s="4">
        <f t="shared" si="358"/>
        <v>2</v>
      </c>
      <c r="J2566">
        <f t="shared" si="359"/>
        <v>8</v>
      </c>
      <c r="K2566">
        <v>60</v>
      </c>
      <c r="L2566">
        <v>20</v>
      </c>
      <c r="M2566" s="2">
        <v>3</v>
      </c>
      <c r="N2566" s="2">
        <v>2.97</v>
      </c>
      <c r="O2566">
        <v>0</v>
      </c>
      <c r="P2566">
        <v>3</v>
      </c>
      <c r="Q2566" t="s">
        <v>563</v>
      </c>
      <c r="R2566" t="s">
        <v>260</v>
      </c>
      <c r="S2566" t="str">
        <f t="shared" si="357"/>
        <v>PA</v>
      </c>
    </row>
    <row r="2567" spans="1:19" x14ac:dyDescent="0.3">
      <c r="A2567" t="s">
        <v>12</v>
      </c>
      <c r="B2567" t="s">
        <v>271</v>
      </c>
      <c r="C2567" t="s">
        <v>272</v>
      </c>
      <c r="E2567" t="s">
        <v>241</v>
      </c>
      <c r="F2567" t="s">
        <v>45</v>
      </c>
      <c r="G2567">
        <v>2</v>
      </c>
      <c r="H2567" t="s">
        <v>524</v>
      </c>
      <c r="I2567" s="4">
        <f t="shared" si="358"/>
        <v>2</v>
      </c>
      <c r="J2567">
        <f t="shared" si="359"/>
        <v>4</v>
      </c>
      <c r="K2567">
        <v>60</v>
      </c>
      <c r="L2567">
        <v>20</v>
      </c>
      <c r="M2567" s="2">
        <v>3</v>
      </c>
      <c r="N2567" s="2">
        <v>2.97</v>
      </c>
      <c r="O2567">
        <v>0</v>
      </c>
      <c r="P2567">
        <v>3</v>
      </c>
      <c r="Q2567" t="s">
        <v>563</v>
      </c>
      <c r="R2567" t="s">
        <v>260</v>
      </c>
      <c r="S2567" t="str">
        <f t="shared" si="357"/>
        <v>PA</v>
      </c>
    </row>
    <row r="2568" spans="1:19" x14ac:dyDescent="0.3">
      <c r="A2568" t="s">
        <v>12</v>
      </c>
      <c r="B2568" t="s">
        <v>271</v>
      </c>
      <c r="C2568" t="s">
        <v>272</v>
      </c>
      <c r="E2568" t="s">
        <v>357</v>
      </c>
      <c r="F2568" t="s">
        <v>358</v>
      </c>
      <c r="G2568">
        <v>4</v>
      </c>
      <c r="H2568" t="s">
        <v>524</v>
      </c>
      <c r="I2568" s="4">
        <f t="shared" si="358"/>
        <v>2</v>
      </c>
      <c r="J2568">
        <f t="shared" si="359"/>
        <v>8</v>
      </c>
      <c r="K2568">
        <v>56</v>
      </c>
      <c r="L2568">
        <v>20</v>
      </c>
      <c r="M2568" s="2">
        <v>2.8</v>
      </c>
      <c r="N2568" s="2">
        <v>2.97</v>
      </c>
      <c r="O2568">
        <v>0</v>
      </c>
      <c r="P2568">
        <v>1</v>
      </c>
      <c r="Q2568" t="s">
        <v>558</v>
      </c>
      <c r="R2568" t="s">
        <v>260</v>
      </c>
      <c r="S2568" t="str">
        <f t="shared" si="357"/>
        <v>PA</v>
      </c>
    </row>
    <row r="2569" spans="1:19" x14ac:dyDescent="0.3">
      <c r="A2569" t="s">
        <v>12</v>
      </c>
      <c r="B2569" t="s">
        <v>271</v>
      </c>
      <c r="C2569" t="s">
        <v>272</v>
      </c>
      <c r="E2569" t="s">
        <v>192</v>
      </c>
      <c r="F2569" t="s">
        <v>106</v>
      </c>
      <c r="G2569">
        <v>2</v>
      </c>
      <c r="H2569" t="s">
        <v>260</v>
      </c>
      <c r="I2569" s="4">
        <f t="shared" si="358"/>
        <v>4</v>
      </c>
      <c r="J2569">
        <f t="shared" si="359"/>
        <v>8</v>
      </c>
      <c r="K2569">
        <v>44</v>
      </c>
      <c r="L2569">
        <v>14</v>
      </c>
      <c r="M2569" s="2">
        <v>3.14</v>
      </c>
      <c r="N2569" s="2">
        <v>2.97</v>
      </c>
      <c r="O2569">
        <v>0</v>
      </c>
      <c r="P2569">
        <v>5</v>
      </c>
      <c r="Q2569" t="s">
        <v>566</v>
      </c>
      <c r="R2569" t="s">
        <v>596</v>
      </c>
      <c r="S2569" t="str">
        <f t="shared" si="357"/>
        <v>PA</v>
      </c>
    </row>
    <row r="2570" spans="1:19" x14ac:dyDescent="0.3">
      <c r="A2570" t="s">
        <v>12</v>
      </c>
      <c r="B2570" t="s">
        <v>271</v>
      </c>
      <c r="C2570" t="s">
        <v>272</v>
      </c>
      <c r="E2570" t="s">
        <v>348</v>
      </c>
      <c r="F2570" t="s">
        <v>402</v>
      </c>
      <c r="G2570">
        <v>4</v>
      </c>
      <c r="H2570" t="s">
        <v>524</v>
      </c>
      <c r="I2570" s="4">
        <f t="shared" si="358"/>
        <v>2</v>
      </c>
      <c r="J2570">
        <f t="shared" si="359"/>
        <v>8</v>
      </c>
      <c r="K2570">
        <v>46</v>
      </c>
      <c r="L2570">
        <v>16</v>
      </c>
      <c r="M2570" s="2">
        <v>2.88</v>
      </c>
      <c r="N2570" s="2">
        <v>2.97</v>
      </c>
      <c r="O2570">
        <v>0</v>
      </c>
      <c r="P2570">
        <v>4</v>
      </c>
      <c r="Q2570" t="s">
        <v>565</v>
      </c>
      <c r="R2570" t="s">
        <v>260</v>
      </c>
      <c r="S2570" t="str">
        <f t="shared" si="357"/>
        <v>PA</v>
      </c>
    </row>
    <row r="2571" spans="1:19" x14ac:dyDescent="0.3">
      <c r="A2571" t="s">
        <v>12</v>
      </c>
      <c r="B2571" t="s">
        <v>271</v>
      </c>
      <c r="C2571" t="s">
        <v>272</v>
      </c>
      <c r="E2571" t="s">
        <v>139</v>
      </c>
      <c r="F2571" s="1" t="s">
        <v>140</v>
      </c>
      <c r="G2571">
        <v>2</v>
      </c>
      <c r="H2571" t="s">
        <v>524</v>
      </c>
      <c r="I2571" s="4">
        <f t="shared" si="358"/>
        <v>2</v>
      </c>
      <c r="J2571">
        <f t="shared" si="359"/>
        <v>4</v>
      </c>
      <c r="K2571">
        <v>152</v>
      </c>
      <c r="L2571">
        <v>52</v>
      </c>
      <c r="M2571" s="2">
        <v>2.8</v>
      </c>
      <c r="N2571" s="2">
        <v>2.97</v>
      </c>
      <c r="O2571">
        <v>0</v>
      </c>
      <c r="P2571">
        <v>1</v>
      </c>
      <c r="Q2571" t="s">
        <v>558</v>
      </c>
      <c r="R2571" t="s">
        <v>260</v>
      </c>
      <c r="S2571" t="str">
        <f t="shared" si="357"/>
        <v>PA</v>
      </c>
    </row>
    <row r="2572" spans="1:19" x14ac:dyDescent="0.3">
      <c r="A2572" t="s">
        <v>12</v>
      </c>
      <c r="B2572" t="s">
        <v>271</v>
      </c>
      <c r="C2572" t="s">
        <v>272</v>
      </c>
      <c r="E2572" t="s">
        <v>236</v>
      </c>
      <c r="F2572" t="s">
        <v>237</v>
      </c>
      <c r="G2572">
        <v>2</v>
      </c>
      <c r="H2572" t="s">
        <v>524</v>
      </c>
      <c r="I2572" s="4">
        <f t="shared" si="358"/>
        <v>2</v>
      </c>
      <c r="J2572">
        <f t="shared" si="359"/>
        <v>4</v>
      </c>
      <c r="K2572">
        <v>56</v>
      </c>
      <c r="L2572">
        <v>20</v>
      </c>
      <c r="M2572" s="2">
        <v>2.8</v>
      </c>
      <c r="N2572" s="2">
        <v>2.97</v>
      </c>
      <c r="O2572">
        <v>0</v>
      </c>
      <c r="P2572">
        <v>1</v>
      </c>
      <c r="Q2572" t="s">
        <v>558</v>
      </c>
      <c r="R2572" t="s">
        <v>260</v>
      </c>
      <c r="S2572" t="str">
        <f t="shared" si="357"/>
        <v>PA</v>
      </c>
    </row>
    <row r="2573" spans="1:19" x14ac:dyDescent="0.3">
      <c r="A2573" t="s">
        <v>12</v>
      </c>
      <c r="B2573" t="s">
        <v>271</v>
      </c>
      <c r="C2573" t="s">
        <v>272</v>
      </c>
      <c r="E2573" t="s">
        <v>276</v>
      </c>
      <c r="F2573" s="1" t="s">
        <v>137</v>
      </c>
      <c r="G2573">
        <v>4</v>
      </c>
      <c r="H2573" t="s">
        <v>524</v>
      </c>
      <c r="I2573" s="4">
        <f t="shared" si="358"/>
        <v>2</v>
      </c>
      <c r="J2573">
        <f t="shared" si="359"/>
        <v>8</v>
      </c>
      <c r="K2573">
        <v>152</v>
      </c>
      <c r="L2573">
        <v>52</v>
      </c>
      <c r="M2573" s="2">
        <v>2.8</v>
      </c>
      <c r="N2573" s="2">
        <v>2.97</v>
      </c>
      <c r="O2573">
        <v>0</v>
      </c>
      <c r="P2573">
        <v>1</v>
      </c>
      <c r="Q2573" t="s">
        <v>558</v>
      </c>
      <c r="R2573" t="s">
        <v>260</v>
      </c>
      <c r="S2573" t="str">
        <f t="shared" si="357"/>
        <v>PA</v>
      </c>
    </row>
    <row r="2574" spans="1:19" x14ac:dyDescent="0.3">
      <c r="A2574" t="s">
        <v>12</v>
      </c>
      <c r="B2574" t="s">
        <v>271</v>
      </c>
      <c r="C2574" t="s">
        <v>272</v>
      </c>
      <c r="E2574" t="s">
        <v>142</v>
      </c>
      <c r="F2574" t="s">
        <v>143</v>
      </c>
      <c r="G2574">
        <v>2</v>
      </c>
      <c r="H2574" t="s">
        <v>260</v>
      </c>
      <c r="I2574" s="4">
        <f t="shared" si="358"/>
        <v>4</v>
      </c>
      <c r="J2574">
        <f t="shared" si="359"/>
        <v>8</v>
      </c>
      <c r="K2574">
        <v>60</v>
      </c>
      <c r="L2574">
        <v>20</v>
      </c>
      <c r="M2574" s="2">
        <v>3</v>
      </c>
      <c r="N2574" s="2">
        <v>2.97</v>
      </c>
      <c r="O2574">
        <v>0</v>
      </c>
      <c r="P2574">
        <v>3</v>
      </c>
      <c r="Q2574" t="s">
        <v>563</v>
      </c>
      <c r="R2574" t="s">
        <v>260</v>
      </c>
      <c r="S2574" t="str">
        <f t="shared" si="357"/>
        <v>PA</v>
      </c>
    </row>
    <row r="2575" spans="1:19" x14ac:dyDescent="0.3">
      <c r="A2575" t="s">
        <v>12</v>
      </c>
      <c r="B2575" t="s">
        <v>40</v>
      </c>
      <c r="C2575" t="s">
        <v>41</v>
      </c>
      <c r="E2575" t="s">
        <v>31</v>
      </c>
      <c r="F2575" t="s">
        <v>20</v>
      </c>
      <c r="G2575">
        <v>4</v>
      </c>
      <c r="I2575" s="4">
        <f t="shared" si="358"/>
        <v>0</v>
      </c>
      <c r="J2575">
        <f t="shared" si="359"/>
        <v>0</v>
      </c>
      <c r="K2575">
        <v>6</v>
      </c>
      <c r="L2575">
        <v>2</v>
      </c>
      <c r="M2575" s="2">
        <v>3.5</v>
      </c>
      <c r="N2575" s="2">
        <v>3.26</v>
      </c>
      <c r="O2575">
        <v>0</v>
      </c>
      <c r="P2575">
        <v>5</v>
      </c>
      <c r="Q2575" t="s">
        <v>566</v>
      </c>
      <c r="R2575" t="s">
        <v>260</v>
      </c>
      <c r="S2575" t="s">
        <v>595</v>
      </c>
    </row>
    <row r="2576" spans="1:19" x14ac:dyDescent="0.3">
      <c r="A2576" t="s">
        <v>12</v>
      </c>
      <c r="B2576" t="s">
        <v>40</v>
      </c>
      <c r="C2576" t="s">
        <v>41</v>
      </c>
      <c r="E2576" t="s">
        <v>31</v>
      </c>
      <c r="F2576" t="s">
        <v>20</v>
      </c>
      <c r="G2576">
        <v>4</v>
      </c>
      <c r="H2576" t="s">
        <v>438</v>
      </c>
      <c r="I2576" s="4">
        <f t="shared" si="358"/>
        <v>3</v>
      </c>
      <c r="J2576">
        <f t="shared" si="359"/>
        <v>12</v>
      </c>
      <c r="K2576">
        <v>12</v>
      </c>
      <c r="L2576">
        <v>4</v>
      </c>
      <c r="M2576" s="2">
        <v>3</v>
      </c>
      <c r="N2576" s="2">
        <v>3.26</v>
      </c>
      <c r="O2576">
        <v>1</v>
      </c>
      <c r="P2576">
        <v>6</v>
      </c>
      <c r="Q2576" t="s">
        <v>567</v>
      </c>
      <c r="R2576" t="s">
        <v>596</v>
      </c>
      <c r="S2576" t="str">
        <f t="shared" ref="S2576:S2628" si="360">IF(OR(H2576="A",H2576="B",H2576="C"),"PA","FA")</f>
        <v>PA</v>
      </c>
    </row>
    <row r="2577" spans="1:19" x14ac:dyDescent="0.3">
      <c r="A2577" t="s">
        <v>12</v>
      </c>
      <c r="B2577" t="s">
        <v>40</v>
      </c>
      <c r="C2577" t="s">
        <v>41</v>
      </c>
      <c r="E2577" t="s">
        <v>264</v>
      </c>
      <c r="F2577" t="s">
        <v>265</v>
      </c>
      <c r="G2577">
        <v>2</v>
      </c>
      <c r="H2577" t="s">
        <v>260</v>
      </c>
      <c r="I2577" s="4">
        <f t="shared" si="358"/>
        <v>4</v>
      </c>
      <c r="J2577">
        <f t="shared" si="359"/>
        <v>8</v>
      </c>
      <c r="K2577">
        <v>70</v>
      </c>
      <c r="L2577">
        <v>20</v>
      </c>
      <c r="M2577" s="2">
        <v>3.5</v>
      </c>
      <c r="N2577" s="2">
        <v>3.26</v>
      </c>
      <c r="O2577">
        <v>0</v>
      </c>
      <c r="P2577">
        <v>1</v>
      </c>
      <c r="Q2577" t="s">
        <v>558</v>
      </c>
      <c r="R2577" t="s">
        <v>260</v>
      </c>
      <c r="S2577" t="str">
        <f t="shared" si="360"/>
        <v>PA</v>
      </c>
    </row>
    <row r="2578" spans="1:19" x14ac:dyDescent="0.3">
      <c r="A2578" t="s">
        <v>12</v>
      </c>
      <c r="B2578" t="s">
        <v>40</v>
      </c>
      <c r="C2578" t="s">
        <v>41</v>
      </c>
      <c r="E2578" t="s">
        <v>173</v>
      </c>
      <c r="F2578" t="s">
        <v>8</v>
      </c>
      <c r="G2578">
        <v>2</v>
      </c>
      <c r="H2578" t="s">
        <v>260</v>
      </c>
      <c r="I2578" s="4">
        <f t="shared" si="358"/>
        <v>4</v>
      </c>
      <c r="J2578">
        <f t="shared" si="359"/>
        <v>8</v>
      </c>
      <c r="K2578">
        <v>66</v>
      </c>
      <c r="L2578">
        <v>18</v>
      </c>
      <c r="M2578" s="2">
        <v>3.67</v>
      </c>
      <c r="N2578" s="2">
        <v>3.26</v>
      </c>
      <c r="O2578">
        <v>0</v>
      </c>
      <c r="P2578">
        <v>3</v>
      </c>
      <c r="Q2578" t="s">
        <v>563</v>
      </c>
      <c r="R2578" t="s">
        <v>260</v>
      </c>
      <c r="S2578" t="str">
        <f t="shared" si="360"/>
        <v>PA</v>
      </c>
    </row>
    <row r="2579" spans="1:19" x14ac:dyDescent="0.3">
      <c r="A2579" t="s">
        <v>12</v>
      </c>
      <c r="B2579" t="s">
        <v>40</v>
      </c>
      <c r="C2579" t="s">
        <v>41</v>
      </c>
      <c r="E2579" t="s">
        <v>348</v>
      </c>
      <c r="F2579" t="s">
        <v>349</v>
      </c>
      <c r="G2579">
        <v>4</v>
      </c>
      <c r="H2579" t="s">
        <v>260</v>
      </c>
      <c r="I2579" s="4">
        <f t="shared" si="358"/>
        <v>4</v>
      </c>
      <c r="J2579">
        <f t="shared" si="359"/>
        <v>16</v>
      </c>
      <c r="K2579">
        <v>90</v>
      </c>
      <c r="L2579">
        <v>24</v>
      </c>
      <c r="M2579" s="2">
        <v>3.75</v>
      </c>
      <c r="N2579" s="2">
        <v>3.26</v>
      </c>
      <c r="O2579">
        <v>0</v>
      </c>
      <c r="P2579">
        <v>2</v>
      </c>
      <c r="Q2579" t="s">
        <v>559</v>
      </c>
      <c r="R2579" t="s">
        <v>260</v>
      </c>
      <c r="S2579" t="str">
        <f t="shared" si="360"/>
        <v>PA</v>
      </c>
    </row>
    <row r="2580" spans="1:19" x14ac:dyDescent="0.3">
      <c r="A2580" t="s">
        <v>12</v>
      </c>
      <c r="B2580" t="s">
        <v>40</v>
      </c>
      <c r="C2580" t="s">
        <v>41</v>
      </c>
      <c r="E2580" t="s">
        <v>248</v>
      </c>
      <c r="F2580" t="s">
        <v>249</v>
      </c>
      <c r="G2580">
        <v>2</v>
      </c>
      <c r="H2580" t="s">
        <v>260</v>
      </c>
      <c r="I2580" s="4">
        <f t="shared" si="358"/>
        <v>4</v>
      </c>
      <c r="J2580">
        <f t="shared" si="359"/>
        <v>8</v>
      </c>
      <c r="K2580">
        <v>48</v>
      </c>
      <c r="L2580">
        <v>16</v>
      </c>
      <c r="M2580" s="2">
        <v>3</v>
      </c>
      <c r="N2580" s="2">
        <v>3.26</v>
      </c>
      <c r="O2580">
        <v>0</v>
      </c>
      <c r="P2580">
        <v>4</v>
      </c>
      <c r="Q2580" t="s">
        <v>565</v>
      </c>
      <c r="R2580" t="s">
        <v>260</v>
      </c>
      <c r="S2580" t="str">
        <f t="shared" si="360"/>
        <v>PA</v>
      </c>
    </row>
    <row r="2581" spans="1:19" x14ac:dyDescent="0.3">
      <c r="A2581" t="s">
        <v>12</v>
      </c>
      <c r="B2581" t="s">
        <v>40</v>
      </c>
      <c r="C2581" t="s">
        <v>41</v>
      </c>
      <c r="E2581" t="s">
        <v>370</v>
      </c>
      <c r="F2581" s="1" t="s">
        <v>371</v>
      </c>
      <c r="G2581">
        <v>2</v>
      </c>
      <c r="H2581" t="s">
        <v>260</v>
      </c>
      <c r="I2581" s="4">
        <f t="shared" si="358"/>
        <v>4</v>
      </c>
      <c r="J2581">
        <f t="shared" si="359"/>
        <v>8</v>
      </c>
      <c r="K2581">
        <v>184</v>
      </c>
      <c r="L2581">
        <v>62</v>
      </c>
      <c r="M2581" s="2">
        <v>3.5</v>
      </c>
      <c r="N2581" s="2">
        <v>3.26</v>
      </c>
      <c r="O2581">
        <v>0</v>
      </c>
      <c r="P2581">
        <v>1</v>
      </c>
      <c r="Q2581" t="s">
        <v>558</v>
      </c>
      <c r="R2581" t="s">
        <v>260</v>
      </c>
      <c r="S2581" t="str">
        <f t="shared" si="360"/>
        <v>PA</v>
      </c>
    </row>
    <row r="2582" spans="1:19" x14ac:dyDescent="0.3">
      <c r="A2582" t="s">
        <v>12</v>
      </c>
      <c r="B2582" t="s">
        <v>40</v>
      </c>
      <c r="C2582" t="s">
        <v>41</v>
      </c>
      <c r="E2582" t="s">
        <v>103</v>
      </c>
      <c r="F2582" t="s">
        <v>104</v>
      </c>
      <c r="G2582">
        <v>4</v>
      </c>
      <c r="H2582" t="s">
        <v>260</v>
      </c>
      <c r="I2582" s="4">
        <f t="shared" si="358"/>
        <v>4</v>
      </c>
      <c r="J2582">
        <f t="shared" si="359"/>
        <v>16</v>
      </c>
      <c r="K2582">
        <v>90</v>
      </c>
      <c r="L2582">
        <v>24</v>
      </c>
      <c r="M2582" s="2">
        <v>3.75</v>
      </c>
      <c r="N2582" s="2">
        <v>3.26</v>
      </c>
      <c r="O2582">
        <v>0</v>
      </c>
      <c r="P2582">
        <v>2</v>
      </c>
      <c r="Q2582" t="s">
        <v>559</v>
      </c>
      <c r="R2582" t="s">
        <v>260</v>
      </c>
      <c r="S2582" t="str">
        <f t="shared" si="360"/>
        <v>PA</v>
      </c>
    </row>
    <row r="2583" spans="1:19" x14ac:dyDescent="0.3">
      <c r="A2583" t="s">
        <v>12</v>
      </c>
      <c r="B2583" t="s">
        <v>40</v>
      </c>
      <c r="C2583" t="s">
        <v>41</v>
      </c>
      <c r="E2583" t="s">
        <v>387</v>
      </c>
      <c r="F2583" t="s">
        <v>388</v>
      </c>
      <c r="G2583">
        <v>2</v>
      </c>
      <c r="H2583" t="s">
        <v>260</v>
      </c>
      <c r="I2583" s="4">
        <f t="shared" si="358"/>
        <v>4</v>
      </c>
      <c r="J2583">
        <f t="shared" si="359"/>
        <v>8</v>
      </c>
      <c r="K2583">
        <v>90</v>
      </c>
      <c r="L2583">
        <v>24</v>
      </c>
      <c r="M2583" s="2">
        <v>3.75</v>
      </c>
      <c r="N2583" s="2">
        <v>3.26</v>
      </c>
      <c r="O2583">
        <v>0</v>
      </c>
      <c r="P2583">
        <v>2</v>
      </c>
      <c r="Q2583" t="s">
        <v>559</v>
      </c>
      <c r="R2583" t="s">
        <v>260</v>
      </c>
      <c r="S2583" t="str">
        <f t="shared" si="360"/>
        <v>PA</v>
      </c>
    </row>
    <row r="2584" spans="1:19" x14ac:dyDescent="0.3">
      <c r="A2584" t="s">
        <v>12</v>
      </c>
      <c r="B2584" t="s">
        <v>40</v>
      </c>
      <c r="C2584" t="s">
        <v>41</v>
      </c>
      <c r="E2584" t="s">
        <v>97</v>
      </c>
      <c r="F2584" t="s">
        <v>98</v>
      </c>
      <c r="G2584">
        <v>4</v>
      </c>
      <c r="H2584" t="s">
        <v>260</v>
      </c>
      <c r="I2584" s="4">
        <f t="shared" si="358"/>
        <v>4</v>
      </c>
      <c r="J2584">
        <f t="shared" si="359"/>
        <v>16</v>
      </c>
      <c r="K2584">
        <v>90</v>
      </c>
      <c r="L2584">
        <v>24</v>
      </c>
      <c r="M2584" s="2">
        <v>3.75</v>
      </c>
      <c r="N2584" s="2">
        <v>3.26</v>
      </c>
      <c r="O2584">
        <v>0</v>
      </c>
      <c r="P2584">
        <v>2</v>
      </c>
      <c r="Q2584" t="s">
        <v>559</v>
      </c>
      <c r="R2584" t="s">
        <v>260</v>
      </c>
      <c r="S2584" t="str">
        <f t="shared" si="360"/>
        <v>PA</v>
      </c>
    </row>
    <row r="2585" spans="1:19" x14ac:dyDescent="0.3">
      <c r="A2585" t="s">
        <v>12</v>
      </c>
      <c r="B2585" t="s">
        <v>40</v>
      </c>
      <c r="C2585" t="s">
        <v>41</v>
      </c>
      <c r="E2585" t="s">
        <v>334</v>
      </c>
      <c r="F2585" t="s">
        <v>335</v>
      </c>
      <c r="G2585">
        <v>2</v>
      </c>
      <c r="H2585" t="s">
        <v>260</v>
      </c>
      <c r="I2585" s="4">
        <f t="shared" si="358"/>
        <v>4</v>
      </c>
      <c r="J2585">
        <f t="shared" si="359"/>
        <v>8</v>
      </c>
      <c r="K2585">
        <v>66</v>
      </c>
      <c r="L2585">
        <v>18</v>
      </c>
      <c r="M2585" s="2">
        <v>3.5</v>
      </c>
      <c r="N2585" s="2">
        <v>3.26</v>
      </c>
      <c r="O2585">
        <v>0</v>
      </c>
      <c r="P2585">
        <v>1</v>
      </c>
      <c r="Q2585" t="s">
        <v>558</v>
      </c>
      <c r="R2585" t="s">
        <v>260</v>
      </c>
      <c r="S2585" t="str">
        <f t="shared" si="360"/>
        <v>PA</v>
      </c>
    </row>
    <row r="2586" spans="1:19" x14ac:dyDescent="0.3">
      <c r="A2586" t="s">
        <v>12</v>
      </c>
      <c r="B2586" t="s">
        <v>40</v>
      </c>
      <c r="C2586" t="s">
        <v>41</v>
      </c>
      <c r="E2586" t="s">
        <v>316</v>
      </c>
      <c r="F2586" t="s">
        <v>317</v>
      </c>
      <c r="G2586">
        <v>2</v>
      </c>
      <c r="H2586" t="s">
        <v>260</v>
      </c>
      <c r="I2586" s="4">
        <f t="shared" si="358"/>
        <v>4</v>
      </c>
      <c r="J2586">
        <f t="shared" si="359"/>
        <v>8</v>
      </c>
      <c r="K2586">
        <v>66</v>
      </c>
      <c r="L2586">
        <v>18</v>
      </c>
      <c r="M2586" s="2">
        <v>3.67</v>
      </c>
      <c r="N2586" s="2">
        <v>3.26</v>
      </c>
      <c r="O2586">
        <v>0</v>
      </c>
      <c r="P2586">
        <v>3</v>
      </c>
      <c r="Q2586" t="s">
        <v>563</v>
      </c>
      <c r="R2586" t="s">
        <v>260</v>
      </c>
      <c r="S2586" t="str">
        <f t="shared" si="360"/>
        <v>PA</v>
      </c>
    </row>
    <row r="2587" spans="1:19" x14ac:dyDescent="0.3">
      <c r="A2587" t="s">
        <v>12</v>
      </c>
      <c r="B2587" t="s">
        <v>40</v>
      </c>
      <c r="C2587" t="s">
        <v>41</v>
      </c>
      <c r="E2587" t="s">
        <v>330</v>
      </c>
      <c r="F2587" t="s">
        <v>108</v>
      </c>
      <c r="G2587">
        <v>2</v>
      </c>
      <c r="H2587" t="s">
        <v>260</v>
      </c>
      <c r="I2587" s="4">
        <f t="shared" si="358"/>
        <v>4</v>
      </c>
      <c r="J2587">
        <f t="shared" si="359"/>
        <v>8</v>
      </c>
      <c r="K2587">
        <v>66</v>
      </c>
      <c r="L2587">
        <v>18</v>
      </c>
      <c r="M2587" s="2">
        <v>3.67</v>
      </c>
      <c r="N2587" s="2">
        <v>3.26</v>
      </c>
      <c r="O2587">
        <v>0</v>
      </c>
      <c r="P2587">
        <v>3</v>
      </c>
      <c r="Q2587" t="s">
        <v>563</v>
      </c>
      <c r="R2587" t="s">
        <v>260</v>
      </c>
      <c r="S2587" t="str">
        <f t="shared" si="360"/>
        <v>PA</v>
      </c>
    </row>
    <row r="2588" spans="1:19" x14ac:dyDescent="0.3">
      <c r="A2588" t="s">
        <v>12</v>
      </c>
      <c r="B2588" t="s">
        <v>40</v>
      </c>
      <c r="C2588" t="s">
        <v>41</v>
      </c>
      <c r="E2588" t="s">
        <v>211</v>
      </c>
      <c r="F2588" t="s">
        <v>186</v>
      </c>
      <c r="G2588">
        <v>4</v>
      </c>
      <c r="H2588" t="s">
        <v>260</v>
      </c>
      <c r="I2588" s="4">
        <f t="shared" si="358"/>
        <v>4</v>
      </c>
      <c r="J2588">
        <f t="shared" si="359"/>
        <v>16</v>
      </c>
      <c r="K2588">
        <v>66</v>
      </c>
      <c r="L2588">
        <v>18</v>
      </c>
      <c r="M2588" s="2">
        <v>3.5</v>
      </c>
      <c r="N2588" s="2">
        <v>3.26</v>
      </c>
      <c r="O2588">
        <v>0</v>
      </c>
      <c r="P2588">
        <v>1</v>
      </c>
      <c r="Q2588" t="s">
        <v>558</v>
      </c>
      <c r="R2588" t="s">
        <v>260</v>
      </c>
      <c r="S2588" t="str">
        <f t="shared" si="360"/>
        <v>PA</v>
      </c>
    </row>
    <row r="2589" spans="1:19" x14ac:dyDescent="0.3">
      <c r="A2589" t="s">
        <v>12</v>
      </c>
      <c r="B2589" t="s">
        <v>40</v>
      </c>
      <c r="C2589" t="s">
        <v>41</v>
      </c>
      <c r="E2589" t="s">
        <v>241</v>
      </c>
      <c r="F2589" t="s">
        <v>45</v>
      </c>
      <c r="G2589">
        <v>2</v>
      </c>
      <c r="H2589" t="s">
        <v>260</v>
      </c>
      <c r="I2589" s="4">
        <f t="shared" si="358"/>
        <v>4</v>
      </c>
      <c r="J2589">
        <f t="shared" si="359"/>
        <v>8</v>
      </c>
      <c r="K2589">
        <v>66</v>
      </c>
      <c r="L2589">
        <v>18</v>
      </c>
      <c r="M2589" s="2">
        <v>3.67</v>
      </c>
      <c r="N2589" s="2">
        <v>3.26</v>
      </c>
      <c r="O2589">
        <v>0</v>
      </c>
      <c r="P2589">
        <v>3</v>
      </c>
      <c r="Q2589" t="s">
        <v>563</v>
      </c>
      <c r="R2589" t="s">
        <v>260</v>
      </c>
      <c r="S2589" t="str">
        <f t="shared" si="360"/>
        <v>PA</v>
      </c>
    </row>
    <row r="2590" spans="1:19" x14ac:dyDescent="0.3">
      <c r="A2590" t="s">
        <v>12</v>
      </c>
      <c r="B2590" t="s">
        <v>40</v>
      </c>
      <c r="C2590" t="s">
        <v>41</v>
      </c>
      <c r="E2590" t="s">
        <v>279</v>
      </c>
      <c r="F2590" s="1" t="s">
        <v>280</v>
      </c>
      <c r="G2590">
        <v>2</v>
      </c>
      <c r="H2590" t="s">
        <v>260</v>
      </c>
      <c r="I2590" s="4">
        <f t="shared" si="358"/>
        <v>4</v>
      </c>
      <c r="J2590">
        <f t="shared" si="359"/>
        <v>8</v>
      </c>
      <c r="K2590">
        <v>184</v>
      </c>
      <c r="L2590">
        <v>62</v>
      </c>
      <c r="M2590" s="2">
        <v>3.5</v>
      </c>
      <c r="N2590" s="2">
        <v>3.26</v>
      </c>
      <c r="O2590">
        <v>0</v>
      </c>
      <c r="P2590">
        <v>1</v>
      </c>
      <c r="Q2590" t="s">
        <v>558</v>
      </c>
      <c r="R2590" t="s">
        <v>260</v>
      </c>
      <c r="S2590" t="str">
        <f t="shared" si="360"/>
        <v>PA</v>
      </c>
    </row>
    <row r="2591" spans="1:19" x14ac:dyDescent="0.3">
      <c r="A2591" t="s">
        <v>12</v>
      </c>
      <c r="B2591" t="s">
        <v>40</v>
      </c>
      <c r="C2591" t="s">
        <v>41</v>
      </c>
      <c r="E2591" t="s">
        <v>151</v>
      </c>
      <c r="F2591" t="s">
        <v>152</v>
      </c>
      <c r="G2591">
        <v>2</v>
      </c>
      <c r="H2591" t="s">
        <v>260</v>
      </c>
      <c r="I2591" s="4">
        <f t="shared" si="358"/>
        <v>4</v>
      </c>
      <c r="J2591">
        <f t="shared" si="359"/>
        <v>8</v>
      </c>
      <c r="K2591">
        <v>66</v>
      </c>
      <c r="L2591">
        <v>18</v>
      </c>
      <c r="M2591" s="2">
        <v>3.67</v>
      </c>
      <c r="N2591" s="2">
        <v>3.26</v>
      </c>
      <c r="O2591">
        <v>0</v>
      </c>
      <c r="P2591">
        <v>3</v>
      </c>
      <c r="Q2591" t="s">
        <v>563</v>
      </c>
      <c r="R2591" t="s">
        <v>260</v>
      </c>
      <c r="S2591" t="str">
        <f t="shared" si="360"/>
        <v>PA</v>
      </c>
    </row>
    <row r="2592" spans="1:19" x14ac:dyDescent="0.3">
      <c r="A2592" t="s">
        <v>12</v>
      </c>
      <c r="B2592" t="s">
        <v>40</v>
      </c>
      <c r="C2592" t="s">
        <v>41</v>
      </c>
      <c r="E2592" t="s">
        <v>77</v>
      </c>
      <c r="F2592" s="1" t="s">
        <v>78</v>
      </c>
      <c r="G2592">
        <v>2</v>
      </c>
      <c r="H2592" t="s">
        <v>260</v>
      </c>
      <c r="I2592" s="4">
        <f t="shared" si="358"/>
        <v>4</v>
      </c>
      <c r="J2592">
        <f t="shared" si="359"/>
        <v>8</v>
      </c>
      <c r="K2592">
        <v>184</v>
      </c>
      <c r="L2592">
        <v>62</v>
      </c>
      <c r="M2592" s="2">
        <v>3.5</v>
      </c>
      <c r="N2592" s="2">
        <v>3.26</v>
      </c>
      <c r="O2592">
        <v>0</v>
      </c>
      <c r="P2592">
        <v>1</v>
      </c>
      <c r="Q2592" t="s">
        <v>558</v>
      </c>
      <c r="R2592" t="s">
        <v>260</v>
      </c>
      <c r="S2592" t="str">
        <f t="shared" si="360"/>
        <v>PA</v>
      </c>
    </row>
    <row r="2593" spans="1:19" x14ac:dyDescent="0.3">
      <c r="A2593" t="s">
        <v>12</v>
      </c>
      <c r="B2593" t="s">
        <v>40</v>
      </c>
      <c r="C2593" t="s">
        <v>41</v>
      </c>
      <c r="E2593" t="s">
        <v>427</v>
      </c>
      <c r="F2593" t="s">
        <v>428</v>
      </c>
      <c r="G2593">
        <v>2</v>
      </c>
      <c r="H2593" t="s">
        <v>260</v>
      </c>
      <c r="I2593" s="4">
        <f t="shared" si="358"/>
        <v>4</v>
      </c>
      <c r="J2593">
        <f t="shared" si="359"/>
        <v>8</v>
      </c>
      <c r="K2593">
        <v>90</v>
      </c>
      <c r="L2593">
        <v>24</v>
      </c>
      <c r="M2593" s="2">
        <v>3.75</v>
      </c>
      <c r="N2593" s="2">
        <v>3.26</v>
      </c>
      <c r="O2593">
        <v>0</v>
      </c>
      <c r="P2593">
        <v>2</v>
      </c>
      <c r="Q2593" t="s">
        <v>559</v>
      </c>
      <c r="R2593" t="s">
        <v>260</v>
      </c>
      <c r="S2593" t="str">
        <f t="shared" si="360"/>
        <v>PA</v>
      </c>
    </row>
    <row r="2594" spans="1:19" x14ac:dyDescent="0.3">
      <c r="A2594" t="s">
        <v>12</v>
      </c>
      <c r="B2594" t="s">
        <v>40</v>
      </c>
      <c r="C2594" t="s">
        <v>41</v>
      </c>
      <c r="E2594" t="s">
        <v>262</v>
      </c>
      <c r="F2594" t="s">
        <v>263</v>
      </c>
      <c r="G2594">
        <v>2</v>
      </c>
      <c r="H2594" t="s">
        <v>260</v>
      </c>
      <c r="I2594" s="4">
        <f t="shared" si="358"/>
        <v>4</v>
      </c>
      <c r="J2594">
        <f t="shared" si="359"/>
        <v>8</v>
      </c>
      <c r="K2594">
        <v>48</v>
      </c>
      <c r="L2594">
        <v>16</v>
      </c>
      <c r="M2594" s="2">
        <v>3</v>
      </c>
      <c r="N2594" s="2">
        <v>3.26</v>
      </c>
      <c r="O2594">
        <v>0</v>
      </c>
      <c r="P2594">
        <v>4</v>
      </c>
      <c r="Q2594" t="s">
        <v>565</v>
      </c>
      <c r="R2594" t="s">
        <v>260</v>
      </c>
      <c r="S2594" t="str">
        <f t="shared" si="360"/>
        <v>PA</v>
      </c>
    </row>
    <row r="2595" spans="1:19" x14ac:dyDescent="0.3">
      <c r="A2595" t="s">
        <v>12</v>
      </c>
      <c r="B2595" t="s">
        <v>40</v>
      </c>
      <c r="C2595" t="s">
        <v>41</v>
      </c>
      <c r="E2595" t="s">
        <v>273</v>
      </c>
      <c r="F2595" t="s">
        <v>274</v>
      </c>
      <c r="G2595">
        <v>2</v>
      </c>
      <c r="H2595" t="s">
        <v>260</v>
      </c>
      <c r="I2595" s="4">
        <f t="shared" si="358"/>
        <v>4</v>
      </c>
      <c r="J2595">
        <f t="shared" si="359"/>
        <v>8</v>
      </c>
      <c r="K2595">
        <v>90</v>
      </c>
      <c r="L2595">
        <v>24</v>
      </c>
      <c r="M2595" s="2">
        <v>3.75</v>
      </c>
      <c r="N2595" s="2">
        <v>3.26</v>
      </c>
      <c r="O2595">
        <v>0</v>
      </c>
      <c r="P2595">
        <v>2</v>
      </c>
      <c r="Q2595" t="s">
        <v>559</v>
      </c>
      <c r="R2595" t="s">
        <v>260</v>
      </c>
      <c r="S2595" t="str">
        <f t="shared" si="360"/>
        <v>PA</v>
      </c>
    </row>
    <row r="2596" spans="1:19" x14ac:dyDescent="0.3">
      <c r="A2596" t="s">
        <v>12</v>
      </c>
      <c r="B2596" t="s">
        <v>40</v>
      </c>
      <c r="C2596" t="s">
        <v>41</v>
      </c>
      <c r="E2596" t="s">
        <v>142</v>
      </c>
      <c r="F2596" s="1" t="s">
        <v>143</v>
      </c>
      <c r="G2596">
        <v>2</v>
      </c>
      <c r="H2596" t="s">
        <v>260</v>
      </c>
      <c r="I2596" s="4">
        <f t="shared" si="358"/>
        <v>4</v>
      </c>
      <c r="J2596">
        <f t="shared" si="359"/>
        <v>8</v>
      </c>
      <c r="K2596">
        <v>184</v>
      </c>
      <c r="L2596">
        <v>62</v>
      </c>
      <c r="M2596" s="2">
        <v>3.5</v>
      </c>
      <c r="N2596" s="2">
        <v>3.26</v>
      </c>
      <c r="O2596">
        <v>0</v>
      </c>
      <c r="P2596">
        <v>1</v>
      </c>
      <c r="Q2596" t="s">
        <v>558</v>
      </c>
      <c r="R2596" t="s">
        <v>260</v>
      </c>
      <c r="S2596" t="str">
        <f t="shared" si="360"/>
        <v>PA</v>
      </c>
    </row>
    <row r="2597" spans="1:19" x14ac:dyDescent="0.3">
      <c r="A2597" t="s">
        <v>12</v>
      </c>
      <c r="B2597" t="s">
        <v>40</v>
      </c>
      <c r="C2597" t="s">
        <v>41</v>
      </c>
      <c r="E2597" t="s">
        <v>39</v>
      </c>
      <c r="F2597" s="1" t="s">
        <v>11</v>
      </c>
      <c r="G2597">
        <v>2</v>
      </c>
      <c r="H2597" t="s">
        <v>260</v>
      </c>
      <c r="I2597" s="4">
        <f t="shared" si="358"/>
        <v>4</v>
      </c>
      <c r="J2597">
        <f t="shared" si="359"/>
        <v>8</v>
      </c>
      <c r="K2597">
        <v>184</v>
      </c>
      <c r="L2597">
        <v>62</v>
      </c>
      <c r="M2597" s="2">
        <v>3.5</v>
      </c>
      <c r="N2597" s="2">
        <v>3.26</v>
      </c>
      <c r="O2597">
        <v>0</v>
      </c>
      <c r="P2597">
        <v>1</v>
      </c>
      <c r="Q2597" t="s">
        <v>558</v>
      </c>
      <c r="R2597" t="s">
        <v>260</v>
      </c>
      <c r="S2597" t="str">
        <f t="shared" si="360"/>
        <v>PA</v>
      </c>
    </row>
    <row r="2598" spans="1:19" x14ac:dyDescent="0.3">
      <c r="A2598" t="s">
        <v>12</v>
      </c>
      <c r="B2598" t="s">
        <v>40</v>
      </c>
      <c r="C2598" t="s">
        <v>41</v>
      </c>
      <c r="E2598" t="s">
        <v>283</v>
      </c>
      <c r="F2598" t="s">
        <v>284</v>
      </c>
      <c r="G2598">
        <v>2</v>
      </c>
      <c r="H2598" t="s">
        <v>260</v>
      </c>
      <c r="I2598" s="4">
        <f t="shared" si="358"/>
        <v>4</v>
      </c>
      <c r="J2598">
        <f t="shared" si="359"/>
        <v>8</v>
      </c>
      <c r="K2598">
        <v>66</v>
      </c>
      <c r="L2598">
        <v>18</v>
      </c>
      <c r="M2598" s="2">
        <v>3.67</v>
      </c>
      <c r="N2598" s="2">
        <v>3.26</v>
      </c>
      <c r="O2598">
        <v>0</v>
      </c>
      <c r="P2598">
        <v>3</v>
      </c>
      <c r="Q2598" t="s">
        <v>563</v>
      </c>
      <c r="R2598" t="s">
        <v>260</v>
      </c>
      <c r="S2598" t="str">
        <f t="shared" si="360"/>
        <v>PA</v>
      </c>
    </row>
    <row r="2599" spans="1:19" x14ac:dyDescent="0.3">
      <c r="A2599" t="s">
        <v>12</v>
      </c>
      <c r="B2599" t="s">
        <v>40</v>
      </c>
      <c r="C2599" t="s">
        <v>41</v>
      </c>
      <c r="E2599" t="s">
        <v>293</v>
      </c>
      <c r="F2599" t="s">
        <v>294</v>
      </c>
      <c r="G2599">
        <v>2</v>
      </c>
      <c r="H2599" t="s">
        <v>260</v>
      </c>
      <c r="I2599" s="4">
        <f t="shared" si="358"/>
        <v>4</v>
      </c>
      <c r="J2599">
        <f t="shared" si="359"/>
        <v>8</v>
      </c>
      <c r="K2599">
        <v>66</v>
      </c>
      <c r="L2599">
        <v>18</v>
      </c>
      <c r="M2599" s="2">
        <v>3.5</v>
      </c>
      <c r="N2599" s="2">
        <v>3.26</v>
      </c>
      <c r="O2599">
        <v>0</v>
      </c>
      <c r="P2599">
        <v>1</v>
      </c>
      <c r="Q2599" t="s">
        <v>558</v>
      </c>
      <c r="R2599" t="s">
        <v>260</v>
      </c>
      <c r="S2599" t="str">
        <f t="shared" si="360"/>
        <v>PA</v>
      </c>
    </row>
    <row r="2600" spans="1:19" x14ac:dyDescent="0.3">
      <c r="A2600" t="s">
        <v>12</v>
      </c>
      <c r="B2600" t="s">
        <v>40</v>
      </c>
      <c r="C2600" t="s">
        <v>41</v>
      </c>
      <c r="E2600" t="s">
        <v>205</v>
      </c>
      <c r="F2600" t="s">
        <v>116</v>
      </c>
      <c r="G2600">
        <v>4</v>
      </c>
      <c r="H2600" t="s">
        <v>438</v>
      </c>
      <c r="I2600" s="4">
        <f t="shared" si="358"/>
        <v>3</v>
      </c>
      <c r="J2600">
        <f t="shared" si="359"/>
        <v>12</v>
      </c>
      <c r="K2600">
        <v>66</v>
      </c>
      <c r="L2600">
        <v>18</v>
      </c>
      <c r="M2600" s="2">
        <v>3.67</v>
      </c>
      <c r="N2600" s="2">
        <v>3.26</v>
      </c>
      <c r="O2600">
        <v>0</v>
      </c>
      <c r="P2600">
        <v>3</v>
      </c>
      <c r="Q2600" t="s">
        <v>563</v>
      </c>
      <c r="R2600" t="s">
        <v>260</v>
      </c>
      <c r="S2600" t="str">
        <f t="shared" si="360"/>
        <v>PA</v>
      </c>
    </row>
    <row r="2601" spans="1:19" x14ac:dyDescent="0.3">
      <c r="A2601" t="s">
        <v>12</v>
      </c>
      <c r="B2601" t="s">
        <v>40</v>
      </c>
      <c r="C2601" t="s">
        <v>41</v>
      </c>
      <c r="E2601" t="s">
        <v>139</v>
      </c>
      <c r="F2601" s="1" t="s">
        <v>140</v>
      </c>
      <c r="G2601">
        <v>2</v>
      </c>
      <c r="H2601" t="s">
        <v>438</v>
      </c>
      <c r="I2601" s="4">
        <f t="shared" si="358"/>
        <v>3</v>
      </c>
      <c r="J2601">
        <f t="shared" si="359"/>
        <v>6</v>
      </c>
      <c r="K2601">
        <v>184</v>
      </c>
      <c r="L2601">
        <v>62</v>
      </c>
      <c r="M2601" s="2">
        <v>3.5</v>
      </c>
      <c r="N2601" s="2">
        <v>3.26</v>
      </c>
      <c r="O2601">
        <v>0</v>
      </c>
      <c r="P2601">
        <v>1</v>
      </c>
      <c r="Q2601" t="s">
        <v>558</v>
      </c>
      <c r="R2601" t="s">
        <v>260</v>
      </c>
      <c r="S2601" t="str">
        <f t="shared" si="360"/>
        <v>PA</v>
      </c>
    </row>
    <row r="2602" spans="1:19" x14ac:dyDescent="0.3">
      <c r="A2602" t="s">
        <v>12</v>
      </c>
      <c r="B2602" t="s">
        <v>40</v>
      </c>
      <c r="C2602" t="s">
        <v>41</v>
      </c>
      <c r="E2602" t="s">
        <v>290</v>
      </c>
      <c r="F2602" t="s">
        <v>291</v>
      </c>
      <c r="G2602">
        <v>4</v>
      </c>
      <c r="H2602" t="s">
        <v>438</v>
      </c>
      <c r="I2602" s="4">
        <f t="shared" si="358"/>
        <v>3</v>
      </c>
      <c r="J2602">
        <f t="shared" si="359"/>
        <v>12</v>
      </c>
      <c r="K2602">
        <v>48</v>
      </c>
      <c r="L2602">
        <v>16</v>
      </c>
      <c r="M2602" s="2">
        <v>3</v>
      </c>
      <c r="N2602" s="2">
        <v>3.26</v>
      </c>
      <c r="O2602">
        <v>0</v>
      </c>
      <c r="P2602">
        <v>4</v>
      </c>
      <c r="Q2602" t="s">
        <v>565</v>
      </c>
      <c r="R2602" t="s">
        <v>260</v>
      </c>
      <c r="S2602" t="str">
        <f t="shared" si="360"/>
        <v>PA</v>
      </c>
    </row>
    <row r="2603" spans="1:19" x14ac:dyDescent="0.3">
      <c r="A2603" t="s">
        <v>12</v>
      </c>
      <c r="B2603" t="s">
        <v>40</v>
      </c>
      <c r="C2603" t="s">
        <v>41</v>
      </c>
      <c r="E2603" t="s">
        <v>309</v>
      </c>
      <c r="F2603" s="1" t="s">
        <v>310</v>
      </c>
      <c r="G2603">
        <v>4</v>
      </c>
      <c r="H2603" t="s">
        <v>438</v>
      </c>
      <c r="I2603" s="4">
        <f t="shared" si="358"/>
        <v>3</v>
      </c>
      <c r="J2603">
        <f t="shared" si="359"/>
        <v>12</v>
      </c>
      <c r="K2603">
        <v>184</v>
      </c>
      <c r="L2603">
        <v>62</v>
      </c>
      <c r="M2603" s="2">
        <v>3.5</v>
      </c>
      <c r="N2603" s="2">
        <v>3.26</v>
      </c>
      <c r="O2603">
        <v>0</v>
      </c>
      <c r="P2603">
        <v>1</v>
      </c>
      <c r="Q2603" t="s">
        <v>558</v>
      </c>
      <c r="R2603" t="s">
        <v>260</v>
      </c>
      <c r="S2603" t="str">
        <f t="shared" si="360"/>
        <v>PA</v>
      </c>
    </row>
    <row r="2604" spans="1:19" x14ac:dyDescent="0.3">
      <c r="A2604" t="s">
        <v>12</v>
      </c>
      <c r="B2604" t="s">
        <v>40</v>
      </c>
      <c r="C2604" t="s">
        <v>41</v>
      </c>
      <c r="E2604" t="s">
        <v>446</v>
      </c>
      <c r="F2604" t="s">
        <v>447</v>
      </c>
      <c r="G2604">
        <v>2</v>
      </c>
      <c r="H2604" t="s">
        <v>438</v>
      </c>
      <c r="I2604" s="4">
        <f t="shared" si="358"/>
        <v>3</v>
      </c>
      <c r="J2604">
        <f t="shared" si="359"/>
        <v>6</v>
      </c>
      <c r="K2604">
        <v>90</v>
      </c>
      <c r="L2604">
        <v>24</v>
      </c>
      <c r="M2604" s="2">
        <v>3.75</v>
      </c>
      <c r="N2604" s="2">
        <v>3.26</v>
      </c>
      <c r="O2604">
        <v>0</v>
      </c>
      <c r="P2604">
        <v>2</v>
      </c>
      <c r="Q2604" t="s">
        <v>559</v>
      </c>
      <c r="R2604" t="s">
        <v>260</v>
      </c>
      <c r="S2604" t="str">
        <f t="shared" si="360"/>
        <v>PA</v>
      </c>
    </row>
    <row r="2605" spans="1:19" x14ac:dyDescent="0.3">
      <c r="A2605" t="s">
        <v>12</v>
      </c>
      <c r="B2605" t="s">
        <v>40</v>
      </c>
      <c r="C2605" t="s">
        <v>41</v>
      </c>
      <c r="E2605" t="s">
        <v>131</v>
      </c>
      <c r="F2605" s="1" t="s">
        <v>132</v>
      </c>
      <c r="G2605">
        <v>2</v>
      </c>
      <c r="H2605" t="s">
        <v>438</v>
      </c>
      <c r="I2605" s="4">
        <f t="shared" si="358"/>
        <v>3</v>
      </c>
      <c r="J2605">
        <f t="shared" si="359"/>
        <v>6</v>
      </c>
      <c r="K2605">
        <v>184</v>
      </c>
      <c r="L2605">
        <v>62</v>
      </c>
      <c r="M2605" s="2">
        <v>3.5</v>
      </c>
      <c r="N2605" s="2">
        <v>3.26</v>
      </c>
      <c r="O2605">
        <v>0</v>
      </c>
      <c r="P2605">
        <v>1</v>
      </c>
      <c r="Q2605" t="s">
        <v>558</v>
      </c>
      <c r="R2605" t="s">
        <v>260</v>
      </c>
      <c r="S2605" t="str">
        <f t="shared" si="360"/>
        <v>PA</v>
      </c>
    </row>
    <row r="2606" spans="1:19" x14ac:dyDescent="0.3">
      <c r="A2606" t="s">
        <v>12</v>
      </c>
      <c r="B2606" t="s">
        <v>40</v>
      </c>
      <c r="C2606" t="s">
        <v>41</v>
      </c>
      <c r="E2606" t="s">
        <v>437</v>
      </c>
      <c r="F2606" s="1" t="s">
        <v>169</v>
      </c>
      <c r="G2606">
        <v>4</v>
      </c>
      <c r="H2606" t="s">
        <v>438</v>
      </c>
      <c r="I2606" s="4">
        <f t="shared" si="358"/>
        <v>3</v>
      </c>
      <c r="J2606">
        <f t="shared" si="359"/>
        <v>12</v>
      </c>
      <c r="K2606">
        <v>184</v>
      </c>
      <c r="L2606">
        <v>62</v>
      </c>
      <c r="M2606" s="2">
        <v>3.5</v>
      </c>
      <c r="N2606" s="2">
        <v>3.26</v>
      </c>
      <c r="O2606">
        <v>0</v>
      </c>
      <c r="P2606">
        <v>1</v>
      </c>
      <c r="Q2606" t="s">
        <v>558</v>
      </c>
      <c r="R2606" t="s">
        <v>260</v>
      </c>
      <c r="S2606" t="str">
        <f t="shared" si="360"/>
        <v>PA</v>
      </c>
    </row>
    <row r="2607" spans="1:19" x14ac:dyDescent="0.3">
      <c r="A2607" t="s">
        <v>12</v>
      </c>
      <c r="B2607" t="s">
        <v>40</v>
      </c>
      <c r="C2607" t="s">
        <v>41</v>
      </c>
      <c r="E2607" t="s">
        <v>372</v>
      </c>
      <c r="F2607" s="1" t="s">
        <v>373</v>
      </c>
      <c r="G2607">
        <v>2</v>
      </c>
      <c r="H2607" t="s">
        <v>438</v>
      </c>
      <c r="I2607" s="4">
        <f t="shared" si="358"/>
        <v>3</v>
      </c>
      <c r="J2607">
        <f t="shared" si="359"/>
        <v>6</v>
      </c>
      <c r="K2607">
        <v>184</v>
      </c>
      <c r="L2607">
        <v>62</v>
      </c>
      <c r="M2607" s="2">
        <v>3.5</v>
      </c>
      <c r="N2607" s="2">
        <v>3.26</v>
      </c>
      <c r="O2607">
        <v>0</v>
      </c>
      <c r="P2607">
        <v>1</v>
      </c>
      <c r="Q2607" t="s">
        <v>558</v>
      </c>
      <c r="R2607" t="s">
        <v>260</v>
      </c>
      <c r="S2607" t="str">
        <f t="shared" si="360"/>
        <v>PA</v>
      </c>
    </row>
    <row r="2608" spans="1:19" x14ac:dyDescent="0.3">
      <c r="A2608" t="s">
        <v>12</v>
      </c>
      <c r="B2608" t="s">
        <v>40</v>
      </c>
      <c r="C2608" t="s">
        <v>41</v>
      </c>
      <c r="E2608" t="s">
        <v>122</v>
      </c>
      <c r="F2608" s="1" t="s">
        <v>123</v>
      </c>
      <c r="G2608">
        <v>4</v>
      </c>
      <c r="H2608" t="s">
        <v>438</v>
      </c>
      <c r="I2608" s="4">
        <f t="shared" si="358"/>
        <v>3</v>
      </c>
      <c r="J2608">
        <f t="shared" si="359"/>
        <v>12</v>
      </c>
      <c r="K2608">
        <v>184</v>
      </c>
      <c r="L2608">
        <v>62</v>
      </c>
      <c r="M2608" s="2">
        <v>3.5</v>
      </c>
      <c r="N2608" s="2">
        <v>3.26</v>
      </c>
      <c r="O2608">
        <v>0</v>
      </c>
      <c r="P2608">
        <v>1</v>
      </c>
      <c r="Q2608" t="s">
        <v>558</v>
      </c>
      <c r="R2608" t="s">
        <v>260</v>
      </c>
      <c r="S2608" t="str">
        <f t="shared" si="360"/>
        <v>PA</v>
      </c>
    </row>
    <row r="2609" spans="1:19" x14ac:dyDescent="0.3">
      <c r="A2609" t="s">
        <v>12</v>
      </c>
      <c r="B2609" t="s">
        <v>40</v>
      </c>
      <c r="C2609" t="s">
        <v>41</v>
      </c>
      <c r="E2609" t="s">
        <v>357</v>
      </c>
      <c r="F2609" t="s">
        <v>358</v>
      </c>
      <c r="G2609">
        <v>4</v>
      </c>
      <c r="H2609" t="s">
        <v>438</v>
      </c>
      <c r="I2609" s="4">
        <f t="shared" si="358"/>
        <v>3</v>
      </c>
      <c r="J2609">
        <f t="shared" si="359"/>
        <v>12</v>
      </c>
      <c r="K2609">
        <v>66</v>
      </c>
      <c r="L2609">
        <v>18</v>
      </c>
      <c r="M2609" s="2">
        <v>3.5</v>
      </c>
      <c r="N2609" s="2">
        <v>3.26</v>
      </c>
      <c r="O2609">
        <v>0</v>
      </c>
      <c r="P2609">
        <v>1</v>
      </c>
      <c r="Q2609" t="s">
        <v>558</v>
      </c>
      <c r="R2609" t="s">
        <v>260</v>
      </c>
      <c r="S2609" t="str">
        <f t="shared" si="360"/>
        <v>PA</v>
      </c>
    </row>
    <row r="2610" spans="1:19" x14ac:dyDescent="0.3">
      <c r="A2610" t="s">
        <v>12</v>
      </c>
      <c r="B2610" t="s">
        <v>40</v>
      </c>
      <c r="C2610" t="s">
        <v>41</v>
      </c>
      <c r="E2610" t="s">
        <v>382</v>
      </c>
      <c r="F2610" t="s">
        <v>383</v>
      </c>
      <c r="G2610">
        <v>4</v>
      </c>
      <c r="H2610" t="s">
        <v>438</v>
      </c>
      <c r="I2610" s="4">
        <f t="shared" si="358"/>
        <v>3</v>
      </c>
      <c r="J2610">
        <f t="shared" si="359"/>
        <v>12</v>
      </c>
      <c r="K2610">
        <v>66</v>
      </c>
      <c r="L2610">
        <v>18</v>
      </c>
      <c r="M2610" s="2">
        <v>3.5</v>
      </c>
      <c r="N2610" s="2">
        <v>3.26</v>
      </c>
      <c r="O2610">
        <v>0</v>
      </c>
      <c r="P2610">
        <v>1</v>
      </c>
      <c r="Q2610" t="s">
        <v>558</v>
      </c>
      <c r="R2610" t="s">
        <v>260</v>
      </c>
      <c r="S2610" t="str">
        <f t="shared" si="360"/>
        <v>PA</v>
      </c>
    </row>
    <row r="2611" spans="1:19" x14ac:dyDescent="0.3">
      <c r="A2611" t="s">
        <v>12</v>
      </c>
      <c r="B2611" t="s">
        <v>40</v>
      </c>
      <c r="C2611" t="s">
        <v>41</v>
      </c>
      <c r="E2611" t="s">
        <v>276</v>
      </c>
      <c r="F2611" s="1" t="s">
        <v>137</v>
      </c>
      <c r="G2611">
        <v>4</v>
      </c>
      <c r="H2611" t="s">
        <v>438</v>
      </c>
      <c r="I2611" s="4">
        <f t="shared" si="358"/>
        <v>3</v>
      </c>
      <c r="J2611">
        <f t="shared" si="359"/>
        <v>12</v>
      </c>
      <c r="K2611">
        <v>184</v>
      </c>
      <c r="L2611">
        <v>62</v>
      </c>
      <c r="M2611" s="2">
        <v>3.5</v>
      </c>
      <c r="N2611" s="2">
        <v>3.26</v>
      </c>
      <c r="O2611">
        <v>0</v>
      </c>
      <c r="P2611">
        <v>1</v>
      </c>
      <c r="Q2611" t="s">
        <v>558</v>
      </c>
      <c r="R2611" t="s">
        <v>260</v>
      </c>
      <c r="S2611" t="str">
        <f t="shared" si="360"/>
        <v>PA</v>
      </c>
    </row>
    <row r="2612" spans="1:19" x14ac:dyDescent="0.3">
      <c r="A2612" t="s">
        <v>12</v>
      </c>
      <c r="B2612" t="s">
        <v>40</v>
      </c>
      <c r="C2612" t="s">
        <v>41</v>
      </c>
      <c r="E2612" t="s">
        <v>374</v>
      </c>
      <c r="F2612" t="s">
        <v>375</v>
      </c>
      <c r="G2612">
        <v>2</v>
      </c>
      <c r="H2612" t="s">
        <v>438</v>
      </c>
      <c r="I2612" s="4">
        <f t="shared" si="358"/>
        <v>3</v>
      </c>
      <c r="J2612">
        <f t="shared" si="359"/>
        <v>6</v>
      </c>
      <c r="K2612">
        <v>90</v>
      </c>
      <c r="L2612">
        <v>24</v>
      </c>
      <c r="M2612" s="2">
        <v>3.75</v>
      </c>
      <c r="N2612" s="2">
        <v>3.26</v>
      </c>
      <c r="O2612">
        <v>0</v>
      </c>
      <c r="P2612">
        <v>2</v>
      </c>
      <c r="Q2612" t="s">
        <v>559</v>
      </c>
      <c r="R2612" t="s">
        <v>260</v>
      </c>
      <c r="S2612" t="str">
        <f t="shared" si="360"/>
        <v>PA</v>
      </c>
    </row>
    <row r="2613" spans="1:19" x14ac:dyDescent="0.3">
      <c r="A2613" t="s">
        <v>12</v>
      </c>
      <c r="B2613" t="s">
        <v>40</v>
      </c>
      <c r="C2613" t="s">
        <v>41</v>
      </c>
      <c r="E2613" t="s">
        <v>432</v>
      </c>
      <c r="F2613" t="s">
        <v>433</v>
      </c>
      <c r="G2613">
        <v>4</v>
      </c>
      <c r="H2613" t="s">
        <v>438</v>
      </c>
      <c r="I2613" s="4">
        <f t="shared" si="358"/>
        <v>3</v>
      </c>
      <c r="J2613">
        <f t="shared" si="359"/>
        <v>12</v>
      </c>
      <c r="K2613">
        <v>48</v>
      </c>
      <c r="L2613">
        <v>16</v>
      </c>
      <c r="M2613" s="2">
        <v>3</v>
      </c>
      <c r="N2613" s="2">
        <v>3.26</v>
      </c>
      <c r="O2613">
        <v>0</v>
      </c>
      <c r="P2613">
        <v>4</v>
      </c>
      <c r="Q2613" t="s">
        <v>565</v>
      </c>
      <c r="R2613" t="s">
        <v>260</v>
      </c>
      <c r="S2613" t="str">
        <f t="shared" si="360"/>
        <v>PA</v>
      </c>
    </row>
    <row r="2614" spans="1:19" x14ac:dyDescent="0.3">
      <c r="A2614" t="s">
        <v>12</v>
      </c>
      <c r="B2614" t="s">
        <v>40</v>
      </c>
      <c r="C2614" t="s">
        <v>41</v>
      </c>
      <c r="E2614" t="s">
        <v>190</v>
      </c>
      <c r="F2614" s="1" t="s">
        <v>191</v>
      </c>
      <c r="G2614">
        <v>4</v>
      </c>
      <c r="H2614" t="s">
        <v>438</v>
      </c>
      <c r="I2614" s="4">
        <f t="shared" si="358"/>
        <v>3</v>
      </c>
      <c r="J2614">
        <f t="shared" si="359"/>
        <v>12</v>
      </c>
      <c r="K2614">
        <v>184</v>
      </c>
      <c r="L2614">
        <v>62</v>
      </c>
      <c r="M2614" s="2">
        <v>3.5</v>
      </c>
      <c r="N2614" s="2">
        <v>3.26</v>
      </c>
      <c r="O2614">
        <v>0</v>
      </c>
      <c r="P2614">
        <v>1</v>
      </c>
      <c r="Q2614" t="s">
        <v>558</v>
      </c>
      <c r="R2614" t="s">
        <v>260</v>
      </c>
      <c r="S2614" t="str">
        <f t="shared" si="360"/>
        <v>PA</v>
      </c>
    </row>
    <row r="2615" spans="1:19" x14ac:dyDescent="0.3">
      <c r="A2615" t="s">
        <v>12</v>
      </c>
      <c r="B2615" t="s">
        <v>40</v>
      </c>
      <c r="C2615" t="s">
        <v>41</v>
      </c>
      <c r="E2615" t="s">
        <v>306</v>
      </c>
      <c r="F2615" s="1" t="s">
        <v>307</v>
      </c>
      <c r="G2615">
        <v>2</v>
      </c>
      <c r="H2615" t="s">
        <v>438</v>
      </c>
      <c r="I2615" s="4">
        <f t="shared" ref="I2615:I2628" si="361">IF(H2615="A",4,IF(H2615="B",3,IF(H2615="C",2,IF(H2615="D",1,0))))</f>
        <v>3</v>
      </c>
      <c r="J2615">
        <f t="shared" ref="J2615:J2628" si="362">G2615*I2615</f>
        <v>6</v>
      </c>
      <c r="K2615">
        <v>184</v>
      </c>
      <c r="L2615">
        <v>62</v>
      </c>
      <c r="M2615" s="2">
        <v>3.5</v>
      </c>
      <c r="N2615" s="2">
        <v>3.26</v>
      </c>
      <c r="O2615">
        <v>0</v>
      </c>
      <c r="P2615">
        <v>1</v>
      </c>
      <c r="Q2615" t="s">
        <v>558</v>
      </c>
      <c r="R2615" t="s">
        <v>260</v>
      </c>
      <c r="S2615" t="str">
        <f t="shared" si="360"/>
        <v>PA</v>
      </c>
    </row>
    <row r="2616" spans="1:19" x14ac:dyDescent="0.3">
      <c r="A2616" t="s">
        <v>12</v>
      </c>
      <c r="B2616" t="s">
        <v>40</v>
      </c>
      <c r="C2616" t="s">
        <v>41</v>
      </c>
      <c r="E2616" t="s">
        <v>165</v>
      </c>
      <c r="F2616" s="1" t="s">
        <v>166</v>
      </c>
      <c r="G2616">
        <v>2</v>
      </c>
      <c r="H2616" t="s">
        <v>438</v>
      </c>
      <c r="I2616" s="4">
        <f t="shared" si="361"/>
        <v>3</v>
      </c>
      <c r="J2616">
        <f t="shared" si="362"/>
        <v>6</v>
      </c>
      <c r="K2616">
        <v>184</v>
      </c>
      <c r="L2616">
        <v>62</v>
      </c>
      <c r="M2616" s="2">
        <v>3.5</v>
      </c>
      <c r="N2616" s="2">
        <v>3.26</v>
      </c>
      <c r="O2616">
        <v>0</v>
      </c>
      <c r="P2616">
        <v>1</v>
      </c>
      <c r="Q2616" t="s">
        <v>558</v>
      </c>
      <c r="R2616" t="s">
        <v>260</v>
      </c>
      <c r="S2616" t="str">
        <f t="shared" si="360"/>
        <v>PA</v>
      </c>
    </row>
    <row r="2617" spans="1:19" x14ac:dyDescent="0.3">
      <c r="A2617" t="s">
        <v>12</v>
      </c>
      <c r="B2617" t="s">
        <v>40</v>
      </c>
      <c r="C2617" t="s">
        <v>41</v>
      </c>
      <c r="E2617" t="s">
        <v>14</v>
      </c>
      <c r="F2617" t="s">
        <v>15</v>
      </c>
      <c r="G2617">
        <v>2</v>
      </c>
      <c r="H2617" t="s">
        <v>438</v>
      </c>
      <c r="I2617" s="4">
        <f t="shared" si="361"/>
        <v>3</v>
      </c>
      <c r="J2617">
        <f t="shared" si="362"/>
        <v>6</v>
      </c>
      <c r="K2617">
        <v>6</v>
      </c>
      <c r="L2617">
        <v>2</v>
      </c>
      <c r="M2617" s="2">
        <v>3.5</v>
      </c>
      <c r="N2617" s="2">
        <v>3.26</v>
      </c>
      <c r="O2617">
        <v>0</v>
      </c>
      <c r="P2617">
        <v>5</v>
      </c>
      <c r="Q2617" t="s">
        <v>566</v>
      </c>
      <c r="R2617" t="s">
        <v>260</v>
      </c>
      <c r="S2617" t="str">
        <f t="shared" si="360"/>
        <v>PA</v>
      </c>
    </row>
    <row r="2618" spans="1:19" x14ac:dyDescent="0.3">
      <c r="A2618" t="s">
        <v>12</v>
      </c>
      <c r="B2618" t="s">
        <v>40</v>
      </c>
      <c r="C2618" t="s">
        <v>41</v>
      </c>
      <c r="E2618" t="s">
        <v>257</v>
      </c>
      <c r="F2618" s="1" t="s">
        <v>258</v>
      </c>
      <c r="G2618">
        <v>4</v>
      </c>
      <c r="H2618" t="s">
        <v>438</v>
      </c>
      <c r="I2618" s="4">
        <f t="shared" si="361"/>
        <v>3</v>
      </c>
      <c r="J2618">
        <f t="shared" si="362"/>
        <v>12</v>
      </c>
      <c r="K2618">
        <v>184</v>
      </c>
      <c r="L2618">
        <v>62</v>
      </c>
      <c r="M2618" s="2">
        <v>3.5</v>
      </c>
      <c r="N2618" s="2">
        <v>3.26</v>
      </c>
      <c r="O2618">
        <v>0</v>
      </c>
      <c r="P2618">
        <v>1</v>
      </c>
      <c r="Q2618" t="s">
        <v>558</v>
      </c>
      <c r="R2618" t="s">
        <v>260</v>
      </c>
      <c r="S2618" t="str">
        <f t="shared" si="360"/>
        <v>PA</v>
      </c>
    </row>
    <row r="2619" spans="1:19" x14ac:dyDescent="0.3">
      <c r="A2619" t="s">
        <v>12</v>
      </c>
      <c r="B2619" t="s">
        <v>40</v>
      </c>
      <c r="C2619" t="s">
        <v>41</v>
      </c>
      <c r="E2619" t="s">
        <v>360</v>
      </c>
      <c r="F2619" t="s">
        <v>361</v>
      </c>
      <c r="G2619">
        <v>2</v>
      </c>
      <c r="H2619" t="s">
        <v>438</v>
      </c>
      <c r="I2619" s="4">
        <f t="shared" si="361"/>
        <v>3</v>
      </c>
      <c r="J2619">
        <f t="shared" si="362"/>
        <v>6</v>
      </c>
      <c r="K2619">
        <v>90</v>
      </c>
      <c r="L2619">
        <v>24</v>
      </c>
      <c r="M2619" s="2">
        <v>3.75</v>
      </c>
      <c r="N2619" s="2">
        <v>3.26</v>
      </c>
      <c r="O2619">
        <v>0</v>
      </c>
      <c r="P2619">
        <v>2</v>
      </c>
      <c r="Q2619" t="s">
        <v>559</v>
      </c>
      <c r="R2619" t="s">
        <v>260</v>
      </c>
      <c r="S2619" t="str">
        <f t="shared" si="360"/>
        <v>PA</v>
      </c>
    </row>
    <row r="2620" spans="1:19" x14ac:dyDescent="0.3">
      <c r="A2620" t="s">
        <v>12</v>
      </c>
      <c r="B2620" t="s">
        <v>40</v>
      </c>
      <c r="C2620" t="s">
        <v>41</v>
      </c>
      <c r="E2620" t="s">
        <v>90</v>
      </c>
      <c r="F2620" s="1" t="s">
        <v>91</v>
      </c>
      <c r="G2620">
        <v>2</v>
      </c>
      <c r="H2620" t="s">
        <v>438</v>
      </c>
      <c r="I2620" s="4">
        <f t="shared" si="361"/>
        <v>3</v>
      </c>
      <c r="J2620">
        <f t="shared" si="362"/>
        <v>6</v>
      </c>
      <c r="K2620">
        <v>184</v>
      </c>
      <c r="L2620">
        <v>62</v>
      </c>
      <c r="M2620" s="2">
        <v>3.5</v>
      </c>
      <c r="N2620" s="2">
        <v>3.26</v>
      </c>
      <c r="O2620">
        <v>0</v>
      </c>
      <c r="P2620">
        <v>1</v>
      </c>
      <c r="Q2620" t="s">
        <v>558</v>
      </c>
      <c r="R2620" t="s">
        <v>260</v>
      </c>
      <c r="S2620" t="str">
        <f t="shared" si="360"/>
        <v>PA</v>
      </c>
    </row>
    <row r="2621" spans="1:19" x14ac:dyDescent="0.3">
      <c r="A2621" t="s">
        <v>12</v>
      </c>
      <c r="B2621" t="s">
        <v>40</v>
      </c>
      <c r="C2621" t="s">
        <v>41</v>
      </c>
      <c r="E2621" t="s">
        <v>234</v>
      </c>
      <c r="F2621" s="1" t="s">
        <v>235</v>
      </c>
      <c r="G2621">
        <v>4</v>
      </c>
      <c r="H2621" t="s">
        <v>438</v>
      </c>
      <c r="I2621" s="4">
        <f t="shared" si="361"/>
        <v>3</v>
      </c>
      <c r="J2621">
        <f t="shared" si="362"/>
        <v>12</v>
      </c>
      <c r="K2621">
        <v>184</v>
      </c>
      <c r="L2621">
        <v>62</v>
      </c>
      <c r="M2621" s="2">
        <v>3.5</v>
      </c>
      <c r="N2621" s="2">
        <v>3.26</v>
      </c>
      <c r="O2621">
        <v>0</v>
      </c>
      <c r="P2621">
        <v>1</v>
      </c>
      <c r="Q2621" t="s">
        <v>558</v>
      </c>
      <c r="R2621" t="s">
        <v>260</v>
      </c>
      <c r="S2621" t="str">
        <f t="shared" si="360"/>
        <v>PA</v>
      </c>
    </row>
    <row r="2622" spans="1:19" x14ac:dyDescent="0.3">
      <c r="A2622" t="s">
        <v>12</v>
      </c>
      <c r="B2622" t="s">
        <v>40</v>
      </c>
      <c r="C2622" t="s">
        <v>41</v>
      </c>
      <c r="E2622" t="s">
        <v>344</v>
      </c>
      <c r="F2622" t="s">
        <v>345</v>
      </c>
      <c r="G2622">
        <v>2</v>
      </c>
      <c r="H2622" t="s">
        <v>438</v>
      </c>
      <c r="I2622" s="4">
        <f t="shared" si="361"/>
        <v>3</v>
      </c>
      <c r="J2622">
        <f t="shared" si="362"/>
        <v>6</v>
      </c>
      <c r="K2622">
        <v>66</v>
      </c>
      <c r="L2622">
        <v>18</v>
      </c>
      <c r="M2622" s="2">
        <v>3.67</v>
      </c>
      <c r="N2622" s="2">
        <v>3.26</v>
      </c>
      <c r="O2622">
        <v>0</v>
      </c>
      <c r="P2622">
        <v>3</v>
      </c>
      <c r="Q2622" t="s">
        <v>563</v>
      </c>
      <c r="R2622" t="s">
        <v>260</v>
      </c>
      <c r="S2622" t="str">
        <f t="shared" si="360"/>
        <v>PA</v>
      </c>
    </row>
    <row r="2623" spans="1:19" x14ac:dyDescent="0.3">
      <c r="A2623" t="s">
        <v>12</v>
      </c>
      <c r="B2623" t="s">
        <v>40</v>
      </c>
      <c r="C2623" t="s">
        <v>41</v>
      </c>
      <c r="E2623" t="s">
        <v>236</v>
      </c>
      <c r="F2623" t="s">
        <v>237</v>
      </c>
      <c r="G2623">
        <v>2</v>
      </c>
      <c r="H2623" t="s">
        <v>438</v>
      </c>
      <c r="I2623" s="4">
        <f t="shared" si="361"/>
        <v>3</v>
      </c>
      <c r="J2623">
        <f t="shared" si="362"/>
        <v>6</v>
      </c>
      <c r="K2623">
        <v>66</v>
      </c>
      <c r="L2623">
        <v>18</v>
      </c>
      <c r="M2623" s="2">
        <v>3.5</v>
      </c>
      <c r="N2623" s="2">
        <v>3.26</v>
      </c>
      <c r="O2623">
        <v>0</v>
      </c>
      <c r="P2623">
        <v>1</v>
      </c>
      <c r="Q2623" t="s">
        <v>558</v>
      </c>
      <c r="R2623" t="s">
        <v>260</v>
      </c>
      <c r="S2623" t="str">
        <f t="shared" si="360"/>
        <v>PA</v>
      </c>
    </row>
    <row r="2624" spans="1:19" x14ac:dyDescent="0.3">
      <c r="A2624" t="s">
        <v>12</v>
      </c>
      <c r="B2624" t="s">
        <v>40</v>
      </c>
      <c r="C2624" t="s">
        <v>41</v>
      </c>
      <c r="E2624" t="s">
        <v>100</v>
      </c>
      <c r="F2624" s="1" t="s">
        <v>101</v>
      </c>
      <c r="G2624">
        <v>4</v>
      </c>
      <c r="H2624" t="s">
        <v>524</v>
      </c>
      <c r="I2624" s="4">
        <f t="shared" si="361"/>
        <v>2</v>
      </c>
      <c r="J2624">
        <f t="shared" si="362"/>
        <v>8</v>
      </c>
      <c r="K2624">
        <v>184</v>
      </c>
      <c r="L2624">
        <v>62</v>
      </c>
      <c r="M2624" s="2">
        <v>3.5</v>
      </c>
      <c r="N2624" s="2">
        <v>3.26</v>
      </c>
      <c r="O2624">
        <v>0</v>
      </c>
      <c r="P2624">
        <v>1</v>
      </c>
      <c r="Q2624" t="s">
        <v>558</v>
      </c>
      <c r="R2624" t="s">
        <v>260</v>
      </c>
      <c r="S2624" t="str">
        <f t="shared" si="360"/>
        <v>PA</v>
      </c>
    </row>
    <row r="2625" spans="1:19" x14ac:dyDescent="0.3">
      <c r="A2625" t="s">
        <v>12</v>
      </c>
      <c r="B2625" t="s">
        <v>40</v>
      </c>
      <c r="C2625" t="s">
        <v>41</v>
      </c>
      <c r="E2625" t="s">
        <v>297</v>
      </c>
      <c r="F2625" t="s">
        <v>298</v>
      </c>
      <c r="G2625">
        <v>4</v>
      </c>
      <c r="H2625" t="s">
        <v>524</v>
      </c>
      <c r="I2625" s="4">
        <f t="shared" si="361"/>
        <v>2</v>
      </c>
      <c r="J2625">
        <f t="shared" si="362"/>
        <v>8</v>
      </c>
      <c r="K2625">
        <v>48</v>
      </c>
      <c r="L2625">
        <v>16</v>
      </c>
      <c r="M2625" s="2">
        <v>3</v>
      </c>
      <c r="N2625" s="2">
        <v>3.26</v>
      </c>
      <c r="O2625">
        <v>0</v>
      </c>
      <c r="P2625">
        <v>4</v>
      </c>
      <c r="Q2625" t="s">
        <v>565</v>
      </c>
      <c r="R2625" t="s">
        <v>260</v>
      </c>
      <c r="S2625" t="str">
        <f t="shared" si="360"/>
        <v>PA</v>
      </c>
    </row>
    <row r="2626" spans="1:19" x14ac:dyDescent="0.3">
      <c r="A2626" t="s">
        <v>12</v>
      </c>
      <c r="B2626" t="s">
        <v>40</v>
      </c>
      <c r="C2626" t="s">
        <v>41</v>
      </c>
      <c r="E2626" t="s">
        <v>244</v>
      </c>
      <c r="F2626" s="1" t="s">
        <v>228</v>
      </c>
      <c r="G2626">
        <v>2</v>
      </c>
      <c r="H2626" t="s">
        <v>524</v>
      </c>
      <c r="I2626" s="4">
        <f t="shared" si="361"/>
        <v>2</v>
      </c>
      <c r="J2626">
        <f t="shared" si="362"/>
        <v>4</v>
      </c>
      <c r="K2626">
        <v>184</v>
      </c>
      <c r="L2626">
        <v>62</v>
      </c>
      <c r="M2626" s="2">
        <v>3.5</v>
      </c>
      <c r="N2626" s="2">
        <v>3.26</v>
      </c>
      <c r="O2626">
        <v>0</v>
      </c>
      <c r="P2626">
        <v>1</v>
      </c>
      <c r="Q2626" t="s">
        <v>558</v>
      </c>
      <c r="R2626" t="s">
        <v>260</v>
      </c>
      <c r="S2626" t="str">
        <f t="shared" si="360"/>
        <v>PA</v>
      </c>
    </row>
    <row r="2627" spans="1:19" x14ac:dyDescent="0.3">
      <c r="A2627" t="s">
        <v>12</v>
      </c>
      <c r="B2627" t="s">
        <v>40</v>
      </c>
      <c r="C2627" t="s">
        <v>41</v>
      </c>
      <c r="E2627" t="s">
        <v>192</v>
      </c>
      <c r="F2627" s="1" t="s">
        <v>106</v>
      </c>
      <c r="G2627">
        <v>2</v>
      </c>
      <c r="H2627" t="s">
        <v>524</v>
      </c>
      <c r="I2627" s="4">
        <f t="shared" si="361"/>
        <v>2</v>
      </c>
      <c r="J2627">
        <f t="shared" si="362"/>
        <v>4</v>
      </c>
      <c r="K2627">
        <v>184</v>
      </c>
      <c r="L2627">
        <v>62</v>
      </c>
      <c r="M2627" s="2">
        <v>3.5</v>
      </c>
      <c r="N2627" s="2">
        <v>3.26</v>
      </c>
      <c r="O2627">
        <v>0</v>
      </c>
      <c r="P2627">
        <v>1</v>
      </c>
      <c r="Q2627" t="s">
        <v>558</v>
      </c>
      <c r="R2627" t="s">
        <v>260</v>
      </c>
      <c r="S2627" t="str">
        <f t="shared" si="360"/>
        <v>PA</v>
      </c>
    </row>
    <row r="2628" spans="1:19" x14ac:dyDescent="0.3">
      <c r="A2628" t="s">
        <v>12</v>
      </c>
      <c r="B2628" t="s">
        <v>40</v>
      </c>
      <c r="C2628" t="s">
        <v>41</v>
      </c>
      <c r="E2628" t="s">
        <v>170</v>
      </c>
      <c r="F2628" s="1" t="s">
        <v>171</v>
      </c>
      <c r="G2628">
        <v>4</v>
      </c>
      <c r="H2628" t="s">
        <v>524</v>
      </c>
      <c r="I2628" s="4">
        <f t="shared" si="361"/>
        <v>2</v>
      </c>
      <c r="J2628">
        <f t="shared" si="362"/>
        <v>8</v>
      </c>
      <c r="K2628">
        <v>184</v>
      </c>
      <c r="L2628">
        <v>62</v>
      </c>
      <c r="M2628" s="2">
        <v>3.5</v>
      </c>
      <c r="N2628" s="2">
        <v>3.26</v>
      </c>
      <c r="O2628">
        <v>0</v>
      </c>
      <c r="P2628">
        <v>1</v>
      </c>
      <c r="Q2628" t="s">
        <v>558</v>
      </c>
      <c r="R2628" t="s">
        <v>260</v>
      </c>
      <c r="S2628" t="str">
        <f t="shared" si="360"/>
        <v>PA</v>
      </c>
    </row>
    <row r="2629" spans="1:19" x14ac:dyDescent="0.3">
      <c r="A2629" t="s">
        <v>12</v>
      </c>
      <c r="B2629" t="s">
        <v>133</v>
      </c>
      <c r="C2629" t="s">
        <v>134</v>
      </c>
      <c r="E2629" t="s">
        <v>122</v>
      </c>
      <c r="F2629" t="s">
        <v>123</v>
      </c>
      <c r="G2629">
        <v>4</v>
      </c>
      <c r="I2629" s="4"/>
      <c r="J2629">
        <f t="shared" ref="J2629:J2635" si="363">G2629*I2629</f>
        <v>0</v>
      </c>
      <c r="K2629">
        <v>2</v>
      </c>
      <c r="L2629">
        <v>0</v>
      </c>
      <c r="M2629" s="2">
        <v>0.33</v>
      </c>
      <c r="N2629" s="2">
        <v>2.77</v>
      </c>
      <c r="O2629">
        <v>0</v>
      </c>
      <c r="P2629">
        <v>1</v>
      </c>
      <c r="Q2629" s="4" t="str">
        <f t="shared" ref="Q2629:Q2634" si="364">IF(P2629=1,"2016/2017-Ganjil",IF(P2629=2,"2016/2017-Genap",IF(P2629=3,"2017/2018-Ganjil",IF(P2629=4,"2017/2018-Genap",IF(P2629=5,"2018/2019-Ganjil",IF(P2629=6,"2018/2019-Genap",IF(P2629=7,"2019/2020-Ganjil",IF(P2629=8,"2019/2020-Genap",IF(P2629=9,"2020/2021-Ganjil","2020/2021-Genap")))))))))</f>
        <v>2016/2017-Ganjil</v>
      </c>
      <c r="R2629" t="s">
        <v>535</v>
      </c>
      <c r="S2629" t="s">
        <v>595</v>
      </c>
    </row>
    <row r="2630" spans="1:19" x14ac:dyDescent="0.3">
      <c r="A2630" t="s">
        <v>12</v>
      </c>
      <c r="B2630" t="s">
        <v>133</v>
      </c>
      <c r="C2630" t="s">
        <v>134</v>
      </c>
      <c r="E2630" t="s">
        <v>151</v>
      </c>
      <c r="F2630" t="s">
        <v>152</v>
      </c>
      <c r="G2630">
        <v>2</v>
      </c>
      <c r="I2630" s="4"/>
      <c r="J2630">
        <f t="shared" si="363"/>
        <v>0</v>
      </c>
      <c r="K2630">
        <v>2</v>
      </c>
      <c r="L2630">
        <v>0</v>
      </c>
      <c r="M2630" s="2">
        <v>0.33</v>
      </c>
      <c r="N2630" s="2">
        <v>2.77</v>
      </c>
      <c r="O2630">
        <v>0</v>
      </c>
      <c r="P2630">
        <v>1</v>
      </c>
      <c r="Q2630" s="4" t="str">
        <f t="shared" si="364"/>
        <v>2016/2017-Ganjil</v>
      </c>
      <c r="R2630" t="s">
        <v>535</v>
      </c>
      <c r="S2630" t="s">
        <v>595</v>
      </c>
    </row>
    <row r="2631" spans="1:19" x14ac:dyDescent="0.3">
      <c r="A2631" t="s">
        <v>12</v>
      </c>
      <c r="B2631" t="s">
        <v>133</v>
      </c>
      <c r="C2631" t="s">
        <v>134</v>
      </c>
      <c r="E2631" t="s">
        <v>192</v>
      </c>
      <c r="F2631" t="s">
        <v>106</v>
      </c>
      <c r="G2631">
        <v>2</v>
      </c>
      <c r="I2631" s="4"/>
      <c r="J2631">
        <f t="shared" si="363"/>
        <v>0</v>
      </c>
      <c r="K2631">
        <v>2</v>
      </c>
      <c r="L2631">
        <v>0</v>
      </c>
      <c r="M2631" s="2">
        <v>0.33</v>
      </c>
      <c r="N2631" s="2">
        <v>2.77</v>
      </c>
      <c r="O2631">
        <v>0</v>
      </c>
      <c r="P2631">
        <v>1</v>
      </c>
      <c r="Q2631" s="4" t="str">
        <f t="shared" si="364"/>
        <v>2016/2017-Ganjil</v>
      </c>
      <c r="R2631" t="s">
        <v>535</v>
      </c>
      <c r="S2631" t="s">
        <v>595</v>
      </c>
    </row>
    <row r="2632" spans="1:19" x14ac:dyDescent="0.3">
      <c r="A2632" t="s">
        <v>12</v>
      </c>
      <c r="B2632" t="s">
        <v>133</v>
      </c>
      <c r="C2632" t="s">
        <v>134</v>
      </c>
      <c r="E2632" t="s">
        <v>208</v>
      </c>
      <c r="F2632" t="s">
        <v>209</v>
      </c>
      <c r="G2632">
        <v>2</v>
      </c>
      <c r="I2632" s="4"/>
      <c r="J2632">
        <f t="shared" si="363"/>
        <v>0</v>
      </c>
      <c r="K2632">
        <v>2</v>
      </c>
      <c r="L2632">
        <v>0</v>
      </c>
      <c r="M2632" s="2">
        <v>0.33</v>
      </c>
      <c r="N2632" s="2">
        <v>2.77</v>
      </c>
      <c r="O2632">
        <v>0</v>
      </c>
      <c r="P2632">
        <v>1</v>
      </c>
      <c r="Q2632" s="4" t="str">
        <f t="shared" si="364"/>
        <v>2016/2017-Ganjil</v>
      </c>
      <c r="R2632" t="s">
        <v>535</v>
      </c>
      <c r="S2632" t="s">
        <v>595</v>
      </c>
    </row>
    <row r="2633" spans="1:19" x14ac:dyDescent="0.3">
      <c r="A2633" t="s">
        <v>12</v>
      </c>
      <c r="B2633" t="s">
        <v>133</v>
      </c>
      <c r="C2633" t="s">
        <v>134</v>
      </c>
      <c r="E2633" t="s">
        <v>241</v>
      </c>
      <c r="F2633" t="s">
        <v>45</v>
      </c>
      <c r="G2633">
        <v>2</v>
      </c>
      <c r="I2633" s="4"/>
      <c r="J2633">
        <f t="shared" si="363"/>
        <v>0</v>
      </c>
      <c r="K2633">
        <v>2</v>
      </c>
      <c r="L2633">
        <v>0</v>
      </c>
      <c r="M2633" s="2">
        <v>0.33</v>
      </c>
      <c r="N2633" s="2">
        <v>2.77</v>
      </c>
      <c r="O2633">
        <v>0</v>
      </c>
      <c r="P2633">
        <v>1</v>
      </c>
      <c r="Q2633" s="4" t="str">
        <f t="shared" si="364"/>
        <v>2016/2017-Ganjil</v>
      </c>
      <c r="R2633" t="s">
        <v>535</v>
      </c>
      <c r="S2633" t="s">
        <v>595</v>
      </c>
    </row>
    <row r="2634" spans="1:19" x14ac:dyDescent="0.3">
      <c r="A2634" t="s">
        <v>12</v>
      </c>
      <c r="B2634" t="s">
        <v>133</v>
      </c>
      <c r="C2634" t="s">
        <v>134</v>
      </c>
      <c r="E2634" t="s">
        <v>236</v>
      </c>
      <c r="F2634" t="s">
        <v>237</v>
      </c>
      <c r="G2634">
        <v>2</v>
      </c>
      <c r="I2634" s="4"/>
      <c r="J2634">
        <f t="shared" si="363"/>
        <v>0</v>
      </c>
      <c r="K2634">
        <v>2</v>
      </c>
      <c r="L2634">
        <v>0</v>
      </c>
      <c r="M2634" s="2">
        <v>0.33</v>
      </c>
      <c r="N2634" s="2">
        <v>2.77</v>
      </c>
      <c r="O2634">
        <v>0</v>
      </c>
      <c r="P2634">
        <v>1</v>
      </c>
      <c r="Q2634" s="4" t="str">
        <f t="shared" si="364"/>
        <v>2016/2017-Ganjil</v>
      </c>
      <c r="R2634" t="s">
        <v>535</v>
      </c>
      <c r="S2634" t="s">
        <v>595</v>
      </c>
    </row>
    <row r="2635" spans="1:19" x14ac:dyDescent="0.3">
      <c r="A2635" t="s">
        <v>12</v>
      </c>
      <c r="B2635" t="s">
        <v>133</v>
      </c>
      <c r="C2635" t="s">
        <v>134</v>
      </c>
      <c r="E2635" t="s">
        <v>131</v>
      </c>
      <c r="F2635" s="1" t="s">
        <v>132</v>
      </c>
      <c r="G2635">
        <v>2</v>
      </c>
      <c r="H2635" t="s">
        <v>260</v>
      </c>
      <c r="I2635" s="4">
        <f t="shared" ref="I2635" si="365">IF(H2635="A",4,IF(H2635="B",3,IF(H2635="C",2,IF(H2635="D",1,0))))</f>
        <v>4</v>
      </c>
      <c r="J2635">
        <f t="shared" si="363"/>
        <v>8</v>
      </c>
      <c r="K2635">
        <v>164</v>
      </c>
      <c r="L2635">
        <v>54</v>
      </c>
      <c r="M2635" s="2">
        <v>0.33</v>
      </c>
      <c r="N2635" s="2">
        <v>2.77</v>
      </c>
      <c r="O2635">
        <v>0</v>
      </c>
      <c r="P2635">
        <v>1</v>
      </c>
      <c r="Q2635" s="4" t="str">
        <f t="shared" ref="Q2635" si="366">IF(P2635=1,"2016/2017-Ganjil",IF(P2635=2,"2016/2017-Genap",IF(P2635=3,"2017/2018-Ganjil",IF(P2635=4,"2017/2018-Genap",IF(P2635=5,"2018/2019-Ganjil",IF(P2635=6,"2018/2019-Genap",IF(P2635=7,"2019/2020-Ganjil",IF(P2635=8,"2019/2020-Genap",IF(P2635=9,"2020/2021-Ganjil","2020/2021-Genap")))))))))</f>
        <v>2016/2017-Ganjil</v>
      </c>
      <c r="R2635" t="s">
        <v>535</v>
      </c>
      <c r="S2635" t="str">
        <f t="shared" ref="S2635:S2656" si="367">IF(OR(H2635="A",H2635="B",H2635="C"),"PA","FA")</f>
        <v>PA</v>
      </c>
    </row>
    <row r="2636" spans="1:19" x14ac:dyDescent="0.3">
      <c r="A2636" t="s">
        <v>12</v>
      </c>
      <c r="B2636" t="s">
        <v>133</v>
      </c>
      <c r="C2636" t="s">
        <v>134</v>
      </c>
      <c r="E2636" t="s">
        <v>283</v>
      </c>
      <c r="F2636" s="1" t="s">
        <v>284</v>
      </c>
      <c r="G2636">
        <v>2</v>
      </c>
      <c r="H2636" t="s">
        <v>260</v>
      </c>
      <c r="I2636" s="4">
        <f t="shared" ref="I2636:I2656" si="368">IF(H2636="A",4,IF(H2636="B",3,IF(H2636="C",2,IF(H2636="D",1,0))))</f>
        <v>4</v>
      </c>
      <c r="J2636">
        <f t="shared" ref="J2636:J2656" si="369">G2636*I2636</f>
        <v>8</v>
      </c>
      <c r="K2636">
        <v>164</v>
      </c>
      <c r="L2636">
        <v>54</v>
      </c>
      <c r="M2636" s="2">
        <v>0.33</v>
      </c>
      <c r="N2636" s="2">
        <v>2.77</v>
      </c>
      <c r="O2636">
        <v>0</v>
      </c>
      <c r="P2636">
        <v>1</v>
      </c>
      <c r="Q2636" s="4" t="str">
        <f t="shared" ref="Q2636:Q2654" si="370">IF(P2636=1,"2016/2017-Ganjil",IF(P2636=2,"2016/2017-Genap",IF(P2636=3,"2017/2018-Ganjil",IF(P2636=4,"2017/2018-Genap",IF(P2636=5,"2018/2019-Ganjil",IF(P2636=6,"2018/2019-Genap",IF(P2636=7,"2019/2020-Ganjil",IF(P2636=8,"2019/2020-Genap",IF(P2636=9,"2020/2021-Ganjil","2020/2021-Genap")))))))))</f>
        <v>2016/2017-Ganjil</v>
      </c>
      <c r="R2636" t="s">
        <v>535</v>
      </c>
      <c r="S2636" t="str">
        <f t="shared" si="367"/>
        <v>PA</v>
      </c>
    </row>
    <row r="2637" spans="1:19" x14ac:dyDescent="0.3">
      <c r="A2637" t="s">
        <v>12</v>
      </c>
      <c r="B2637" t="s">
        <v>133</v>
      </c>
      <c r="C2637" t="s">
        <v>134</v>
      </c>
      <c r="E2637" t="s">
        <v>142</v>
      </c>
      <c r="F2637" s="1" t="s">
        <v>143</v>
      </c>
      <c r="G2637">
        <v>2</v>
      </c>
      <c r="H2637" t="s">
        <v>260</v>
      </c>
      <c r="I2637" s="4">
        <f t="shared" si="368"/>
        <v>4</v>
      </c>
      <c r="J2637">
        <f t="shared" si="369"/>
        <v>8</v>
      </c>
      <c r="K2637">
        <v>164</v>
      </c>
      <c r="L2637">
        <v>54</v>
      </c>
      <c r="M2637" s="2">
        <v>0.33</v>
      </c>
      <c r="N2637" s="2">
        <v>2.77</v>
      </c>
      <c r="O2637">
        <v>0</v>
      </c>
      <c r="P2637">
        <v>1</v>
      </c>
      <c r="Q2637" s="4" t="str">
        <f t="shared" si="370"/>
        <v>2016/2017-Ganjil</v>
      </c>
      <c r="R2637" t="s">
        <v>535</v>
      </c>
      <c r="S2637" t="str">
        <f t="shared" si="367"/>
        <v>PA</v>
      </c>
    </row>
    <row r="2638" spans="1:19" x14ac:dyDescent="0.3">
      <c r="A2638" t="s">
        <v>12</v>
      </c>
      <c r="B2638" t="s">
        <v>133</v>
      </c>
      <c r="C2638" t="s">
        <v>134</v>
      </c>
      <c r="E2638" t="s">
        <v>279</v>
      </c>
      <c r="F2638" s="1" t="s">
        <v>280</v>
      </c>
      <c r="G2638">
        <v>2</v>
      </c>
      <c r="H2638" t="s">
        <v>260</v>
      </c>
      <c r="I2638" s="4">
        <f t="shared" si="368"/>
        <v>4</v>
      </c>
      <c r="J2638">
        <f t="shared" si="369"/>
        <v>8</v>
      </c>
      <c r="K2638">
        <v>164</v>
      </c>
      <c r="L2638">
        <v>54</v>
      </c>
      <c r="M2638" s="2">
        <v>0.33</v>
      </c>
      <c r="N2638" s="2">
        <v>2.77</v>
      </c>
      <c r="O2638">
        <v>0</v>
      </c>
      <c r="P2638">
        <v>1</v>
      </c>
      <c r="Q2638" s="4" t="str">
        <f t="shared" si="370"/>
        <v>2016/2017-Ganjil</v>
      </c>
      <c r="R2638" t="s">
        <v>535</v>
      </c>
      <c r="S2638" t="str">
        <f t="shared" si="367"/>
        <v>PA</v>
      </c>
    </row>
    <row r="2639" spans="1:19" x14ac:dyDescent="0.3">
      <c r="A2639" t="s">
        <v>12</v>
      </c>
      <c r="B2639" t="s">
        <v>133</v>
      </c>
      <c r="C2639" t="s">
        <v>134</v>
      </c>
      <c r="E2639" t="s">
        <v>170</v>
      </c>
      <c r="F2639" s="1" t="s">
        <v>171</v>
      </c>
      <c r="G2639">
        <v>4</v>
      </c>
      <c r="H2639" t="s">
        <v>260</v>
      </c>
      <c r="I2639" s="4">
        <f t="shared" si="368"/>
        <v>4</v>
      </c>
      <c r="J2639">
        <f t="shared" si="369"/>
        <v>16</v>
      </c>
      <c r="K2639">
        <v>164</v>
      </c>
      <c r="L2639">
        <v>54</v>
      </c>
      <c r="M2639" s="2">
        <v>0.33</v>
      </c>
      <c r="N2639" s="2">
        <v>2.77</v>
      </c>
      <c r="O2639">
        <v>0</v>
      </c>
      <c r="P2639">
        <v>1</v>
      </c>
      <c r="Q2639" s="4" t="str">
        <f t="shared" si="370"/>
        <v>2016/2017-Ganjil</v>
      </c>
      <c r="R2639" t="s">
        <v>535</v>
      </c>
      <c r="S2639" t="str">
        <f t="shared" si="367"/>
        <v>PA</v>
      </c>
    </row>
    <row r="2640" spans="1:19" x14ac:dyDescent="0.3">
      <c r="A2640" t="s">
        <v>12</v>
      </c>
      <c r="B2640" t="s">
        <v>133</v>
      </c>
      <c r="C2640" t="s">
        <v>134</v>
      </c>
      <c r="E2640" t="s">
        <v>77</v>
      </c>
      <c r="F2640" s="1" t="s">
        <v>78</v>
      </c>
      <c r="G2640">
        <v>2</v>
      </c>
      <c r="H2640" t="s">
        <v>260</v>
      </c>
      <c r="I2640" s="4">
        <f t="shared" si="368"/>
        <v>4</v>
      </c>
      <c r="J2640">
        <f t="shared" si="369"/>
        <v>8</v>
      </c>
      <c r="K2640">
        <v>164</v>
      </c>
      <c r="L2640">
        <v>54</v>
      </c>
      <c r="M2640" s="2">
        <v>0.33</v>
      </c>
      <c r="N2640" s="2">
        <v>2.77</v>
      </c>
      <c r="O2640">
        <v>0</v>
      </c>
      <c r="P2640">
        <v>1</v>
      </c>
      <c r="Q2640" s="4" t="str">
        <f t="shared" si="370"/>
        <v>2016/2017-Ganjil</v>
      </c>
      <c r="R2640" t="s">
        <v>535</v>
      </c>
      <c r="S2640" t="str">
        <f t="shared" si="367"/>
        <v>PA</v>
      </c>
    </row>
    <row r="2641" spans="1:19" x14ac:dyDescent="0.3">
      <c r="A2641" t="s">
        <v>12</v>
      </c>
      <c r="B2641" t="s">
        <v>133</v>
      </c>
      <c r="C2641" t="s">
        <v>134</v>
      </c>
      <c r="E2641" t="s">
        <v>337</v>
      </c>
      <c r="F2641" s="1" t="s">
        <v>338</v>
      </c>
      <c r="G2641">
        <v>2</v>
      </c>
      <c r="H2641" t="s">
        <v>438</v>
      </c>
      <c r="I2641" s="4">
        <f t="shared" si="368"/>
        <v>3</v>
      </c>
      <c r="J2641">
        <f t="shared" si="369"/>
        <v>6</v>
      </c>
      <c r="K2641">
        <v>164</v>
      </c>
      <c r="L2641">
        <v>54</v>
      </c>
      <c r="M2641" s="2">
        <v>0.33</v>
      </c>
      <c r="N2641" s="2">
        <v>2.77</v>
      </c>
      <c r="O2641">
        <v>0</v>
      </c>
      <c r="P2641">
        <v>1</v>
      </c>
      <c r="Q2641" s="4" t="str">
        <f t="shared" si="370"/>
        <v>2016/2017-Ganjil</v>
      </c>
      <c r="R2641" t="s">
        <v>535</v>
      </c>
      <c r="S2641" t="str">
        <f t="shared" si="367"/>
        <v>PA</v>
      </c>
    </row>
    <row r="2642" spans="1:19" x14ac:dyDescent="0.3">
      <c r="A2642" t="s">
        <v>12</v>
      </c>
      <c r="B2642" t="s">
        <v>133</v>
      </c>
      <c r="C2642" t="s">
        <v>134</v>
      </c>
      <c r="E2642" t="s">
        <v>39</v>
      </c>
      <c r="F2642" s="1" t="s">
        <v>11</v>
      </c>
      <c r="G2642">
        <v>2</v>
      </c>
      <c r="H2642" t="s">
        <v>438</v>
      </c>
      <c r="I2642" s="4">
        <f t="shared" si="368"/>
        <v>3</v>
      </c>
      <c r="J2642">
        <f t="shared" si="369"/>
        <v>6</v>
      </c>
      <c r="K2642">
        <v>164</v>
      </c>
      <c r="L2642">
        <v>54</v>
      </c>
      <c r="M2642" s="2">
        <v>0.33</v>
      </c>
      <c r="N2642" s="2">
        <v>2.77</v>
      </c>
      <c r="O2642">
        <v>0</v>
      </c>
      <c r="P2642">
        <v>1</v>
      </c>
      <c r="Q2642" s="4" t="str">
        <f t="shared" si="370"/>
        <v>2016/2017-Ganjil</v>
      </c>
      <c r="R2642" t="s">
        <v>535</v>
      </c>
      <c r="S2642" t="str">
        <f t="shared" si="367"/>
        <v>PA</v>
      </c>
    </row>
    <row r="2643" spans="1:19" x14ac:dyDescent="0.3">
      <c r="A2643" t="s">
        <v>12</v>
      </c>
      <c r="B2643" t="s">
        <v>133</v>
      </c>
      <c r="C2643" t="s">
        <v>134</v>
      </c>
      <c r="E2643" t="s">
        <v>372</v>
      </c>
      <c r="F2643" s="1" t="s">
        <v>373</v>
      </c>
      <c r="G2643">
        <v>2</v>
      </c>
      <c r="H2643" t="s">
        <v>438</v>
      </c>
      <c r="I2643" s="4">
        <f t="shared" si="368"/>
        <v>3</v>
      </c>
      <c r="J2643">
        <f t="shared" si="369"/>
        <v>6</v>
      </c>
      <c r="K2643">
        <v>164</v>
      </c>
      <c r="L2643">
        <v>54</v>
      </c>
      <c r="M2643" s="2">
        <v>0.33</v>
      </c>
      <c r="N2643" s="2">
        <v>2.77</v>
      </c>
      <c r="O2643">
        <v>0</v>
      </c>
      <c r="P2643">
        <v>1</v>
      </c>
      <c r="Q2643" s="4" t="str">
        <f t="shared" si="370"/>
        <v>2016/2017-Ganjil</v>
      </c>
      <c r="R2643" t="s">
        <v>535</v>
      </c>
      <c r="S2643" t="str">
        <f t="shared" si="367"/>
        <v>PA</v>
      </c>
    </row>
    <row r="2644" spans="1:19" x14ac:dyDescent="0.3">
      <c r="A2644" t="s">
        <v>12</v>
      </c>
      <c r="B2644" t="s">
        <v>133</v>
      </c>
      <c r="C2644" t="s">
        <v>134</v>
      </c>
      <c r="E2644" t="s">
        <v>139</v>
      </c>
      <c r="F2644" s="1" t="s">
        <v>140</v>
      </c>
      <c r="G2644">
        <v>2</v>
      </c>
      <c r="H2644" t="s">
        <v>438</v>
      </c>
      <c r="I2644" s="4">
        <f t="shared" si="368"/>
        <v>3</v>
      </c>
      <c r="J2644">
        <f t="shared" si="369"/>
        <v>6</v>
      </c>
      <c r="K2644">
        <v>164</v>
      </c>
      <c r="L2644">
        <v>54</v>
      </c>
      <c r="M2644" s="2">
        <v>0.33</v>
      </c>
      <c r="N2644" s="2">
        <v>2.77</v>
      </c>
      <c r="O2644">
        <v>0</v>
      </c>
      <c r="P2644">
        <v>1</v>
      </c>
      <c r="Q2644" s="4" t="str">
        <f t="shared" si="370"/>
        <v>2016/2017-Ganjil</v>
      </c>
      <c r="R2644" t="s">
        <v>535</v>
      </c>
      <c r="S2644" t="str">
        <f t="shared" si="367"/>
        <v>PA</v>
      </c>
    </row>
    <row r="2645" spans="1:19" x14ac:dyDescent="0.3">
      <c r="A2645" t="s">
        <v>12</v>
      </c>
      <c r="B2645" t="s">
        <v>133</v>
      </c>
      <c r="C2645" t="s">
        <v>134</v>
      </c>
      <c r="E2645" t="s">
        <v>306</v>
      </c>
      <c r="F2645" s="1" t="s">
        <v>307</v>
      </c>
      <c r="G2645">
        <v>2</v>
      </c>
      <c r="H2645" t="s">
        <v>438</v>
      </c>
      <c r="I2645" s="4">
        <f t="shared" si="368"/>
        <v>3</v>
      </c>
      <c r="J2645">
        <f t="shared" si="369"/>
        <v>6</v>
      </c>
      <c r="K2645">
        <v>164</v>
      </c>
      <c r="L2645">
        <v>54</v>
      </c>
      <c r="M2645" s="2">
        <v>0.33</v>
      </c>
      <c r="N2645" s="2">
        <v>2.77</v>
      </c>
      <c r="O2645">
        <v>0</v>
      </c>
      <c r="P2645">
        <v>1</v>
      </c>
      <c r="Q2645" s="4" t="str">
        <f t="shared" si="370"/>
        <v>2016/2017-Ganjil</v>
      </c>
      <c r="R2645" t="s">
        <v>535</v>
      </c>
      <c r="S2645" t="str">
        <f t="shared" si="367"/>
        <v>PA</v>
      </c>
    </row>
    <row r="2646" spans="1:19" x14ac:dyDescent="0.3">
      <c r="A2646" t="s">
        <v>12</v>
      </c>
      <c r="B2646" t="s">
        <v>133</v>
      </c>
      <c r="C2646" t="s">
        <v>134</v>
      </c>
      <c r="E2646" t="s">
        <v>165</v>
      </c>
      <c r="F2646" s="1" t="s">
        <v>166</v>
      </c>
      <c r="G2646">
        <v>2</v>
      </c>
      <c r="H2646" t="s">
        <v>438</v>
      </c>
      <c r="I2646" s="4">
        <f t="shared" si="368"/>
        <v>3</v>
      </c>
      <c r="J2646">
        <f t="shared" si="369"/>
        <v>6</v>
      </c>
      <c r="K2646">
        <v>164</v>
      </c>
      <c r="L2646">
        <v>54</v>
      </c>
      <c r="M2646" s="2">
        <v>0.33</v>
      </c>
      <c r="N2646" s="2">
        <v>2.77</v>
      </c>
      <c r="O2646">
        <v>0</v>
      </c>
      <c r="P2646">
        <v>1</v>
      </c>
      <c r="Q2646" s="4" t="str">
        <f t="shared" si="370"/>
        <v>2016/2017-Ganjil</v>
      </c>
      <c r="R2646" t="s">
        <v>535</v>
      </c>
      <c r="S2646" t="str">
        <f t="shared" si="367"/>
        <v>PA</v>
      </c>
    </row>
    <row r="2647" spans="1:19" x14ac:dyDescent="0.3">
      <c r="A2647" t="s">
        <v>12</v>
      </c>
      <c r="B2647" t="s">
        <v>133</v>
      </c>
      <c r="C2647" t="s">
        <v>134</v>
      </c>
      <c r="E2647" t="s">
        <v>344</v>
      </c>
      <c r="F2647" s="1" t="s">
        <v>345</v>
      </c>
      <c r="G2647">
        <v>2</v>
      </c>
      <c r="H2647" t="s">
        <v>438</v>
      </c>
      <c r="I2647" s="4">
        <f t="shared" si="368"/>
        <v>3</v>
      </c>
      <c r="J2647">
        <f t="shared" si="369"/>
        <v>6</v>
      </c>
      <c r="K2647">
        <v>164</v>
      </c>
      <c r="L2647">
        <v>54</v>
      </c>
      <c r="M2647" s="2">
        <v>0.33</v>
      </c>
      <c r="N2647" s="2">
        <v>2.77</v>
      </c>
      <c r="O2647">
        <v>0</v>
      </c>
      <c r="P2647">
        <v>1</v>
      </c>
      <c r="Q2647" s="4" t="str">
        <f t="shared" si="370"/>
        <v>2016/2017-Ganjil</v>
      </c>
      <c r="R2647" t="s">
        <v>535</v>
      </c>
      <c r="S2647" t="str">
        <f t="shared" si="367"/>
        <v>PA</v>
      </c>
    </row>
    <row r="2648" spans="1:19" x14ac:dyDescent="0.3">
      <c r="A2648" t="s">
        <v>12</v>
      </c>
      <c r="B2648" t="s">
        <v>133</v>
      </c>
      <c r="C2648" t="s">
        <v>134</v>
      </c>
      <c r="E2648" t="s">
        <v>90</v>
      </c>
      <c r="F2648" s="1" t="s">
        <v>91</v>
      </c>
      <c r="G2648">
        <v>2</v>
      </c>
      <c r="H2648" t="s">
        <v>438</v>
      </c>
      <c r="I2648" s="4">
        <f t="shared" si="368"/>
        <v>3</v>
      </c>
      <c r="J2648">
        <f t="shared" si="369"/>
        <v>6</v>
      </c>
      <c r="K2648">
        <v>164</v>
      </c>
      <c r="L2648">
        <v>54</v>
      </c>
      <c r="M2648" s="2">
        <v>0.33</v>
      </c>
      <c r="N2648" s="2">
        <v>2.77</v>
      </c>
      <c r="O2648">
        <v>0</v>
      </c>
      <c r="P2648">
        <v>1</v>
      </c>
      <c r="Q2648" s="4" t="str">
        <f t="shared" si="370"/>
        <v>2016/2017-Ganjil</v>
      </c>
      <c r="R2648" t="s">
        <v>535</v>
      </c>
      <c r="S2648" t="str">
        <f t="shared" si="367"/>
        <v>PA</v>
      </c>
    </row>
    <row r="2649" spans="1:19" x14ac:dyDescent="0.3">
      <c r="A2649" t="s">
        <v>12</v>
      </c>
      <c r="B2649" t="s">
        <v>133</v>
      </c>
      <c r="C2649" t="s">
        <v>134</v>
      </c>
      <c r="E2649" t="s">
        <v>100</v>
      </c>
      <c r="F2649" s="1" t="s">
        <v>101</v>
      </c>
      <c r="G2649">
        <v>4</v>
      </c>
      <c r="H2649" t="s">
        <v>438</v>
      </c>
      <c r="I2649" s="4">
        <f t="shared" si="368"/>
        <v>3</v>
      </c>
      <c r="J2649">
        <f t="shared" si="369"/>
        <v>12</v>
      </c>
      <c r="K2649">
        <v>164</v>
      </c>
      <c r="L2649">
        <v>54</v>
      </c>
      <c r="M2649" s="2">
        <v>0.33</v>
      </c>
      <c r="N2649" s="2">
        <v>2.77</v>
      </c>
      <c r="O2649">
        <v>0</v>
      </c>
      <c r="P2649">
        <v>1</v>
      </c>
      <c r="Q2649" s="4" t="str">
        <f t="shared" si="370"/>
        <v>2016/2017-Ganjil</v>
      </c>
      <c r="R2649" t="s">
        <v>535</v>
      </c>
      <c r="S2649" t="str">
        <f t="shared" si="367"/>
        <v>PA</v>
      </c>
    </row>
    <row r="2650" spans="1:19" x14ac:dyDescent="0.3">
      <c r="A2650" t="s">
        <v>12</v>
      </c>
      <c r="B2650" t="s">
        <v>133</v>
      </c>
      <c r="C2650" t="s">
        <v>134</v>
      </c>
      <c r="E2650" t="s">
        <v>257</v>
      </c>
      <c r="F2650" s="1" t="s">
        <v>258</v>
      </c>
      <c r="G2650">
        <v>4</v>
      </c>
      <c r="H2650" t="s">
        <v>438</v>
      </c>
      <c r="I2650" s="4">
        <f t="shared" si="368"/>
        <v>3</v>
      </c>
      <c r="J2650">
        <f t="shared" si="369"/>
        <v>12</v>
      </c>
      <c r="K2650">
        <v>164</v>
      </c>
      <c r="L2650">
        <v>54</v>
      </c>
      <c r="M2650" s="2">
        <v>0.33</v>
      </c>
      <c r="N2650" s="2">
        <v>2.77</v>
      </c>
      <c r="O2650">
        <v>0</v>
      </c>
      <c r="P2650">
        <v>1</v>
      </c>
      <c r="Q2650" s="4" t="str">
        <f t="shared" si="370"/>
        <v>2016/2017-Ganjil</v>
      </c>
      <c r="R2650" t="s">
        <v>535</v>
      </c>
      <c r="S2650" t="str">
        <f t="shared" si="367"/>
        <v>PA</v>
      </c>
    </row>
    <row r="2651" spans="1:19" x14ac:dyDescent="0.3">
      <c r="A2651" t="s">
        <v>12</v>
      </c>
      <c r="B2651" t="s">
        <v>133</v>
      </c>
      <c r="C2651" t="s">
        <v>134</v>
      </c>
      <c r="E2651" t="s">
        <v>190</v>
      </c>
      <c r="F2651" s="1" t="s">
        <v>191</v>
      </c>
      <c r="G2651">
        <v>4</v>
      </c>
      <c r="H2651" t="s">
        <v>438</v>
      </c>
      <c r="I2651" s="4">
        <f t="shared" si="368"/>
        <v>3</v>
      </c>
      <c r="J2651">
        <f t="shared" si="369"/>
        <v>12</v>
      </c>
      <c r="K2651">
        <v>164</v>
      </c>
      <c r="L2651">
        <v>54</v>
      </c>
      <c r="M2651" s="2">
        <v>0.33</v>
      </c>
      <c r="N2651" s="2">
        <v>2.77</v>
      </c>
      <c r="O2651">
        <v>0</v>
      </c>
      <c r="P2651">
        <v>1</v>
      </c>
      <c r="Q2651" s="4" t="str">
        <f t="shared" si="370"/>
        <v>2016/2017-Ganjil</v>
      </c>
      <c r="R2651" t="s">
        <v>535</v>
      </c>
      <c r="S2651" t="str">
        <f t="shared" si="367"/>
        <v>PA</v>
      </c>
    </row>
    <row r="2652" spans="1:19" x14ac:dyDescent="0.3">
      <c r="A2652" t="s">
        <v>12</v>
      </c>
      <c r="B2652" t="s">
        <v>133</v>
      </c>
      <c r="C2652" t="s">
        <v>134</v>
      </c>
      <c r="E2652" t="s">
        <v>276</v>
      </c>
      <c r="F2652" s="1" t="s">
        <v>137</v>
      </c>
      <c r="G2652">
        <v>4</v>
      </c>
      <c r="H2652" t="s">
        <v>524</v>
      </c>
      <c r="I2652" s="4">
        <f t="shared" si="368"/>
        <v>2</v>
      </c>
      <c r="J2652">
        <f t="shared" si="369"/>
        <v>8</v>
      </c>
      <c r="K2652">
        <v>164</v>
      </c>
      <c r="L2652">
        <v>54</v>
      </c>
      <c r="M2652" s="2">
        <v>0.33</v>
      </c>
      <c r="N2652" s="2">
        <v>2.77</v>
      </c>
      <c r="O2652">
        <v>0</v>
      </c>
      <c r="P2652">
        <v>1</v>
      </c>
      <c r="Q2652" s="4" t="str">
        <f t="shared" si="370"/>
        <v>2016/2017-Ganjil</v>
      </c>
      <c r="R2652" t="s">
        <v>535</v>
      </c>
      <c r="S2652" t="str">
        <f t="shared" si="367"/>
        <v>PA</v>
      </c>
    </row>
    <row r="2653" spans="1:19" x14ac:dyDescent="0.3">
      <c r="A2653" t="s">
        <v>12</v>
      </c>
      <c r="B2653" t="s">
        <v>133</v>
      </c>
      <c r="C2653" t="s">
        <v>134</v>
      </c>
      <c r="E2653" t="s">
        <v>211</v>
      </c>
      <c r="F2653" s="1" t="s">
        <v>186</v>
      </c>
      <c r="G2653">
        <v>4</v>
      </c>
      <c r="H2653" t="s">
        <v>524</v>
      </c>
      <c r="I2653" s="4">
        <f t="shared" si="368"/>
        <v>2</v>
      </c>
      <c r="J2653">
        <f t="shared" si="369"/>
        <v>8</v>
      </c>
      <c r="K2653">
        <v>164</v>
      </c>
      <c r="L2653">
        <v>54</v>
      </c>
      <c r="M2653" s="2">
        <v>0.33</v>
      </c>
      <c r="N2653" s="2">
        <v>2.77</v>
      </c>
      <c r="O2653">
        <v>0</v>
      </c>
      <c r="P2653">
        <v>1</v>
      </c>
      <c r="Q2653" s="4" t="str">
        <f t="shared" si="370"/>
        <v>2016/2017-Ganjil</v>
      </c>
      <c r="R2653" t="s">
        <v>535</v>
      </c>
      <c r="S2653" t="str">
        <f t="shared" si="367"/>
        <v>PA</v>
      </c>
    </row>
    <row r="2654" spans="1:19" x14ac:dyDescent="0.3">
      <c r="A2654" t="s">
        <v>12</v>
      </c>
      <c r="B2654" t="s">
        <v>133</v>
      </c>
      <c r="C2654" t="s">
        <v>134</v>
      </c>
      <c r="E2654" t="s">
        <v>234</v>
      </c>
      <c r="F2654" s="1" t="s">
        <v>235</v>
      </c>
      <c r="G2654">
        <v>4</v>
      </c>
      <c r="H2654" t="s">
        <v>524</v>
      </c>
      <c r="I2654" s="4">
        <f t="shared" si="368"/>
        <v>2</v>
      </c>
      <c r="J2654">
        <f t="shared" si="369"/>
        <v>8</v>
      </c>
      <c r="K2654">
        <v>164</v>
      </c>
      <c r="L2654">
        <v>54</v>
      </c>
      <c r="M2654" s="2">
        <v>0.33</v>
      </c>
      <c r="N2654" s="2">
        <v>2.77</v>
      </c>
      <c r="O2654">
        <v>0</v>
      </c>
      <c r="P2654">
        <v>1</v>
      </c>
      <c r="Q2654" s="4" t="str">
        <f t="shared" si="370"/>
        <v>2016/2017-Ganjil</v>
      </c>
      <c r="R2654" t="s">
        <v>535</v>
      </c>
      <c r="S2654" t="str">
        <f t="shared" si="367"/>
        <v>PA</v>
      </c>
    </row>
    <row r="2655" spans="1:19" x14ac:dyDescent="0.3">
      <c r="A2655" t="s">
        <v>12</v>
      </c>
      <c r="B2655" t="s">
        <v>133</v>
      </c>
      <c r="C2655" t="s">
        <v>134</v>
      </c>
      <c r="E2655" t="s">
        <v>370</v>
      </c>
      <c r="F2655" t="s">
        <v>371</v>
      </c>
      <c r="G2655">
        <v>2</v>
      </c>
      <c r="H2655" t="s">
        <v>535</v>
      </c>
      <c r="I2655" s="4">
        <f t="shared" si="368"/>
        <v>1</v>
      </c>
      <c r="J2655">
        <f t="shared" si="369"/>
        <v>2</v>
      </c>
      <c r="K2655">
        <v>2</v>
      </c>
      <c r="L2655">
        <v>0</v>
      </c>
      <c r="M2655" s="2">
        <v>0.33</v>
      </c>
      <c r="N2655" s="2">
        <v>2.77</v>
      </c>
      <c r="O2655">
        <v>0</v>
      </c>
      <c r="P2655">
        <v>1</v>
      </c>
      <c r="Q2655" s="4" t="str">
        <f t="shared" ref="Q2655:Q2660" si="371">IF(P2655=1,"2016/2017-Ganjil",IF(P2655=2,"2016/2017-Genap",IF(P2655=3,"2017/2018-Ganjil",IF(P2655=4,"2017/2018-Genap",IF(P2655=5,"2018/2019-Ganjil",IF(P2655=6,"2018/2019-Genap",IF(P2655=7,"2019/2020-Ganjil",IF(P2655=8,"2019/2020-Genap",IF(P2655=9,"2020/2021-Ganjil","2020/2021-Genap")))))))))</f>
        <v>2016/2017-Ganjil</v>
      </c>
      <c r="R2655" t="s">
        <v>535</v>
      </c>
      <c r="S2655" t="str">
        <f t="shared" si="367"/>
        <v>FA</v>
      </c>
    </row>
    <row r="2656" spans="1:19" x14ac:dyDescent="0.3">
      <c r="A2656" t="s">
        <v>12</v>
      </c>
      <c r="B2656" t="s">
        <v>133</v>
      </c>
      <c r="C2656" t="s">
        <v>134</v>
      </c>
      <c r="E2656" t="s">
        <v>437</v>
      </c>
      <c r="F2656" t="s">
        <v>169</v>
      </c>
      <c r="G2656">
        <v>4</v>
      </c>
      <c r="H2656" t="s">
        <v>539</v>
      </c>
      <c r="I2656" s="4">
        <f t="shared" si="368"/>
        <v>0</v>
      </c>
      <c r="J2656">
        <f t="shared" si="369"/>
        <v>0</v>
      </c>
      <c r="K2656">
        <v>2</v>
      </c>
      <c r="L2656">
        <v>0</v>
      </c>
      <c r="M2656" s="2">
        <v>0.33</v>
      </c>
      <c r="N2656" s="2">
        <v>2.77</v>
      </c>
      <c r="O2656">
        <v>0</v>
      </c>
      <c r="P2656">
        <v>1</v>
      </c>
      <c r="Q2656" s="4" t="str">
        <f t="shared" si="371"/>
        <v>2016/2017-Ganjil</v>
      </c>
      <c r="R2656" t="s">
        <v>535</v>
      </c>
      <c r="S2656" t="str">
        <f t="shared" si="367"/>
        <v>FA</v>
      </c>
    </row>
    <row r="2657" spans="1:19" x14ac:dyDescent="0.3">
      <c r="A2657" t="s">
        <v>12</v>
      </c>
      <c r="B2657" t="s">
        <v>95</v>
      </c>
      <c r="C2657" t="s">
        <v>96</v>
      </c>
      <c r="E2657" t="s">
        <v>97</v>
      </c>
      <c r="F2657" t="s">
        <v>98</v>
      </c>
      <c r="G2657">
        <v>4</v>
      </c>
      <c r="I2657" s="4"/>
      <c r="J2657">
        <f t="shared" ref="J2657:J2660" si="372">G2657*I2657</f>
        <v>0</v>
      </c>
      <c r="K2657">
        <v>0</v>
      </c>
      <c r="L2657">
        <v>4</v>
      </c>
      <c r="M2657" s="2">
        <v>0</v>
      </c>
      <c r="N2657" s="2">
        <v>2.88</v>
      </c>
      <c r="O2657">
        <v>0</v>
      </c>
      <c r="P2657">
        <v>2</v>
      </c>
      <c r="Q2657" s="4" t="str">
        <f t="shared" si="371"/>
        <v>2016/2017-Genap</v>
      </c>
      <c r="R2657" t="s">
        <v>535</v>
      </c>
      <c r="S2657" t="s">
        <v>595</v>
      </c>
    </row>
    <row r="2658" spans="1:19" x14ac:dyDescent="0.3">
      <c r="A2658" t="s">
        <v>12</v>
      </c>
      <c r="B2658" t="s">
        <v>95</v>
      </c>
      <c r="C2658" t="s">
        <v>96</v>
      </c>
      <c r="E2658" t="s">
        <v>103</v>
      </c>
      <c r="F2658" t="s">
        <v>104</v>
      </c>
      <c r="G2658">
        <v>4</v>
      </c>
      <c r="I2658" s="4"/>
      <c r="J2658">
        <f t="shared" si="372"/>
        <v>0</v>
      </c>
      <c r="K2658">
        <v>0</v>
      </c>
      <c r="L2658">
        <v>4</v>
      </c>
      <c r="M2658" s="2">
        <v>0</v>
      </c>
      <c r="N2658" s="2">
        <v>2.88</v>
      </c>
      <c r="O2658">
        <v>0</v>
      </c>
      <c r="P2658">
        <v>2</v>
      </c>
      <c r="Q2658" s="4" t="str">
        <f t="shared" si="371"/>
        <v>2016/2017-Genap</v>
      </c>
      <c r="R2658" t="s">
        <v>535</v>
      </c>
      <c r="S2658" t="s">
        <v>595</v>
      </c>
    </row>
    <row r="2659" spans="1:19" x14ac:dyDescent="0.3">
      <c r="A2659" t="s">
        <v>12</v>
      </c>
      <c r="B2659" t="s">
        <v>95</v>
      </c>
      <c r="C2659" t="s">
        <v>96</v>
      </c>
      <c r="E2659" t="s">
        <v>100</v>
      </c>
      <c r="F2659" t="s">
        <v>101</v>
      </c>
      <c r="G2659">
        <v>4</v>
      </c>
      <c r="I2659" s="4"/>
      <c r="J2659">
        <f t="shared" si="372"/>
        <v>0</v>
      </c>
      <c r="K2659">
        <v>0</v>
      </c>
      <c r="L2659">
        <v>4</v>
      </c>
      <c r="M2659" s="2">
        <v>0</v>
      </c>
      <c r="N2659" s="2">
        <v>2.88</v>
      </c>
      <c r="O2659">
        <v>0</v>
      </c>
      <c r="P2659">
        <v>2</v>
      </c>
      <c r="Q2659" s="4" t="str">
        <f t="shared" si="371"/>
        <v>2016/2017-Genap</v>
      </c>
      <c r="R2659" t="s">
        <v>535</v>
      </c>
      <c r="S2659" t="s">
        <v>595</v>
      </c>
    </row>
    <row r="2660" spans="1:19" x14ac:dyDescent="0.3">
      <c r="A2660" t="s">
        <v>12</v>
      </c>
      <c r="B2660" t="s">
        <v>95</v>
      </c>
      <c r="C2660" t="s">
        <v>96</v>
      </c>
      <c r="E2660" t="s">
        <v>236</v>
      </c>
      <c r="F2660" t="s">
        <v>237</v>
      </c>
      <c r="G2660">
        <v>2</v>
      </c>
      <c r="I2660" s="4"/>
      <c r="J2660">
        <f t="shared" si="372"/>
        <v>0</v>
      </c>
      <c r="K2660">
        <v>44</v>
      </c>
      <c r="L2660">
        <v>18</v>
      </c>
      <c r="M2660" s="2">
        <v>2.44</v>
      </c>
      <c r="N2660" s="2">
        <v>2.88</v>
      </c>
      <c r="O2660">
        <v>0</v>
      </c>
      <c r="P2660">
        <v>1</v>
      </c>
      <c r="Q2660" s="4" t="str">
        <f t="shared" si="371"/>
        <v>2016/2017-Ganjil</v>
      </c>
      <c r="R2660" t="s">
        <v>260</v>
      </c>
      <c r="S2660" t="s">
        <v>595</v>
      </c>
    </row>
    <row r="2661" spans="1:19" x14ac:dyDescent="0.3">
      <c r="A2661" t="s">
        <v>12</v>
      </c>
      <c r="B2661" t="s">
        <v>95</v>
      </c>
      <c r="C2661" t="s">
        <v>96</v>
      </c>
      <c r="E2661" t="s">
        <v>276</v>
      </c>
      <c r="F2661" s="1" t="s">
        <v>137</v>
      </c>
      <c r="G2661">
        <v>4</v>
      </c>
      <c r="H2661" t="s">
        <v>260</v>
      </c>
      <c r="I2661" s="4">
        <f>IF(H2661="A",4,IF(H2661="B",3,IF(H2661="C",2,IF(H2661="D",1,0))))</f>
        <v>4</v>
      </c>
      <c r="J2661">
        <f>G2661*I2661</f>
        <v>16</v>
      </c>
      <c r="K2661">
        <v>192</v>
      </c>
      <c r="L2661">
        <v>60</v>
      </c>
      <c r="M2661" s="2">
        <v>2.44</v>
      </c>
      <c r="N2661" s="2">
        <v>2.88</v>
      </c>
      <c r="O2661">
        <v>0</v>
      </c>
      <c r="P2661">
        <v>1</v>
      </c>
      <c r="Q2661" s="4" t="str">
        <f t="shared" ref="Q2661" si="373">IF(P2661=1,"2016/2017-Ganjil",IF(P2661=2,"2016/2017-Genap",IF(P2661=3,"2017/2018-Ganjil",IF(P2661=4,"2017/2018-Genap",IF(P2661=5,"2018/2019-Ganjil",IF(P2661=6,"2018/2019-Genap",IF(P2661=7,"2019/2020-Ganjil",IF(P2661=8,"2019/2020-Genap",IF(P2661=9,"2020/2021-Ganjil","2020/2021-Genap")))))))))</f>
        <v>2016/2017-Ganjil</v>
      </c>
      <c r="R2661" t="s">
        <v>260</v>
      </c>
      <c r="S2661" t="str">
        <f t="shared" ref="S2661:S2689" si="374">IF(OR(H2661="A",H2661="B",H2661="C"),"PA","FA")</f>
        <v>PA</v>
      </c>
    </row>
    <row r="2662" spans="1:19" x14ac:dyDescent="0.3">
      <c r="A2662" t="s">
        <v>12</v>
      </c>
      <c r="B2662" t="s">
        <v>95</v>
      </c>
      <c r="C2662" t="s">
        <v>96</v>
      </c>
      <c r="E2662" t="s">
        <v>257</v>
      </c>
      <c r="F2662" s="1" t="s">
        <v>258</v>
      </c>
      <c r="G2662">
        <v>4</v>
      </c>
      <c r="H2662" t="s">
        <v>260</v>
      </c>
      <c r="I2662" s="4">
        <f t="shared" ref="I2662:I2689" si="375">IF(H2662="A",4,IF(H2662="B",3,IF(H2662="C",2,IF(H2662="D",1,0))))</f>
        <v>4</v>
      </c>
      <c r="J2662">
        <f t="shared" ref="J2662:J2689" si="376">G2662*I2662</f>
        <v>16</v>
      </c>
      <c r="K2662">
        <v>192</v>
      </c>
      <c r="L2662">
        <v>60</v>
      </c>
      <c r="M2662" s="2">
        <v>2.44</v>
      </c>
      <c r="N2662" s="2">
        <v>2.88</v>
      </c>
      <c r="O2662">
        <v>0</v>
      </c>
      <c r="P2662">
        <v>1</v>
      </c>
      <c r="Q2662" s="4" t="str">
        <f t="shared" ref="Q2662:Q2663" si="377">IF(P2662=1,"2016/2017-Ganjil",IF(P2662=2,"2016/2017-Genap",IF(P2662=3,"2017/2018-Ganjil",IF(P2662=4,"2017/2018-Genap",IF(P2662=5,"2018/2019-Ganjil",IF(P2662=6,"2018/2019-Genap",IF(P2662=7,"2019/2020-Ganjil",IF(P2662=8,"2019/2020-Genap",IF(P2662=9,"2020/2021-Ganjil","2020/2021-Genap")))))))))</f>
        <v>2016/2017-Ganjil</v>
      </c>
      <c r="R2662" t="s">
        <v>260</v>
      </c>
      <c r="S2662" t="str">
        <f t="shared" si="374"/>
        <v>PA</v>
      </c>
    </row>
    <row r="2663" spans="1:19" x14ac:dyDescent="0.3">
      <c r="A2663" t="s">
        <v>12</v>
      </c>
      <c r="B2663" t="s">
        <v>95</v>
      </c>
      <c r="C2663" t="s">
        <v>96</v>
      </c>
      <c r="E2663" t="s">
        <v>77</v>
      </c>
      <c r="F2663" s="1" t="s">
        <v>78</v>
      </c>
      <c r="G2663">
        <v>2</v>
      </c>
      <c r="H2663" t="s">
        <v>260</v>
      </c>
      <c r="I2663" s="4">
        <f t="shared" si="375"/>
        <v>4</v>
      </c>
      <c r="J2663">
        <f t="shared" si="376"/>
        <v>8</v>
      </c>
      <c r="K2663">
        <v>192</v>
      </c>
      <c r="L2663">
        <v>60</v>
      </c>
      <c r="M2663" s="2">
        <v>2.44</v>
      </c>
      <c r="N2663" s="2">
        <v>2.88</v>
      </c>
      <c r="O2663">
        <v>0</v>
      </c>
      <c r="P2663">
        <v>1</v>
      </c>
      <c r="Q2663" s="4" t="str">
        <f t="shared" si="377"/>
        <v>2016/2017-Ganjil</v>
      </c>
      <c r="R2663" t="s">
        <v>260</v>
      </c>
      <c r="S2663" t="str">
        <f t="shared" si="374"/>
        <v>PA</v>
      </c>
    </row>
    <row r="2664" spans="1:19" x14ac:dyDescent="0.3">
      <c r="A2664" t="s">
        <v>12</v>
      </c>
      <c r="B2664" t="s">
        <v>95</v>
      </c>
      <c r="C2664" t="s">
        <v>96</v>
      </c>
      <c r="E2664" t="s">
        <v>283</v>
      </c>
      <c r="F2664" t="s">
        <v>284</v>
      </c>
      <c r="G2664">
        <v>2</v>
      </c>
      <c r="H2664" t="s">
        <v>260</v>
      </c>
      <c r="I2664" s="4">
        <f t="shared" si="375"/>
        <v>4</v>
      </c>
      <c r="J2664">
        <f t="shared" si="376"/>
        <v>8</v>
      </c>
      <c r="K2664">
        <v>44</v>
      </c>
      <c r="L2664">
        <v>18</v>
      </c>
      <c r="M2664" s="2">
        <v>2.44</v>
      </c>
      <c r="N2664" s="2">
        <v>2.88</v>
      </c>
      <c r="O2664">
        <v>0</v>
      </c>
      <c r="P2664">
        <v>1</v>
      </c>
      <c r="Q2664" s="4" t="str">
        <f>IF(P2664=1,"2016/2017-Ganjil",IF(P2664=2,"2016/2017-Genap",IF(P2664=3,"2017/2018-Ganjil",IF(P2664=4,"2017/2018-Genap",IF(P2664=5,"2018/2019-Ganjil",IF(P2664=6,"2018/2019-Genap",IF(P2664=7,"2019/2020-Ganjil",IF(P2664=8,"2019/2020-Genap",IF(P2664=9,"2020/2021-Ganjil","2020/2021-Genap")))))))))</f>
        <v>2016/2017-Ganjil</v>
      </c>
      <c r="R2664" t="s">
        <v>260</v>
      </c>
      <c r="S2664" t="str">
        <f t="shared" si="374"/>
        <v>PA</v>
      </c>
    </row>
    <row r="2665" spans="1:19" x14ac:dyDescent="0.3">
      <c r="A2665" t="s">
        <v>12</v>
      </c>
      <c r="B2665" t="s">
        <v>95</v>
      </c>
      <c r="C2665" t="s">
        <v>96</v>
      </c>
      <c r="E2665" t="s">
        <v>211</v>
      </c>
      <c r="F2665" s="1" t="s">
        <v>186</v>
      </c>
      <c r="G2665">
        <v>4</v>
      </c>
      <c r="H2665" t="s">
        <v>260</v>
      </c>
      <c r="I2665" s="4">
        <f t="shared" si="375"/>
        <v>4</v>
      </c>
      <c r="J2665">
        <f t="shared" si="376"/>
        <v>16</v>
      </c>
      <c r="K2665">
        <v>192</v>
      </c>
      <c r="L2665">
        <v>60</v>
      </c>
      <c r="M2665" s="2">
        <v>2.44</v>
      </c>
      <c r="N2665" s="2">
        <v>2.88</v>
      </c>
      <c r="O2665">
        <v>0</v>
      </c>
      <c r="P2665">
        <v>1</v>
      </c>
      <c r="Q2665" s="4" t="str">
        <f t="shared" ref="Q2665:Q2670" si="378">IF(P2665=1,"2016/2017-Ganjil",IF(P2665=2,"2016/2017-Genap",IF(P2665=3,"2017/2018-Ganjil",IF(P2665=4,"2017/2018-Genap",IF(P2665=5,"2018/2019-Ganjil",IF(P2665=6,"2018/2019-Genap",IF(P2665=7,"2019/2020-Ganjil",IF(P2665=8,"2019/2020-Genap",IF(P2665=9,"2020/2021-Ganjil","2020/2021-Genap")))))))))</f>
        <v>2016/2017-Ganjil</v>
      </c>
      <c r="R2665" t="s">
        <v>260</v>
      </c>
      <c r="S2665" t="str">
        <f t="shared" si="374"/>
        <v>PA</v>
      </c>
    </row>
    <row r="2666" spans="1:19" x14ac:dyDescent="0.3">
      <c r="A2666" t="s">
        <v>12</v>
      </c>
      <c r="B2666" t="s">
        <v>95</v>
      </c>
      <c r="C2666" t="s">
        <v>96</v>
      </c>
      <c r="E2666" t="s">
        <v>39</v>
      </c>
      <c r="F2666" s="1" t="s">
        <v>11</v>
      </c>
      <c r="G2666">
        <v>2</v>
      </c>
      <c r="H2666" t="s">
        <v>260</v>
      </c>
      <c r="I2666" s="4">
        <f t="shared" si="375"/>
        <v>4</v>
      </c>
      <c r="J2666">
        <f t="shared" si="376"/>
        <v>8</v>
      </c>
      <c r="K2666">
        <v>192</v>
      </c>
      <c r="L2666">
        <v>60</v>
      </c>
      <c r="M2666" s="2">
        <v>2.44</v>
      </c>
      <c r="N2666" s="2">
        <v>2.88</v>
      </c>
      <c r="O2666">
        <v>0</v>
      </c>
      <c r="P2666">
        <v>1</v>
      </c>
      <c r="Q2666" s="4" t="str">
        <f t="shared" si="378"/>
        <v>2016/2017-Ganjil</v>
      </c>
      <c r="R2666" t="s">
        <v>260</v>
      </c>
      <c r="S2666" t="str">
        <f t="shared" si="374"/>
        <v>PA</v>
      </c>
    </row>
    <row r="2667" spans="1:19" x14ac:dyDescent="0.3">
      <c r="A2667" t="s">
        <v>12</v>
      </c>
      <c r="B2667" t="s">
        <v>95</v>
      </c>
      <c r="C2667" t="s">
        <v>96</v>
      </c>
      <c r="E2667" t="s">
        <v>190</v>
      </c>
      <c r="F2667" s="1" t="s">
        <v>191</v>
      </c>
      <c r="G2667">
        <v>4</v>
      </c>
      <c r="H2667" t="s">
        <v>260</v>
      </c>
      <c r="I2667" s="4">
        <f t="shared" si="375"/>
        <v>4</v>
      </c>
      <c r="J2667">
        <f t="shared" si="376"/>
        <v>16</v>
      </c>
      <c r="K2667">
        <v>192</v>
      </c>
      <c r="L2667">
        <v>60</v>
      </c>
      <c r="M2667" s="2">
        <v>2.44</v>
      </c>
      <c r="N2667" s="2">
        <v>2.88</v>
      </c>
      <c r="O2667">
        <v>0</v>
      </c>
      <c r="P2667">
        <v>1</v>
      </c>
      <c r="Q2667" s="4" t="str">
        <f t="shared" si="378"/>
        <v>2016/2017-Ganjil</v>
      </c>
      <c r="R2667" t="s">
        <v>260</v>
      </c>
      <c r="S2667" t="str">
        <f t="shared" si="374"/>
        <v>PA</v>
      </c>
    </row>
    <row r="2668" spans="1:19" x14ac:dyDescent="0.3">
      <c r="A2668" t="s">
        <v>12</v>
      </c>
      <c r="B2668" t="s">
        <v>95</v>
      </c>
      <c r="C2668" t="s">
        <v>96</v>
      </c>
      <c r="E2668" t="s">
        <v>344</v>
      </c>
      <c r="F2668" s="1" t="s">
        <v>345</v>
      </c>
      <c r="G2668">
        <v>2</v>
      </c>
      <c r="H2668" t="s">
        <v>260</v>
      </c>
      <c r="I2668" s="4">
        <f t="shared" si="375"/>
        <v>4</v>
      </c>
      <c r="J2668">
        <f t="shared" si="376"/>
        <v>8</v>
      </c>
      <c r="K2668">
        <v>192</v>
      </c>
      <c r="L2668">
        <v>60</v>
      </c>
      <c r="M2668" s="2">
        <v>2.44</v>
      </c>
      <c r="N2668" s="2">
        <v>2.88</v>
      </c>
      <c r="O2668">
        <v>0</v>
      </c>
      <c r="P2668">
        <v>1</v>
      </c>
      <c r="Q2668" s="4" t="str">
        <f t="shared" si="378"/>
        <v>2016/2017-Ganjil</v>
      </c>
      <c r="R2668" t="s">
        <v>260</v>
      </c>
      <c r="S2668" t="str">
        <f t="shared" si="374"/>
        <v>PA</v>
      </c>
    </row>
    <row r="2669" spans="1:19" x14ac:dyDescent="0.3">
      <c r="A2669" t="s">
        <v>12</v>
      </c>
      <c r="B2669" t="s">
        <v>95</v>
      </c>
      <c r="C2669" t="s">
        <v>96</v>
      </c>
      <c r="E2669" t="s">
        <v>122</v>
      </c>
      <c r="F2669" s="1" t="s">
        <v>123</v>
      </c>
      <c r="G2669">
        <v>4</v>
      </c>
      <c r="H2669" t="s">
        <v>438</v>
      </c>
      <c r="I2669" s="4">
        <f t="shared" si="375"/>
        <v>3</v>
      </c>
      <c r="J2669">
        <f t="shared" si="376"/>
        <v>12</v>
      </c>
      <c r="K2669">
        <v>192</v>
      </c>
      <c r="L2669">
        <v>60</v>
      </c>
      <c r="M2669" s="2">
        <v>2.44</v>
      </c>
      <c r="N2669" s="2">
        <v>2.88</v>
      </c>
      <c r="O2669">
        <v>0</v>
      </c>
      <c r="P2669">
        <v>1</v>
      </c>
      <c r="Q2669" s="4" t="str">
        <f t="shared" si="378"/>
        <v>2016/2017-Ganjil</v>
      </c>
      <c r="R2669" t="s">
        <v>260</v>
      </c>
      <c r="S2669" t="str">
        <f t="shared" si="374"/>
        <v>PA</v>
      </c>
    </row>
    <row r="2670" spans="1:19" x14ac:dyDescent="0.3">
      <c r="A2670" t="s">
        <v>12</v>
      </c>
      <c r="B2670" t="s">
        <v>95</v>
      </c>
      <c r="C2670" t="s">
        <v>96</v>
      </c>
      <c r="E2670" t="s">
        <v>234</v>
      </c>
      <c r="F2670" s="1" t="s">
        <v>235</v>
      </c>
      <c r="G2670">
        <v>4</v>
      </c>
      <c r="H2670" t="s">
        <v>438</v>
      </c>
      <c r="I2670" s="4">
        <f t="shared" si="375"/>
        <v>3</v>
      </c>
      <c r="J2670">
        <f t="shared" si="376"/>
        <v>12</v>
      </c>
      <c r="K2670">
        <v>192</v>
      </c>
      <c r="L2670">
        <v>60</v>
      </c>
      <c r="M2670" s="2">
        <v>2.44</v>
      </c>
      <c r="N2670" s="2">
        <v>2.88</v>
      </c>
      <c r="O2670">
        <v>0</v>
      </c>
      <c r="P2670">
        <v>1</v>
      </c>
      <c r="Q2670" s="4" t="str">
        <f t="shared" si="378"/>
        <v>2016/2017-Ganjil</v>
      </c>
      <c r="R2670" t="s">
        <v>260</v>
      </c>
      <c r="S2670" t="str">
        <f t="shared" si="374"/>
        <v>PA</v>
      </c>
    </row>
    <row r="2671" spans="1:19" x14ac:dyDescent="0.3">
      <c r="A2671" t="s">
        <v>12</v>
      </c>
      <c r="B2671" t="s">
        <v>95</v>
      </c>
      <c r="C2671" t="s">
        <v>96</v>
      </c>
      <c r="E2671" t="s">
        <v>151</v>
      </c>
      <c r="F2671" t="s">
        <v>152</v>
      </c>
      <c r="G2671">
        <v>2</v>
      </c>
      <c r="H2671" t="s">
        <v>438</v>
      </c>
      <c r="I2671" s="4">
        <f t="shared" si="375"/>
        <v>3</v>
      </c>
      <c r="J2671">
        <f t="shared" si="376"/>
        <v>6</v>
      </c>
      <c r="K2671">
        <v>44</v>
      </c>
      <c r="L2671">
        <v>18</v>
      </c>
      <c r="M2671" s="2">
        <v>2.44</v>
      </c>
      <c r="N2671" s="2">
        <v>2.88</v>
      </c>
      <c r="O2671">
        <v>0</v>
      </c>
      <c r="P2671">
        <v>1</v>
      </c>
      <c r="Q2671" s="4" t="str">
        <f>IF(P2671=1,"2016/2017-Ganjil",IF(P2671=2,"2016/2017-Genap",IF(P2671=3,"2017/2018-Ganjil",IF(P2671=4,"2017/2018-Genap",IF(P2671=5,"2018/2019-Ganjil",IF(P2671=6,"2018/2019-Genap",IF(P2671=7,"2019/2020-Ganjil",IF(P2671=8,"2019/2020-Genap",IF(P2671=9,"2020/2021-Ganjil","2020/2021-Genap")))))))))</f>
        <v>2016/2017-Ganjil</v>
      </c>
      <c r="R2671" t="s">
        <v>260</v>
      </c>
      <c r="S2671" t="str">
        <f t="shared" si="374"/>
        <v>PA</v>
      </c>
    </row>
    <row r="2672" spans="1:19" x14ac:dyDescent="0.3">
      <c r="A2672" t="s">
        <v>12</v>
      </c>
      <c r="B2672" t="s">
        <v>95</v>
      </c>
      <c r="C2672" t="s">
        <v>96</v>
      </c>
      <c r="E2672" t="s">
        <v>170</v>
      </c>
      <c r="F2672" s="1" t="s">
        <v>171</v>
      </c>
      <c r="G2672">
        <v>4</v>
      </c>
      <c r="H2672" t="s">
        <v>438</v>
      </c>
      <c r="I2672" s="4">
        <f t="shared" si="375"/>
        <v>3</v>
      </c>
      <c r="J2672">
        <f t="shared" si="376"/>
        <v>12</v>
      </c>
      <c r="K2672">
        <v>192</v>
      </c>
      <c r="L2672">
        <v>60</v>
      </c>
      <c r="M2672" s="2">
        <v>2.44</v>
      </c>
      <c r="N2672" s="2">
        <v>2.88</v>
      </c>
      <c r="O2672">
        <v>0</v>
      </c>
      <c r="P2672">
        <v>1</v>
      </c>
      <c r="Q2672" s="4" t="str">
        <f t="shared" ref="Q2672:Q2673" si="379">IF(P2672=1,"2016/2017-Ganjil",IF(P2672=2,"2016/2017-Genap",IF(P2672=3,"2017/2018-Ganjil",IF(P2672=4,"2017/2018-Genap",IF(P2672=5,"2018/2019-Ganjil",IF(P2672=6,"2018/2019-Genap",IF(P2672=7,"2019/2020-Ganjil",IF(P2672=8,"2019/2020-Genap",IF(P2672=9,"2020/2021-Ganjil","2020/2021-Genap")))))))))</f>
        <v>2016/2017-Ganjil</v>
      </c>
      <c r="R2672" t="s">
        <v>260</v>
      </c>
      <c r="S2672" t="str">
        <f t="shared" si="374"/>
        <v>PA</v>
      </c>
    </row>
    <row r="2673" spans="1:19" x14ac:dyDescent="0.3">
      <c r="A2673" t="s">
        <v>12</v>
      </c>
      <c r="B2673" t="s">
        <v>95</v>
      </c>
      <c r="C2673" t="s">
        <v>96</v>
      </c>
      <c r="E2673" t="s">
        <v>165</v>
      </c>
      <c r="F2673" s="1" t="s">
        <v>166</v>
      </c>
      <c r="G2673">
        <v>2</v>
      </c>
      <c r="H2673" t="s">
        <v>438</v>
      </c>
      <c r="I2673" s="4">
        <f t="shared" si="375"/>
        <v>3</v>
      </c>
      <c r="J2673">
        <f t="shared" si="376"/>
        <v>6</v>
      </c>
      <c r="K2673">
        <v>192</v>
      </c>
      <c r="L2673">
        <v>60</v>
      </c>
      <c r="M2673" s="2">
        <v>2.44</v>
      </c>
      <c r="N2673" s="2">
        <v>2.88</v>
      </c>
      <c r="O2673">
        <v>0</v>
      </c>
      <c r="P2673">
        <v>1</v>
      </c>
      <c r="Q2673" s="4" t="str">
        <f t="shared" si="379"/>
        <v>2016/2017-Ganjil</v>
      </c>
      <c r="R2673" t="s">
        <v>260</v>
      </c>
      <c r="S2673" t="str">
        <f t="shared" si="374"/>
        <v>PA</v>
      </c>
    </row>
    <row r="2674" spans="1:19" x14ac:dyDescent="0.3">
      <c r="A2674" t="s">
        <v>12</v>
      </c>
      <c r="B2674" t="s">
        <v>95</v>
      </c>
      <c r="C2674" t="s">
        <v>96</v>
      </c>
      <c r="E2674" t="s">
        <v>382</v>
      </c>
      <c r="F2674" t="s">
        <v>383</v>
      </c>
      <c r="G2674">
        <v>4</v>
      </c>
      <c r="H2674" t="s">
        <v>438</v>
      </c>
      <c r="I2674" s="4">
        <f t="shared" si="375"/>
        <v>3</v>
      </c>
      <c r="J2674">
        <f t="shared" si="376"/>
        <v>12</v>
      </c>
      <c r="K2674">
        <v>44</v>
      </c>
      <c r="L2674">
        <v>18</v>
      </c>
      <c r="M2674" s="2">
        <v>2.44</v>
      </c>
      <c r="N2674" s="2">
        <v>2.88</v>
      </c>
      <c r="O2674">
        <v>0</v>
      </c>
      <c r="P2674">
        <v>1</v>
      </c>
      <c r="Q2674" s="4" t="str">
        <f>IF(P2674=1,"2016/2017-Ganjil",IF(P2674=2,"2016/2017-Genap",IF(P2674=3,"2017/2018-Ganjil",IF(P2674=4,"2017/2018-Genap",IF(P2674=5,"2018/2019-Ganjil",IF(P2674=6,"2018/2019-Genap",IF(P2674=7,"2019/2020-Ganjil",IF(P2674=8,"2019/2020-Genap",IF(P2674=9,"2020/2021-Ganjil","2020/2021-Genap")))))))))</f>
        <v>2016/2017-Ganjil</v>
      </c>
      <c r="R2674" t="s">
        <v>260</v>
      </c>
      <c r="S2674" t="str">
        <f t="shared" si="374"/>
        <v>PA</v>
      </c>
    </row>
    <row r="2675" spans="1:19" x14ac:dyDescent="0.3">
      <c r="A2675" t="s">
        <v>12</v>
      </c>
      <c r="B2675" t="s">
        <v>95</v>
      </c>
      <c r="C2675" t="s">
        <v>96</v>
      </c>
      <c r="E2675" t="s">
        <v>309</v>
      </c>
      <c r="F2675" s="1" t="s">
        <v>310</v>
      </c>
      <c r="G2675">
        <v>4</v>
      </c>
      <c r="H2675" t="s">
        <v>438</v>
      </c>
      <c r="I2675" s="4">
        <f t="shared" si="375"/>
        <v>3</v>
      </c>
      <c r="J2675">
        <f t="shared" si="376"/>
        <v>12</v>
      </c>
      <c r="K2675">
        <v>192</v>
      </c>
      <c r="L2675">
        <v>60</v>
      </c>
      <c r="M2675" s="2">
        <v>2.44</v>
      </c>
      <c r="N2675" s="2">
        <v>2.88</v>
      </c>
      <c r="O2675">
        <v>0</v>
      </c>
      <c r="P2675">
        <v>1</v>
      </c>
      <c r="Q2675" s="4" t="str">
        <f t="shared" ref="Q2675:Q2677" si="380">IF(P2675=1,"2016/2017-Ganjil",IF(P2675=2,"2016/2017-Genap",IF(P2675=3,"2017/2018-Ganjil",IF(P2675=4,"2017/2018-Genap",IF(P2675=5,"2018/2019-Ganjil",IF(P2675=6,"2018/2019-Genap",IF(P2675=7,"2019/2020-Ganjil",IF(P2675=8,"2019/2020-Genap",IF(P2675=9,"2020/2021-Ganjil","2020/2021-Genap")))))))))</f>
        <v>2016/2017-Ganjil</v>
      </c>
      <c r="R2675" t="s">
        <v>260</v>
      </c>
      <c r="S2675" t="str">
        <f t="shared" si="374"/>
        <v>PA</v>
      </c>
    </row>
    <row r="2676" spans="1:19" x14ac:dyDescent="0.3">
      <c r="A2676" t="s">
        <v>12</v>
      </c>
      <c r="B2676" t="s">
        <v>95</v>
      </c>
      <c r="C2676" t="s">
        <v>96</v>
      </c>
      <c r="E2676" t="s">
        <v>297</v>
      </c>
      <c r="F2676" s="1" t="s">
        <v>514</v>
      </c>
      <c r="G2676">
        <v>4</v>
      </c>
      <c r="H2676" t="s">
        <v>438</v>
      </c>
      <c r="I2676" s="4">
        <f t="shared" si="375"/>
        <v>3</v>
      </c>
      <c r="J2676">
        <f t="shared" si="376"/>
        <v>12</v>
      </c>
      <c r="K2676">
        <v>192</v>
      </c>
      <c r="L2676">
        <v>60</v>
      </c>
      <c r="M2676" s="2">
        <v>2.44</v>
      </c>
      <c r="N2676" s="2">
        <v>2.88</v>
      </c>
      <c r="O2676">
        <v>0</v>
      </c>
      <c r="P2676">
        <v>1</v>
      </c>
      <c r="Q2676" s="4" t="str">
        <f t="shared" si="380"/>
        <v>2016/2017-Ganjil</v>
      </c>
      <c r="R2676" t="s">
        <v>260</v>
      </c>
      <c r="S2676" t="str">
        <f t="shared" si="374"/>
        <v>PA</v>
      </c>
    </row>
    <row r="2677" spans="1:19" x14ac:dyDescent="0.3">
      <c r="A2677" t="s">
        <v>12</v>
      </c>
      <c r="B2677" t="s">
        <v>95</v>
      </c>
      <c r="C2677" t="s">
        <v>96</v>
      </c>
      <c r="E2677" t="s">
        <v>192</v>
      </c>
      <c r="F2677" s="1" t="s">
        <v>106</v>
      </c>
      <c r="G2677">
        <v>2</v>
      </c>
      <c r="H2677" t="s">
        <v>438</v>
      </c>
      <c r="I2677" s="4">
        <f t="shared" si="375"/>
        <v>3</v>
      </c>
      <c r="J2677">
        <f t="shared" si="376"/>
        <v>6</v>
      </c>
      <c r="K2677">
        <v>192</v>
      </c>
      <c r="L2677">
        <v>60</v>
      </c>
      <c r="M2677" s="2">
        <v>2.44</v>
      </c>
      <c r="N2677" s="2">
        <v>2.88</v>
      </c>
      <c r="O2677">
        <v>0</v>
      </c>
      <c r="P2677">
        <v>1</v>
      </c>
      <c r="Q2677" s="4" t="str">
        <f t="shared" si="380"/>
        <v>2016/2017-Ganjil</v>
      </c>
      <c r="R2677" t="s">
        <v>260</v>
      </c>
      <c r="S2677" t="str">
        <f t="shared" si="374"/>
        <v>PA</v>
      </c>
    </row>
    <row r="2678" spans="1:19" x14ac:dyDescent="0.3">
      <c r="A2678" t="s">
        <v>12</v>
      </c>
      <c r="B2678" t="s">
        <v>95</v>
      </c>
      <c r="C2678" t="s">
        <v>96</v>
      </c>
      <c r="E2678" t="s">
        <v>241</v>
      </c>
      <c r="F2678" t="s">
        <v>45</v>
      </c>
      <c r="G2678">
        <v>2</v>
      </c>
      <c r="H2678" t="s">
        <v>438</v>
      </c>
      <c r="I2678" s="4">
        <f t="shared" si="375"/>
        <v>3</v>
      </c>
      <c r="J2678">
        <f t="shared" si="376"/>
        <v>6</v>
      </c>
      <c r="K2678">
        <v>44</v>
      </c>
      <c r="L2678">
        <v>18</v>
      </c>
      <c r="M2678" s="2">
        <v>2.44</v>
      </c>
      <c r="N2678" s="2">
        <v>2.88</v>
      </c>
      <c r="O2678">
        <v>0</v>
      </c>
      <c r="P2678">
        <v>1</v>
      </c>
      <c r="Q2678" s="4" t="str">
        <f>IF(P2678=1,"2016/2017-Ganjil",IF(P2678=2,"2016/2017-Genap",IF(P2678=3,"2017/2018-Ganjil",IF(P2678=4,"2017/2018-Genap",IF(P2678=5,"2018/2019-Ganjil",IF(P2678=6,"2018/2019-Genap",IF(P2678=7,"2019/2020-Ganjil",IF(P2678=8,"2019/2020-Genap",IF(P2678=9,"2020/2021-Ganjil","2020/2021-Genap")))))))))</f>
        <v>2016/2017-Ganjil</v>
      </c>
      <c r="R2678" t="s">
        <v>260</v>
      </c>
      <c r="S2678" t="str">
        <f t="shared" si="374"/>
        <v>PA</v>
      </c>
    </row>
    <row r="2679" spans="1:19" x14ac:dyDescent="0.3">
      <c r="A2679" t="s">
        <v>12</v>
      </c>
      <c r="B2679" t="s">
        <v>95</v>
      </c>
      <c r="C2679" t="s">
        <v>96</v>
      </c>
      <c r="E2679" t="s">
        <v>173</v>
      </c>
      <c r="F2679" s="1" t="s">
        <v>8</v>
      </c>
      <c r="G2679">
        <v>2</v>
      </c>
      <c r="H2679" t="s">
        <v>438</v>
      </c>
      <c r="I2679" s="4">
        <f t="shared" si="375"/>
        <v>3</v>
      </c>
      <c r="J2679">
        <f t="shared" si="376"/>
        <v>6</v>
      </c>
      <c r="K2679">
        <v>192</v>
      </c>
      <c r="L2679">
        <v>60</v>
      </c>
      <c r="M2679" s="2">
        <v>2.44</v>
      </c>
      <c r="N2679" s="2">
        <v>2.88</v>
      </c>
      <c r="O2679">
        <v>0</v>
      </c>
      <c r="P2679">
        <v>1</v>
      </c>
      <c r="Q2679" s="4" t="str">
        <f t="shared" ref="Q2679:Q2685" si="381">IF(P2679=1,"2016/2017-Ganjil",IF(P2679=2,"2016/2017-Genap",IF(P2679=3,"2017/2018-Ganjil",IF(P2679=4,"2017/2018-Genap",IF(P2679=5,"2018/2019-Ganjil",IF(P2679=6,"2018/2019-Genap",IF(P2679=7,"2019/2020-Ganjil",IF(P2679=8,"2019/2020-Genap",IF(P2679=9,"2020/2021-Ganjil","2020/2021-Genap")))))))))</f>
        <v>2016/2017-Ganjil</v>
      </c>
      <c r="R2679" t="s">
        <v>260</v>
      </c>
      <c r="S2679" t="str">
        <f t="shared" si="374"/>
        <v>PA</v>
      </c>
    </row>
    <row r="2680" spans="1:19" x14ac:dyDescent="0.3">
      <c r="A2680" t="s">
        <v>12</v>
      </c>
      <c r="B2680" t="s">
        <v>95</v>
      </c>
      <c r="C2680" t="s">
        <v>96</v>
      </c>
      <c r="E2680" t="s">
        <v>208</v>
      </c>
      <c r="F2680" s="1" t="s">
        <v>209</v>
      </c>
      <c r="G2680">
        <v>2</v>
      </c>
      <c r="H2680" t="s">
        <v>438</v>
      </c>
      <c r="I2680" s="4">
        <f t="shared" si="375"/>
        <v>3</v>
      </c>
      <c r="J2680">
        <f t="shared" si="376"/>
        <v>6</v>
      </c>
      <c r="K2680">
        <v>192</v>
      </c>
      <c r="L2680">
        <v>60</v>
      </c>
      <c r="M2680" s="2">
        <v>2.44</v>
      </c>
      <c r="N2680" s="2">
        <v>2.88</v>
      </c>
      <c r="O2680">
        <v>0</v>
      </c>
      <c r="P2680">
        <v>1</v>
      </c>
      <c r="Q2680" s="4" t="str">
        <f t="shared" si="381"/>
        <v>2016/2017-Ganjil</v>
      </c>
      <c r="R2680" t="s">
        <v>260</v>
      </c>
      <c r="S2680" t="str">
        <f t="shared" si="374"/>
        <v>PA</v>
      </c>
    </row>
    <row r="2681" spans="1:19" x14ac:dyDescent="0.3">
      <c r="A2681" t="s">
        <v>12</v>
      </c>
      <c r="B2681" t="s">
        <v>95</v>
      </c>
      <c r="C2681" t="s">
        <v>96</v>
      </c>
      <c r="E2681" t="s">
        <v>302</v>
      </c>
      <c r="F2681" s="1" t="s">
        <v>303</v>
      </c>
      <c r="G2681">
        <v>2</v>
      </c>
      <c r="H2681" t="s">
        <v>524</v>
      </c>
      <c r="I2681" s="4">
        <f t="shared" si="375"/>
        <v>2</v>
      </c>
      <c r="J2681">
        <f t="shared" si="376"/>
        <v>4</v>
      </c>
      <c r="K2681">
        <v>192</v>
      </c>
      <c r="L2681">
        <v>60</v>
      </c>
      <c r="M2681" s="2">
        <v>2.44</v>
      </c>
      <c r="N2681" s="2">
        <v>2.88</v>
      </c>
      <c r="O2681">
        <v>0</v>
      </c>
      <c r="P2681">
        <v>1</v>
      </c>
      <c r="Q2681" s="4" t="str">
        <f t="shared" si="381"/>
        <v>2016/2017-Ganjil</v>
      </c>
      <c r="R2681" t="s">
        <v>260</v>
      </c>
      <c r="S2681" t="str">
        <f t="shared" si="374"/>
        <v>PA</v>
      </c>
    </row>
    <row r="2682" spans="1:19" x14ac:dyDescent="0.3">
      <c r="A2682" t="s">
        <v>12</v>
      </c>
      <c r="B2682" t="s">
        <v>95</v>
      </c>
      <c r="C2682" t="s">
        <v>96</v>
      </c>
      <c r="E2682" t="s">
        <v>306</v>
      </c>
      <c r="F2682" s="1" t="s">
        <v>307</v>
      </c>
      <c r="G2682">
        <v>2</v>
      </c>
      <c r="H2682" t="s">
        <v>524</v>
      </c>
      <c r="I2682" s="4">
        <f t="shared" si="375"/>
        <v>2</v>
      </c>
      <c r="J2682">
        <f t="shared" si="376"/>
        <v>4</v>
      </c>
      <c r="K2682">
        <v>192</v>
      </c>
      <c r="L2682">
        <v>60</v>
      </c>
      <c r="M2682" s="2">
        <v>2.44</v>
      </c>
      <c r="N2682" s="2">
        <v>2.88</v>
      </c>
      <c r="O2682">
        <v>0</v>
      </c>
      <c r="P2682">
        <v>1</v>
      </c>
      <c r="Q2682" s="4" t="str">
        <f t="shared" si="381"/>
        <v>2016/2017-Ganjil</v>
      </c>
      <c r="R2682" t="s">
        <v>260</v>
      </c>
      <c r="S2682" t="str">
        <f t="shared" si="374"/>
        <v>PA</v>
      </c>
    </row>
    <row r="2683" spans="1:19" x14ac:dyDescent="0.3">
      <c r="A2683" t="s">
        <v>12</v>
      </c>
      <c r="B2683" t="s">
        <v>95</v>
      </c>
      <c r="C2683" t="s">
        <v>96</v>
      </c>
      <c r="E2683" t="s">
        <v>279</v>
      </c>
      <c r="F2683" s="1" t="s">
        <v>280</v>
      </c>
      <c r="G2683">
        <v>2</v>
      </c>
      <c r="H2683" t="s">
        <v>524</v>
      </c>
      <c r="I2683" s="4">
        <f t="shared" si="375"/>
        <v>2</v>
      </c>
      <c r="J2683">
        <f t="shared" si="376"/>
        <v>4</v>
      </c>
      <c r="K2683">
        <v>192</v>
      </c>
      <c r="L2683">
        <v>60</v>
      </c>
      <c r="M2683" s="2">
        <v>2.44</v>
      </c>
      <c r="N2683" s="2">
        <v>2.88</v>
      </c>
      <c r="O2683">
        <v>0</v>
      </c>
      <c r="P2683">
        <v>1</v>
      </c>
      <c r="Q2683" s="4" t="str">
        <f t="shared" si="381"/>
        <v>2016/2017-Ganjil</v>
      </c>
      <c r="R2683" t="s">
        <v>260</v>
      </c>
      <c r="S2683" t="str">
        <f t="shared" si="374"/>
        <v>PA</v>
      </c>
    </row>
    <row r="2684" spans="1:19" x14ac:dyDescent="0.3">
      <c r="A2684" t="s">
        <v>12</v>
      </c>
      <c r="B2684" t="s">
        <v>95</v>
      </c>
      <c r="C2684" t="s">
        <v>96</v>
      </c>
      <c r="E2684" t="s">
        <v>131</v>
      </c>
      <c r="F2684" s="1" t="s">
        <v>132</v>
      </c>
      <c r="G2684">
        <v>2</v>
      </c>
      <c r="H2684" t="s">
        <v>524</v>
      </c>
      <c r="I2684" s="4">
        <f t="shared" si="375"/>
        <v>2</v>
      </c>
      <c r="J2684">
        <f t="shared" si="376"/>
        <v>4</v>
      </c>
      <c r="K2684">
        <v>192</v>
      </c>
      <c r="L2684">
        <v>60</v>
      </c>
      <c r="M2684" s="2">
        <v>2.44</v>
      </c>
      <c r="N2684" s="2">
        <v>2.88</v>
      </c>
      <c r="O2684">
        <v>0</v>
      </c>
      <c r="P2684">
        <v>1</v>
      </c>
      <c r="Q2684" s="4" t="str">
        <f t="shared" si="381"/>
        <v>2016/2017-Ganjil</v>
      </c>
      <c r="R2684" t="s">
        <v>260</v>
      </c>
      <c r="S2684" t="str">
        <f t="shared" si="374"/>
        <v>PA</v>
      </c>
    </row>
    <row r="2685" spans="1:19" x14ac:dyDescent="0.3">
      <c r="A2685" t="s">
        <v>12</v>
      </c>
      <c r="B2685" t="s">
        <v>95</v>
      </c>
      <c r="C2685" t="s">
        <v>96</v>
      </c>
      <c r="E2685" t="s">
        <v>142</v>
      </c>
      <c r="F2685" s="1" t="s">
        <v>143</v>
      </c>
      <c r="G2685">
        <v>2</v>
      </c>
      <c r="H2685" t="s">
        <v>524</v>
      </c>
      <c r="I2685" s="4">
        <f t="shared" si="375"/>
        <v>2</v>
      </c>
      <c r="J2685">
        <f t="shared" si="376"/>
        <v>4</v>
      </c>
      <c r="K2685">
        <v>192</v>
      </c>
      <c r="L2685">
        <v>60</v>
      </c>
      <c r="M2685" s="2">
        <v>2.44</v>
      </c>
      <c r="N2685" s="2">
        <v>2.88</v>
      </c>
      <c r="O2685">
        <v>0</v>
      </c>
      <c r="P2685">
        <v>1</v>
      </c>
      <c r="Q2685" s="4" t="str">
        <f t="shared" si="381"/>
        <v>2016/2017-Ganjil</v>
      </c>
      <c r="R2685" t="s">
        <v>260</v>
      </c>
      <c r="S2685" t="str">
        <f t="shared" si="374"/>
        <v>PA</v>
      </c>
    </row>
    <row r="2686" spans="1:19" x14ac:dyDescent="0.3">
      <c r="A2686" t="s">
        <v>12</v>
      </c>
      <c r="B2686" t="s">
        <v>95</v>
      </c>
      <c r="C2686" t="s">
        <v>96</v>
      </c>
      <c r="E2686" t="s">
        <v>357</v>
      </c>
      <c r="F2686" t="s">
        <v>358</v>
      </c>
      <c r="G2686">
        <v>4</v>
      </c>
      <c r="H2686" t="s">
        <v>524</v>
      </c>
      <c r="I2686" s="4">
        <f t="shared" si="375"/>
        <v>2</v>
      </c>
      <c r="J2686">
        <f t="shared" si="376"/>
        <v>8</v>
      </c>
      <c r="K2686">
        <v>44</v>
      </c>
      <c r="L2686">
        <v>18</v>
      </c>
      <c r="M2686" s="2">
        <v>2.44</v>
      </c>
      <c r="N2686" s="2">
        <v>2.88</v>
      </c>
      <c r="O2686">
        <v>0</v>
      </c>
      <c r="P2686">
        <v>1</v>
      </c>
      <c r="Q2686" s="4" t="str">
        <f t="shared" ref="Q2686:Q2704" si="382">IF(P2686=1,"2016/2017-Ganjil",IF(P2686=2,"2016/2017-Genap",IF(P2686=3,"2017/2018-Ganjil",IF(P2686=4,"2017/2018-Genap",IF(P2686=5,"2018/2019-Ganjil",IF(P2686=6,"2018/2019-Genap",IF(P2686=7,"2019/2020-Ganjil",IF(P2686=8,"2019/2020-Genap",IF(P2686=9,"2020/2021-Ganjil","2020/2021-Genap")))))))))</f>
        <v>2016/2017-Ganjil</v>
      </c>
      <c r="R2686" t="s">
        <v>260</v>
      </c>
      <c r="S2686" t="str">
        <f t="shared" si="374"/>
        <v>PA</v>
      </c>
    </row>
    <row r="2687" spans="1:19" x14ac:dyDescent="0.3">
      <c r="A2687" t="s">
        <v>12</v>
      </c>
      <c r="B2687" t="s">
        <v>95</v>
      </c>
      <c r="C2687" t="s">
        <v>96</v>
      </c>
      <c r="E2687" t="s">
        <v>370</v>
      </c>
      <c r="F2687" t="s">
        <v>371</v>
      </c>
      <c r="G2687">
        <v>2</v>
      </c>
      <c r="H2687" t="s">
        <v>524</v>
      </c>
      <c r="I2687" s="4">
        <f t="shared" si="375"/>
        <v>2</v>
      </c>
      <c r="J2687">
        <f t="shared" si="376"/>
        <v>4</v>
      </c>
      <c r="K2687">
        <v>44</v>
      </c>
      <c r="L2687">
        <v>18</v>
      </c>
      <c r="M2687" s="2">
        <v>2.44</v>
      </c>
      <c r="N2687" s="2">
        <v>2.88</v>
      </c>
      <c r="O2687">
        <v>0</v>
      </c>
      <c r="P2687">
        <v>1</v>
      </c>
      <c r="Q2687" s="4" t="str">
        <f t="shared" si="382"/>
        <v>2016/2017-Ganjil</v>
      </c>
      <c r="R2687" t="s">
        <v>260</v>
      </c>
      <c r="S2687" t="str">
        <f t="shared" si="374"/>
        <v>PA</v>
      </c>
    </row>
    <row r="2688" spans="1:19" x14ac:dyDescent="0.3">
      <c r="A2688" t="s">
        <v>12</v>
      </c>
      <c r="B2688" t="s">
        <v>95</v>
      </c>
      <c r="C2688" t="s">
        <v>96</v>
      </c>
      <c r="E2688" t="s">
        <v>337</v>
      </c>
      <c r="F2688" t="s">
        <v>338</v>
      </c>
      <c r="G2688">
        <v>2</v>
      </c>
      <c r="H2688" t="s">
        <v>539</v>
      </c>
      <c r="I2688" s="4">
        <f t="shared" si="375"/>
        <v>0</v>
      </c>
      <c r="J2688">
        <f t="shared" si="376"/>
        <v>0</v>
      </c>
      <c r="K2688">
        <v>44</v>
      </c>
      <c r="L2688">
        <v>18</v>
      </c>
      <c r="M2688" s="2">
        <v>2.44</v>
      </c>
      <c r="N2688" s="2">
        <v>2.88</v>
      </c>
      <c r="O2688">
        <v>0</v>
      </c>
      <c r="P2688">
        <v>1</v>
      </c>
      <c r="Q2688" s="4" t="str">
        <f t="shared" si="382"/>
        <v>2016/2017-Ganjil</v>
      </c>
      <c r="R2688" t="s">
        <v>260</v>
      </c>
      <c r="S2688" t="str">
        <f t="shared" si="374"/>
        <v>FA</v>
      </c>
    </row>
    <row r="2689" spans="1:19" x14ac:dyDescent="0.3">
      <c r="A2689" t="s">
        <v>12</v>
      </c>
      <c r="B2689" t="s">
        <v>95</v>
      </c>
      <c r="C2689" t="s">
        <v>96</v>
      </c>
      <c r="E2689" t="s">
        <v>290</v>
      </c>
      <c r="F2689" t="s">
        <v>327</v>
      </c>
      <c r="G2689">
        <v>4</v>
      </c>
      <c r="H2689" t="s">
        <v>539</v>
      </c>
      <c r="I2689" s="4">
        <f t="shared" si="375"/>
        <v>0</v>
      </c>
      <c r="J2689">
        <f t="shared" si="376"/>
        <v>0</v>
      </c>
      <c r="K2689">
        <v>0</v>
      </c>
      <c r="L2689">
        <v>4</v>
      </c>
      <c r="M2689" s="2">
        <v>0</v>
      </c>
      <c r="N2689" s="2">
        <v>2.88</v>
      </c>
      <c r="O2689">
        <v>0</v>
      </c>
      <c r="P2689">
        <v>2</v>
      </c>
      <c r="Q2689" s="4" t="str">
        <f t="shared" si="382"/>
        <v>2016/2017-Genap</v>
      </c>
      <c r="R2689" t="s">
        <v>535</v>
      </c>
      <c r="S2689" t="str">
        <f t="shared" si="374"/>
        <v>FA</v>
      </c>
    </row>
    <row r="2690" spans="1:19" x14ac:dyDescent="0.3">
      <c r="A2690" t="s">
        <v>12</v>
      </c>
      <c r="B2690" t="s">
        <v>95</v>
      </c>
      <c r="C2690" t="s">
        <v>96</v>
      </c>
      <c r="E2690" t="s">
        <v>374</v>
      </c>
      <c r="F2690" t="s">
        <v>375</v>
      </c>
      <c r="G2690">
        <v>2</v>
      </c>
      <c r="I2690" s="4"/>
      <c r="J2690">
        <f>G2690*I2690</f>
        <v>0</v>
      </c>
      <c r="K2690">
        <v>0</v>
      </c>
      <c r="L2690">
        <v>4</v>
      </c>
      <c r="M2690" s="2">
        <v>0</v>
      </c>
      <c r="N2690" s="2">
        <v>2.88</v>
      </c>
      <c r="O2690">
        <v>0</v>
      </c>
      <c r="P2690">
        <v>2</v>
      </c>
      <c r="Q2690" s="4" t="str">
        <f t="shared" si="382"/>
        <v>2016/2017-Genap</v>
      </c>
      <c r="R2690" t="s">
        <v>535</v>
      </c>
      <c r="S2690" t="s">
        <v>595</v>
      </c>
    </row>
    <row r="2691" spans="1:19" x14ac:dyDescent="0.3">
      <c r="A2691" t="s">
        <v>12</v>
      </c>
      <c r="B2691" t="s">
        <v>286</v>
      </c>
      <c r="C2691" t="s">
        <v>287</v>
      </c>
      <c r="E2691" t="s">
        <v>39</v>
      </c>
      <c r="F2691" s="1" t="s">
        <v>11</v>
      </c>
      <c r="G2691">
        <v>2</v>
      </c>
      <c r="H2691" t="s">
        <v>260</v>
      </c>
      <c r="I2691" s="4">
        <f>IF(H2691="A",4,IF(H2691="B",3,IF(H2691="C",2,IF(H2691="D",1,0))))</f>
        <v>4</v>
      </c>
      <c r="J2691">
        <f>G2691*I2691</f>
        <v>8</v>
      </c>
      <c r="K2691">
        <v>146</v>
      </c>
      <c r="L2691">
        <v>44</v>
      </c>
      <c r="M2691" s="2">
        <v>3.2</v>
      </c>
      <c r="N2691" s="2">
        <v>3.38</v>
      </c>
      <c r="O2691">
        <v>0</v>
      </c>
      <c r="P2691">
        <v>1</v>
      </c>
      <c r="Q2691" s="4" t="str">
        <f t="shared" si="382"/>
        <v>2016/2017-Ganjil</v>
      </c>
      <c r="R2691" t="s">
        <v>260</v>
      </c>
      <c r="S2691" t="str">
        <f t="shared" ref="S2691:S2754" si="383">IF(OR(H2691="A",H2691="B",H2691="C"),"PA","FA")</f>
        <v>PA</v>
      </c>
    </row>
    <row r="2692" spans="1:19" x14ac:dyDescent="0.3">
      <c r="A2692" t="s">
        <v>12</v>
      </c>
      <c r="B2692" t="s">
        <v>286</v>
      </c>
      <c r="C2692" t="s">
        <v>287</v>
      </c>
      <c r="E2692" t="s">
        <v>297</v>
      </c>
      <c r="F2692" t="s">
        <v>298</v>
      </c>
      <c r="G2692">
        <v>4</v>
      </c>
      <c r="H2692" t="s">
        <v>260</v>
      </c>
      <c r="I2692" s="4">
        <f t="shared" ref="I2692:I2755" si="384">IF(H2692="A",4,IF(H2692="B",3,IF(H2692="C",2,IF(H2692="D",1,0))))</f>
        <v>4</v>
      </c>
      <c r="J2692">
        <f t="shared" ref="J2692:J2755" si="385">G2692*I2692</f>
        <v>16</v>
      </c>
      <c r="K2692">
        <v>76</v>
      </c>
      <c r="L2692">
        <v>24</v>
      </c>
      <c r="M2692" s="2">
        <v>3.17</v>
      </c>
      <c r="N2692" s="2">
        <v>3.38</v>
      </c>
      <c r="O2692">
        <v>0</v>
      </c>
      <c r="P2692">
        <v>4</v>
      </c>
      <c r="Q2692" s="4" t="str">
        <f t="shared" si="382"/>
        <v>2017/2018-Genap</v>
      </c>
      <c r="R2692" t="s">
        <v>260</v>
      </c>
      <c r="S2692" t="str">
        <f t="shared" si="383"/>
        <v>PA</v>
      </c>
    </row>
    <row r="2693" spans="1:19" x14ac:dyDescent="0.3">
      <c r="A2693" t="s">
        <v>12</v>
      </c>
      <c r="B2693" t="s">
        <v>286</v>
      </c>
      <c r="C2693" t="s">
        <v>287</v>
      </c>
      <c r="E2693" t="s">
        <v>103</v>
      </c>
      <c r="F2693" t="s">
        <v>104</v>
      </c>
      <c r="G2693">
        <v>4</v>
      </c>
      <c r="H2693" t="s">
        <v>260</v>
      </c>
      <c r="I2693" s="4">
        <f t="shared" si="384"/>
        <v>4</v>
      </c>
      <c r="J2693">
        <f t="shared" si="385"/>
        <v>16</v>
      </c>
      <c r="K2693">
        <v>94</v>
      </c>
      <c r="L2693">
        <v>24</v>
      </c>
      <c r="M2693" s="2">
        <v>3.92</v>
      </c>
      <c r="N2693" s="2">
        <v>3.38</v>
      </c>
      <c r="O2693">
        <v>0</v>
      </c>
      <c r="P2693">
        <v>2</v>
      </c>
      <c r="Q2693" s="4" t="str">
        <f t="shared" si="382"/>
        <v>2016/2017-Genap</v>
      </c>
      <c r="R2693" t="s">
        <v>260</v>
      </c>
      <c r="S2693" t="str">
        <f t="shared" si="383"/>
        <v>PA</v>
      </c>
    </row>
    <row r="2694" spans="1:19" x14ac:dyDescent="0.3">
      <c r="A2694" t="s">
        <v>12</v>
      </c>
      <c r="B2694" t="s">
        <v>286</v>
      </c>
      <c r="C2694" t="s">
        <v>287</v>
      </c>
      <c r="E2694" t="s">
        <v>290</v>
      </c>
      <c r="F2694" t="s">
        <v>327</v>
      </c>
      <c r="G2694">
        <v>4</v>
      </c>
      <c r="H2694" t="s">
        <v>260</v>
      </c>
      <c r="I2694" s="4">
        <f t="shared" si="384"/>
        <v>4</v>
      </c>
      <c r="J2694">
        <f t="shared" si="385"/>
        <v>16</v>
      </c>
      <c r="K2694">
        <v>94</v>
      </c>
      <c r="L2694">
        <v>24</v>
      </c>
      <c r="M2694" s="2">
        <v>3.92</v>
      </c>
      <c r="N2694" s="2">
        <v>3.38</v>
      </c>
      <c r="O2694">
        <v>0</v>
      </c>
      <c r="P2694">
        <v>2</v>
      </c>
      <c r="Q2694" s="4" t="str">
        <f t="shared" si="382"/>
        <v>2016/2017-Genap</v>
      </c>
      <c r="R2694" t="s">
        <v>260</v>
      </c>
      <c r="S2694" t="str">
        <f t="shared" si="383"/>
        <v>PA</v>
      </c>
    </row>
    <row r="2695" spans="1:19" x14ac:dyDescent="0.3">
      <c r="A2695" t="s">
        <v>12</v>
      </c>
      <c r="B2695" t="s">
        <v>286</v>
      </c>
      <c r="C2695" t="s">
        <v>287</v>
      </c>
      <c r="E2695" t="s">
        <v>257</v>
      </c>
      <c r="F2695" t="s">
        <v>258</v>
      </c>
      <c r="G2695">
        <v>4</v>
      </c>
      <c r="H2695" t="s">
        <v>260</v>
      </c>
      <c r="I2695" s="4">
        <f t="shared" si="384"/>
        <v>4</v>
      </c>
      <c r="J2695">
        <f t="shared" si="385"/>
        <v>16</v>
      </c>
      <c r="K2695">
        <v>76</v>
      </c>
      <c r="L2695">
        <v>24</v>
      </c>
      <c r="M2695" s="2">
        <v>3.17</v>
      </c>
      <c r="N2695" s="2">
        <v>3.38</v>
      </c>
      <c r="O2695">
        <v>0</v>
      </c>
      <c r="P2695">
        <v>4</v>
      </c>
      <c r="Q2695" s="4" t="str">
        <f t="shared" si="382"/>
        <v>2017/2018-Genap</v>
      </c>
      <c r="R2695" t="s">
        <v>260</v>
      </c>
      <c r="S2695" t="str">
        <f t="shared" si="383"/>
        <v>PA</v>
      </c>
    </row>
    <row r="2696" spans="1:19" x14ac:dyDescent="0.3">
      <c r="A2696" t="s">
        <v>12</v>
      </c>
      <c r="B2696" t="s">
        <v>286</v>
      </c>
      <c r="C2696" t="s">
        <v>287</v>
      </c>
      <c r="E2696" t="s">
        <v>248</v>
      </c>
      <c r="F2696" t="s">
        <v>249</v>
      </c>
      <c r="G2696">
        <v>2</v>
      </c>
      <c r="H2696" t="s">
        <v>260</v>
      </c>
      <c r="I2696" s="4">
        <f t="shared" si="384"/>
        <v>4</v>
      </c>
      <c r="J2696">
        <f t="shared" si="385"/>
        <v>8</v>
      </c>
      <c r="K2696">
        <v>94</v>
      </c>
      <c r="L2696">
        <v>24</v>
      </c>
      <c r="M2696" s="2">
        <v>3.92</v>
      </c>
      <c r="N2696" s="2">
        <v>3.38</v>
      </c>
      <c r="O2696">
        <v>0</v>
      </c>
      <c r="P2696">
        <v>2</v>
      </c>
      <c r="Q2696" s="4" t="str">
        <f t="shared" si="382"/>
        <v>2016/2017-Genap</v>
      </c>
      <c r="R2696" t="s">
        <v>260</v>
      </c>
      <c r="S2696" t="str">
        <f t="shared" si="383"/>
        <v>PA</v>
      </c>
    </row>
    <row r="2697" spans="1:19" x14ac:dyDescent="0.3">
      <c r="A2697" t="s">
        <v>12</v>
      </c>
      <c r="B2697" t="s">
        <v>286</v>
      </c>
      <c r="C2697" t="s">
        <v>287</v>
      </c>
      <c r="E2697" t="s">
        <v>131</v>
      </c>
      <c r="F2697" s="1" t="s">
        <v>132</v>
      </c>
      <c r="G2697">
        <v>2</v>
      </c>
      <c r="H2697" t="s">
        <v>260</v>
      </c>
      <c r="I2697" s="4">
        <f t="shared" si="384"/>
        <v>4</v>
      </c>
      <c r="J2697">
        <f t="shared" si="385"/>
        <v>8</v>
      </c>
      <c r="K2697">
        <v>146</v>
      </c>
      <c r="L2697">
        <v>44</v>
      </c>
      <c r="M2697" s="2">
        <v>3.2</v>
      </c>
      <c r="N2697" s="2">
        <v>3.38</v>
      </c>
      <c r="O2697">
        <v>0</v>
      </c>
      <c r="P2697">
        <v>1</v>
      </c>
      <c r="Q2697" s="4" t="str">
        <f t="shared" si="382"/>
        <v>2016/2017-Ganjil</v>
      </c>
      <c r="R2697" t="s">
        <v>260</v>
      </c>
      <c r="S2697" t="str">
        <f t="shared" si="383"/>
        <v>PA</v>
      </c>
    </row>
    <row r="2698" spans="1:19" x14ac:dyDescent="0.3">
      <c r="A2698" t="s">
        <v>12</v>
      </c>
      <c r="B2698" t="s">
        <v>286</v>
      </c>
      <c r="C2698" t="s">
        <v>287</v>
      </c>
      <c r="E2698" t="s">
        <v>293</v>
      </c>
      <c r="F2698" t="s">
        <v>294</v>
      </c>
      <c r="G2698">
        <v>2</v>
      </c>
      <c r="H2698" t="s">
        <v>260</v>
      </c>
      <c r="I2698" s="4">
        <f t="shared" si="384"/>
        <v>4</v>
      </c>
      <c r="J2698">
        <f t="shared" si="385"/>
        <v>8</v>
      </c>
      <c r="K2698">
        <v>34</v>
      </c>
      <c r="L2698">
        <v>10</v>
      </c>
      <c r="M2698" s="2">
        <v>3.4</v>
      </c>
      <c r="N2698" s="2">
        <v>3.38</v>
      </c>
      <c r="O2698">
        <v>0</v>
      </c>
      <c r="P2698">
        <v>5</v>
      </c>
      <c r="Q2698" s="4" t="str">
        <f t="shared" si="382"/>
        <v>2018/2019-Ganjil</v>
      </c>
      <c r="R2698" t="s">
        <v>596</v>
      </c>
      <c r="S2698" t="str">
        <f t="shared" si="383"/>
        <v>PA</v>
      </c>
    </row>
    <row r="2699" spans="1:19" x14ac:dyDescent="0.3">
      <c r="A2699" t="s">
        <v>12</v>
      </c>
      <c r="B2699" t="s">
        <v>286</v>
      </c>
      <c r="C2699" t="s">
        <v>287</v>
      </c>
      <c r="E2699" t="s">
        <v>192</v>
      </c>
      <c r="F2699" t="s">
        <v>106</v>
      </c>
      <c r="G2699">
        <v>2</v>
      </c>
      <c r="H2699" t="s">
        <v>260</v>
      </c>
      <c r="I2699" s="4">
        <f t="shared" si="384"/>
        <v>4</v>
      </c>
      <c r="J2699">
        <f t="shared" si="385"/>
        <v>8</v>
      </c>
      <c r="K2699">
        <v>64</v>
      </c>
      <c r="L2699">
        <v>20</v>
      </c>
      <c r="M2699" s="2">
        <v>3.2</v>
      </c>
      <c r="N2699" s="2">
        <v>3.38</v>
      </c>
      <c r="O2699">
        <v>0</v>
      </c>
      <c r="P2699">
        <v>1</v>
      </c>
      <c r="Q2699" s="4" t="str">
        <f t="shared" si="382"/>
        <v>2016/2017-Ganjil</v>
      </c>
      <c r="R2699" t="s">
        <v>260</v>
      </c>
      <c r="S2699" t="str">
        <f t="shared" si="383"/>
        <v>PA</v>
      </c>
    </row>
    <row r="2700" spans="1:19" x14ac:dyDescent="0.3">
      <c r="A2700" t="s">
        <v>12</v>
      </c>
      <c r="B2700" t="s">
        <v>286</v>
      </c>
      <c r="C2700" t="s">
        <v>287</v>
      </c>
      <c r="E2700" t="s">
        <v>100</v>
      </c>
      <c r="F2700" s="1" t="s">
        <v>101</v>
      </c>
      <c r="G2700">
        <v>4</v>
      </c>
      <c r="H2700" t="s">
        <v>260</v>
      </c>
      <c r="I2700" s="4">
        <f t="shared" si="384"/>
        <v>4</v>
      </c>
      <c r="J2700">
        <f t="shared" si="385"/>
        <v>16</v>
      </c>
      <c r="K2700">
        <v>146</v>
      </c>
      <c r="L2700">
        <v>44</v>
      </c>
      <c r="M2700" s="2">
        <v>3.2</v>
      </c>
      <c r="N2700" s="2">
        <v>3.38</v>
      </c>
      <c r="O2700">
        <v>0</v>
      </c>
      <c r="P2700">
        <v>1</v>
      </c>
      <c r="Q2700" s="4" t="str">
        <f t="shared" si="382"/>
        <v>2016/2017-Ganjil</v>
      </c>
      <c r="R2700" t="s">
        <v>260</v>
      </c>
      <c r="S2700" t="str">
        <f t="shared" si="383"/>
        <v>PA</v>
      </c>
    </row>
    <row r="2701" spans="1:19" x14ac:dyDescent="0.3">
      <c r="A2701" t="s">
        <v>12</v>
      </c>
      <c r="B2701" t="s">
        <v>286</v>
      </c>
      <c r="C2701" t="s">
        <v>287</v>
      </c>
      <c r="E2701" t="s">
        <v>211</v>
      </c>
      <c r="F2701" t="s">
        <v>186</v>
      </c>
      <c r="G2701">
        <v>4</v>
      </c>
      <c r="H2701" t="s">
        <v>260</v>
      </c>
      <c r="I2701" s="4">
        <f t="shared" si="384"/>
        <v>4</v>
      </c>
      <c r="J2701">
        <f t="shared" si="385"/>
        <v>16</v>
      </c>
      <c r="K2701">
        <v>72</v>
      </c>
      <c r="L2701">
        <v>22</v>
      </c>
      <c r="M2701" s="2">
        <v>3.27</v>
      </c>
      <c r="N2701" s="2">
        <v>3.38</v>
      </c>
      <c r="O2701">
        <v>0</v>
      </c>
      <c r="P2701">
        <v>3</v>
      </c>
      <c r="Q2701" s="4" t="str">
        <f t="shared" si="382"/>
        <v>2017/2018-Ganjil</v>
      </c>
      <c r="R2701" t="s">
        <v>260</v>
      </c>
      <c r="S2701" t="str">
        <f t="shared" si="383"/>
        <v>PA</v>
      </c>
    </row>
    <row r="2702" spans="1:19" x14ac:dyDescent="0.3">
      <c r="A2702" t="s">
        <v>12</v>
      </c>
      <c r="B2702" t="s">
        <v>286</v>
      </c>
      <c r="C2702" t="s">
        <v>287</v>
      </c>
      <c r="E2702" t="s">
        <v>97</v>
      </c>
      <c r="F2702" t="s">
        <v>98</v>
      </c>
      <c r="G2702">
        <v>4</v>
      </c>
      <c r="H2702" t="s">
        <v>260</v>
      </c>
      <c r="I2702" s="4">
        <f t="shared" si="384"/>
        <v>4</v>
      </c>
      <c r="J2702">
        <f t="shared" si="385"/>
        <v>16</v>
      </c>
      <c r="K2702">
        <v>94</v>
      </c>
      <c r="L2702">
        <v>24</v>
      </c>
      <c r="M2702" s="2">
        <v>3.92</v>
      </c>
      <c r="N2702" s="2">
        <v>3.38</v>
      </c>
      <c r="O2702">
        <v>0</v>
      </c>
      <c r="P2702">
        <v>2</v>
      </c>
      <c r="Q2702" s="4" t="str">
        <f t="shared" si="382"/>
        <v>2016/2017-Genap</v>
      </c>
      <c r="R2702" t="s">
        <v>260</v>
      </c>
      <c r="S2702" t="str">
        <f t="shared" si="383"/>
        <v>PA</v>
      </c>
    </row>
    <row r="2703" spans="1:19" x14ac:dyDescent="0.3">
      <c r="A2703" t="s">
        <v>12</v>
      </c>
      <c r="B2703" t="s">
        <v>286</v>
      </c>
      <c r="C2703" t="s">
        <v>287</v>
      </c>
      <c r="E2703" t="s">
        <v>244</v>
      </c>
      <c r="F2703" t="s">
        <v>228</v>
      </c>
      <c r="G2703">
        <v>2</v>
      </c>
      <c r="H2703" t="s">
        <v>260</v>
      </c>
      <c r="I2703" s="4">
        <f t="shared" si="384"/>
        <v>4</v>
      </c>
      <c r="J2703">
        <f t="shared" si="385"/>
        <v>8</v>
      </c>
      <c r="K2703">
        <v>76</v>
      </c>
      <c r="L2703">
        <v>24</v>
      </c>
      <c r="M2703" s="2">
        <v>3.17</v>
      </c>
      <c r="N2703" s="2">
        <v>3.38</v>
      </c>
      <c r="O2703">
        <v>0</v>
      </c>
      <c r="P2703">
        <v>4</v>
      </c>
      <c r="Q2703" s="4" t="str">
        <f t="shared" si="382"/>
        <v>2017/2018-Genap</v>
      </c>
      <c r="R2703" t="s">
        <v>260</v>
      </c>
      <c r="S2703" t="str">
        <f t="shared" si="383"/>
        <v>PA</v>
      </c>
    </row>
    <row r="2704" spans="1:19" x14ac:dyDescent="0.3">
      <c r="A2704" t="s">
        <v>12</v>
      </c>
      <c r="B2704" t="s">
        <v>286</v>
      </c>
      <c r="C2704" t="s">
        <v>287</v>
      </c>
      <c r="E2704" t="s">
        <v>273</v>
      </c>
      <c r="F2704" t="s">
        <v>274</v>
      </c>
      <c r="G2704">
        <v>2</v>
      </c>
      <c r="H2704" t="s">
        <v>260</v>
      </c>
      <c r="I2704" s="4">
        <f t="shared" si="384"/>
        <v>4</v>
      </c>
      <c r="J2704">
        <f t="shared" si="385"/>
        <v>8</v>
      </c>
      <c r="K2704">
        <v>94</v>
      </c>
      <c r="L2704">
        <v>24</v>
      </c>
      <c r="M2704" s="2">
        <v>3.92</v>
      </c>
      <c r="N2704" s="2">
        <v>3.38</v>
      </c>
      <c r="O2704">
        <v>0</v>
      </c>
      <c r="P2704">
        <v>2</v>
      </c>
      <c r="Q2704" s="4" t="str">
        <f t="shared" si="382"/>
        <v>2016/2017-Genap</v>
      </c>
      <c r="R2704" t="s">
        <v>260</v>
      </c>
      <c r="S2704" t="str">
        <f t="shared" si="383"/>
        <v>PA</v>
      </c>
    </row>
    <row r="2705" spans="1:19" x14ac:dyDescent="0.3">
      <c r="A2705" t="s">
        <v>12</v>
      </c>
      <c r="B2705" t="s">
        <v>286</v>
      </c>
      <c r="C2705" t="s">
        <v>287</v>
      </c>
      <c r="E2705" t="s">
        <v>370</v>
      </c>
      <c r="F2705" s="1" t="s">
        <v>371</v>
      </c>
      <c r="G2705">
        <v>2</v>
      </c>
      <c r="H2705" t="s">
        <v>260</v>
      </c>
      <c r="I2705" s="4">
        <f t="shared" si="384"/>
        <v>4</v>
      </c>
      <c r="J2705">
        <f t="shared" si="385"/>
        <v>8</v>
      </c>
      <c r="K2705">
        <v>146</v>
      </c>
      <c r="L2705">
        <v>44</v>
      </c>
      <c r="M2705" s="2">
        <v>3.2</v>
      </c>
      <c r="N2705" s="2">
        <v>3.38</v>
      </c>
      <c r="O2705">
        <v>0</v>
      </c>
      <c r="P2705">
        <v>1</v>
      </c>
      <c r="Q2705" s="4" t="str">
        <f t="shared" ref="Q2705:Q2706" si="386">IF(P2705=1,"2016/2017-Ganjil",IF(P2705=2,"2016/2017-Genap",IF(P2705=3,"2017/2018-Ganjil",IF(P2705=4,"2017/2018-Genap",IF(P2705=5,"2018/2019-Ganjil",IF(P2705=6,"2018/2019-Genap",IF(P2705=7,"2019/2020-Ganjil",IF(P2705=8,"2019/2020-Genap",IF(P2705=9,"2020/2021-Ganjil","2020/2021-Genap")))))))))</f>
        <v>2016/2017-Ganjil</v>
      </c>
      <c r="R2705" t="s">
        <v>260</v>
      </c>
      <c r="S2705" t="str">
        <f t="shared" si="383"/>
        <v>PA</v>
      </c>
    </row>
    <row r="2706" spans="1:19" x14ac:dyDescent="0.3">
      <c r="A2706" t="s">
        <v>12</v>
      </c>
      <c r="B2706" t="s">
        <v>286</v>
      </c>
      <c r="C2706" t="s">
        <v>287</v>
      </c>
      <c r="E2706" t="s">
        <v>77</v>
      </c>
      <c r="F2706" s="1" t="s">
        <v>78</v>
      </c>
      <c r="G2706">
        <v>2</v>
      </c>
      <c r="H2706" t="s">
        <v>260</v>
      </c>
      <c r="I2706" s="4">
        <f t="shared" si="384"/>
        <v>4</v>
      </c>
      <c r="J2706">
        <f t="shared" si="385"/>
        <v>8</v>
      </c>
      <c r="K2706">
        <v>146</v>
      </c>
      <c r="L2706">
        <v>44</v>
      </c>
      <c r="M2706" s="2">
        <v>3.2</v>
      </c>
      <c r="N2706" s="2">
        <v>3.38</v>
      </c>
      <c r="O2706">
        <v>0</v>
      </c>
      <c r="P2706">
        <v>1</v>
      </c>
      <c r="Q2706" s="4" t="str">
        <f t="shared" si="386"/>
        <v>2016/2017-Ganjil</v>
      </c>
      <c r="R2706" t="s">
        <v>260</v>
      </c>
      <c r="S2706" t="str">
        <f t="shared" si="383"/>
        <v>PA</v>
      </c>
    </row>
    <row r="2707" spans="1:19" x14ac:dyDescent="0.3">
      <c r="A2707" t="s">
        <v>12</v>
      </c>
      <c r="B2707" t="s">
        <v>286</v>
      </c>
      <c r="C2707" t="s">
        <v>287</v>
      </c>
      <c r="E2707" t="s">
        <v>348</v>
      </c>
      <c r="F2707" t="s">
        <v>349</v>
      </c>
      <c r="G2707">
        <v>4</v>
      </c>
      <c r="H2707" t="s">
        <v>260</v>
      </c>
      <c r="I2707" s="4">
        <f t="shared" si="384"/>
        <v>4</v>
      </c>
      <c r="J2707">
        <f t="shared" si="385"/>
        <v>16</v>
      </c>
      <c r="K2707">
        <v>94</v>
      </c>
      <c r="L2707">
        <v>24</v>
      </c>
      <c r="M2707" s="2">
        <v>3.92</v>
      </c>
      <c r="N2707" s="2">
        <v>3.38</v>
      </c>
      <c r="O2707">
        <v>0</v>
      </c>
      <c r="P2707">
        <v>2</v>
      </c>
      <c r="Q2707" s="4" t="str">
        <f t="shared" ref="Q2707:Q2742" si="387">IF(P2707=1,"2016/2017-Ganjil",IF(P2707=2,"2016/2017-Genap",IF(P2707=3,"2017/2018-Ganjil",IF(P2707=4,"2017/2018-Genap",IF(P2707=5,"2018/2019-Ganjil",IF(P2707=6,"2018/2019-Genap",IF(P2707=7,"2019/2020-Ganjil",IF(P2707=8,"2019/2020-Genap",IF(P2707=9,"2020/2021-Ganjil","2020/2021-Genap")))))))))</f>
        <v>2016/2017-Genap</v>
      </c>
      <c r="R2707" t="s">
        <v>260</v>
      </c>
      <c r="S2707" t="str">
        <f t="shared" si="383"/>
        <v>PA</v>
      </c>
    </row>
    <row r="2708" spans="1:19" x14ac:dyDescent="0.3">
      <c r="A2708" t="s">
        <v>12</v>
      </c>
      <c r="B2708" t="s">
        <v>286</v>
      </c>
      <c r="C2708" t="s">
        <v>287</v>
      </c>
      <c r="E2708" t="s">
        <v>151</v>
      </c>
      <c r="F2708" t="s">
        <v>152</v>
      </c>
      <c r="G2708">
        <v>2</v>
      </c>
      <c r="H2708" t="s">
        <v>260</v>
      </c>
      <c r="I2708" s="4">
        <f t="shared" si="384"/>
        <v>4</v>
      </c>
      <c r="J2708">
        <f t="shared" si="385"/>
        <v>8</v>
      </c>
      <c r="K2708">
        <v>64</v>
      </c>
      <c r="L2708">
        <v>20</v>
      </c>
      <c r="M2708" s="2">
        <v>3.2</v>
      </c>
      <c r="N2708" s="2">
        <v>3.38</v>
      </c>
      <c r="O2708">
        <v>0</v>
      </c>
      <c r="P2708">
        <v>1</v>
      </c>
      <c r="Q2708" s="4" t="str">
        <f t="shared" si="387"/>
        <v>2016/2017-Ganjil</v>
      </c>
      <c r="R2708" t="s">
        <v>260</v>
      </c>
      <c r="S2708" t="str">
        <f t="shared" si="383"/>
        <v>PA</v>
      </c>
    </row>
    <row r="2709" spans="1:19" x14ac:dyDescent="0.3">
      <c r="A2709" t="s">
        <v>12</v>
      </c>
      <c r="B2709" t="s">
        <v>286</v>
      </c>
      <c r="C2709" t="s">
        <v>287</v>
      </c>
      <c r="E2709" t="s">
        <v>165</v>
      </c>
      <c r="F2709" s="1" t="s">
        <v>166</v>
      </c>
      <c r="G2709">
        <v>2</v>
      </c>
      <c r="H2709" t="s">
        <v>260</v>
      </c>
      <c r="I2709" s="4">
        <f t="shared" si="384"/>
        <v>4</v>
      </c>
      <c r="J2709">
        <f t="shared" si="385"/>
        <v>8</v>
      </c>
      <c r="K2709">
        <v>146</v>
      </c>
      <c r="L2709">
        <v>44</v>
      </c>
      <c r="M2709" s="2">
        <v>3.2</v>
      </c>
      <c r="N2709" s="2">
        <v>3.38</v>
      </c>
      <c r="O2709">
        <v>0</v>
      </c>
      <c r="P2709">
        <v>1</v>
      </c>
      <c r="Q2709" s="4" t="str">
        <f t="shared" si="387"/>
        <v>2016/2017-Ganjil</v>
      </c>
      <c r="R2709" t="s">
        <v>260</v>
      </c>
      <c r="S2709" t="str">
        <f t="shared" si="383"/>
        <v>PA</v>
      </c>
    </row>
    <row r="2710" spans="1:19" x14ac:dyDescent="0.3">
      <c r="A2710" t="s">
        <v>12</v>
      </c>
      <c r="B2710" t="s">
        <v>286</v>
      </c>
      <c r="C2710" t="s">
        <v>287</v>
      </c>
      <c r="E2710" t="s">
        <v>316</v>
      </c>
      <c r="F2710" t="s">
        <v>317</v>
      </c>
      <c r="G2710">
        <v>2</v>
      </c>
      <c r="H2710" t="s">
        <v>260</v>
      </c>
      <c r="I2710" s="4">
        <f t="shared" si="384"/>
        <v>4</v>
      </c>
      <c r="J2710">
        <f t="shared" si="385"/>
        <v>8</v>
      </c>
      <c r="K2710">
        <v>72</v>
      </c>
      <c r="L2710">
        <v>22</v>
      </c>
      <c r="M2710" s="2">
        <v>3.27</v>
      </c>
      <c r="N2710" s="2">
        <v>3.38</v>
      </c>
      <c r="O2710">
        <v>0</v>
      </c>
      <c r="P2710">
        <v>3</v>
      </c>
      <c r="Q2710" s="4" t="str">
        <f t="shared" si="387"/>
        <v>2017/2018-Ganjil</v>
      </c>
      <c r="R2710" t="s">
        <v>260</v>
      </c>
      <c r="S2710" t="str">
        <f t="shared" si="383"/>
        <v>PA</v>
      </c>
    </row>
    <row r="2711" spans="1:19" x14ac:dyDescent="0.3">
      <c r="A2711" t="s">
        <v>12</v>
      </c>
      <c r="B2711" t="s">
        <v>286</v>
      </c>
      <c r="C2711" t="s">
        <v>287</v>
      </c>
      <c r="E2711" t="s">
        <v>344</v>
      </c>
      <c r="F2711" t="s">
        <v>345</v>
      </c>
      <c r="G2711">
        <v>2</v>
      </c>
      <c r="H2711" t="s">
        <v>260</v>
      </c>
      <c r="I2711" s="4">
        <f t="shared" si="384"/>
        <v>4</v>
      </c>
      <c r="J2711">
        <f t="shared" si="385"/>
        <v>8</v>
      </c>
      <c r="K2711">
        <v>34</v>
      </c>
      <c r="L2711">
        <v>10</v>
      </c>
      <c r="M2711" s="2">
        <v>3.4</v>
      </c>
      <c r="N2711" s="2">
        <v>3.38</v>
      </c>
      <c r="O2711">
        <v>0</v>
      </c>
      <c r="P2711">
        <v>5</v>
      </c>
      <c r="Q2711" s="4" t="str">
        <f t="shared" si="387"/>
        <v>2018/2019-Ganjil</v>
      </c>
      <c r="R2711" t="s">
        <v>596</v>
      </c>
      <c r="S2711" t="str">
        <f t="shared" si="383"/>
        <v>PA</v>
      </c>
    </row>
    <row r="2712" spans="1:19" x14ac:dyDescent="0.3">
      <c r="A2712" t="s">
        <v>12</v>
      </c>
      <c r="B2712" t="s">
        <v>286</v>
      </c>
      <c r="C2712" t="s">
        <v>287</v>
      </c>
      <c r="E2712" t="s">
        <v>142</v>
      </c>
      <c r="F2712" s="1" t="s">
        <v>143</v>
      </c>
      <c r="G2712">
        <v>2</v>
      </c>
      <c r="H2712" t="s">
        <v>260</v>
      </c>
      <c r="I2712" s="4">
        <f t="shared" si="384"/>
        <v>4</v>
      </c>
      <c r="J2712">
        <f t="shared" si="385"/>
        <v>8</v>
      </c>
      <c r="K2712">
        <v>146</v>
      </c>
      <c r="L2712">
        <v>44</v>
      </c>
      <c r="M2712" s="2">
        <v>3.2</v>
      </c>
      <c r="N2712" s="2">
        <v>3.38</v>
      </c>
      <c r="O2712">
        <v>0</v>
      </c>
      <c r="P2712">
        <v>1</v>
      </c>
      <c r="Q2712" s="4" t="str">
        <f t="shared" si="387"/>
        <v>2016/2017-Ganjil</v>
      </c>
      <c r="R2712" t="s">
        <v>260</v>
      </c>
      <c r="S2712" t="str">
        <f t="shared" si="383"/>
        <v>PA</v>
      </c>
    </row>
    <row r="2713" spans="1:19" x14ac:dyDescent="0.3">
      <c r="A2713" t="s">
        <v>12</v>
      </c>
      <c r="B2713" t="s">
        <v>286</v>
      </c>
      <c r="C2713" t="s">
        <v>287</v>
      </c>
      <c r="E2713" t="s">
        <v>208</v>
      </c>
      <c r="F2713" t="s">
        <v>209</v>
      </c>
      <c r="G2713">
        <v>2</v>
      </c>
      <c r="H2713" t="s">
        <v>260</v>
      </c>
      <c r="I2713" s="4">
        <f t="shared" si="384"/>
        <v>4</v>
      </c>
      <c r="J2713">
        <f t="shared" si="385"/>
        <v>8</v>
      </c>
      <c r="K2713">
        <v>64</v>
      </c>
      <c r="L2713">
        <v>20</v>
      </c>
      <c r="M2713" s="2">
        <v>3.2</v>
      </c>
      <c r="N2713" s="2">
        <v>3.38</v>
      </c>
      <c r="O2713">
        <v>0</v>
      </c>
      <c r="P2713">
        <v>1</v>
      </c>
      <c r="Q2713" s="4" t="str">
        <f t="shared" si="387"/>
        <v>2016/2017-Ganjil</v>
      </c>
      <c r="R2713" t="s">
        <v>260</v>
      </c>
      <c r="S2713" t="str">
        <f t="shared" si="383"/>
        <v>PA</v>
      </c>
    </row>
    <row r="2714" spans="1:19" x14ac:dyDescent="0.3">
      <c r="A2714" t="s">
        <v>12</v>
      </c>
      <c r="B2714" t="s">
        <v>286</v>
      </c>
      <c r="C2714" t="s">
        <v>287</v>
      </c>
      <c r="E2714" t="s">
        <v>139</v>
      </c>
      <c r="F2714" s="1" t="s">
        <v>140</v>
      </c>
      <c r="G2714">
        <v>2</v>
      </c>
      <c r="H2714" t="s">
        <v>260</v>
      </c>
      <c r="I2714" s="4">
        <f t="shared" si="384"/>
        <v>4</v>
      </c>
      <c r="J2714">
        <f t="shared" si="385"/>
        <v>8</v>
      </c>
      <c r="K2714">
        <v>146</v>
      </c>
      <c r="L2714">
        <v>44</v>
      </c>
      <c r="M2714" s="2">
        <v>3.2</v>
      </c>
      <c r="N2714" s="2">
        <v>3.38</v>
      </c>
      <c r="O2714">
        <v>0</v>
      </c>
      <c r="P2714">
        <v>1</v>
      </c>
      <c r="Q2714" s="4" t="str">
        <f t="shared" si="387"/>
        <v>2016/2017-Ganjil</v>
      </c>
      <c r="R2714" t="s">
        <v>260</v>
      </c>
      <c r="S2714" t="str">
        <f t="shared" si="383"/>
        <v>PA</v>
      </c>
    </row>
    <row r="2715" spans="1:19" x14ac:dyDescent="0.3">
      <c r="A2715" t="s">
        <v>12</v>
      </c>
      <c r="B2715" t="s">
        <v>286</v>
      </c>
      <c r="C2715" t="s">
        <v>287</v>
      </c>
      <c r="E2715" t="s">
        <v>279</v>
      </c>
      <c r="F2715" t="s">
        <v>280</v>
      </c>
      <c r="G2715">
        <v>2</v>
      </c>
      <c r="H2715" t="s">
        <v>260</v>
      </c>
      <c r="I2715" s="4">
        <f t="shared" si="384"/>
        <v>4</v>
      </c>
      <c r="J2715">
        <f t="shared" si="385"/>
        <v>8</v>
      </c>
      <c r="K2715">
        <v>94</v>
      </c>
      <c r="L2715">
        <v>24</v>
      </c>
      <c r="M2715" s="2">
        <v>3.92</v>
      </c>
      <c r="N2715" s="2">
        <v>3.38</v>
      </c>
      <c r="O2715">
        <v>0</v>
      </c>
      <c r="P2715">
        <v>2</v>
      </c>
      <c r="Q2715" s="4" t="str">
        <f t="shared" si="387"/>
        <v>2016/2017-Genap</v>
      </c>
      <c r="R2715" t="s">
        <v>260</v>
      </c>
      <c r="S2715" t="str">
        <f t="shared" si="383"/>
        <v>PA</v>
      </c>
    </row>
    <row r="2716" spans="1:19" x14ac:dyDescent="0.3">
      <c r="A2716" t="s">
        <v>12</v>
      </c>
      <c r="B2716" t="s">
        <v>286</v>
      </c>
      <c r="C2716" t="s">
        <v>287</v>
      </c>
      <c r="E2716" t="s">
        <v>170</v>
      </c>
      <c r="F2716" s="1" t="s">
        <v>171</v>
      </c>
      <c r="G2716">
        <v>4</v>
      </c>
      <c r="H2716" t="s">
        <v>438</v>
      </c>
      <c r="I2716" s="4">
        <f t="shared" si="384"/>
        <v>3</v>
      </c>
      <c r="J2716">
        <f t="shared" si="385"/>
        <v>12</v>
      </c>
      <c r="K2716">
        <v>146</v>
      </c>
      <c r="L2716">
        <v>44</v>
      </c>
      <c r="M2716" s="2">
        <v>3.2</v>
      </c>
      <c r="N2716" s="2">
        <v>3.38</v>
      </c>
      <c r="O2716">
        <v>0</v>
      </c>
      <c r="P2716">
        <v>1</v>
      </c>
      <c r="Q2716" s="4" t="str">
        <f t="shared" si="387"/>
        <v>2016/2017-Ganjil</v>
      </c>
      <c r="R2716" t="s">
        <v>260</v>
      </c>
      <c r="S2716" t="str">
        <f t="shared" si="383"/>
        <v>PA</v>
      </c>
    </row>
    <row r="2717" spans="1:19" x14ac:dyDescent="0.3">
      <c r="A2717" t="s">
        <v>12</v>
      </c>
      <c r="B2717" t="s">
        <v>286</v>
      </c>
      <c r="C2717" t="s">
        <v>287</v>
      </c>
      <c r="E2717" t="s">
        <v>337</v>
      </c>
      <c r="F2717" t="s">
        <v>338</v>
      </c>
      <c r="G2717">
        <v>2</v>
      </c>
      <c r="H2717" t="s">
        <v>260</v>
      </c>
      <c r="I2717" s="4">
        <f t="shared" si="384"/>
        <v>4</v>
      </c>
      <c r="J2717">
        <f t="shared" si="385"/>
        <v>8</v>
      </c>
      <c r="K2717">
        <v>72</v>
      </c>
      <c r="L2717">
        <v>22</v>
      </c>
      <c r="M2717" s="2">
        <v>3.27</v>
      </c>
      <c r="N2717" s="2">
        <v>3.38</v>
      </c>
      <c r="O2717">
        <v>0</v>
      </c>
      <c r="P2717">
        <v>3</v>
      </c>
      <c r="Q2717" s="4" t="str">
        <f t="shared" si="387"/>
        <v>2017/2018-Ganjil</v>
      </c>
      <c r="R2717" t="s">
        <v>260</v>
      </c>
      <c r="S2717" t="str">
        <f t="shared" si="383"/>
        <v>PA</v>
      </c>
    </row>
    <row r="2718" spans="1:19" x14ac:dyDescent="0.3">
      <c r="A2718" t="s">
        <v>12</v>
      </c>
      <c r="B2718" t="s">
        <v>286</v>
      </c>
      <c r="C2718" t="s">
        <v>287</v>
      </c>
      <c r="E2718" t="s">
        <v>306</v>
      </c>
      <c r="F2718" s="1" t="s">
        <v>307</v>
      </c>
      <c r="G2718">
        <v>2</v>
      </c>
      <c r="H2718" t="s">
        <v>438</v>
      </c>
      <c r="I2718" s="4">
        <f t="shared" si="384"/>
        <v>3</v>
      </c>
      <c r="J2718">
        <f t="shared" si="385"/>
        <v>6</v>
      </c>
      <c r="K2718">
        <v>146</v>
      </c>
      <c r="L2718">
        <v>44</v>
      </c>
      <c r="M2718" s="2">
        <v>3.2</v>
      </c>
      <c r="N2718" s="2">
        <v>3.38</v>
      </c>
      <c r="O2718">
        <v>0</v>
      </c>
      <c r="P2718">
        <v>1</v>
      </c>
      <c r="Q2718" s="4" t="str">
        <f t="shared" si="387"/>
        <v>2016/2017-Ganjil</v>
      </c>
      <c r="R2718" t="s">
        <v>260</v>
      </c>
      <c r="S2718" t="str">
        <f t="shared" si="383"/>
        <v>PA</v>
      </c>
    </row>
    <row r="2719" spans="1:19" x14ac:dyDescent="0.3">
      <c r="A2719" t="s">
        <v>12</v>
      </c>
      <c r="B2719" t="s">
        <v>286</v>
      </c>
      <c r="C2719" t="s">
        <v>287</v>
      </c>
      <c r="E2719" t="s">
        <v>14</v>
      </c>
      <c r="F2719" t="s">
        <v>15</v>
      </c>
      <c r="G2719">
        <v>2</v>
      </c>
      <c r="H2719" t="s">
        <v>438</v>
      </c>
      <c r="I2719" s="4">
        <f t="shared" si="384"/>
        <v>3</v>
      </c>
      <c r="J2719">
        <f t="shared" si="385"/>
        <v>6</v>
      </c>
      <c r="K2719">
        <v>34</v>
      </c>
      <c r="L2719">
        <v>10</v>
      </c>
      <c r="M2719" s="2">
        <v>3.4</v>
      </c>
      <c r="N2719" s="2">
        <v>3.38</v>
      </c>
      <c r="O2719">
        <v>0</v>
      </c>
      <c r="P2719">
        <v>5</v>
      </c>
      <c r="Q2719" s="4" t="str">
        <f t="shared" si="387"/>
        <v>2018/2019-Ganjil</v>
      </c>
      <c r="R2719" t="s">
        <v>596</v>
      </c>
      <c r="S2719" t="str">
        <f t="shared" si="383"/>
        <v>PA</v>
      </c>
    </row>
    <row r="2720" spans="1:19" x14ac:dyDescent="0.3">
      <c r="A2720" t="s">
        <v>12</v>
      </c>
      <c r="B2720" t="s">
        <v>286</v>
      </c>
      <c r="C2720" t="s">
        <v>287</v>
      </c>
      <c r="E2720" t="s">
        <v>190</v>
      </c>
      <c r="F2720" t="s">
        <v>191</v>
      </c>
      <c r="G2720">
        <v>4</v>
      </c>
      <c r="H2720" t="s">
        <v>438</v>
      </c>
      <c r="I2720" s="4">
        <f t="shared" si="384"/>
        <v>3</v>
      </c>
      <c r="J2720">
        <f t="shared" si="385"/>
        <v>12</v>
      </c>
      <c r="K2720">
        <v>72</v>
      </c>
      <c r="L2720">
        <v>22</v>
      </c>
      <c r="M2720" s="2">
        <v>3.27</v>
      </c>
      <c r="N2720" s="2">
        <v>3.38</v>
      </c>
      <c r="O2720">
        <v>0</v>
      </c>
      <c r="P2720">
        <v>3</v>
      </c>
      <c r="Q2720" s="4" t="str">
        <f t="shared" si="387"/>
        <v>2017/2018-Ganjil</v>
      </c>
      <c r="R2720" t="s">
        <v>260</v>
      </c>
      <c r="S2720" t="str">
        <f t="shared" si="383"/>
        <v>PA</v>
      </c>
    </row>
    <row r="2721" spans="1:19" x14ac:dyDescent="0.3">
      <c r="A2721" t="s">
        <v>12</v>
      </c>
      <c r="B2721" t="s">
        <v>286</v>
      </c>
      <c r="C2721" t="s">
        <v>287</v>
      </c>
      <c r="E2721" t="s">
        <v>90</v>
      </c>
      <c r="F2721" t="s">
        <v>91</v>
      </c>
      <c r="G2721">
        <v>2</v>
      </c>
      <c r="H2721" t="s">
        <v>438</v>
      </c>
      <c r="I2721" s="4">
        <f t="shared" si="384"/>
        <v>3</v>
      </c>
      <c r="J2721">
        <f t="shared" si="385"/>
        <v>6</v>
      </c>
      <c r="K2721">
        <v>64</v>
      </c>
      <c r="L2721">
        <v>20</v>
      </c>
      <c r="M2721" s="2">
        <v>3.2</v>
      </c>
      <c r="N2721" s="2">
        <v>3.38</v>
      </c>
      <c r="O2721">
        <v>0</v>
      </c>
      <c r="P2721">
        <v>1</v>
      </c>
      <c r="Q2721" s="4" t="str">
        <f t="shared" si="387"/>
        <v>2016/2017-Ganjil</v>
      </c>
      <c r="R2721" t="s">
        <v>260</v>
      </c>
      <c r="S2721" t="str">
        <f t="shared" si="383"/>
        <v>PA</v>
      </c>
    </row>
    <row r="2722" spans="1:19" x14ac:dyDescent="0.3">
      <c r="A2722" t="s">
        <v>12</v>
      </c>
      <c r="B2722" t="s">
        <v>286</v>
      </c>
      <c r="C2722" t="s">
        <v>287</v>
      </c>
      <c r="E2722" t="s">
        <v>437</v>
      </c>
      <c r="F2722" s="1" t="s">
        <v>169</v>
      </c>
      <c r="G2722">
        <v>4</v>
      </c>
      <c r="H2722" t="s">
        <v>438</v>
      </c>
      <c r="I2722" s="4">
        <f t="shared" si="384"/>
        <v>3</v>
      </c>
      <c r="J2722">
        <f t="shared" si="385"/>
        <v>12</v>
      </c>
      <c r="K2722">
        <v>146</v>
      </c>
      <c r="L2722">
        <v>44</v>
      </c>
      <c r="M2722" s="2">
        <v>3.2</v>
      </c>
      <c r="N2722" s="2">
        <v>3.38</v>
      </c>
      <c r="O2722">
        <v>0</v>
      </c>
      <c r="P2722">
        <v>1</v>
      </c>
      <c r="Q2722" s="4" t="str">
        <f t="shared" si="387"/>
        <v>2016/2017-Ganjil</v>
      </c>
      <c r="R2722" t="s">
        <v>260</v>
      </c>
      <c r="S2722" t="str">
        <f t="shared" si="383"/>
        <v>PA</v>
      </c>
    </row>
    <row r="2723" spans="1:19" x14ac:dyDescent="0.3">
      <c r="A2723" t="s">
        <v>12</v>
      </c>
      <c r="B2723" t="s">
        <v>286</v>
      </c>
      <c r="C2723" t="s">
        <v>287</v>
      </c>
      <c r="E2723" t="s">
        <v>330</v>
      </c>
      <c r="F2723" t="s">
        <v>108</v>
      </c>
      <c r="G2723">
        <v>2</v>
      </c>
      <c r="H2723" t="s">
        <v>438</v>
      </c>
      <c r="I2723" s="4">
        <f t="shared" si="384"/>
        <v>3</v>
      </c>
      <c r="J2723">
        <f t="shared" si="385"/>
        <v>6</v>
      </c>
      <c r="K2723">
        <v>72</v>
      </c>
      <c r="L2723">
        <v>22</v>
      </c>
      <c r="M2723" s="2">
        <v>3.27</v>
      </c>
      <c r="N2723" s="2">
        <v>3.38</v>
      </c>
      <c r="O2723">
        <v>0</v>
      </c>
      <c r="P2723">
        <v>3</v>
      </c>
      <c r="Q2723" s="4" t="str">
        <f t="shared" si="387"/>
        <v>2017/2018-Ganjil</v>
      </c>
      <c r="R2723" t="s">
        <v>260</v>
      </c>
      <c r="S2723" t="str">
        <f t="shared" si="383"/>
        <v>PA</v>
      </c>
    </row>
    <row r="2724" spans="1:19" x14ac:dyDescent="0.3">
      <c r="A2724" t="s">
        <v>12</v>
      </c>
      <c r="B2724" t="s">
        <v>286</v>
      </c>
      <c r="C2724" t="s">
        <v>287</v>
      </c>
      <c r="E2724" t="s">
        <v>122</v>
      </c>
      <c r="F2724" s="1" t="s">
        <v>123</v>
      </c>
      <c r="G2724">
        <v>4</v>
      </c>
      <c r="H2724" t="s">
        <v>438</v>
      </c>
      <c r="I2724" s="4">
        <f t="shared" si="384"/>
        <v>3</v>
      </c>
      <c r="J2724">
        <f t="shared" si="385"/>
        <v>12</v>
      </c>
      <c r="K2724">
        <v>146</v>
      </c>
      <c r="L2724">
        <v>44</v>
      </c>
      <c r="M2724" s="2">
        <v>3.2</v>
      </c>
      <c r="N2724" s="2">
        <v>3.38</v>
      </c>
      <c r="O2724">
        <v>0</v>
      </c>
      <c r="P2724">
        <v>1</v>
      </c>
      <c r="Q2724" s="4" t="str">
        <f t="shared" si="387"/>
        <v>2016/2017-Ganjil</v>
      </c>
      <c r="R2724" t="s">
        <v>260</v>
      </c>
      <c r="S2724" t="str">
        <f t="shared" si="383"/>
        <v>PA</v>
      </c>
    </row>
    <row r="2725" spans="1:19" x14ac:dyDescent="0.3">
      <c r="A2725" t="s">
        <v>12</v>
      </c>
      <c r="B2725" t="s">
        <v>286</v>
      </c>
      <c r="C2725" t="s">
        <v>287</v>
      </c>
      <c r="E2725" t="s">
        <v>236</v>
      </c>
      <c r="F2725" t="s">
        <v>237</v>
      </c>
      <c r="G2725">
        <v>2</v>
      </c>
      <c r="H2725" t="s">
        <v>438</v>
      </c>
      <c r="I2725" s="4">
        <f t="shared" si="384"/>
        <v>3</v>
      </c>
      <c r="J2725">
        <f t="shared" si="385"/>
        <v>6</v>
      </c>
      <c r="K2725">
        <v>64</v>
      </c>
      <c r="L2725">
        <v>20</v>
      </c>
      <c r="M2725" s="2">
        <v>3.2</v>
      </c>
      <c r="N2725" s="2">
        <v>3.38</v>
      </c>
      <c r="O2725">
        <v>0</v>
      </c>
      <c r="P2725">
        <v>1</v>
      </c>
      <c r="Q2725" s="4" t="str">
        <f t="shared" si="387"/>
        <v>2016/2017-Ganjil</v>
      </c>
      <c r="R2725" t="s">
        <v>260</v>
      </c>
      <c r="S2725" t="str">
        <f t="shared" si="383"/>
        <v>PA</v>
      </c>
    </row>
    <row r="2726" spans="1:19" x14ac:dyDescent="0.3">
      <c r="A2726" t="s">
        <v>12</v>
      </c>
      <c r="B2726" t="s">
        <v>286</v>
      </c>
      <c r="C2726" t="s">
        <v>287</v>
      </c>
      <c r="E2726" t="s">
        <v>382</v>
      </c>
      <c r="F2726" t="s">
        <v>383</v>
      </c>
      <c r="G2726">
        <v>4</v>
      </c>
      <c r="H2726" t="s">
        <v>438</v>
      </c>
      <c r="I2726" s="4">
        <f t="shared" si="384"/>
        <v>3</v>
      </c>
      <c r="J2726">
        <f t="shared" si="385"/>
        <v>12</v>
      </c>
      <c r="K2726">
        <v>64</v>
      </c>
      <c r="L2726">
        <v>20</v>
      </c>
      <c r="M2726" s="2">
        <v>3.2</v>
      </c>
      <c r="N2726" s="2">
        <v>3.38</v>
      </c>
      <c r="O2726">
        <v>0</v>
      </c>
      <c r="P2726">
        <v>1</v>
      </c>
      <c r="Q2726" s="4" t="str">
        <f t="shared" si="387"/>
        <v>2016/2017-Ganjil</v>
      </c>
      <c r="R2726" t="s">
        <v>260</v>
      </c>
      <c r="S2726" t="str">
        <f t="shared" si="383"/>
        <v>PA</v>
      </c>
    </row>
    <row r="2727" spans="1:19" x14ac:dyDescent="0.3">
      <c r="A2727" t="s">
        <v>12</v>
      </c>
      <c r="B2727" t="s">
        <v>286</v>
      </c>
      <c r="C2727" t="s">
        <v>287</v>
      </c>
      <c r="E2727" t="s">
        <v>302</v>
      </c>
      <c r="F2727" s="1" t="s">
        <v>303</v>
      </c>
      <c r="G2727">
        <v>2</v>
      </c>
      <c r="H2727" t="s">
        <v>438</v>
      </c>
      <c r="I2727" s="4">
        <f t="shared" si="384"/>
        <v>3</v>
      </c>
      <c r="J2727">
        <f t="shared" si="385"/>
        <v>6</v>
      </c>
      <c r="K2727">
        <v>146</v>
      </c>
      <c r="L2727">
        <v>44</v>
      </c>
      <c r="M2727" s="2">
        <v>3.2</v>
      </c>
      <c r="N2727" s="2">
        <v>3.38</v>
      </c>
      <c r="O2727">
        <v>0</v>
      </c>
      <c r="P2727">
        <v>1</v>
      </c>
      <c r="Q2727" s="4" t="str">
        <f t="shared" si="387"/>
        <v>2016/2017-Ganjil</v>
      </c>
      <c r="R2727" t="s">
        <v>260</v>
      </c>
      <c r="S2727" t="str">
        <f t="shared" si="383"/>
        <v>PA</v>
      </c>
    </row>
    <row r="2728" spans="1:19" x14ac:dyDescent="0.3">
      <c r="A2728" t="s">
        <v>12</v>
      </c>
      <c r="B2728" t="s">
        <v>286</v>
      </c>
      <c r="C2728" t="s">
        <v>287</v>
      </c>
      <c r="E2728" t="s">
        <v>508</v>
      </c>
      <c r="F2728" t="s">
        <v>447</v>
      </c>
      <c r="G2728">
        <v>2</v>
      </c>
      <c r="H2728" t="s">
        <v>438</v>
      </c>
      <c r="I2728" s="4">
        <f t="shared" si="384"/>
        <v>3</v>
      </c>
      <c r="J2728">
        <f t="shared" si="385"/>
        <v>6</v>
      </c>
      <c r="K2728">
        <v>76</v>
      </c>
      <c r="L2728">
        <v>24</v>
      </c>
      <c r="M2728" s="2">
        <v>3.17</v>
      </c>
      <c r="N2728" s="2">
        <v>3.38</v>
      </c>
      <c r="O2728">
        <v>0</v>
      </c>
      <c r="P2728">
        <v>4</v>
      </c>
      <c r="Q2728" s="4" t="str">
        <f t="shared" si="387"/>
        <v>2017/2018-Genap</v>
      </c>
      <c r="R2728" t="s">
        <v>260</v>
      </c>
      <c r="S2728" t="str">
        <f t="shared" si="383"/>
        <v>PA</v>
      </c>
    </row>
    <row r="2729" spans="1:19" x14ac:dyDescent="0.3">
      <c r="A2729" t="s">
        <v>12</v>
      </c>
      <c r="B2729" t="s">
        <v>286</v>
      </c>
      <c r="C2729" t="s">
        <v>287</v>
      </c>
      <c r="E2729" t="s">
        <v>374</v>
      </c>
      <c r="F2729" t="s">
        <v>375</v>
      </c>
      <c r="G2729">
        <v>2</v>
      </c>
      <c r="H2729" t="s">
        <v>438</v>
      </c>
      <c r="I2729" s="4">
        <f t="shared" si="384"/>
        <v>3</v>
      </c>
      <c r="J2729">
        <f t="shared" si="385"/>
        <v>6</v>
      </c>
      <c r="K2729">
        <v>94</v>
      </c>
      <c r="L2729">
        <v>24</v>
      </c>
      <c r="M2729" s="2">
        <v>3.92</v>
      </c>
      <c r="N2729" s="2">
        <v>3.38</v>
      </c>
      <c r="O2729">
        <v>0</v>
      </c>
      <c r="P2729">
        <v>2</v>
      </c>
      <c r="Q2729" s="4" t="str">
        <f t="shared" si="387"/>
        <v>2016/2017-Genap</v>
      </c>
      <c r="R2729" t="s">
        <v>260</v>
      </c>
      <c r="S2729" t="str">
        <f t="shared" si="383"/>
        <v>PA</v>
      </c>
    </row>
    <row r="2730" spans="1:19" x14ac:dyDescent="0.3">
      <c r="A2730" t="s">
        <v>12</v>
      </c>
      <c r="B2730" t="s">
        <v>286</v>
      </c>
      <c r="C2730" t="s">
        <v>287</v>
      </c>
      <c r="E2730" t="s">
        <v>283</v>
      </c>
      <c r="F2730" s="1" t="s">
        <v>284</v>
      </c>
      <c r="G2730">
        <v>2</v>
      </c>
      <c r="H2730" t="s">
        <v>438</v>
      </c>
      <c r="I2730" s="4">
        <f t="shared" si="384"/>
        <v>3</v>
      </c>
      <c r="J2730">
        <f t="shared" si="385"/>
        <v>6</v>
      </c>
      <c r="K2730">
        <v>146</v>
      </c>
      <c r="L2730">
        <v>44</v>
      </c>
      <c r="M2730" s="2">
        <v>3.2</v>
      </c>
      <c r="N2730" s="2">
        <v>3.38</v>
      </c>
      <c r="O2730">
        <v>0</v>
      </c>
      <c r="P2730">
        <v>1</v>
      </c>
      <c r="Q2730" s="4" t="str">
        <f t="shared" si="387"/>
        <v>2016/2017-Ganjil</v>
      </c>
      <c r="R2730" t="s">
        <v>260</v>
      </c>
      <c r="S2730" t="str">
        <f t="shared" si="383"/>
        <v>PA</v>
      </c>
    </row>
    <row r="2731" spans="1:19" x14ac:dyDescent="0.3">
      <c r="A2731" t="s">
        <v>12</v>
      </c>
      <c r="B2731" t="s">
        <v>286</v>
      </c>
      <c r="C2731" t="s">
        <v>287</v>
      </c>
      <c r="E2731" t="s">
        <v>427</v>
      </c>
      <c r="F2731" t="s">
        <v>428</v>
      </c>
      <c r="G2731">
        <v>2</v>
      </c>
      <c r="H2731" t="s">
        <v>438</v>
      </c>
      <c r="I2731" s="4">
        <f t="shared" si="384"/>
        <v>3</v>
      </c>
      <c r="J2731">
        <f t="shared" si="385"/>
        <v>6</v>
      </c>
      <c r="K2731">
        <v>76</v>
      </c>
      <c r="L2731">
        <v>24</v>
      </c>
      <c r="M2731" s="2">
        <v>3.17</v>
      </c>
      <c r="N2731" s="2">
        <v>3.38</v>
      </c>
      <c r="O2731">
        <v>0</v>
      </c>
      <c r="P2731">
        <v>4</v>
      </c>
      <c r="Q2731" s="4" t="str">
        <f t="shared" si="387"/>
        <v>2017/2018-Genap</v>
      </c>
      <c r="R2731" t="s">
        <v>260</v>
      </c>
      <c r="S2731" t="str">
        <f t="shared" si="383"/>
        <v>PA</v>
      </c>
    </row>
    <row r="2732" spans="1:19" x14ac:dyDescent="0.3">
      <c r="A2732" t="s">
        <v>12</v>
      </c>
      <c r="B2732" t="s">
        <v>286</v>
      </c>
      <c r="C2732" t="s">
        <v>287</v>
      </c>
      <c r="E2732" t="s">
        <v>31</v>
      </c>
      <c r="F2732" t="s">
        <v>20</v>
      </c>
      <c r="G2732">
        <v>4</v>
      </c>
      <c r="H2732" t="s">
        <v>438</v>
      </c>
      <c r="I2732" s="4">
        <f t="shared" si="384"/>
        <v>3</v>
      </c>
      <c r="J2732">
        <f t="shared" si="385"/>
        <v>12</v>
      </c>
      <c r="K2732">
        <v>34</v>
      </c>
      <c r="L2732">
        <v>10</v>
      </c>
      <c r="M2732" s="2">
        <v>3.4</v>
      </c>
      <c r="N2732" s="2">
        <v>3.38</v>
      </c>
      <c r="O2732">
        <v>0</v>
      </c>
      <c r="P2732">
        <v>5</v>
      </c>
      <c r="Q2732" s="4" t="str">
        <f t="shared" si="387"/>
        <v>2018/2019-Ganjil</v>
      </c>
      <c r="R2732" t="s">
        <v>596</v>
      </c>
      <c r="S2732" t="str">
        <f t="shared" si="383"/>
        <v>PA</v>
      </c>
    </row>
    <row r="2733" spans="1:19" x14ac:dyDescent="0.3">
      <c r="A2733" t="s">
        <v>12</v>
      </c>
      <c r="B2733" t="s">
        <v>286</v>
      </c>
      <c r="C2733" t="s">
        <v>287</v>
      </c>
      <c r="E2733" t="s">
        <v>173</v>
      </c>
      <c r="F2733" t="s">
        <v>8</v>
      </c>
      <c r="G2733">
        <v>2</v>
      </c>
      <c r="H2733" t="s">
        <v>438</v>
      </c>
      <c r="I2733" s="4">
        <f t="shared" si="384"/>
        <v>3</v>
      </c>
      <c r="J2733">
        <f t="shared" si="385"/>
        <v>6</v>
      </c>
      <c r="K2733">
        <v>72</v>
      </c>
      <c r="L2733">
        <v>22</v>
      </c>
      <c r="M2733" s="2">
        <v>3.27</v>
      </c>
      <c r="N2733" s="2">
        <v>3.38</v>
      </c>
      <c r="O2733">
        <v>0</v>
      </c>
      <c r="P2733">
        <v>3</v>
      </c>
      <c r="Q2733" s="4" t="str">
        <f t="shared" si="387"/>
        <v>2017/2018-Ganjil</v>
      </c>
      <c r="R2733" t="s">
        <v>260</v>
      </c>
      <c r="S2733" t="str">
        <f t="shared" si="383"/>
        <v>PA</v>
      </c>
    </row>
    <row r="2734" spans="1:19" x14ac:dyDescent="0.3">
      <c r="A2734" t="s">
        <v>12</v>
      </c>
      <c r="B2734" t="s">
        <v>286</v>
      </c>
      <c r="C2734" t="s">
        <v>287</v>
      </c>
      <c r="E2734" t="s">
        <v>205</v>
      </c>
      <c r="F2734" t="s">
        <v>116</v>
      </c>
      <c r="G2734">
        <v>4</v>
      </c>
      <c r="H2734" t="s">
        <v>438</v>
      </c>
      <c r="I2734" s="4">
        <f t="shared" si="384"/>
        <v>3</v>
      </c>
      <c r="J2734">
        <f t="shared" si="385"/>
        <v>12</v>
      </c>
      <c r="K2734">
        <v>72</v>
      </c>
      <c r="L2734">
        <v>22</v>
      </c>
      <c r="M2734" s="2">
        <v>3.27</v>
      </c>
      <c r="N2734" s="2">
        <v>3.38</v>
      </c>
      <c r="O2734">
        <v>0</v>
      </c>
      <c r="P2734">
        <v>3</v>
      </c>
      <c r="Q2734" s="4" t="str">
        <f t="shared" si="387"/>
        <v>2017/2018-Ganjil</v>
      </c>
      <c r="R2734" t="s">
        <v>260</v>
      </c>
      <c r="S2734" t="str">
        <f t="shared" si="383"/>
        <v>PA</v>
      </c>
    </row>
    <row r="2735" spans="1:19" x14ac:dyDescent="0.3">
      <c r="A2735" t="s">
        <v>12</v>
      </c>
      <c r="B2735" t="s">
        <v>286</v>
      </c>
      <c r="C2735" t="s">
        <v>287</v>
      </c>
      <c r="E2735" t="s">
        <v>357</v>
      </c>
      <c r="F2735" t="s">
        <v>358</v>
      </c>
      <c r="G2735">
        <v>4</v>
      </c>
      <c r="H2735" t="s">
        <v>438</v>
      </c>
      <c r="I2735" s="4">
        <f t="shared" si="384"/>
        <v>3</v>
      </c>
      <c r="J2735">
        <f t="shared" si="385"/>
        <v>12</v>
      </c>
      <c r="K2735">
        <v>64</v>
      </c>
      <c r="L2735">
        <v>20</v>
      </c>
      <c r="M2735" s="2">
        <v>3.2</v>
      </c>
      <c r="N2735" s="2">
        <v>3.38</v>
      </c>
      <c r="O2735">
        <v>0</v>
      </c>
      <c r="P2735">
        <v>1</v>
      </c>
      <c r="Q2735" s="4" t="str">
        <f t="shared" si="387"/>
        <v>2016/2017-Ganjil</v>
      </c>
      <c r="R2735" t="s">
        <v>260</v>
      </c>
      <c r="S2735" t="str">
        <f t="shared" si="383"/>
        <v>PA</v>
      </c>
    </row>
    <row r="2736" spans="1:19" x14ac:dyDescent="0.3">
      <c r="A2736" t="s">
        <v>12</v>
      </c>
      <c r="B2736" t="s">
        <v>286</v>
      </c>
      <c r="C2736" t="s">
        <v>287</v>
      </c>
      <c r="E2736" t="s">
        <v>276</v>
      </c>
      <c r="F2736" s="1" t="s">
        <v>137</v>
      </c>
      <c r="G2736">
        <v>4</v>
      </c>
      <c r="H2736" t="s">
        <v>438</v>
      </c>
      <c r="I2736" s="4">
        <f t="shared" si="384"/>
        <v>3</v>
      </c>
      <c r="J2736">
        <f t="shared" si="385"/>
        <v>12</v>
      </c>
      <c r="K2736">
        <v>146</v>
      </c>
      <c r="L2736">
        <v>44</v>
      </c>
      <c r="M2736" s="2">
        <v>3.2</v>
      </c>
      <c r="N2736" s="2">
        <v>3.38</v>
      </c>
      <c r="O2736">
        <v>0</v>
      </c>
      <c r="P2736">
        <v>1</v>
      </c>
      <c r="Q2736" s="4" t="str">
        <f t="shared" si="387"/>
        <v>2016/2017-Ganjil</v>
      </c>
      <c r="R2736" t="s">
        <v>260</v>
      </c>
      <c r="S2736" t="str">
        <f t="shared" si="383"/>
        <v>PA</v>
      </c>
    </row>
    <row r="2737" spans="1:19" x14ac:dyDescent="0.3">
      <c r="A2737" t="s">
        <v>12</v>
      </c>
      <c r="B2737" t="s">
        <v>286</v>
      </c>
      <c r="C2737" t="s">
        <v>287</v>
      </c>
      <c r="E2737" t="s">
        <v>432</v>
      </c>
      <c r="F2737" t="s">
        <v>433</v>
      </c>
      <c r="G2737">
        <v>4</v>
      </c>
      <c r="H2737" t="s">
        <v>438</v>
      </c>
      <c r="I2737" s="4">
        <f t="shared" si="384"/>
        <v>3</v>
      </c>
      <c r="J2737">
        <f t="shared" si="385"/>
        <v>12</v>
      </c>
      <c r="K2737">
        <v>76</v>
      </c>
      <c r="L2737">
        <v>24</v>
      </c>
      <c r="M2737" s="2">
        <v>3.17</v>
      </c>
      <c r="N2737" s="2">
        <v>3.38</v>
      </c>
      <c r="O2737">
        <v>0</v>
      </c>
      <c r="P2737">
        <v>4</v>
      </c>
      <c r="Q2737" s="4" t="str">
        <f t="shared" si="387"/>
        <v>2017/2018-Genap</v>
      </c>
      <c r="R2737" t="s">
        <v>260</v>
      </c>
      <c r="S2737" t="str">
        <f t="shared" si="383"/>
        <v>PA</v>
      </c>
    </row>
    <row r="2738" spans="1:19" x14ac:dyDescent="0.3">
      <c r="A2738" t="s">
        <v>12</v>
      </c>
      <c r="B2738" t="s">
        <v>286</v>
      </c>
      <c r="C2738" t="s">
        <v>287</v>
      </c>
      <c r="E2738" t="s">
        <v>262</v>
      </c>
      <c r="F2738" t="s">
        <v>263</v>
      </c>
      <c r="G2738">
        <v>2</v>
      </c>
      <c r="H2738" t="s">
        <v>524</v>
      </c>
      <c r="I2738" s="4">
        <f t="shared" si="384"/>
        <v>2</v>
      </c>
      <c r="J2738">
        <f t="shared" si="385"/>
        <v>4</v>
      </c>
      <c r="K2738">
        <v>76</v>
      </c>
      <c r="L2738">
        <v>24</v>
      </c>
      <c r="M2738" s="2">
        <v>3.17</v>
      </c>
      <c r="N2738" s="2">
        <v>3.38</v>
      </c>
      <c r="O2738">
        <v>0</v>
      </c>
      <c r="P2738">
        <v>4</v>
      </c>
      <c r="Q2738" s="4" t="str">
        <f t="shared" si="387"/>
        <v>2017/2018-Genap</v>
      </c>
      <c r="R2738" t="s">
        <v>260</v>
      </c>
      <c r="S2738" t="str">
        <f t="shared" si="383"/>
        <v>PA</v>
      </c>
    </row>
    <row r="2739" spans="1:19" x14ac:dyDescent="0.3">
      <c r="A2739" t="s">
        <v>12</v>
      </c>
      <c r="B2739" t="s">
        <v>286</v>
      </c>
      <c r="C2739" t="s">
        <v>287</v>
      </c>
      <c r="E2739" t="s">
        <v>264</v>
      </c>
      <c r="F2739" t="s">
        <v>265</v>
      </c>
      <c r="G2739">
        <v>2</v>
      </c>
      <c r="H2739" t="s">
        <v>524</v>
      </c>
      <c r="I2739" s="4">
        <f t="shared" si="384"/>
        <v>2</v>
      </c>
      <c r="J2739">
        <f t="shared" si="385"/>
        <v>4</v>
      </c>
      <c r="K2739">
        <v>72</v>
      </c>
      <c r="L2739">
        <v>22</v>
      </c>
      <c r="M2739" s="2">
        <v>3.27</v>
      </c>
      <c r="N2739" s="2">
        <v>3.38</v>
      </c>
      <c r="O2739">
        <v>0</v>
      </c>
      <c r="P2739">
        <v>3</v>
      </c>
      <c r="Q2739" s="4" t="str">
        <f t="shared" si="387"/>
        <v>2017/2018-Ganjil</v>
      </c>
      <c r="R2739" t="s">
        <v>260</v>
      </c>
      <c r="S2739" t="str">
        <f t="shared" si="383"/>
        <v>PA</v>
      </c>
    </row>
    <row r="2740" spans="1:19" x14ac:dyDescent="0.3">
      <c r="A2740" t="s">
        <v>12</v>
      </c>
      <c r="B2740" t="s">
        <v>286</v>
      </c>
      <c r="C2740" t="s">
        <v>287</v>
      </c>
      <c r="E2740" t="s">
        <v>234</v>
      </c>
      <c r="F2740" s="1" t="s">
        <v>235</v>
      </c>
      <c r="G2740">
        <v>4</v>
      </c>
      <c r="H2740" t="s">
        <v>524</v>
      </c>
      <c r="I2740" s="4">
        <f t="shared" si="384"/>
        <v>2</v>
      </c>
      <c r="J2740">
        <f t="shared" si="385"/>
        <v>8</v>
      </c>
      <c r="K2740">
        <v>146</v>
      </c>
      <c r="L2740">
        <v>44</v>
      </c>
      <c r="M2740" s="2">
        <v>3.2</v>
      </c>
      <c r="N2740" s="2">
        <v>3.38</v>
      </c>
      <c r="O2740">
        <v>0</v>
      </c>
      <c r="P2740">
        <v>1</v>
      </c>
      <c r="Q2740" s="4" t="str">
        <f t="shared" si="387"/>
        <v>2016/2017-Ganjil</v>
      </c>
      <c r="R2740" t="s">
        <v>260</v>
      </c>
      <c r="S2740" t="str">
        <f t="shared" si="383"/>
        <v>PA</v>
      </c>
    </row>
    <row r="2741" spans="1:19" x14ac:dyDescent="0.3">
      <c r="A2741" t="s">
        <v>12</v>
      </c>
      <c r="B2741" t="s">
        <v>286</v>
      </c>
      <c r="C2741" t="s">
        <v>287</v>
      </c>
      <c r="E2741" t="s">
        <v>309</v>
      </c>
      <c r="F2741" t="s">
        <v>310</v>
      </c>
      <c r="G2741">
        <v>4</v>
      </c>
      <c r="H2741" t="s">
        <v>524</v>
      </c>
      <c r="I2741" s="4">
        <f t="shared" si="384"/>
        <v>2</v>
      </c>
      <c r="J2741">
        <f t="shared" si="385"/>
        <v>8</v>
      </c>
      <c r="K2741">
        <v>76</v>
      </c>
      <c r="L2741">
        <v>24</v>
      </c>
      <c r="M2741" s="2">
        <v>3.17</v>
      </c>
      <c r="N2741" s="2">
        <v>3.38</v>
      </c>
      <c r="O2741">
        <v>0</v>
      </c>
      <c r="P2741">
        <v>4</v>
      </c>
      <c r="Q2741" s="4" t="str">
        <f t="shared" si="387"/>
        <v>2017/2018-Genap</v>
      </c>
      <c r="R2741" t="s">
        <v>260</v>
      </c>
      <c r="S2741" t="str">
        <f t="shared" si="383"/>
        <v>PA</v>
      </c>
    </row>
    <row r="2742" spans="1:19" x14ac:dyDescent="0.3">
      <c r="A2742" t="s">
        <v>12</v>
      </c>
      <c r="B2742" t="s">
        <v>286</v>
      </c>
      <c r="C2742" t="s">
        <v>287</v>
      </c>
      <c r="E2742" t="s">
        <v>241</v>
      </c>
      <c r="F2742" t="s">
        <v>45</v>
      </c>
      <c r="G2742">
        <v>2</v>
      </c>
      <c r="H2742" t="s">
        <v>524</v>
      </c>
      <c r="I2742" s="4">
        <f t="shared" si="384"/>
        <v>2</v>
      </c>
      <c r="J2742">
        <f t="shared" si="385"/>
        <v>4</v>
      </c>
      <c r="K2742">
        <v>64</v>
      </c>
      <c r="L2742">
        <v>20</v>
      </c>
      <c r="M2742" s="2">
        <v>3.2</v>
      </c>
      <c r="N2742" s="2">
        <v>3.38</v>
      </c>
      <c r="O2742">
        <v>0</v>
      </c>
      <c r="P2742">
        <v>1</v>
      </c>
      <c r="Q2742" s="4" t="str">
        <f t="shared" si="387"/>
        <v>2016/2017-Ganjil</v>
      </c>
      <c r="R2742" t="s">
        <v>260</v>
      </c>
      <c r="S2742" t="str">
        <f t="shared" si="383"/>
        <v>PA</v>
      </c>
    </row>
    <row r="2743" spans="1:19" x14ac:dyDescent="0.3">
      <c r="A2743" t="s">
        <v>12</v>
      </c>
      <c r="B2743" t="s">
        <v>413</v>
      </c>
      <c r="C2743" t="s">
        <v>414</v>
      </c>
      <c r="E2743" t="s">
        <v>370</v>
      </c>
      <c r="F2743" s="1" t="s">
        <v>371</v>
      </c>
      <c r="G2743">
        <v>2</v>
      </c>
      <c r="H2743" t="s">
        <v>260</v>
      </c>
      <c r="I2743" s="4">
        <f t="shared" si="384"/>
        <v>4</v>
      </c>
      <c r="J2743">
        <f t="shared" si="385"/>
        <v>8</v>
      </c>
      <c r="K2743">
        <v>190</v>
      </c>
      <c r="L2743">
        <v>62</v>
      </c>
      <c r="M2743" s="2">
        <v>1.9</v>
      </c>
      <c r="N2743" s="2">
        <v>2.78</v>
      </c>
      <c r="O2743">
        <v>0</v>
      </c>
      <c r="P2743">
        <v>1</v>
      </c>
      <c r="Q2743" s="4" t="str">
        <f>IF(P2743=1,"2016/2017-Ganjil",IF(P2743=2,"2016/2017-Genap",IF(P2743=3,"2017/2018-Ganjil",IF(P2743=4,"2017/2018-Genap",IF(P2743=5,"2018/2019-Ganjil",IF(P2743=6,"2018/2019-Genap",IF(P2743=7,"2019/2020-Ganjil",IF(P2743=8,"2019/2020-Genap",IF(P2743=9,"2020/2021-Ganjil",IF(P2743=10,"2020/2021-Genap",IF(P2743=11,"2021/2022-Ganjil",IF(P2743=12,"2021/2022-Genap",IF(P2743=13,"2022/2023-Ganjil","2022/2023-Genap")))))))))))))</f>
        <v>2016/2017-Ganjil</v>
      </c>
      <c r="R2743" t="s">
        <v>535</v>
      </c>
      <c r="S2743" t="str">
        <f t="shared" si="383"/>
        <v>PA</v>
      </c>
    </row>
    <row r="2744" spans="1:19" x14ac:dyDescent="0.3">
      <c r="A2744" t="s">
        <v>12</v>
      </c>
      <c r="B2744" t="s">
        <v>413</v>
      </c>
      <c r="C2744" t="s">
        <v>414</v>
      </c>
      <c r="E2744" t="s">
        <v>77</v>
      </c>
      <c r="F2744" s="1" t="s">
        <v>78</v>
      </c>
      <c r="G2744">
        <v>2</v>
      </c>
      <c r="H2744" t="s">
        <v>260</v>
      </c>
      <c r="I2744" s="4">
        <f t="shared" si="384"/>
        <v>4</v>
      </c>
      <c r="J2744">
        <f t="shared" si="385"/>
        <v>8</v>
      </c>
      <c r="K2744">
        <v>190</v>
      </c>
      <c r="L2744">
        <v>62</v>
      </c>
      <c r="M2744" s="2">
        <v>1.9</v>
      </c>
      <c r="N2744" s="2">
        <v>2.78</v>
      </c>
      <c r="O2744">
        <v>0</v>
      </c>
      <c r="P2744">
        <v>1</v>
      </c>
      <c r="Q2744" s="4" t="str">
        <f t="shared" ref="Q2744:Q2745" si="388">IF(P2744=1,"2016/2017-Ganjil",IF(P2744=2,"2016/2017-Genap",IF(P2744=3,"2017/2018-Ganjil",IF(P2744=4,"2017/2018-Genap",IF(P2744=5,"2018/2019-Ganjil",IF(P2744=6,"2018/2019-Genap",IF(P2744=7,"2019/2020-Ganjil",IF(P2744=8,"2019/2020-Genap",IF(P2744=9,"2020/2021-Ganjil",IF(P2744=10,"2020/2021-Genap",IF(P2744=11,"2021/2022-Ganjil",IF(P2744=12,"2021/2022-Genap",IF(P2744=13,"2022/2023-Ganjil","2022/2023-Genap")))))))))))))</f>
        <v>2016/2017-Ganjil</v>
      </c>
      <c r="R2744" t="s">
        <v>535</v>
      </c>
      <c r="S2744" t="str">
        <f t="shared" si="383"/>
        <v>PA</v>
      </c>
    </row>
    <row r="2745" spans="1:19" x14ac:dyDescent="0.3">
      <c r="A2745" t="s">
        <v>12</v>
      </c>
      <c r="B2745" t="s">
        <v>413</v>
      </c>
      <c r="C2745" t="s">
        <v>414</v>
      </c>
      <c r="E2745" t="s">
        <v>290</v>
      </c>
      <c r="F2745" s="1" t="s">
        <v>291</v>
      </c>
      <c r="G2745">
        <v>4</v>
      </c>
      <c r="H2745" t="s">
        <v>438</v>
      </c>
      <c r="I2745" s="4">
        <f t="shared" si="384"/>
        <v>3</v>
      </c>
      <c r="J2745">
        <f t="shared" si="385"/>
        <v>12</v>
      </c>
      <c r="K2745">
        <v>190</v>
      </c>
      <c r="L2745">
        <v>62</v>
      </c>
      <c r="M2745" s="2">
        <v>1.9</v>
      </c>
      <c r="N2745" s="2">
        <v>2.78</v>
      </c>
      <c r="O2745">
        <v>0</v>
      </c>
      <c r="P2745">
        <v>1</v>
      </c>
      <c r="Q2745" s="4" t="str">
        <f t="shared" si="388"/>
        <v>2016/2017-Ganjil</v>
      </c>
      <c r="R2745" t="s">
        <v>535</v>
      </c>
      <c r="S2745" t="str">
        <f t="shared" si="383"/>
        <v>PA</v>
      </c>
    </row>
    <row r="2746" spans="1:19" x14ac:dyDescent="0.3">
      <c r="A2746" t="s">
        <v>12</v>
      </c>
      <c r="B2746" t="s">
        <v>413</v>
      </c>
      <c r="C2746" t="s">
        <v>414</v>
      </c>
      <c r="E2746" t="s">
        <v>334</v>
      </c>
      <c r="F2746" t="s">
        <v>335</v>
      </c>
      <c r="G2746">
        <v>2</v>
      </c>
      <c r="H2746" t="s">
        <v>438</v>
      </c>
      <c r="I2746" s="4">
        <f t="shared" si="384"/>
        <v>3</v>
      </c>
      <c r="J2746">
        <f t="shared" si="385"/>
        <v>6</v>
      </c>
      <c r="K2746">
        <v>38</v>
      </c>
      <c r="L2746">
        <v>20</v>
      </c>
      <c r="M2746" s="2">
        <v>1.9</v>
      </c>
      <c r="N2746" s="2">
        <v>2.78</v>
      </c>
      <c r="O2746">
        <v>0</v>
      </c>
      <c r="P2746">
        <v>1</v>
      </c>
      <c r="Q2746" s="4" t="str">
        <f>IF(P2746=1,"2016/2017-Ganjil",IF(P2746=2,"2016/2017-Genap",IF(P2746=3,"2017/2018-Ganjil",IF(P2746=4,"2017/2018-Genap",IF(P2746=5,"2018/2019-Ganjil",IF(P2746=6,"2018/2019-Genap",IF(P2746=7,"2019/2020-Ganjil",IF(P2746=8,"2019/2020-Genap",IF(P2746=9,"2020/2021-Ganjil",IF(P2746=10,"2020/2021-Genap",IF(P2746=11,"2021/2022-Ganjil",IF(P2746=12,"2021/2022-Genap",IF(P2746=13,"2022/2023-Ganjil","2022/2023-Genap")))))))))))))</f>
        <v>2016/2017-Ganjil</v>
      </c>
      <c r="R2746" t="s">
        <v>535</v>
      </c>
      <c r="S2746" t="str">
        <f t="shared" si="383"/>
        <v>PA</v>
      </c>
    </row>
    <row r="2747" spans="1:19" x14ac:dyDescent="0.3">
      <c r="A2747" t="s">
        <v>12</v>
      </c>
      <c r="B2747" t="s">
        <v>413</v>
      </c>
      <c r="C2747" t="s">
        <v>414</v>
      </c>
      <c r="E2747" t="s">
        <v>244</v>
      </c>
      <c r="F2747" s="1" t="s">
        <v>228</v>
      </c>
      <c r="G2747">
        <v>2</v>
      </c>
      <c r="H2747" t="s">
        <v>438</v>
      </c>
      <c r="I2747" s="4">
        <f t="shared" si="384"/>
        <v>3</v>
      </c>
      <c r="J2747">
        <f t="shared" si="385"/>
        <v>6</v>
      </c>
      <c r="K2747">
        <v>190</v>
      </c>
      <c r="L2747">
        <v>62</v>
      </c>
      <c r="M2747" s="2">
        <v>1.9</v>
      </c>
      <c r="N2747" s="2">
        <v>2.78</v>
      </c>
      <c r="O2747">
        <v>0</v>
      </c>
      <c r="P2747">
        <v>1</v>
      </c>
      <c r="Q2747" s="4" t="str">
        <f t="shared" ref="Q2747:Q2757" si="389">IF(P2747=1,"2016/2017-Ganjil",IF(P2747=2,"2016/2017-Genap",IF(P2747=3,"2017/2018-Ganjil",IF(P2747=4,"2017/2018-Genap",IF(P2747=5,"2018/2019-Ganjil",IF(P2747=6,"2018/2019-Genap",IF(P2747=7,"2019/2020-Ganjil",IF(P2747=8,"2019/2020-Genap",IF(P2747=9,"2020/2021-Ganjil",IF(P2747=10,"2020/2021-Genap",IF(P2747=11,"2021/2022-Ganjil",IF(P2747=12,"2021/2022-Genap",IF(P2747=13,"2022/2023-Ganjil","2022/2023-Genap")))))))))))))</f>
        <v>2016/2017-Ganjil</v>
      </c>
      <c r="R2747" t="s">
        <v>535</v>
      </c>
      <c r="S2747" t="str">
        <f t="shared" si="383"/>
        <v>PA</v>
      </c>
    </row>
    <row r="2748" spans="1:19" x14ac:dyDescent="0.3">
      <c r="A2748" t="s">
        <v>12</v>
      </c>
      <c r="B2748" t="s">
        <v>413</v>
      </c>
      <c r="C2748" t="s">
        <v>414</v>
      </c>
      <c r="E2748" t="s">
        <v>257</v>
      </c>
      <c r="F2748" s="1" t="s">
        <v>258</v>
      </c>
      <c r="G2748">
        <v>4</v>
      </c>
      <c r="H2748" t="s">
        <v>438</v>
      </c>
      <c r="I2748" s="4">
        <f t="shared" si="384"/>
        <v>3</v>
      </c>
      <c r="J2748">
        <f t="shared" si="385"/>
        <v>12</v>
      </c>
      <c r="K2748">
        <v>190</v>
      </c>
      <c r="L2748">
        <v>62</v>
      </c>
      <c r="M2748" s="2">
        <v>1.9</v>
      </c>
      <c r="N2748" s="2">
        <v>2.78</v>
      </c>
      <c r="O2748">
        <v>0</v>
      </c>
      <c r="P2748">
        <v>1</v>
      </c>
      <c r="Q2748" s="4" t="str">
        <f t="shared" si="389"/>
        <v>2016/2017-Ganjil</v>
      </c>
      <c r="R2748" t="s">
        <v>535</v>
      </c>
      <c r="S2748" t="str">
        <f t="shared" si="383"/>
        <v>PA</v>
      </c>
    </row>
    <row r="2749" spans="1:19" x14ac:dyDescent="0.3">
      <c r="A2749" t="s">
        <v>12</v>
      </c>
      <c r="B2749" t="s">
        <v>413</v>
      </c>
      <c r="C2749" t="s">
        <v>414</v>
      </c>
      <c r="E2749" t="s">
        <v>131</v>
      </c>
      <c r="F2749" s="1" t="s">
        <v>132</v>
      </c>
      <c r="G2749">
        <v>2</v>
      </c>
      <c r="H2749" t="s">
        <v>438</v>
      </c>
      <c r="I2749" s="4">
        <f t="shared" si="384"/>
        <v>3</v>
      </c>
      <c r="J2749">
        <f t="shared" si="385"/>
        <v>6</v>
      </c>
      <c r="K2749">
        <v>190</v>
      </c>
      <c r="L2749">
        <v>62</v>
      </c>
      <c r="M2749" s="2">
        <v>1.9</v>
      </c>
      <c r="N2749" s="2">
        <v>2.78</v>
      </c>
      <c r="O2749">
        <v>0</v>
      </c>
      <c r="P2749">
        <v>1</v>
      </c>
      <c r="Q2749" s="4" t="str">
        <f t="shared" si="389"/>
        <v>2016/2017-Ganjil</v>
      </c>
      <c r="R2749" t="s">
        <v>535</v>
      </c>
      <c r="S2749" t="str">
        <f t="shared" si="383"/>
        <v>PA</v>
      </c>
    </row>
    <row r="2750" spans="1:19" x14ac:dyDescent="0.3">
      <c r="A2750" t="s">
        <v>12</v>
      </c>
      <c r="B2750" t="s">
        <v>413</v>
      </c>
      <c r="C2750" t="s">
        <v>414</v>
      </c>
      <c r="E2750" t="s">
        <v>387</v>
      </c>
      <c r="F2750" s="1" t="s">
        <v>388</v>
      </c>
      <c r="G2750">
        <v>2</v>
      </c>
      <c r="H2750" t="s">
        <v>438</v>
      </c>
      <c r="I2750" s="4">
        <f t="shared" si="384"/>
        <v>3</v>
      </c>
      <c r="J2750">
        <f t="shared" si="385"/>
        <v>6</v>
      </c>
      <c r="K2750">
        <v>190</v>
      </c>
      <c r="L2750">
        <v>62</v>
      </c>
      <c r="M2750" s="2">
        <v>1.9</v>
      </c>
      <c r="N2750" s="2">
        <v>2.78</v>
      </c>
      <c r="O2750">
        <v>0</v>
      </c>
      <c r="P2750">
        <v>1</v>
      </c>
      <c r="Q2750" s="4" t="str">
        <f t="shared" si="389"/>
        <v>2016/2017-Ganjil</v>
      </c>
      <c r="R2750" t="s">
        <v>535</v>
      </c>
      <c r="S2750" t="str">
        <f t="shared" si="383"/>
        <v>PA</v>
      </c>
    </row>
    <row r="2751" spans="1:19" x14ac:dyDescent="0.3">
      <c r="A2751" t="s">
        <v>12</v>
      </c>
      <c r="B2751" t="s">
        <v>413</v>
      </c>
      <c r="C2751" t="s">
        <v>414</v>
      </c>
      <c r="E2751" t="s">
        <v>437</v>
      </c>
      <c r="F2751" s="1" t="s">
        <v>169</v>
      </c>
      <c r="G2751">
        <v>4</v>
      </c>
      <c r="H2751" t="s">
        <v>438</v>
      </c>
      <c r="I2751" s="4">
        <f t="shared" si="384"/>
        <v>3</v>
      </c>
      <c r="J2751">
        <f t="shared" si="385"/>
        <v>12</v>
      </c>
      <c r="K2751">
        <v>190</v>
      </c>
      <c r="L2751">
        <v>62</v>
      </c>
      <c r="M2751" s="2">
        <v>1.9</v>
      </c>
      <c r="N2751" s="2">
        <v>2.78</v>
      </c>
      <c r="O2751">
        <v>0</v>
      </c>
      <c r="P2751">
        <v>1</v>
      </c>
      <c r="Q2751" s="4" t="str">
        <f t="shared" si="389"/>
        <v>2016/2017-Ganjil</v>
      </c>
      <c r="R2751" t="s">
        <v>535</v>
      </c>
      <c r="S2751" t="str">
        <f t="shared" si="383"/>
        <v>PA</v>
      </c>
    </row>
    <row r="2752" spans="1:19" x14ac:dyDescent="0.3">
      <c r="A2752" t="s">
        <v>12</v>
      </c>
      <c r="B2752" t="s">
        <v>413</v>
      </c>
      <c r="C2752" t="s">
        <v>414</v>
      </c>
      <c r="E2752" t="s">
        <v>90</v>
      </c>
      <c r="F2752" s="1" t="s">
        <v>91</v>
      </c>
      <c r="G2752">
        <v>2</v>
      </c>
      <c r="H2752" t="s">
        <v>438</v>
      </c>
      <c r="I2752" s="4">
        <f t="shared" si="384"/>
        <v>3</v>
      </c>
      <c r="J2752">
        <f t="shared" si="385"/>
        <v>6</v>
      </c>
      <c r="K2752">
        <v>190</v>
      </c>
      <c r="L2752">
        <v>62</v>
      </c>
      <c r="M2752" s="2">
        <v>1.9</v>
      </c>
      <c r="N2752" s="2">
        <v>2.78</v>
      </c>
      <c r="O2752">
        <v>0</v>
      </c>
      <c r="P2752">
        <v>1</v>
      </c>
      <c r="Q2752" s="4" t="str">
        <f t="shared" si="389"/>
        <v>2016/2017-Ganjil</v>
      </c>
      <c r="R2752" t="s">
        <v>535</v>
      </c>
      <c r="S2752" t="str">
        <f t="shared" si="383"/>
        <v>PA</v>
      </c>
    </row>
    <row r="2753" spans="1:19" x14ac:dyDescent="0.3">
      <c r="A2753" t="s">
        <v>12</v>
      </c>
      <c r="B2753" t="s">
        <v>413</v>
      </c>
      <c r="C2753" t="s">
        <v>414</v>
      </c>
      <c r="E2753" t="s">
        <v>151</v>
      </c>
      <c r="F2753" s="1" t="s">
        <v>152</v>
      </c>
      <c r="G2753">
        <v>2</v>
      </c>
      <c r="H2753" t="s">
        <v>438</v>
      </c>
      <c r="I2753" s="4">
        <f t="shared" si="384"/>
        <v>3</v>
      </c>
      <c r="J2753">
        <f t="shared" si="385"/>
        <v>6</v>
      </c>
      <c r="K2753">
        <v>190</v>
      </c>
      <c r="L2753">
        <v>62</v>
      </c>
      <c r="M2753" s="2">
        <v>1.9</v>
      </c>
      <c r="N2753" s="2">
        <v>2.78</v>
      </c>
      <c r="O2753">
        <v>0</v>
      </c>
      <c r="P2753">
        <v>1</v>
      </c>
      <c r="Q2753" s="4" t="str">
        <f t="shared" si="389"/>
        <v>2016/2017-Ganjil</v>
      </c>
      <c r="R2753" t="s">
        <v>535</v>
      </c>
      <c r="S2753" t="str">
        <f t="shared" si="383"/>
        <v>PA</v>
      </c>
    </row>
    <row r="2754" spans="1:19" x14ac:dyDescent="0.3">
      <c r="A2754" t="s">
        <v>12</v>
      </c>
      <c r="B2754" t="s">
        <v>413</v>
      </c>
      <c r="C2754" t="s">
        <v>414</v>
      </c>
      <c r="E2754" t="s">
        <v>283</v>
      </c>
      <c r="F2754" s="1" t="s">
        <v>284</v>
      </c>
      <c r="G2754">
        <v>2</v>
      </c>
      <c r="H2754" t="s">
        <v>438</v>
      </c>
      <c r="I2754" s="4">
        <f t="shared" si="384"/>
        <v>3</v>
      </c>
      <c r="J2754">
        <f t="shared" si="385"/>
        <v>6</v>
      </c>
      <c r="K2754">
        <v>190</v>
      </c>
      <c r="L2754">
        <v>62</v>
      </c>
      <c r="M2754" s="2">
        <v>1.9</v>
      </c>
      <c r="N2754" s="2">
        <v>2.78</v>
      </c>
      <c r="O2754">
        <v>0</v>
      </c>
      <c r="P2754">
        <v>1</v>
      </c>
      <c r="Q2754" s="4" t="str">
        <f t="shared" si="389"/>
        <v>2016/2017-Ganjil</v>
      </c>
      <c r="R2754" t="s">
        <v>535</v>
      </c>
      <c r="S2754" t="str">
        <f t="shared" si="383"/>
        <v>PA</v>
      </c>
    </row>
    <row r="2755" spans="1:19" x14ac:dyDescent="0.3">
      <c r="A2755" t="s">
        <v>12</v>
      </c>
      <c r="B2755" t="s">
        <v>413</v>
      </c>
      <c r="C2755" t="s">
        <v>414</v>
      </c>
      <c r="E2755" t="s">
        <v>234</v>
      </c>
      <c r="F2755" s="1" t="s">
        <v>235</v>
      </c>
      <c r="G2755">
        <v>4</v>
      </c>
      <c r="H2755" t="s">
        <v>438</v>
      </c>
      <c r="I2755" s="4">
        <f t="shared" si="384"/>
        <v>3</v>
      </c>
      <c r="J2755">
        <f t="shared" si="385"/>
        <v>12</v>
      </c>
      <c r="K2755">
        <v>190</v>
      </c>
      <c r="L2755">
        <v>62</v>
      </c>
      <c r="M2755" s="2">
        <v>1.9</v>
      </c>
      <c r="N2755" s="2">
        <v>2.78</v>
      </c>
      <c r="O2755">
        <v>0</v>
      </c>
      <c r="P2755">
        <v>1</v>
      </c>
      <c r="Q2755" s="4" t="str">
        <f t="shared" si="389"/>
        <v>2016/2017-Ganjil</v>
      </c>
      <c r="R2755" t="s">
        <v>535</v>
      </c>
      <c r="S2755" t="str">
        <f t="shared" ref="S2755:S2774" si="390">IF(OR(H2755="A",H2755="B",H2755="C"),"PA","FA")</f>
        <v>PA</v>
      </c>
    </row>
    <row r="2756" spans="1:19" x14ac:dyDescent="0.3">
      <c r="A2756" t="s">
        <v>12</v>
      </c>
      <c r="B2756" t="s">
        <v>413</v>
      </c>
      <c r="C2756" t="s">
        <v>414</v>
      </c>
      <c r="E2756" t="s">
        <v>316</v>
      </c>
      <c r="F2756" s="1" t="s">
        <v>317</v>
      </c>
      <c r="G2756">
        <v>2</v>
      </c>
      <c r="H2756" t="s">
        <v>438</v>
      </c>
      <c r="I2756" s="4">
        <f t="shared" ref="I2756:I2774" si="391">IF(H2756="A",4,IF(H2756="B",3,IF(H2756="C",2,IF(H2756="D",1,0))))</f>
        <v>3</v>
      </c>
      <c r="J2756">
        <f t="shared" ref="J2756:J2774" si="392">G2756*I2756</f>
        <v>6</v>
      </c>
      <c r="K2756">
        <v>190</v>
      </c>
      <c r="L2756">
        <v>62</v>
      </c>
      <c r="M2756" s="2">
        <v>1.9</v>
      </c>
      <c r="N2756" s="2">
        <v>2.78</v>
      </c>
      <c r="O2756">
        <v>0</v>
      </c>
      <c r="P2756">
        <v>1</v>
      </c>
      <c r="Q2756" s="4" t="str">
        <f t="shared" si="389"/>
        <v>2016/2017-Ganjil</v>
      </c>
      <c r="R2756" t="s">
        <v>535</v>
      </c>
      <c r="S2756" t="str">
        <f t="shared" si="390"/>
        <v>PA</v>
      </c>
    </row>
    <row r="2757" spans="1:19" x14ac:dyDescent="0.3">
      <c r="A2757" t="s">
        <v>12</v>
      </c>
      <c r="B2757" t="s">
        <v>413</v>
      </c>
      <c r="C2757" t="s">
        <v>414</v>
      </c>
      <c r="E2757" t="s">
        <v>100</v>
      </c>
      <c r="F2757" s="1" t="s">
        <v>101</v>
      </c>
      <c r="G2757">
        <v>4</v>
      </c>
      <c r="H2757" t="s">
        <v>438</v>
      </c>
      <c r="I2757" s="4">
        <f t="shared" si="391"/>
        <v>3</v>
      </c>
      <c r="J2757">
        <f t="shared" si="392"/>
        <v>12</v>
      </c>
      <c r="K2757">
        <v>190</v>
      </c>
      <c r="L2757">
        <v>62</v>
      </c>
      <c r="M2757" s="2">
        <v>1.9</v>
      </c>
      <c r="N2757" s="2">
        <v>2.78</v>
      </c>
      <c r="O2757">
        <v>0</v>
      </c>
      <c r="P2757">
        <v>1</v>
      </c>
      <c r="Q2757" s="4" t="str">
        <f t="shared" si="389"/>
        <v>2016/2017-Ganjil</v>
      </c>
      <c r="R2757" t="s">
        <v>535</v>
      </c>
      <c r="S2757" t="str">
        <f t="shared" si="390"/>
        <v>PA</v>
      </c>
    </row>
    <row r="2758" spans="1:19" x14ac:dyDescent="0.3">
      <c r="A2758" t="s">
        <v>12</v>
      </c>
      <c r="B2758" t="s">
        <v>413</v>
      </c>
      <c r="C2758" t="s">
        <v>414</v>
      </c>
      <c r="E2758" t="s">
        <v>264</v>
      </c>
      <c r="F2758" t="s">
        <v>265</v>
      </c>
      <c r="G2758">
        <v>2</v>
      </c>
      <c r="H2758" t="s">
        <v>438</v>
      </c>
      <c r="I2758" s="4">
        <f t="shared" si="391"/>
        <v>3</v>
      </c>
      <c r="J2758">
        <f t="shared" si="392"/>
        <v>6</v>
      </c>
      <c r="K2758">
        <v>38</v>
      </c>
      <c r="L2758">
        <v>20</v>
      </c>
      <c r="M2758" s="2">
        <v>1.9</v>
      </c>
      <c r="N2758" s="2">
        <v>2.78</v>
      </c>
      <c r="O2758">
        <v>0</v>
      </c>
      <c r="P2758">
        <v>1</v>
      </c>
      <c r="Q2758" s="4" t="str">
        <f>IF(P2758=1,"2016/2017-Ganjil",IF(P2758=2,"2016/2017-Genap",IF(P2758=3,"2017/2018-Ganjil",IF(P2758=4,"2017/2018-Genap",IF(P2758=5,"2018/2019-Ganjil",IF(P2758=6,"2018/2019-Genap",IF(P2758=7,"2019/2020-Ganjil",IF(P2758=8,"2019/2020-Genap",IF(P2758=9,"2020/2021-Ganjil",IF(P2758=10,"2020/2021-Genap",IF(P2758=11,"2021/2022-Ganjil",IF(P2758=12,"2021/2022-Genap",IF(P2758=13,"2022/2023-Ganjil","2022/2023-Genap")))))))))))))</f>
        <v>2016/2017-Ganjil</v>
      </c>
      <c r="R2758" t="s">
        <v>535</v>
      </c>
      <c r="S2758" t="str">
        <f t="shared" si="390"/>
        <v>PA</v>
      </c>
    </row>
    <row r="2759" spans="1:19" x14ac:dyDescent="0.3">
      <c r="A2759" t="s">
        <v>12</v>
      </c>
      <c r="B2759" t="s">
        <v>413</v>
      </c>
      <c r="C2759" t="s">
        <v>414</v>
      </c>
      <c r="E2759" t="s">
        <v>374</v>
      </c>
      <c r="F2759" s="1" t="s">
        <v>375</v>
      </c>
      <c r="G2759">
        <v>2</v>
      </c>
      <c r="H2759" t="s">
        <v>438</v>
      </c>
      <c r="I2759" s="4">
        <f t="shared" si="391"/>
        <v>3</v>
      </c>
      <c r="J2759">
        <f t="shared" si="392"/>
        <v>6</v>
      </c>
      <c r="K2759">
        <v>190</v>
      </c>
      <c r="L2759">
        <v>62</v>
      </c>
      <c r="M2759" s="2">
        <v>1.9</v>
      </c>
      <c r="N2759" s="2">
        <v>2.78</v>
      </c>
      <c r="O2759">
        <v>0</v>
      </c>
      <c r="P2759">
        <v>1</v>
      </c>
      <c r="Q2759" s="4" t="str">
        <f>IF(P2759=1,"2016/2017-Ganjil",IF(P2759=2,"2016/2017-Genap",IF(P2759=3,"2017/2018-Ganjil",IF(P2759=4,"2017/2018-Genap",IF(P2759=5,"2018/2019-Ganjil",IF(P2759=6,"2018/2019-Genap",IF(P2759=7,"2019/2020-Ganjil",IF(P2759=8,"2019/2020-Genap",IF(P2759=9,"2020/2021-Ganjil",IF(P2759=10,"2020/2021-Genap",IF(P2759=11,"2021/2022-Ganjil",IF(P2759=12,"2021/2022-Genap",IF(P2759=13,"2022/2023-Ganjil","2022/2023-Genap")))))))))))))</f>
        <v>2016/2017-Ganjil</v>
      </c>
      <c r="R2759" t="s">
        <v>535</v>
      </c>
      <c r="S2759" t="str">
        <f t="shared" si="390"/>
        <v>PA</v>
      </c>
    </row>
    <row r="2760" spans="1:19" x14ac:dyDescent="0.3">
      <c r="A2760" t="s">
        <v>12</v>
      </c>
      <c r="B2760" t="s">
        <v>413</v>
      </c>
      <c r="C2760" t="s">
        <v>414</v>
      </c>
      <c r="E2760" t="s">
        <v>293</v>
      </c>
      <c r="F2760" t="s">
        <v>294</v>
      </c>
      <c r="G2760">
        <v>2</v>
      </c>
      <c r="H2760" t="s">
        <v>438</v>
      </c>
      <c r="I2760" s="4">
        <f t="shared" si="391"/>
        <v>3</v>
      </c>
      <c r="J2760">
        <f t="shared" si="392"/>
        <v>6</v>
      </c>
      <c r="K2760">
        <v>38</v>
      </c>
      <c r="L2760">
        <v>20</v>
      </c>
      <c r="M2760" s="2">
        <v>1.9</v>
      </c>
      <c r="N2760" s="2">
        <v>2.78</v>
      </c>
      <c r="O2760">
        <v>0</v>
      </c>
      <c r="P2760">
        <v>1</v>
      </c>
      <c r="Q2760" s="4" t="str">
        <f>IF(P2760=1,"2016/2017-Ganjil",IF(P2760=2,"2016/2017-Genap",IF(P2760=3,"2017/2018-Ganjil",IF(P2760=4,"2017/2018-Genap",IF(P2760=5,"2018/2019-Ganjil",IF(P2760=6,"2018/2019-Genap",IF(P2760=7,"2019/2020-Ganjil",IF(P2760=8,"2019/2020-Genap",IF(P2760=9,"2020/2021-Ganjil",IF(P2760=10,"2020/2021-Genap",IF(P2760=11,"2021/2022-Ganjil",IF(P2760=12,"2021/2022-Genap",IF(P2760=13,"2022/2023-Ganjil","2022/2023-Genap")))))))))))))</f>
        <v>2016/2017-Ganjil</v>
      </c>
      <c r="R2760" t="s">
        <v>535</v>
      </c>
      <c r="S2760" t="str">
        <f t="shared" si="390"/>
        <v>PA</v>
      </c>
    </row>
    <row r="2761" spans="1:19" x14ac:dyDescent="0.3">
      <c r="A2761" t="s">
        <v>12</v>
      </c>
      <c r="B2761" t="s">
        <v>413</v>
      </c>
      <c r="C2761" t="s">
        <v>414</v>
      </c>
      <c r="E2761" t="s">
        <v>273</v>
      </c>
      <c r="F2761" s="1" t="s">
        <v>274</v>
      </c>
      <c r="G2761">
        <v>2</v>
      </c>
      <c r="H2761" t="s">
        <v>438</v>
      </c>
      <c r="I2761" s="4">
        <f t="shared" si="391"/>
        <v>3</v>
      </c>
      <c r="J2761">
        <f t="shared" si="392"/>
        <v>6</v>
      </c>
      <c r="K2761">
        <v>190</v>
      </c>
      <c r="L2761">
        <v>62</v>
      </c>
      <c r="M2761" s="2">
        <v>1.9</v>
      </c>
      <c r="N2761" s="2">
        <v>2.78</v>
      </c>
      <c r="O2761">
        <v>0</v>
      </c>
      <c r="P2761">
        <v>1</v>
      </c>
      <c r="Q2761" s="4" t="str">
        <f t="shared" ref="Q2761:Q2770" si="393">IF(P2761=1,"2016/2017-Ganjil",IF(P2761=2,"2016/2017-Genap",IF(P2761=3,"2017/2018-Ganjil",IF(P2761=4,"2017/2018-Genap",IF(P2761=5,"2018/2019-Ganjil",IF(P2761=6,"2018/2019-Genap",IF(P2761=7,"2019/2020-Ganjil",IF(P2761=8,"2019/2020-Genap",IF(P2761=9,"2020/2021-Ganjil",IF(P2761=10,"2020/2021-Genap",IF(P2761=11,"2021/2022-Ganjil",IF(P2761=12,"2021/2022-Genap",IF(P2761=13,"2022/2023-Ganjil","2022/2023-Genap")))))))))))))</f>
        <v>2016/2017-Ganjil</v>
      </c>
      <c r="R2761" t="s">
        <v>535</v>
      </c>
      <c r="S2761" t="str">
        <f t="shared" si="390"/>
        <v>PA</v>
      </c>
    </row>
    <row r="2762" spans="1:19" x14ac:dyDescent="0.3">
      <c r="A2762" t="s">
        <v>12</v>
      </c>
      <c r="B2762" t="s">
        <v>413</v>
      </c>
      <c r="C2762" t="s">
        <v>414</v>
      </c>
      <c r="E2762" t="s">
        <v>297</v>
      </c>
      <c r="F2762" s="1" t="s">
        <v>514</v>
      </c>
      <c r="G2762">
        <v>4</v>
      </c>
      <c r="H2762" t="s">
        <v>438</v>
      </c>
      <c r="I2762" s="4">
        <f t="shared" si="391"/>
        <v>3</v>
      </c>
      <c r="J2762">
        <f t="shared" si="392"/>
        <v>12</v>
      </c>
      <c r="K2762">
        <v>190</v>
      </c>
      <c r="L2762">
        <v>62</v>
      </c>
      <c r="M2762" s="2">
        <v>1.9</v>
      </c>
      <c r="N2762" s="2">
        <v>2.78</v>
      </c>
      <c r="O2762">
        <v>0</v>
      </c>
      <c r="P2762">
        <v>1</v>
      </c>
      <c r="Q2762" s="4" t="str">
        <f t="shared" si="393"/>
        <v>2016/2017-Ganjil</v>
      </c>
      <c r="R2762" t="s">
        <v>535</v>
      </c>
      <c r="S2762" t="str">
        <f t="shared" si="390"/>
        <v>PA</v>
      </c>
    </row>
    <row r="2763" spans="1:19" x14ac:dyDescent="0.3">
      <c r="A2763" t="s">
        <v>12</v>
      </c>
      <c r="B2763" t="s">
        <v>413</v>
      </c>
      <c r="C2763" t="s">
        <v>414</v>
      </c>
      <c r="E2763" t="s">
        <v>165</v>
      </c>
      <c r="F2763" s="1" t="s">
        <v>166</v>
      </c>
      <c r="G2763">
        <v>2</v>
      </c>
      <c r="H2763" t="s">
        <v>438</v>
      </c>
      <c r="I2763" s="4">
        <f t="shared" si="391"/>
        <v>3</v>
      </c>
      <c r="J2763">
        <f t="shared" si="392"/>
        <v>6</v>
      </c>
      <c r="K2763">
        <v>190</v>
      </c>
      <c r="L2763">
        <v>62</v>
      </c>
      <c r="M2763" s="2">
        <v>1.9</v>
      </c>
      <c r="N2763" s="2">
        <v>2.78</v>
      </c>
      <c r="O2763">
        <v>0</v>
      </c>
      <c r="P2763">
        <v>1</v>
      </c>
      <c r="Q2763" s="4" t="str">
        <f t="shared" si="393"/>
        <v>2016/2017-Ganjil</v>
      </c>
      <c r="R2763" t="s">
        <v>535</v>
      </c>
      <c r="S2763" t="str">
        <f t="shared" si="390"/>
        <v>PA</v>
      </c>
    </row>
    <row r="2764" spans="1:19" x14ac:dyDescent="0.3">
      <c r="A2764" t="s">
        <v>12</v>
      </c>
      <c r="B2764" t="s">
        <v>413</v>
      </c>
      <c r="C2764" t="s">
        <v>414</v>
      </c>
      <c r="E2764" t="s">
        <v>302</v>
      </c>
      <c r="F2764" s="1" t="s">
        <v>303</v>
      </c>
      <c r="G2764">
        <v>2</v>
      </c>
      <c r="H2764" t="s">
        <v>438</v>
      </c>
      <c r="I2764" s="4">
        <f t="shared" si="391"/>
        <v>3</v>
      </c>
      <c r="J2764">
        <f t="shared" si="392"/>
        <v>6</v>
      </c>
      <c r="K2764">
        <v>190</v>
      </c>
      <c r="L2764">
        <v>62</v>
      </c>
      <c r="M2764" s="2">
        <v>1.9</v>
      </c>
      <c r="N2764" s="2">
        <v>2.78</v>
      </c>
      <c r="O2764">
        <v>0</v>
      </c>
      <c r="P2764">
        <v>1</v>
      </c>
      <c r="Q2764" s="4" t="str">
        <f t="shared" si="393"/>
        <v>2016/2017-Ganjil</v>
      </c>
      <c r="R2764" t="s">
        <v>535</v>
      </c>
      <c r="S2764" t="str">
        <f t="shared" si="390"/>
        <v>PA</v>
      </c>
    </row>
    <row r="2765" spans="1:19" x14ac:dyDescent="0.3">
      <c r="A2765" t="s">
        <v>12</v>
      </c>
      <c r="B2765" t="s">
        <v>413</v>
      </c>
      <c r="C2765" t="s">
        <v>414</v>
      </c>
      <c r="E2765" t="s">
        <v>142</v>
      </c>
      <c r="F2765" s="1" t="s">
        <v>143</v>
      </c>
      <c r="G2765">
        <v>2</v>
      </c>
      <c r="H2765" t="s">
        <v>438</v>
      </c>
      <c r="I2765" s="4">
        <f t="shared" si="391"/>
        <v>3</v>
      </c>
      <c r="J2765">
        <f t="shared" si="392"/>
        <v>6</v>
      </c>
      <c r="K2765">
        <v>190</v>
      </c>
      <c r="L2765">
        <v>62</v>
      </c>
      <c r="M2765" s="2">
        <v>1.9</v>
      </c>
      <c r="N2765" s="2">
        <v>2.78</v>
      </c>
      <c r="O2765">
        <v>0</v>
      </c>
      <c r="P2765">
        <v>1</v>
      </c>
      <c r="Q2765" s="4" t="str">
        <f t="shared" si="393"/>
        <v>2016/2017-Ganjil</v>
      </c>
      <c r="R2765" t="s">
        <v>535</v>
      </c>
      <c r="S2765" t="str">
        <f t="shared" si="390"/>
        <v>PA</v>
      </c>
    </row>
    <row r="2766" spans="1:19" x14ac:dyDescent="0.3">
      <c r="A2766" t="s">
        <v>12</v>
      </c>
      <c r="B2766" t="s">
        <v>413</v>
      </c>
      <c r="C2766" t="s">
        <v>414</v>
      </c>
      <c r="E2766" t="s">
        <v>330</v>
      </c>
      <c r="F2766" s="1" t="s">
        <v>108</v>
      </c>
      <c r="G2766">
        <v>2</v>
      </c>
      <c r="H2766" t="s">
        <v>438</v>
      </c>
      <c r="I2766" s="4">
        <f t="shared" si="391"/>
        <v>3</v>
      </c>
      <c r="J2766">
        <f t="shared" si="392"/>
        <v>6</v>
      </c>
      <c r="K2766">
        <v>190</v>
      </c>
      <c r="L2766">
        <v>62</v>
      </c>
      <c r="M2766" s="2">
        <v>1.9</v>
      </c>
      <c r="N2766" s="2">
        <v>2.78</v>
      </c>
      <c r="O2766">
        <v>0</v>
      </c>
      <c r="P2766">
        <v>1</v>
      </c>
      <c r="Q2766" s="4" t="str">
        <f t="shared" si="393"/>
        <v>2016/2017-Ganjil</v>
      </c>
      <c r="R2766" t="s">
        <v>535</v>
      </c>
      <c r="S2766" t="str">
        <f t="shared" si="390"/>
        <v>PA</v>
      </c>
    </row>
    <row r="2767" spans="1:19" x14ac:dyDescent="0.3">
      <c r="A2767" t="s">
        <v>12</v>
      </c>
      <c r="B2767" t="s">
        <v>413</v>
      </c>
      <c r="C2767" t="s">
        <v>414</v>
      </c>
      <c r="E2767" t="s">
        <v>192</v>
      </c>
      <c r="F2767" s="1" t="s">
        <v>106</v>
      </c>
      <c r="G2767">
        <v>2</v>
      </c>
      <c r="H2767" t="s">
        <v>438</v>
      </c>
      <c r="I2767" s="4">
        <f t="shared" si="391"/>
        <v>3</v>
      </c>
      <c r="J2767">
        <f t="shared" si="392"/>
        <v>6</v>
      </c>
      <c r="K2767">
        <v>190</v>
      </c>
      <c r="L2767">
        <v>62</v>
      </c>
      <c r="M2767" s="2">
        <v>1.9</v>
      </c>
      <c r="N2767" s="2">
        <v>2.78</v>
      </c>
      <c r="O2767">
        <v>0</v>
      </c>
      <c r="P2767">
        <v>1</v>
      </c>
      <c r="Q2767" s="4" t="str">
        <f t="shared" si="393"/>
        <v>2016/2017-Ganjil</v>
      </c>
      <c r="R2767" t="s">
        <v>535</v>
      </c>
      <c r="S2767" t="str">
        <f t="shared" si="390"/>
        <v>PA</v>
      </c>
    </row>
    <row r="2768" spans="1:19" x14ac:dyDescent="0.3">
      <c r="A2768" t="s">
        <v>12</v>
      </c>
      <c r="B2768" t="s">
        <v>413</v>
      </c>
      <c r="C2768" t="s">
        <v>414</v>
      </c>
      <c r="E2768" t="s">
        <v>306</v>
      </c>
      <c r="F2768" s="1" t="s">
        <v>307</v>
      </c>
      <c r="G2768">
        <v>2</v>
      </c>
      <c r="H2768" t="s">
        <v>438</v>
      </c>
      <c r="I2768" s="4">
        <f t="shared" si="391"/>
        <v>3</v>
      </c>
      <c r="J2768">
        <f t="shared" si="392"/>
        <v>6</v>
      </c>
      <c r="K2768">
        <v>190</v>
      </c>
      <c r="L2768">
        <v>62</v>
      </c>
      <c r="M2768" s="2">
        <v>1.9</v>
      </c>
      <c r="N2768" s="2">
        <v>2.78</v>
      </c>
      <c r="O2768">
        <v>0</v>
      </c>
      <c r="P2768">
        <v>1</v>
      </c>
      <c r="Q2768" s="4" t="str">
        <f t="shared" si="393"/>
        <v>2016/2017-Ganjil</v>
      </c>
      <c r="R2768" t="s">
        <v>535</v>
      </c>
      <c r="S2768" t="str">
        <f t="shared" si="390"/>
        <v>PA</v>
      </c>
    </row>
    <row r="2769" spans="1:19" x14ac:dyDescent="0.3">
      <c r="A2769" t="s">
        <v>12</v>
      </c>
      <c r="B2769" t="s">
        <v>413</v>
      </c>
      <c r="C2769" t="s">
        <v>414</v>
      </c>
      <c r="E2769" t="s">
        <v>173</v>
      </c>
      <c r="F2769" s="1" t="s">
        <v>8</v>
      </c>
      <c r="G2769">
        <v>2</v>
      </c>
      <c r="H2769" t="s">
        <v>438</v>
      </c>
      <c r="I2769" s="4">
        <f t="shared" si="391"/>
        <v>3</v>
      </c>
      <c r="J2769">
        <f t="shared" si="392"/>
        <v>6</v>
      </c>
      <c r="K2769">
        <v>190</v>
      </c>
      <c r="L2769">
        <v>62</v>
      </c>
      <c r="M2769" s="2">
        <v>1.9</v>
      </c>
      <c r="N2769" s="2">
        <v>2.78</v>
      </c>
      <c r="O2769">
        <v>0</v>
      </c>
      <c r="P2769">
        <v>1</v>
      </c>
      <c r="Q2769" s="4" t="str">
        <f t="shared" si="393"/>
        <v>2016/2017-Ganjil</v>
      </c>
      <c r="R2769" t="s">
        <v>535</v>
      </c>
      <c r="S2769" t="str">
        <f t="shared" si="390"/>
        <v>PA</v>
      </c>
    </row>
    <row r="2770" spans="1:19" x14ac:dyDescent="0.3">
      <c r="A2770" t="s">
        <v>12</v>
      </c>
      <c r="B2770" t="s">
        <v>413</v>
      </c>
      <c r="C2770" t="s">
        <v>414</v>
      </c>
      <c r="E2770" t="s">
        <v>139</v>
      </c>
      <c r="F2770" s="1" t="s">
        <v>140</v>
      </c>
      <c r="G2770">
        <v>2</v>
      </c>
      <c r="H2770" t="s">
        <v>438</v>
      </c>
      <c r="I2770" s="4">
        <f t="shared" si="391"/>
        <v>3</v>
      </c>
      <c r="J2770">
        <f t="shared" si="392"/>
        <v>6</v>
      </c>
      <c r="K2770">
        <v>190</v>
      </c>
      <c r="L2770">
        <v>62</v>
      </c>
      <c r="M2770" s="2">
        <v>1.9</v>
      </c>
      <c r="N2770" s="2">
        <v>2.78</v>
      </c>
      <c r="O2770">
        <v>0</v>
      </c>
      <c r="P2770">
        <v>1</v>
      </c>
      <c r="Q2770" s="4" t="str">
        <f t="shared" si="393"/>
        <v>2016/2017-Ganjil</v>
      </c>
      <c r="R2770" t="s">
        <v>535</v>
      </c>
      <c r="S2770" t="str">
        <f t="shared" si="390"/>
        <v>PA</v>
      </c>
    </row>
    <row r="2771" spans="1:19" x14ac:dyDescent="0.3">
      <c r="A2771" t="s">
        <v>12</v>
      </c>
      <c r="B2771" t="s">
        <v>413</v>
      </c>
      <c r="C2771" t="s">
        <v>414</v>
      </c>
      <c r="E2771" t="s">
        <v>241</v>
      </c>
      <c r="F2771" t="s">
        <v>45</v>
      </c>
      <c r="G2771">
        <v>2</v>
      </c>
      <c r="H2771" t="s">
        <v>524</v>
      </c>
      <c r="I2771" s="4">
        <f t="shared" si="391"/>
        <v>2</v>
      </c>
      <c r="J2771">
        <f t="shared" si="392"/>
        <v>4</v>
      </c>
      <c r="K2771">
        <v>38</v>
      </c>
      <c r="L2771">
        <v>20</v>
      </c>
      <c r="M2771" s="2">
        <v>1.9</v>
      </c>
      <c r="N2771" s="2">
        <v>2.78</v>
      </c>
      <c r="O2771">
        <v>0</v>
      </c>
      <c r="P2771">
        <v>1</v>
      </c>
      <c r="Q2771" s="4" t="str">
        <f>IF(P2771=1,"2016/2017-Ganjil",IF(P2771=2,"2016/2017-Genap",IF(P2771=3,"2017/2018-Ganjil",IF(P2771=4,"2017/2018-Genap",IF(P2771=5,"2018/2019-Ganjil",IF(P2771=6,"2018/2019-Genap",IF(P2771=7,"2019/2020-Ganjil",IF(P2771=8,"2019/2020-Genap",IF(P2771=9,"2020/2021-Ganjil",IF(P2771=10,"2020/2021-Genap",IF(P2771=11,"2021/2022-Ganjil",IF(P2771=12,"2021/2022-Genap",IF(P2771=13,"2022/2023-Ganjil","2022/2023-Genap")))))))))))))</f>
        <v>2016/2017-Ganjil</v>
      </c>
      <c r="R2771" t="s">
        <v>535</v>
      </c>
      <c r="S2771" t="str">
        <f t="shared" si="390"/>
        <v>PA</v>
      </c>
    </row>
    <row r="2772" spans="1:19" x14ac:dyDescent="0.3">
      <c r="A2772" t="s">
        <v>12</v>
      </c>
      <c r="B2772" t="s">
        <v>413</v>
      </c>
      <c r="C2772" t="s">
        <v>414</v>
      </c>
      <c r="E2772" t="s">
        <v>357</v>
      </c>
      <c r="F2772" t="s">
        <v>358</v>
      </c>
      <c r="G2772">
        <v>4</v>
      </c>
      <c r="H2772" t="s">
        <v>524</v>
      </c>
      <c r="I2772" s="4">
        <f t="shared" si="391"/>
        <v>2</v>
      </c>
      <c r="J2772">
        <f t="shared" si="392"/>
        <v>8</v>
      </c>
      <c r="K2772">
        <v>38</v>
      </c>
      <c r="L2772">
        <v>20</v>
      </c>
      <c r="M2772" s="2">
        <v>1.9</v>
      </c>
      <c r="N2772" s="2">
        <v>2.78</v>
      </c>
      <c r="O2772">
        <v>0</v>
      </c>
      <c r="P2772">
        <v>1</v>
      </c>
      <c r="Q2772" s="4" t="str">
        <f>IF(P2772=1,"2016/2017-Ganjil",IF(P2772=2,"2016/2017-Genap",IF(P2772=3,"2017/2018-Ganjil",IF(P2772=4,"2017/2018-Genap",IF(P2772=5,"2018/2019-Ganjil",IF(P2772=6,"2018/2019-Genap",IF(P2772=7,"2019/2020-Ganjil",IF(P2772=8,"2019/2020-Genap",IF(P2772=9,"2020/2021-Ganjil",IF(P2772=10,"2020/2021-Genap",IF(P2772=11,"2021/2022-Ganjil",IF(P2772=12,"2021/2022-Genap",IF(P2772=13,"2022/2023-Ganjil","2022/2023-Genap")))))))))))))</f>
        <v>2016/2017-Ganjil</v>
      </c>
      <c r="R2772" t="s">
        <v>535</v>
      </c>
      <c r="S2772" t="str">
        <f t="shared" si="390"/>
        <v>PA</v>
      </c>
    </row>
    <row r="2773" spans="1:19" x14ac:dyDescent="0.3">
      <c r="A2773" t="s">
        <v>12</v>
      </c>
      <c r="B2773" t="s">
        <v>413</v>
      </c>
      <c r="C2773" t="s">
        <v>414</v>
      </c>
      <c r="E2773" t="s">
        <v>170</v>
      </c>
      <c r="F2773" t="s">
        <v>171</v>
      </c>
      <c r="G2773">
        <v>4</v>
      </c>
      <c r="H2773" t="s">
        <v>535</v>
      </c>
      <c r="I2773" s="4">
        <f t="shared" si="391"/>
        <v>1</v>
      </c>
      <c r="J2773">
        <f t="shared" si="392"/>
        <v>4</v>
      </c>
      <c r="K2773">
        <v>38</v>
      </c>
      <c r="L2773">
        <v>20</v>
      </c>
      <c r="M2773" s="2">
        <v>1.9</v>
      </c>
      <c r="N2773" s="2">
        <v>2.78</v>
      </c>
      <c r="O2773">
        <v>0</v>
      </c>
      <c r="P2773">
        <v>1</v>
      </c>
      <c r="Q2773" s="4" t="str">
        <f>IF(P2773=1,"2016/2017-Ganjil",IF(P2773=2,"2016/2017-Genap",IF(P2773=3,"2017/2018-Ganjil",IF(P2773=4,"2017/2018-Genap",IF(P2773=5,"2018/2019-Ganjil",IF(P2773=6,"2018/2019-Genap",IF(P2773=7,"2019/2020-Ganjil",IF(P2773=8,"2019/2020-Genap",IF(P2773=9,"2020/2021-Ganjil",IF(P2773=10,"2020/2021-Genap",IF(P2773=11,"2021/2022-Ganjil",IF(P2773=12,"2021/2022-Genap",IF(P2773=13,"2022/2023-Ganjil","2022/2023-Genap")))))))))))))</f>
        <v>2016/2017-Ganjil</v>
      </c>
      <c r="R2773" t="s">
        <v>535</v>
      </c>
      <c r="S2773" t="str">
        <f t="shared" si="390"/>
        <v>FA</v>
      </c>
    </row>
    <row r="2774" spans="1:19" x14ac:dyDescent="0.3">
      <c r="A2774" t="s">
        <v>12</v>
      </c>
      <c r="B2774" t="s">
        <v>413</v>
      </c>
      <c r="C2774" t="s">
        <v>414</v>
      </c>
      <c r="E2774" t="s">
        <v>205</v>
      </c>
      <c r="F2774" t="s">
        <v>116</v>
      </c>
      <c r="G2774">
        <v>4</v>
      </c>
      <c r="H2774" t="s">
        <v>535</v>
      </c>
      <c r="I2774" s="4">
        <f t="shared" si="391"/>
        <v>1</v>
      </c>
      <c r="J2774">
        <f t="shared" si="392"/>
        <v>4</v>
      </c>
      <c r="K2774">
        <v>38</v>
      </c>
      <c r="L2774">
        <v>20</v>
      </c>
      <c r="M2774" s="2">
        <v>1.9</v>
      </c>
      <c r="N2774" s="2">
        <v>2.78</v>
      </c>
      <c r="O2774">
        <v>0</v>
      </c>
      <c r="P2774">
        <v>1</v>
      </c>
      <c r="Q2774" s="4" t="str">
        <f>IF(P2774=1,"2016/2017-Ganjil",IF(P2774=2,"2016/2017-Genap",IF(P2774=3,"2017/2018-Ganjil",IF(P2774=4,"2017/2018-Genap",IF(P2774=5,"2018/2019-Ganjil",IF(P2774=6,"2018/2019-Genap",IF(P2774=7,"2019/2020-Ganjil",IF(P2774=8,"2019/2020-Genap",IF(P2774=9,"2020/2021-Ganjil",IF(P2774=10,"2020/2021-Genap",IF(P2774=11,"2021/2022-Ganjil",IF(P2774=12,"2021/2022-Genap",IF(P2774=13,"2022/2023-Ganjil","2022/2023-Genap")))))))))))))</f>
        <v>2016/2017-Ganjil</v>
      </c>
      <c r="R2774" t="s">
        <v>535</v>
      </c>
      <c r="S2774" t="str">
        <f t="shared" si="390"/>
        <v>FA</v>
      </c>
    </row>
    <row r="2775" spans="1:19" x14ac:dyDescent="0.3">
      <c r="A2775" t="s">
        <v>12</v>
      </c>
      <c r="B2775" t="s">
        <v>551</v>
      </c>
      <c r="C2775" t="s">
        <v>552</v>
      </c>
      <c r="E2775" t="s">
        <v>344</v>
      </c>
      <c r="F2775" t="s">
        <v>345</v>
      </c>
      <c r="G2775">
        <v>2</v>
      </c>
      <c r="H2775" t="s">
        <v>260</v>
      </c>
    </row>
    <row r="2776" spans="1:19" x14ac:dyDescent="0.3">
      <c r="A2776" t="s">
        <v>12</v>
      </c>
      <c r="B2776" t="s">
        <v>551</v>
      </c>
      <c r="C2776" t="s">
        <v>552</v>
      </c>
      <c r="E2776" t="s">
        <v>241</v>
      </c>
      <c r="F2776" t="s">
        <v>45</v>
      </c>
      <c r="G2776">
        <v>2</v>
      </c>
      <c r="H2776" t="s">
        <v>260</v>
      </c>
    </row>
    <row r="2777" spans="1:19" x14ac:dyDescent="0.3">
      <c r="A2777" t="s">
        <v>12</v>
      </c>
      <c r="B2777" t="s">
        <v>551</v>
      </c>
      <c r="C2777" t="s">
        <v>552</v>
      </c>
      <c r="E2777" t="s">
        <v>382</v>
      </c>
      <c r="F2777" t="s">
        <v>383</v>
      </c>
      <c r="G2777">
        <v>4</v>
      </c>
      <c r="H2777" t="s">
        <v>260</v>
      </c>
    </row>
    <row r="2778" spans="1:19" x14ac:dyDescent="0.3">
      <c r="A2778" t="s">
        <v>12</v>
      </c>
      <c r="B2778" t="s">
        <v>551</v>
      </c>
      <c r="C2778" t="s">
        <v>552</v>
      </c>
      <c r="E2778" t="s">
        <v>330</v>
      </c>
      <c r="F2778" t="s">
        <v>108</v>
      </c>
      <c r="G2778">
        <v>2</v>
      </c>
      <c r="H2778" t="s">
        <v>260</v>
      </c>
    </row>
    <row r="2779" spans="1:19" x14ac:dyDescent="0.3">
      <c r="A2779" t="s">
        <v>12</v>
      </c>
      <c r="B2779" t="s">
        <v>551</v>
      </c>
      <c r="C2779" t="s">
        <v>552</v>
      </c>
      <c r="E2779" t="s">
        <v>293</v>
      </c>
      <c r="F2779" t="s">
        <v>294</v>
      </c>
      <c r="G2779">
        <v>2</v>
      </c>
      <c r="H2779" t="s">
        <v>260</v>
      </c>
    </row>
    <row r="2780" spans="1:19" x14ac:dyDescent="0.3">
      <c r="A2780" t="s">
        <v>12</v>
      </c>
      <c r="B2780" t="s">
        <v>551</v>
      </c>
      <c r="C2780" t="s">
        <v>552</v>
      </c>
      <c r="E2780" t="s">
        <v>192</v>
      </c>
      <c r="F2780" t="s">
        <v>106</v>
      </c>
      <c r="G2780">
        <v>2</v>
      </c>
      <c r="H2780" t="s">
        <v>260</v>
      </c>
    </row>
    <row r="2781" spans="1:19" x14ac:dyDescent="0.3">
      <c r="A2781" t="s">
        <v>12</v>
      </c>
      <c r="B2781" t="s">
        <v>551</v>
      </c>
      <c r="C2781" t="s">
        <v>552</v>
      </c>
      <c r="E2781" t="s">
        <v>248</v>
      </c>
      <c r="F2781" t="s">
        <v>499</v>
      </c>
      <c r="G2781">
        <v>2</v>
      </c>
      <c r="H2781" t="s">
        <v>260</v>
      </c>
    </row>
    <row r="2782" spans="1:19" x14ac:dyDescent="0.3">
      <c r="A2782" t="s">
        <v>12</v>
      </c>
      <c r="B2782" t="s">
        <v>551</v>
      </c>
      <c r="C2782" t="s">
        <v>552</v>
      </c>
      <c r="E2782" t="s">
        <v>309</v>
      </c>
      <c r="F2782" t="s">
        <v>310</v>
      </c>
      <c r="G2782">
        <v>4</v>
      </c>
      <c r="H2782" t="s">
        <v>260</v>
      </c>
    </row>
    <row r="2783" spans="1:19" x14ac:dyDescent="0.3">
      <c r="A2783" t="s">
        <v>12</v>
      </c>
      <c r="B2783" t="s">
        <v>551</v>
      </c>
      <c r="C2783" t="s">
        <v>552</v>
      </c>
      <c r="E2783" t="s">
        <v>273</v>
      </c>
      <c r="F2783" t="s">
        <v>274</v>
      </c>
      <c r="G2783">
        <v>2</v>
      </c>
      <c r="H2783" t="s">
        <v>260</v>
      </c>
    </row>
    <row r="2784" spans="1:19" x14ac:dyDescent="0.3">
      <c r="A2784" t="s">
        <v>12</v>
      </c>
      <c r="B2784" t="s">
        <v>551</v>
      </c>
      <c r="C2784" t="s">
        <v>552</v>
      </c>
      <c r="E2784" t="s">
        <v>357</v>
      </c>
      <c r="F2784" t="s">
        <v>358</v>
      </c>
      <c r="G2784">
        <v>4</v>
      </c>
      <c r="H2784" t="s">
        <v>260</v>
      </c>
    </row>
    <row r="2785" spans="1:8" x14ac:dyDescent="0.3">
      <c r="A2785" t="s">
        <v>12</v>
      </c>
      <c r="B2785" t="s">
        <v>551</v>
      </c>
      <c r="C2785" t="s">
        <v>552</v>
      </c>
      <c r="E2785" t="s">
        <v>302</v>
      </c>
      <c r="F2785" t="s">
        <v>303</v>
      </c>
      <c r="G2785">
        <v>2</v>
      </c>
      <c r="H2785" t="s">
        <v>260</v>
      </c>
    </row>
    <row r="2786" spans="1:8" x14ac:dyDescent="0.3">
      <c r="A2786" t="s">
        <v>12</v>
      </c>
      <c r="B2786" t="s">
        <v>551</v>
      </c>
      <c r="C2786" t="s">
        <v>552</v>
      </c>
      <c r="E2786" t="s">
        <v>173</v>
      </c>
      <c r="F2786" t="s">
        <v>8</v>
      </c>
      <c r="G2786">
        <v>2</v>
      </c>
      <c r="H2786" t="s">
        <v>260</v>
      </c>
    </row>
    <row r="2787" spans="1:8" x14ac:dyDescent="0.3">
      <c r="A2787" t="s">
        <v>12</v>
      </c>
      <c r="B2787" t="s">
        <v>551</v>
      </c>
      <c r="C2787" t="s">
        <v>552</v>
      </c>
      <c r="E2787" t="s">
        <v>283</v>
      </c>
      <c r="F2787" t="s">
        <v>284</v>
      </c>
      <c r="G2787">
        <v>2</v>
      </c>
      <c r="H2787" t="s">
        <v>260</v>
      </c>
    </row>
    <row r="2788" spans="1:8" x14ac:dyDescent="0.3">
      <c r="A2788" t="s">
        <v>12</v>
      </c>
      <c r="B2788" t="s">
        <v>551</v>
      </c>
      <c r="C2788" t="s">
        <v>552</v>
      </c>
      <c r="E2788" t="s">
        <v>297</v>
      </c>
      <c r="F2788" t="s">
        <v>298</v>
      </c>
      <c r="G2788">
        <v>4</v>
      </c>
      <c r="H2788" t="s">
        <v>260</v>
      </c>
    </row>
    <row r="2789" spans="1:8" x14ac:dyDescent="0.3">
      <c r="A2789" t="s">
        <v>12</v>
      </c>
      <c r="B2789" t="s">
        <v>551</v>
      </c>
      <c r="C2789" t="s">
        <v>552</v>
      </c>
      <c r="E2789" t="s">
        <v>290</v>
      </c>
      <c r="F2789" t="s">
        <v>327</v>
      </c>
      <c r="G2789">
        <v>4</v>
      </c>
      <c r="H2789" t="s">
        <v>260</v>
      </c>
    </row>
    <row r="2790" spans="1:8" x14ac:dyDescent="0.3">
      <c r="A2790" t="s">
        <v>12</v>
      </c>
      <c r="B2790" t="s">
        <v>551</v>
      </c>
      <c r="C2790" t="s">
        <v>552</v>
      </c>
      <c r="E2790" t="s">
        <v>432</v>
      </c>
      <c r="F2790" t="s">
        <v>433</v>
      </c>
      <c r="G2790">
        <v>4</v>
      </c>
      <c r="H2790" t="s">
        <v>260</v>
      </c>
    </row>
    <row r="2791" spans="1:8" x14ac:dyDescent="0.3">
      <c r="A2791" t="s">
        <v>12</v>
      </c>
      <c r="B2791" t="s">
        <v>551</v>
      </c>
      <c r="C2791" t="s">
        <v>552</v>
      </c>
      <c r="E2791" t="s">
        <v>374</v>
      </c>
      <c r="F2791" t="s">
        <v>375</v>
      </c>
      <c r="G2791">
        <v>2</v>
      </c>
      <c r="H2791" t="s">
        <v>438</v>
      </c>
    </row>
    <row r="2792" spans="1:8" x14ac:dyDescent="0.3">
      <c r="A2792" t="s">
        <v>12</v>
      </c>
      <c r="B2792" t="s">
        <v>551</v>
      </c>
      <c r="C2792" t="s">
        <v>552</v>
      </c>
      <c r="E2792" t="s">
        <v>39</v>
      </c>
      <c r="F2792" t="s">
        <v>11</v>
      </c>
      <c r="G2792">
        <v>2</v>
      </c>
      <c r="H2792" t="s">
        <v>438</v>
      </c>
    </row>
    <row r="2793" spans="1:8" x14ac:dyDescent="0.3">
      <c r="A2793" t="s">
        <v>12</v>
      </c>
      <c r="B2793" t="s">
        <v>551</v>
      </c>
      <c r="C2793" t="s">
        <v>552</v>
      </c>
      <c r="E2793" t="s">
        <v>151</v>
      </c>
      <c r="F2793" t="s">
        <v>152</v>
      </c>
      <c r="G2793">
        <v>2</v>
      </c>
      <c r="H2793" t="s">
        <v>438</v>
      </c>
    </row>
    <row r="2794" spans="1:8" x14ac:dyDescent="0.3">
      <c r="A2794" t="s">
        <v>12</v>
      </c>
      <c r="B2794" t="s">
        <v>551</v>
      </c>
      <c r="C2794" t="s">
        <v>552</v>
      </c>
      <c r="E2794" t="s">
        <v>360</v>
      </c>
      <c r="F2794" t="s">
        <v>361</v>
      </c>
      <c r="G2794">
        <v>2</v>
      </c>
      <c r="H2794" t="s">
        <v>438</v>
      </c>
    </row>
    <row r="2795" spans="1:8" x14ac:dyDescent="0.3">
      <c r="A2795" t="s">
        <v>12</v>
      </c>
      <c r="B2795" t="s">
        <v>551</v>
      </c>
      <c r="C2795" t="s">
        <v>552</v>
      </c>
      <c r="E2795" t="s">
        <v>236</v>
      </c>
      <c r="F2795" t="s">
        <v>237</v>
      </c>
      <c r="G2795">
        <v>2</v>
      </c>
      <c r="H2795" t="s">
        <v>438</v>
      </c>
    </row>
    <row r="2796" spans="1:8" x14ac:dyDescent="0.3">
      <c r="A2796" t="s">
        <v>12</v>
      </c>
      <c r="B2796" t="s">
        <v>551</v>
      </c>
      <c r="C2796" t="s">
        <v>552</v>
      </c>
      <c r="E2796" t="s">
        <v>279</v>
      </c>
      <c r="F2796" t="s">
        <v>280</v>
      </c>
      <c r="G2796">
        <v>2</v>
      </c>
      <c r="H2796" t="s">
        <v>438</v>
      </c>
    </row>
    <row r="2797" spans="1:8" x14ac:dyDescent="0.3">
      <c r="A2797" t="s">
        <v>12</v>
      </c>
      <c r="B2797" t="s">
        <v>551</v>
      </c>
      <c r="C2797" t="s">
        <v>552</v>
      </c>
      <c r="E2797" t="s">
        <v>211</v>
      </c>
      <c r="F2797" t="s">
        <v>186</v>
      </c>
      <c r="G2797">
        <v>4</v>
      </c>
      <c r="H2797" t="s">
        <v>438</v>
      </c>
    </row>
    <row r="2798" spans="1:8" x14ac:dyDescent="0.3">
      <c r="A2798" t="s">
        <v>12</v>
      </c>
      <c r="B2798" t="s">
        <v>551</v>
      </c>
      <c r="C2798" t="s">
        <v>552</v>
      </c>
      <c r="E2798" t="s">
        <v>276</v>
      </c>
      <c r="F2798" t="s">
        <v>137</v>
      </c>
      <c r="G2798">
        <v>4</v>
      </c>
      <c r="H2798" t="s">
        <v>438</v>
      </c>
    </row>
    <row r="2799" spans="1:8" x14ac:dyDescent="0.3">
      <c r="A2799" t="s">
        <v>12</v>
      </c>
      <c r="B2799" t="s">
        <v>551</v>
      </c>
      <c r="C2799" t="s">
        <v>552</v>
      </c>
      <c r="E2799" t="s">
        <v>262</v>
      </c>
      <c r="F2799" t="s">
        <v>263</v>
      </c>
      <c r="G2799">
        <v>2</v>
      </c>
      <c r="H2799" t="s">
        <v>438</v>
      </c>
    </row>
    <row r="2800" spans="1:8" x14ac:dyDescent="0.3">
      <c r="A2800" t="s">
        <v>12</v>
      </c>
      <c r="B2800" t="s">
        <v>551</v>
      </c>
      <c r="C2800" t="s">
        <v>552</v>
      </c>
      <c r="E2800" t="s">
        <v>97</v>
      </c>
      <c r="F2800" t="s">
        <v>98</v>
      </c>
      <c r="G2800">
        <v>4</v>
      </c>
      <c r="H2800" t="s">
        <v>438</v>
      </c>
    </row>
    <row r="2801" spans="1:18" x14ac:dyDescent="0.3">
      <c r="A2801" t="s">
        <v>12</v>
      </c>
      <c r="B2801" t="s">
        <v>551</v>
      </c>
      <c r="C2801" t="s">
        <v>552</v>
      </c>
      <c r="E2801" t="s">
        <v>77</v>
      </c>
      <c r="F2801" t="s">
        <v>78</v>
      </c>
      <c r="G2801">
        <v>2</v>
      </c>
      <c r="H2801" t="s">
        <v>438</v>
      </c>
    </row>
    <row r="2802" spans="1:18" x14ac:dyDescent="0.3">
      <c r="A2802" t="s">
        <v>12</v>
      </c>
      <c r="B2802" t="s">
        <v>551</v>
      </c>
      <c r="C2802" t="s">
        <v>552</v>
      </c>
      <c r="E2802" t="s">
        <v>508</v>
      </c>
      <c r="F2802" t="s">
        <v>447</v>
      </c>
      <c r="G2802">
        <v>2</v>
      </c>
      <c r="H2802" t="s">
        <v>438</v>
      </c>
    </row>
    <row r="2803" spans="1:18" x14ac:dyDescent="0.3">
      <c r="A2803" t="s">
        <v>12</v>
      </c>
      <c r="B2803" t="s">
        <v>551</v>
      </c>
      <c r="C2803" t="s">
        <v>552</v>
      </c>
      <c r="E2803" t="s">
        <v>103</v>
      </c>
      <c r="F2803" t="s">
        <v>104</v>
      </c>
      <c r="G2803">
        <v>4</v>
      </c>
      <c r="H2803" t="s">
        <v>438</v>
      </c>
    </row>
    <row r="2804" spans="1:18" x14ac:dyDescent="0.3">
      <c r="A2804" t="s">
        <v>12</v>
      </c>
      <c r="B2804" t="s">
        <v>551</v>
      </c>
      <c r="C2804" t="s">
        <v>552</v>
      </c>
      <c r="E2804" t="s">
        <v>165</v>
      </c>
      <c r="F2804" t="s">
        <v>166</v>
      </c>
      <c r="G2804">
        <v>2</v>
      </c>
      <c r="H2804" t="s">
        <v>438</v>
      </c>
    </row>
    <row r="2805" spans="1:18" x14ac:dyDescent="0.3">
      <c r="A2805" t="s">
        <v>12</v>
      </c>
      <c r="B2805" t="s">
        <v>551</v>
      </c>
      <c r="C2805" t="s">
        <v>552</v>
      </c>
      <c r="E2805" t="s">
        <v>348</v>
      </c>
      <c r="F2805" t="s">
        <v>349</v>
      </c>
      <c r="G2805">
        <v>4</v>
      </c>
      <c r="H2805" t="s">
        <v>438</v>
      </c>
    </row>
    <row r="2806" spans="1:18" x14ac:dyDescent="0.3">
      <c r="A2806" t="s">
        <v>12</v>
      </c>
      <c r="B2806" t="s">
        <v>551</v>
      </c>
      <c r="C2806" t="s">
        <v>552</v>
      </c>
      <c r="E2806" t="s">
        <v>31</v>
      </c>
      <c r="F2806" t="s">
        <v>20</v>
      </c>
      <c r="G2806">
        <v>4</v>
      </c>
      <c r="H2806" t="s">
        <v>438</v>
      </c>
      <c r="R2806" s="7" t="s">
        <v>596</v>
      </c>
    </row>
    <row r="2807" spans="1:18" x14ac:dyDescent="0.3">
      <c r="A2807" t="s">
        <v>12</v>
      </c>
      <c r="B2807" t="s">
        <v>551</v>
      </c>
      <c r="C2807" t="s">
        <v>552</v>
      </c>
      <c r="E2807" t="s">
        <v>387</v>
      </c>
      <c r="F2807" t="s">
        <v>388</v>
      </c>
      <c r="G2807">
        <v>2</v>
      </c>
      <c r="H2807" t="s">
        <v>438</v>
      </c>
    </row>
    <row r="2808" spans="1:18" x14ac:dyDescent="0.3">
      <c r="A2808" t="s">
        <v>12</v>
      </c>
      <c r="B2808" t="s">
        <v>551</v>
      </c>
      <c r="C2808" t="s">
        <v>552</v>
      </c>
      <c r="E2808" t="s">
        <v>427</v>
      </c>
      <c r="F2808" t="s">
        <v>428</v>
      </c>
      <c r="G2808">
        <v>2</v>
      </c>
      <c r="H2808" t="s">
        <v>438</v>
      </c>
    </row>
    <row r="2809" spans="1:18" x14ac:dyDescent="0.3">
      <c r="A2809" t="s">
        <v>12</v>
      </c>
      <c r="B2809" t="s">
        <v>551</v>
      </c>
      <c r="C2809" t="s">
        <v>552</v>
      </c>
      <c r="E2809" t="s">
        <v>370</v>
      </c>
      <c r="F2809" t="s">
        <v>371</v>
      </c>
      <c r="G2809">
        <v>2</v>
      </c>
      <c r="H2809" t="s">
        <v>438</v>
      </c>
    </row>
    <row r="2810" spans="1:18" x14ac:dyDescent="0.3">
      <c r="A2810" t="s">
        <v>12</v>
      </c>
      <c r="B2810" t="s">
        <v>551</v>
      </c>
      <c r="C2810" t="s">
        <v>552</v>
      </c>
      <c r="E2810" t="s">
        <v>100</v>
      </c>
      <c r="F2810" t="s">
        <v>101</v>
      </c>
      <c r="G2810">
        <v>4</v>
      </c>
      <c r="H2810" t="s">
        <v>438</v>
      </c>
    </row>
    <row r="2811" spans="1:18" x14ac:dyDescent="0.3">
      <c r="A2811" t="s">
        <v>12</v>
      </c>
      <c r="B2811" t="s">
        <v>551</v>
      </c>
      <c r="C2811" t="s">
        <v>552</v>
      </c>
      <c r="E2811" t="s">
        <v>316</v>
      </c>
      <c r="F2811" t="s">
        <v>317</v>
      </c>
      <c r="G2811">
        <v>2</v>
      </c>
      <c r="H2811" t="s">
        <v>438</v>
      </c>
    </row>
    <row r="2812" spans="1:18" x14ac:dyDescent="0.3">
      <c r="A2812" t="s">
        <v>12</v>
      </c>
      <c r="B2812" t="s">
        <v>551</v>
      </c>
      <c r="C2812" t="s">
        <v>552</v>
      </c>
      <c r="E2812" t="s">
        <v>264</v>
      </c>
      <c r="F2812" t="s">
        <v>265</v>
      </c>
      <c r="G2812">
        <v>2</v>
      </c>
      <c r="H2812" t="s">
        <v>438</v>
      </c>
    </row>
    <row r="2813" spans="1:18" x14ac:dyDescent="0.3">
      <c r="A2813" t="s">
        <v>12</v>
      </c>
      <c r="B2813" t="s">
        <v>551</v>
      </c>
      <c r="C2813" t="s">
        <v>552</v>
      </c>
      <c r="E2813" t="s">
        <v>334</v>
      </c>
      <c r="F2813" t="s">
        <v>335</v>
      </c>
      <c r="G2813">
        <v>2</v>
      </c>
      <c r="H2813" t="s">
        <v>438</v>
      </c>
    </row>
    <row r="2814" spans="1:18" x14ac:dyDescent="0.3">
      <c r="A2814" t="s">
        <v>12</v>
      </c>
      <c r="B2814" t="s">
        <v>551</v>
      </c>
      <c r="C2814" t="s">
        <v>552</v>
      </c>
      <c r="E2814" t="s">
        <v>234</v>
      </c>
      <c r="F2814" t="s">
        <v>235</v>
      </c>
      <c r="G2814">
        <v>4</v>
      </c>
      <c r="H2814" t="s">
        <v>438</v>
      </c>
    </row>
    <row r="2815" spans="1:18" x14ac:dyDescent="0.3">
      <c r="A2815" t="s">
        <v>12</v>
      </c>
      <c r="B2815" t="s">
        <v>551</v>
      </c>
      <c r="C2815" t="s">
        <v>552</v>
      </c>
      <c r="E2815" t="s">
        <v>139</v>
      </c>
      <c r="F2815" t="s">
        <v>140</v>
      </c>
      <c r="G2815">
        <v>2</v>
      </c>
      <c r="H2815" t="s">
        <v>438</v>
      </c>
    </row>
    <row r="2816" spans="1:18" x14ac:dyDescent="0.3">
      <c r="A2816" t="s">
        <v>12</v>
      </c>
      <c r="B2816" t="s">
        <v>551</v>
      </c>
      <c r="C2816" t="s">
        <v>552</v>
      </c>
      <c r="E2816" t="s">
        <v>14</v>
      </c>
      <c r="F2816" t="s">
        <v>15</v>
      </c>
      <c r="G2816">
        <v>2</v>
      </c>
      <c r="H2816" t="s">
        <v>438</v>
      </c>
    </row>
    <row r="2817" spans="1:19" x14ac:dyDescent="0.3">
      <c r="A2817" t="s">
        <v>12</v>
      </c>
      <c r="B2817" t="s">
        <v>551</v>
      </c>
      <c r="C2817" t="s">
        <v>552</v>
      </c>
      <c r="E2817" t="s">
        <v>131</v>
      </c>
      <c r="F2817" t="s">
        <v>132</v>
      </c>
      <c r="G2817">
        <v>2</v>
      </c>
      <c r="H2817" t="s">
        <v>438</v>
      </c>
    </row>
    <row r="2818" spans="1:19" x14ac:dyDescent="0.3">
      <c r="A2818" t="s">
        <v>12</v>
      </c>
      <c r="B2818" t="s">
        <v>551</v>
      </c>
      <c r="C2818" t="s">
        <v>552</v>
      </c>
      <c r="E2818" t="s">
        <v>257</v>
      </c>
      <c r="F2818" t="s">
        <v>258</v>
      </c>
      <c r="G2818">
        <v>4</v>
      </c>
      <c r="H2818" t="s">
        <v>438</v>
      </c>
    </row>
    <row r="2819" spans="1:19" x14ac:dyDescent="0.3">
      <c r="A2819" t="s">
        <v>12</v>
      </c>
      <c r="B2819" t="s">
        <v>551</v>
      </c>
      <c r="C2819" t="s">
        <v>552</v>
      </c>
      <c r="E2819" t="s">
        <v>244</v>
      </c>
      <c r="F2819" t="s">
        <v>228</v>
      </c>
      <c r="G2819">
        <v>2</v>
      </c>
      <c r="H2819" t="s">
        <v>438</v>
      </c>
    </row>
    <row r="2820" spans="1:19" x14ac:dyDescent="0.3">
      <c r="A2820" t="s">
        <v>12</v>
      </c>
      <c r="B2820" t="s">
        <v>551</v>
      </c>
      <c r="C2820" t="s">
        <v>552</v>
      </c>
      <c r="E2820" t="s">
        <v>437</v>
      </c>
      <c r="F2820" t="s">
        <v>169</v>
      </c>
      <c r="G2820">
        <v>4</v>
      </c>
      <c r="H2820" t="s">
        <v>438</v>
      </c>
    </row>
    <row r="2821" spans="1:19" x14ac:dyDescent="0.3">
      <c r="A2821" t="s">
        <v>12</v>
      </c>
      <c r="B2821" t="s">
        <v>551</v>
      </c>
      <c r="C2821" t="s">
        <v>552</v>
      </c>
      <c r="E2821" t="s">
        <v>306</v>
      </c>
      <c r="F2821" t="s">
        <v>307</v>
      </c>
      <c r="G2821">
        <v>2</v>
      </c>
      <c r="H2821" t="s">
        <v>260</v>
      </c>
    </row>
    <row r="2822" spans="1:19" x14ac:dyDescent="0.3">
      <c r="A2822" t="s">
        <v>12</v>
      </c>
      <c r="B2822" t="s">
        <v>551</v>
      </c>
      <c r="C2822" t="s">
        <v>552</v>
      </c>
      <c r="E2822" t="s">
        <v>190</v>
      </c>
      <c r="F2822" t="s">
        <v>191</v>
      </c>
      <c r="G2822">
        <v>4</v>
      </c>
      <c r="H2822" t="s">
        <v>524</v>
      </c>
    </row>
    <row r="2823" spans="1:19" x14ac:dyDescent="0.3">
      <c r="A2823" t="s">
        <v>12</v>
      </c>
      <c r="B2823" t="s">
        <v>551</v>
      </c>
      <c r="C2823" t="s">
        <v>552</v>
      </c>
      <c r="E2823" t="s">
        <v>142</v>
      </c>
      <c r="F2823" t="s">
        <v>143</v>
      </c>
      <c r="G2823">
        <v>2</v>
      </c>
      <c r="H2823" t="s">
        <v>524</v>
      </c>
    </row>
    <row r="2824" spans="1:19" x14ac:dyDescent="0.3">
      <c r="A2824" t="s">
        <v>12</v>
      </c>
      <c r="B2824" t="s">
        <v>551</v>
      </c>
      <c r="C2824" t="s">
        <v>552</v>
      </c>
      <c r="E2824" t="s">
        <v>90</v>
      </c>
      <c r="F2824" t="s">
        <v>91</v>
      </c>
      <c r="G2824">
        <v>2</v>
      </c>
      <c r="H2824" t="s">
        <v>438</v>
      </c>
    </row>
    <row r="2825" spans="1:19" x14ac:dyDescent="0.3">
      <c r="A2825" t="s">
        <v>12</v>
      </c>
      <c r="B2825" t="s">
        <v>551</v>
      </c>
      <c r="C2825" t="s">
        <v>552</v>
      </c>
      <c r="E2825" t="s">
        <v>122</v>
      </c>
      <c r="F2825" t="s">
        <v>123</v>
      </c>
      <c r="G2825">
        <v>4</v>
      </c>
      <c r="H2825" t="s">
        <v>524</v>
      </c>
    </row>
    <row r="2826" spans="1:19" x14ac:dyDescent="0.3">
      <c r="A2826" t="s">
        <v>12</v>
      </c>
      <c r="B2826" t="s">
        <v>551</v>
      </c>
      <c r="C2826" t="s">
        <v>552</v>
      </c>
      <c r="E2826" t="s">
        <v>170</v>
      </c>
      <c r="F2826" t="s">
        <v>171</v>
      </c>
      <c r="G2826">
        <v>4</v>
      </c>
      <c r="H2826" t="s">
        <v>524</v>
      </c>
    </row>
    <row r="2827" spans="1:19" x14ac:dyDescent="0.3">
      <c r="A2827" t="s">
        <v>12</v>
      </c>
      <c r="B2827" t="s">
        <v>551</v>
      </c>
      <c r="C2827" t="s">
        <v>552</v>
      </c>
      <c r="E2827" t="s">
        <v>205</v>
      </c>
      <c r="F2827" t="s">
        <v>116</v>
      </c>
      <c r="G2827">
        <v>4</v>
      </c>
      <c r="H2827" t="s">
        <v>524</v>
      </c>
    </row>
    <row r="2828" spans="1:19" x14ac:dyDescent="0.3">
      <c r="A2828" t="s">
        <v>8</v>
      </c>
      <c r="B2828">
        <v>2016210001</v>
      </c>
      <c r="C2828" t="s">
        <v>76</v>
      </c>
      <c r="E2828" t="s">
        <v>77</v>
      </c>
      <c r="F2828" t="s">
        <v>78</v>
      </c>
      <c r="G2828">
        <v>2</v>
      </c>
      <c r="I2828" s="4"/>
      <c r="J2828">
        <f>G2828*I2828</f>
        <v>0</v>
      </c>
      <c r="K2828">
        <v>0</v>
      </c>
      <c r="L2828">
        <v>6</v>
      </c>
      <c r="M2828" s="2">
        <v>0</v>
      </c>
      <c r="N2828" s="2">
        <v>0</v>
      </c>
      <c r="O2828">
        <v>0</v>
      </c>
      <c r="P2828">
        <v>1</v>
      </c>
      <c r="Q2828" s="4" t="str">
        <f>IF(P2828=1,"2016/2017-Ganjil",IF(P2828=2,"2016/2017-Genap",IF(P2828=3,"2017/2018-Ganjil",IF(P2828=4,"2017/2018-Genap",IF(P2828=5,"2018/2019-Ganjil",IF(P2828=6,"2018/2019-Genap",IF(P2828=7,"2019/2020-Ganjil",IF(P2828=8,"2019/2020-Genap",IF(P2828=9,"2020/2021-Ganjil",IF(P2828=10,"2020/2021-Genap",IF(P2828=11,"2021/2022-Ganjil",IF(P2828=12,"2021/2022-Genap",IF(P2828=13,"2022/2023-Ganjil","2022/2023-Genap")))))))))))))</f>
        <v>2016/2017-Ganjil</v>
      </c>
      <c r="R2828" t="s">
        <v>535</v>
      </c>
      <c r="S2828" t="s">
        <v>595</v>
      </c>
    </row>
    <row r="2829" spans="1:19" x14ac:dyDescent="0.3">
      <c r="A2829" t="s">
        <v>8</v>
      </c>
      <c r="B2829">
        <v>2016210001</v>
      </c>
      <c r="C2829" t="s">
        <v>76</v>
      </c>
      <c r="E2829" t="s">
        <v>147</v>
      </c>
      <c r="F2829" t="s">
        <v>148</v>
      </c>
      <c r="G2829">
        <v>4</v>
      </c>
      <c r="I2829" s="4"/>
      <c r="J2829">
        <f t="shared" ref="J2829:J2833" si="394">G2829*I2829</f>
        <v>0</v>
      </c>
      <c r="K2829">
        <v>0</v>
      </c>
      <c r="L2829">
        <v>6</v>
      </c>
      <c r="M2829" s="2">
        <v>0</v>
      </c>
      <c r="N2829" s="2">
        <v>0</v>
      </c>
      <c r="O2829">
        <v>0</v>
      </c>
      <c r="P2829">
        <v>1</v>
      </c>
      <c r="Q2829" s="4" t="str">
        <f t="shared" ref="Q2829:Q2834" si="395">IF(P2829=1,"2016/2017-Ganjil",IF(P2829=2,"2016/2017-Genap",IF(P2829=3,"2017/2018-Ganjil",IF(P2829=4,"2017/2018-Genap",IF(P2829=5,"2018/2019-Ganjil",IF(P2829=6,"2018/2019-Genap",IF(P2829=7,"2019/2020-Ganjil",IF(P2829=8,"2019/2020-Genap",IF(P2829=9,"2020/2021-Ganjil",IF(P2829=10,"2020/2021-Genap",IF(P2829=11,"2021/2022-Ganjil",IF(P2829=12,"2021/2022-Genap",IF(P2829=13,"2022/2023-Ganjil","2022/2023-Genap")))))))))))))</f>
        <v>2016/2017-Ganjil</v>
      </c>
      <c r="R2829" t="s">
        <v>535</v>
      </c>
      <c r="S2829" t="s">
        <v>595</v>
      </c>
    </row>
    <row r="2830" spans="1:19" x14ac:dyDescent="0.3">
      <c r="A2830" t="s">
        <v>8</v>
      </c>
      <c r="B2830">
        <v>2016210001</v>
      </c>
      <c r="C2830" t="s">
        <v>76</v>
      </c>
      <c r="E2830" t="s">
        <v>110</v>
      </c>
      <c r="F2830" t="s">
        <v>111</v>
      </c>
      <c r="G2830">
        <v>4</v>
      </c>
      <c r="I2830" s="4"/>
      <c r="J2830">
        <f t="shared" si="394"/>
        <v>0</v>
      </c>
      <c r="K2830">
        <v>0</v>
      </c>
      <c r="L2830">
        <v>6</v>
      </c>
      <c r="M2830" s="2">
        <v>0</v>
      </c>
      <c r="N2830" s="2">
        <v>0</v>
      </c>
      <c r="O2830">
        <v>0</v>
      </c>
      <c r="P2830">
        <v>1</v>
      </c>
      <c r="Q2830" s="4" t="str">
        <f t="shared" si="395"/>
        <v>2016/2017-Ganjil</v>
      </c>
      <c r="R2830" t="s">
        <v>535</v>
      </c>
      <c r="S2830" t="s">
        <v>595</v>
      </c>
    </row>
    <row r="2831" spans="1:19" x14ac:dyDescent="0.3">
      <c r="A2831" t="s">
        <v>8</v>
      </c>
      <c r="B2831">
        <v>2016210001</v>
      </c>
      <c r="C2831" t="s">
        <v>76</v>
      </c>
      <c r="E2831" t="s">
        <v>163</v>
      </c>
      <c r="F2831" t="s">
        <v>164</v>
      </c>
      <c r="G2831">
        <v>2</v>
      </c>
      <c r="I2831" s="4"/>
      <c r="J2831">
        <f t="shared" si="394"/>
        <v>0</v>
      </c>
      <c r="K2831">
        <v>0</v>
      </c>
      <c r="L2831">
        <v>6</v>
      </c>
      <c r="M2831" s="2">
        <v>0</v>
      </c>
      <c r="N2831" s="2">
        <v>0</v>
      </c>
      <c r="O2831">
        <v>0</v>
      </c>
      <c r="P2831">
        <v>1</v>
      </c>
      <c r="Q2831" s="4" t="str">
        <f t="shared" si="395"/>
        <v>2016/2017-Ganjil</v>
      </c>
      <c r="R2831" t="s">
        <v>535</v>
      </c>
      <c r="S2831" t="s">
        <v>595</v>
      </c>
    </row>
    <row r="2832" spans="1:19" x14ac:dyDescent="0.3">
      <c r="A2832" t="s">
        <v>8</v>
      </c>
      <c r="B2832">
        <v>2016210001</v>
      </c>
      <c r="C2832" t="s">
        <v>76</v>
      </c>
      <c r="E2832" t="s">
        <v>131</v>
      </c>
      <c r="F2832" t="s">
        <v>132</v>
      </c>
      <c r="G2832">
        <v>2</v>
      </c>
      <c r="I2832" s="4"/>
      <c r="J2832">
        <f t="shared" si="394"/>
        <v>0</v>
      </c>
      <c r="K2832">
        <v>0</v>
      </c>
      <c r="L2832">
        <v>6</v>
      </c>
      <c r="M2832" s="2">
        <v>0</v>
      </c>
      <c r="N2832" s="2">
        <v>0</v>
      </c>
      <c r="O2832">
        <v>0</v>
      </c>
      <c r="P2832">
        <v>1</v>
      </c>
      <c r="Q2832" s="4" t="str">
        <f t="shared" si="395"/>
        <v>2016/2017-Ganjil</v>
      </c>
      <c r="R2832" t="s">
        <v>535</v>
      </c>
      <c r="S2832" t="s">
        <v>595</v>
      </c>
    </row>
    <row r="2833" spans="1:19" x14ac:dyDescent="0.3">
      <c r="A2833" t="s">
        <v>8</v>
      </c>
      <c r="B2833">
        <v>2016210001</v>
      </c>
      <c r="C2833" t="s">
        <v>76</v>
      </c>
      <c r="E2833" t="s">
        <v>202</v>
      </c>
      <c r="F2833" t="s">
        <v>203</v>
      </c>
      <c r="G2833">
        <v>4</v>
      </c>
      <c r="H2833" t="s">
        <v>539</v>
      </c>
      <c r="I2833" s="4">
        <f t="shared" ref="I2833" si="396">IF(H2833="A",4,IF(H2833="B",3,IF(H2833="C",2,IF(H2833="D",1,0))))</f>
        <v>0</v>
      </c>
      <c r="J2833">
        <f t="shared" si="394"/>
        <v>0</v>
      </c>
      <c r="K2833">
        <v>0</v>
      </c>
      <c r="L2833">
        <v>6</v>
      </c>
      <c r="M2833" s="2">
        <v>0</v>
      </c>
      <c r="N2833" s="2">
        <v>0</v>
      </c>
      <c r="O2833">
        <v>0</v>
      </c>
      <c r="P2833">
        <v>1</v>
      </c>
      <c r="Q2833" s="4" t="str">
        <f t="shared" si="395"/>
        <v>2016/2017-Ganjil</v>
      </c>
      <c r="R2833" t="s">
        <v>535</v>
      </c>
      <c r="S2833" t="str">
        <f>IF(OR(H2833="A",H2833="B",H2833="C"),"PA","FA")</f>
        <v>FA</v>
      </c>
    </row>
    <row r="2834" spans="1:19" x14ac:dyDescent="0.3">
      <c r="A2834" t="s">
        <v>8</v>
      </c>
      <c r="B2834">
        <v>2016210001</v>
      </c>
      <c r="C2834" t="s">
        <v>76</v>
      </c>
      <c r="E2834" t="s">
        <v>395</v>
      </c>
      <c r="F2834" t="s">
        <v>396</v>
      </c>
      <c r="G2834">
        <v>2</v>
      </c>
      <c r="H2834" t="s">
        <v>539</v>
      </c>
      <c r="I2834" s="4">
        <f t="shared" ref="I2834:I2855" si="397">IF(H2834="A",4,IF(H2834="B",3,IF(H2834="C",2,IF(H2834="D",1,0))))</f>
        <v>0</v>
      </c>
      <c r="J2834">
        <f t="shared" ref="J2834:J2855" si="398">G2834*I2834</f>
        <v>0</v>
      </c>
      <c r="K2834">
        <v>0</v>
      </c>
      <c r="L2834">
        <v>6</v>
      </c>
      <c r="M2834" s="2">
        <v>0</v>
      </c>
      <c r="N2834" s="2">
        <v>0</v>
      </c>
      <c r="O2834">
        <v>0</v>
      </c>
      <c r="P2834">
        <v>1</v>
      </c>
      <c r="Q2834" s="4" t="str">
        <f t="shared" si="395"/>
        <v>2016/2017-Ganjil</v>
      </c>
      <c r="R2834" t="s">
        <v>535</v>
      </c>
      <c r="S2834" t="str">
        <f t="shared" ref="S2834:S2855" si="399">IF(OR(H2834="A",H2834="B",H2834="C"),"PA","FA")</f>
        <v>FA</v>
      </c>
    </row>
    <row r="2835" spans="1:19" x14ac:dyDescent="0.3">
      <c r="A2835" t="s">
        <v>8</v>
      </c>
      <c r="B2835">
        <v>2016210002</v>
      </c>
      <c r="C2835" t="s">
        <v>364</v>
      </c>
      <c r="E2835" t="s">
        <v>77</v>
      </c>
      <c r="F2835" t="s">
        <v>78</v>
      </c>
      <c r="G2835">
        <v>2</v>
      </c>
      <c r="H2835" t="s">
        <v>260</v>
      </c>
      <c r="I2835" s="4">
        <f t="shared" si="397"/>
        <v>4</v>
      </c>
      <c r="J2835">
        <f t="shared" si="398"/>
        <v>8</v>
      </c>
      <c r="K2835">
        <v>64</v>
      </c>
      <c r="L2835">
        <v>20</v>
      </c>
      <c r="M2835" s="2">
        <v>3.2</v>
      </c>
      <c r="N2835" s="2">
        <v>2.62</v>
      </c>
      <c r="O2835">
        <v>0</v>
      </c>
      <c r="P2835">
        <v>1</v>
      </c>
      <c r="Q2835" t="s">
        <v>558</v>
      </c>
      <c r="R2835" s="8" t="s">
        <v>260</v>
      </c>
      <c r="S2835" t="str">
        <f t="shared" si="399"/>
        <v>PA</v>
      </c>
    </row>
    <row r="2836" spans="1:19" x14ac:dyDescent="0.3">
      <c r="A2836" t="s">
        <v>8</v>
      </c>
      <c r="B2836">
        <v>2016210002</v>
      </c>
      <c r="C2836" t="s">
        <v>364</v>
      </c>
      <c r="E2836" t="s">
        <v>202</v>
      </c>
      <c r="F2836" t="s">
        <v>203</v>
      </c>
      <c r="G2836">
        <v>4</v>
      </c>
      <c r="H2836" t="s">
        <v>260</v>
      </c>
      <c r="I2836" s="4">
        <f t="shared" si="397"/>
        <v>4</v>
      </c>
      <c r="J2836">
        <f t="shared" si="398"/>
        <v>16</v>
      </c>
      <c r="K2836">
        <v>64</v>
      </c>
      <c r="L2836">
        <v>20</v>
      </c>
      <c r="M2836" s="2">
        <v>3.2</v>
      </c>
      <c r="N2836" s="2">
        <v>2.62</v>
      </c>
      <c r="O2836">
        <v>0</v>
      </c>
      <c r="P2836">
        <v>1</v>
      </c>
      <c r="Q2836" t="s">
        <v>558</v>
      </c>
      <c r="R2836" s="8" t="s">
        <v>260</v>
      </c>
      <c r="S2836" t="str">
        <f t="shared" si="399"/>
        <v>PA</v>
      </c>
    </row>
    <row r="2837" spans="1:19" x14ac:dyDescent="0.3">
      <c r="A2837" t="s">
        <v>8</v>
      </c>
      <c r="B2837">
        <v>2016210002</v>
      </c>
      <c r="C2837" t="s">
        <v>364</v>
      </c>
      <c r="E2837" t="s">
        <v>266</v>
      </c>
      <c r="F2837" t="s">
        <v>91</v>
      </c>
      <c r="G2837">
        <v>2</v>
      </c>
      <c r="H2837" t="s">
        <v>260</v>
      </c>
      <c r="I2837" s="4">
        <f t="shared" si="397"/>
        <v>4</v>
      </c>
      <c r="J2837">
        <f t="shared" si="398"/>
        <v>8</v>
      </c>
      <c r="K2837">
        <v>44</v>
      </c>
      <c r="L2837">
        <v>18</v>
      </c>
      <c r="M2837" s="2">
        <v>2.44</v>
      </c>
      <c r="N2837" s="2">
        <v>2.62</v>
      </c>
      <c r="O2837">
        <v>0</v>
      </c>
      <c r="P2837">
        <v>2</v>
      </c>
      <c r="Q2837" s="4" t="str">
        <f>IF(P2837=1,"2016/2017-Ganjil",IF(P2837=2,"2016/2017-Genap",IF(P2837=3,"2017/2018-Ganjil",IF(P2837=4,"2017/2018-Genap",IF(P2837=5,"2018/2019-Ganjil",IF(P2837=6,"2018/2019-Genap",IF(P2837=7,"2019/2020-Ganjil",IF(P2837=8,"2019/2020-Genap",IF(P2837=9,"2020/2021-Ganjil",IF(P2837=10,"2020/2021-Genap",IF(P2837=11,"2021/2022-Ganjil",IF(P2837=12,"2021/2022-Genap",IF(P2837=13,"2022/2023-Ganjil","2022/2023-Genap")))))))))))))</f>
        <v>2016/2017-Genap</v>
      </c>
      <c r="R2837" s="8" t="s">
        <v>260</v>
      </c>
      <c r="S2837" t="str">
        <f t="shared" si="399"/>
        <v>PA</v>
      </c>
    </row>
    <row r="2838" spans="1:19" x14ac:dyDescent="0.3">
      <c r="A2838" t="s">
        <v>8</v>
      </c>
      <c r="B2838">
        <v>2016210002</v>
      </c>
      <c r="C2838" t="s">
        <v>364</v>
      </c>
      <c r="E2838" t="s">
        <v>93</v>
      </c>
      <c r="F2838" t="s">
        <v>94</v>
      </c>
      <c r="G2838">
        <v>4</v>
      </c>
      <c r="H2838" t="s">
        <v>260</v>
      </c>
      <c r="I2838" s="4">
        <f t="shared" si="397"/>
        <v>4</v>
      </c>
      <c r="J2838">
        <f t="shared" si="398"/>
        <v>16</v>
      </c>
      <c r="K2838">
        <v>44</v>
      </c>
      <c r="L2838">
        <v>20</v>
      </c>
      <c r="M2838" s="2">
        <v>2.2000000000000002</v>
      </c>
      <c r="N2838" s="2">
        <v>2.62</v>
      </c>
      <c r="O2838">
        <v>0</v>
      </c>
      <c r="P2838">
        <v>3</v>
      </c>
      <c r="Q2838" s="4" t="str">
        <f>IF(P2838=1,"2016/2017-Ganjil",IF(P2838=2,"2016/2017-Genap",IF(P2838=3,"2017/2018-Ganjil",IF(P2838=4,"2017/2018-Genap",IF(P2838=5,"2018/2019-Ganjil",IF(P2838=6,"2018/2019-Genap",IF(P2838=7,"2019/2020-Ganjil",IF(P2838=8,"2019/2020-Genap",IF(P2838=9,"2020/2021-Ganjil",IF(P2838=10,"2020/2021-Genap",IF(P2838=11,"2021/2022-Ganjil",IF(P2838=12,"2021/2022-Genap",IF(P2838=13,"2022/2023-Ganjil","2022/2023-Genap")))))))))))))</f>
        <v>2017/2018-Ganjil</v>
      </c>
      <c r="R2838" t="s">
        <v>535</v>
      </c>
      <c r="S2838" t="str">
        <f t="shared" si="399"/>
        <v>PA</v>
      </c>
    </row>
    <row r="2839" spans="1:19" x14ac:dyDescent="0.3">
      <c r="A2839" t="s">
        <v>8</v>
      </c>
      <c r="B2839">
        <v>2016210002</v>
      </c>
      <c r="C2839" t="s">
        <v>364</v>
      </c>
      <c r="E2839" t="s">
        <v>22</v>
      </c>
      <c r="F2839" t="s">
        <v>23</v>
      </c>
      <c r="G2839">
        <v>2</v>
      </c>
      <c r="H2839" t="s">
        <v>438</v>
      </c>
      <c r="I2839" s="4">
        <f t="shared" si="397"/>
        <v>3</v>
      </c>
      <c r="J2839">
        <f t="shared" si="398"/>
        <v>6</v>
      </c>
      <c r="K2839">
        <v>44</v>
      </c>
      <c r="L2839">
        <v>18</v>
      </c>
      <c r="M2839" s="2">
        <v>2.44</v>
      </c>
      <c r="N2839" s="2">
        <v>2.62</v>
      </c>
      <c r="O2839">
        <v>0</v>
      </c>
      <c r="P2839">
        <v>2</v>
      </c>
      <c r="Q2839" s="4" t="str">
        <f>IF(P2839=1,"2016/2017-Ganjil",IF(P2839=2,"2016/2017-Genap",IF(P2839=3,"2017/2018-Ganjil",IF(P2839=4,"2017/2018-Genap",IF(P2839=5,"2018/2019-Ganjil",IF(P2839=6,"2018/2019-Genap",IF(P2839=7,"2019/2020-Ganjil",IF(P2839=8,"2019/2020-Genap",IF(P2839=9,"2020/2021-Ganjil",IF(P2839=10,"2020/2021-Genap",IF(P2839=11,"2021/2022-Ganjil",IF(P2839=12,"2021/2022-Genap",IF(P2839=13,"2022/2023-Ganjil","2022/2023-Genap")))))))))))))</f>
        <v>2016/2017-Genap</v>
      </c>
      <c r="R2839" s="8" t="s">
        <v>260</v>
      </c>
      <c r="S2839" t="str">
        <f t="shared" si="399"/>
        <v>PA</v>
      </c>
    </row>
    <row r="2840" spans="1:19" x14ac:dyDescent="0.3">
      <c r="A2840" t="s">
        <v>8</v>
      </c>
      <c r="B2840">
        <v>2016210002</v>
      </c>
      <c r="C2840" t="s">
        <v>364</v>
      </c>
      <c r="E2840" t="s">
        <v>147</v>
      </c>
      <c r="F2840" t="s">
        <v>148</v>
      </c>
      <c r="G2840">
        <v>4</v>
      </c>
      <c r="H2840" t="s">
        <v>438</v>
      </c>
      <c r="I2840" s="4">
        <f t="shared" si="397"/>
        <v>3</v>
      </c>
      <c r="J2840">
        <f t="shared" si="398"/>
        <v>12</v>
      </c>
      <c r="K2840">
        <v>64</v>
      </c>
      <c r="L2840">
        <v>20</v>
      </c>
      <c r="M2840" s="2">
        <v>3.2</v>
      </c>
      <c r="N2840" s="2">
        <v>2.62</v>
      </c>
      <c r="O2840">
        <v>0</v>
      </c>
      <c r="P2840">
        <v>1</v>
      </c>
      <c r="Q2840" t="s">
        <v>558</v>
      </c>
      <c r="R2840" s="8" t="s">
        <v>260</v>
      </c>
      <c r="S2840" t="str">
        <f t="shared" si="399"/>
        <v>PA</v>
      </c>
    </row>
    <row r="2841" spans="1:19" x14ac:dyDescent="0.3">
      <c r="A2841" t="s">
        <v>8</v>
      </c>
      <c r="B2841">
        <v>2016210002</v>
      </c>
      <c r="C2841" t="s">
        <v>364</v>
      </c>
      <c r="E2841" t="s">
        <v>115</v>
      </c>
      <c r="F2841" t="s">
        <v>116</v>
      </c>
      <c r="G2841">
        <v>4</v>
      </c>
      <c r="H2841" t="s">
        <v>438</v>
      </c>
      <c r="I2841" s="4">
        <f t="shared" si="397"/>
        <v>3</v>
      </c>
      <c r="J2841">
        <f t="shared" si="398"/>
        <v>12</v>
      </c>
      <c r="K2841">
        <v>44</v>
      </c>
      <c r="L2841">
        <v>18</v>
      </c>
      <c r="M2841" s="2">
        <v>2.44</v>
      </c>
      <c r="N2841" s="2">
        <v>2.62</v>
      </c>
      <c r="O2841">
        <v>0</v>
      </c>
      <c r="P2841">
        <v>2</v>
      </c>
      <c r="Q2841" s="4" t="str">
        <f t="shared" ref="Q2841:Q2842" si="400">IF(P2841=1,"2016/2017-Ganjil",IF(P2841=2,"2016/2017-Genap",IF(P2841=3,"2017/2018-Ganjil",IF(P2841=4,"2017/2018-Genap",IF(P2841=5,"2018/2019-Ganjil",IF(P2841=6,"2018/2019-Genap",IF(P2841=7,"2019/2020-Ganjil",IF(P2841=8,"2019/2020-Genap",IF(P2841=9,"2020/2021-Ganjil",IF(P2841=10,"2020/2021-Genap",IF(P2841=11,"2021/2022-Ganjil",IF(P2841=12,"2021/2022-Genap",IF(P2841=13,"2022/2023-Ganjil","2022/2023-Genap")))))))))))))</f>
        <v>2016/2017-Genap</v>
      </c>
      <c r="R2841" s="8" t="s">
        <v>260</v>
      </c>
      <c r="S2841" t="str">
        <f t="shared" si="399"/>
        <v>PA</v>
      </c>
    </row>
    <row r="2842" spans="1:19" x14ac:dyDescent="0.3">
      <c r="A2842" t="s">
        <v>8</v>
      </c>
      <c r="B2842">
        <v>2016210002</v>
      </c>
      <c r="C2842" t="s">
        <v>364</v>
      </c>
      <c r="E2842" t="s">
        <v>279</v>
      </c>
      <c r="F2842" t="s">
        <v>280</v>
      </c>
      <c r="G2842">
        <v>2</v>
      </c>
      <c r="H2842" t="s">
        <v>438</v>
      </c>
      <c r="I2842" s="4">
        <f t="shared" si="397"/>
        <v>3</v>
      </c>
      <c r="J2842">
        <f t="shared" si="398"/>
        <v>6</v>
      </c>
      <c r="K2842">
        <v>44</v>
      </c>
      <c r="L2842">
        <v>18</v>
      </c>
      <c r="M2842" s="2">
        <v>2.44</v>
      </c>
      <c r="N2842" s="2">
        <v>2.62</v>
      </c>
      <c r="O2842">
        <v>0</v>
      </c>
      <c r="P2842">
        <v>2</v>
      </c>
      <c r="Q2842" s="4" t="str">
        <f t="shared" si="400"/>
        <v>2016/2017-Genap</v>
      </c>
      <c r="R2842" s="8" t="s">
        <v>260</v>
      </c>
      <c r="S2842" t="str">
        <f t="shared" si="399"/>
        <v>PA</v>
      </c>
    </row>
    <row r="2843" spans="1:19" x14ac:dyDescent="0.3">
      <c r="A2843" t="s">
        <v>8</v>
      </c>
      <c r="B2843">
        <v>2016210002</v>
      </c>
      <c r="C2843" t="s">
        <v>364</v>
      </c>
      <c r="E2843" t="s">
        <v>295</v>
      </c>
      <c r="F2843" t="s">
        <v>296</v>
      </c>
      <c r="G2843">
        <v>2</v>
      </c>
      <c r="H2843" t="s">
        <v>438</v>
      </c>
      <c r="I2843" s="4">
        <f t="shared" si="397"/>
        <v>3</v>
      </c>
      <c r="J2843">
        <f t="shared" si="398"/>
        <v>6</v>
      </c>
      <c r="K2843">
        <v>44</v>
      </c>
      <c r="L2843">
        <v>20</v>
      </c>
      <c r="M2843" s="2">
        <v>2.2000000000000002</v>
      </c>
      <c r="N2843" s="2">
        <v>2.62</v>
      </c>
      <c r="O2843">
        <v>0</v>
      </c>
      <c r="P2843">
        <v>3</v>
      </c>
      <c r="Q2843" s="4" t="str">
        <f>IF(P2843=1,"2016/2017-Ganjil",IF(P2843=2,"2016/2017-Genap",IF(P2843=3,"2017/2018-Ganjil",IF(P2843=4,"2017/2018-Genap",IF(P2843=5,"2018/2019-Ganjil",IF(P2843=6,"2018/2019-Genap",IF(P2843=7,"2019/2020-Ganjil",IF(P2843=8,"2019/2020-Genap",IF(P2843=9,"2020/2021-Ganjil",IF(P2843=10,"2020/2021-Genap",IF(P2843=11,"2021/2022-Ganjil",IF(P2843=12,"2021/2022-Genap",IF(P2843=13,"2022/2023-Ganjil","2022/2023-Genap")))))))))))))</f>
        <v>2017/2018-Ganjil</v>
      </c>
      <c r="R2843" t="s">
        <v>535</v>
      </c>
      <c r="S2843" t="str">
        <f t="shared" si="399"/>
        <v>PA</v>
      </c>
    </row>
    <row r="2844" spans="1:19" x14ac:dyDescent="0.3">
      <c r="A2844" t="s">
        <v>8</v>
      </c>
      <c r="B2844">
        <v>2016210002</v>
      </c>
      <c r="C2844" t="s">
        <v>364</v>
      </c>
      <c r="E2844" t="s">
        <v>110</v>
      </c>
      <c r="F2844" t="s">
        <v>111</v>
      </c>
      <c r="G2844">
        <v>4</v>
      </c>
      <c r="H2844" t="s">
        <v>438</v>
      </c>
      <c r="I2844" s="4">
        <f t="shared" si="397"/>
        <v>3</v>
      </c>
      <c r="J2844">
        <f t="shared" si="398"/>
        <v>12</v>
      </c>
      <c r="K2844">
        <v>64</v>
      </c>
      <c r="L2844">
        <v>20</v>
      </c>
      <c r="M2844" s="2">
        <v>3.2</v>
      </c>
      <c r="N2844" s="2">
        <v>2.62</v>
      </c>
      <c r="O2844">
        <v>0</v>
      </c>
      <c r="P2844">
        <v>1</v>
      </c>
      <c r="Q2844" t="s">
        <v>558</v>
      </c>
      <c r="R2844" s="8" t="s">
        <v>260</v>
      </c>
      <c r="S2844" t="str">
        <f t="shared" si="399"/>
        <v>PA</v>
      </c>
    </row>
    <row r="2845" spans="1:19" x14ac:dyDescent="0.3">
      <c r="A2845" t="s">
        <v>8</v>
      </c>
      <c r="B2845">
        <v>2016210002</v>
      </c>
      <c r="C2845" t="s">
        <v>364</v>
      </c>
      <c r="E2845" t="s">
        <v>163</v>
      </c>
      <c r="F2845" t="s">
        <v>164</v>
      </c>
      <c r="G2845">
        <v>2</v>
      </c>
      <c r="H2845" t="s">
        <v>438</v>
      </c>
      <c r="I2845" s="4">
        <f t="shared" si="397"/>
        <v>3</v>
      </c>
      <c r="J2845">
        <f t="shared" si="398"/>
        <v>6</v>
      </c>
      <c r="K2845">
        <v>64</v>
      </c>
      <c r="L2845">
        <v>20</v>
      </c>
      <c r="M2845" s="2">
        <v>3.2</v>
      </c>
      <c r="N2845" s="2">
        <v>2.62</v>
      </c>
      <c r="O2845">
        <v>0</v>
      </c>
      <c r="P2845">
        <v>1</v>
      </c>
      <c r="Q2845" t="s">
        <v>558</v>
      </c>
      <c r="R2845" s="8" t="s">
        <v>260</v>
      </c>
      <c r="S2845" t="str">
        <f t="shared" si="399"/>
        <v>PA</v>
      </c>
    </row>
    <row r="2846" spans="1:19" x14ac:dyDescent="0.3">
      <c r="A2846" t="s">
        <v>8</v>
      </c>
      <c r="B2846">
        <v>2016210002</v>
      </c>
      <c r="C2846" t="s">
        <v>364</v>
      </c>
      <c r="E2846" t="s">
        <v>131</v>
      </c>
      <c r="F2846" t="s">
        <v>132</v>
      </c>
      <c r="G2846">
        <v>2</v>
      </c>
      <c r="H2846" t="s">
        <v>438</v>
      </c>
      <c r="I2846" s="4">
        <f t="shared" si="397"/>
        <v>3</v>
      </c>
      <c r="J2846">
        <f t="shared" si="398"/>
        <v>6</v>
      </c>
      <c r="K2846">
        <v>64</v>
      </c>
      <c r="L2846">
        <v>20</v>
      </c>
      <c r="M2846" s="2">
        <v>3.2</v>
      </c>
      <c r="N2846" s="2">
        <v>2.62</v>
      </c>
      <c r="O2846">
        <v>0</v>
      </c>
      <c r="P2846">
        <v>1</v>
      </c>
      <c r="Q2846" t="s">
        <v>558</v>
      </c>
      <c r="R2846" s="8" t="s">
        <v>260</v>
      </c>
      <c r="S2846" t="str">
        <f t="shared" si="399"/>
        <v>PA</v>
      </c>
    </row>
    <row r="2847" spans="1:19" x14ac:dyDescent="0.3">
      <c r="A2847" t="s">
        <v>8</v>
      </c>
      <c r="B2847">
        <v>2016210002</v>
      </c>
      <c r="C2847" t="s">
        <v>364</v>
      </c>
      <c r="E2847" t="s">
        <v>117</v>
      </c>
      <c r="F2847" t="s">
        <v>118</v>
      </c>
      <c r="G2847">
        <v>2</v>
      </c>
      <c r="H2847" t="s">
        <v>438</v>
      </c>
      <c r="I2847" s="4">
        <f t="shared" si="397"/>
        <v>3</v>
      </c>
      <c r="J2847">
        <f t="shared" si="398"/>
        <v>6</v>
      </c>
      <c r="K2847">
        <v>44</v>
      </c>
      <c r="L2847">
        <v>18</v>
      </c>
      <c r="M2847" s="2">
        <v>2.44</v>
      </c>
      <c r="N2847" s="2">
        <v>2.62</v>
      </c>
      <c r="O2847">
        <v>0</v>
      </c>
      <c r="P2847">
        <v>2</v>
      </c>
      <c r="Q2847" s="4" t="str">
        <f>IF(P2847=1,"2016/2017-Ganjil",IF(P2847=2,"2016/2017-Genap",IF(P2847=3,"2017/2018-Ganjil",IF(P2847=4,"2017/2018-Genap",IF(P2847=5,"2018/2019-Ganjil",IF(P2847=6,"2018/2019-Genap",IF(P2847=7,"2019/2020-Ganjil",IF(P2847=8,"2019/2020-Genap",IF(P2847=9,"2020/2021-Ganjil",IF(P2847=10,"2020/2021-Genap",IF(P2847=11,"2021/2022-Ganjil",IF(P2847=12,"2021/2022-Genap",IF(P2847=13,"2022/2023-Ganjil","2022/2023-Genap")))))))))))))</f>
        <v>2016/2017-Genap</v>
      </c>
      <c r="R2847" s="8" t="s">
        <v>260</v>
      </c>
      <c r="S2847" t="str">
        <f t="shared" si="399"/>
        <v>PA</v>
      </c>
    </row>
    <row r="2848" spans="1:19" x14ac:dyDescent="0.3">
      <c r="A2848" t="s">
        <v>8</v>
      </c>
      <c r="B2848">
        <v>2016210002</v>
      </c>
      <c r="C2848" t="s">
        <v>364</v>
      </c>
      <c r="E2848" t="s">
        <v>227</v>
      </c>
      <c r="F2848" t="s">
        <v>228</v>
      </c>
      <c r="G2848">
        <v>2</v>
      </c>
      <c r="H2848" t="s">
        <v>524</v>
      </c>
      <c r="I2848" s="4">
        <f t="shared" si="397"/>
        <v>2</v>
      </c>
      <c r="J2848">
        <f t="shared" si="398"/>
        <v>4</v>
      </c>
      <c r="K2848">
        <v>44</v>
      </c>
      <c r="L2848">
        <v>20</v>
      </c>
      <c r="M2848" s="2">
        <v>2.2000000000000002</v>
      </c>
      <c r="N2848" s="2">
        <v>2.62</v>
      </c>
      <c r="O2848">
        <v>0</v>
      </c>
      <c r="P2848">
        <v>3</v>
      </c>
      <c r="Q2848" s="4" t="str">
        <f t="shared" ref="Q2848:Q2850" si="401">IF(P2848=1,"2016/2017-Ganjil",IF(P2848=2,"2016/2017-Genap",IF(P2848=3,"2017/2018-Ganjil",IF(P2848=4,"2017/2018-Genap",IF(P2848=5,"2018/2019-Ganjil",IF(P2848=6,"2018/2019-Genap",IF(P2848=7,"2019/2020-Ganjil",IF(P2848=8,"2019/2020-Genap",IF(P2848=9,"2020/2021-Ganjil",IF(P2848=10,"2020/2021-Genap",IF(P2848=11,"2021/2022-Ganjil",IF(P2848=12,"2021/2022-Genap",IF(P2848=13,"2022/2023-Ganjil","2022/2023-Genap")))))))))))))</f>
        <v>2017/2018-Ganjil</v>
      </c>
      <c r="R2848" t="s">
        <v>535</v>
      </c>
      <c r="S2848" t="str">
        <f t="shared" si="399"/>
        <v>PA</v>
      </c>
    </row>
    <row r="2849" spans="1:19" x14ac:dyDescent="0.3">
      <c r="A2849" t="s">
        <v>8</v>
      </c>
      <c r="B2849">
        <v>2016210002</v>
      </c>
      <c r="C2849" t="s">
        <v>364</v>
      </c>
      <c r="E2849" t="s">
        <v>112</v>
      </c>
      <c r="F2849" t="s">
        <v>113</v>
      </c>
      <c r="G2849">
        <v>4</v>
      </c>
      <c r="H2849" t="s">
        <v>524</v>
      </c>
      <c r="I2849" s="4">
        <f t="shared" si="397"/>
        <v>2</v>
      </c>
      <c r="J2849">
        <f t="shared" si="398"/>
        <v>8</v>
      </c>
      <c r="K2849">
        <v>44</v>
      </c>
      <c r="L2849">
        <v>20</v>
      </c>
      <c r="M2849" s="2">
        <v>2.2000000000000002</v>
      </c>
      <c r="N2849" s="2">
        <v>2.62</v>
      </c>
      <c r="O2849">
        <v>0</v>
      </c>
      <c r="P2849">
        <v>3</v>
      </c>
      <c r="Q2849" s="4" t="str">
        <f t="shared" si="401"/>
        <v>2017/2018-Ganjil</v>
      </c>
      <c r="R2849" t="s">
        <v>535</v>
      </c>
      <c r="S2849" t="str">
        <f t="shared" si="399"/>
        <v>PA</v>
      </c>
    </row>
    <row r="2850" spans="1:19" x14ac:dyDescent="0.3">
      <c r="A2850" t="s">
        <v>8</v>
      </c>
      <c r="B2850">
        <v>2016210002</v>
      </c>
      <c r="C2850" t="s">
        <v>364</v>
      </c>
      <c r="E2850" t="s">
        <v>105</v>
      </c>
      <c r="F2850" t="s">
        <v>106</v>
      </c>
      <c r="G2850">
        <v>2</v>
      </c>
      <c r="H2850" t="s">
        <v>524</v>
      </c>
      <c r="I2850" s="4">
        <f t="shared" si="397"/>
        <v>2</v>
      </c>
      <c r="J2850">
        <f t="shared" si="398"/>
        <v>4</v>
      </c>
      <c r="K2850">
        <v>44</v>
      </c>
      <c r="L2850">
        <v>20</v>
      </c>
      <c r="M2850" s="2">
        <v>2.2000000000000002</v>
      </c>
      <c r="N2850" s="2">
        <v>2.62</v>
      </c>
      <c r="O2850">
        <v>0</v>
      </c>
      <c r="P2850">
        <v>3</v>
      </c>
      <c r="Q2850" s="4" t="str">
        <f t="shared" si="401"/>
        <v>2017/2018-Ganjil</v>
      </c>
      <c r="R2850" t="s">
        <v>535</v>
      </c>
      <c r="S2850" t="str">
        <f t="shared" si="399"/>
        <v>PA</v>
      </c>
    </row>
    <row r="2851" spans="1:19" x14ac:dyDescent="0.3">
      <c r="A2851" t="s">
        <v>8</v>
      </c>
      <c r="B2851">
        <v>2016210002</v>
      </c>
      <c r="C2851" t="s">
        <v>364</v>
      </c>
      <c r="E2851" t="s">
        <v>395</v>
      </c>
      <c r="F2851" t="s">
        <v>396</v>
      </c>
      <c r="G2851">
        <v>2</v>
      </c>
      <c r="H2851" t="s">
        <v>524</v>
      </c>
      <c r="I2851" s="4">
        <f t="shared" si="397"/>
        <v>2</v>
      </c>
      <c r="J2851">
        <f t="shared" si="398"/>
        <v>4</v>
      </c>
      <c r="K2851">
        <v>64</v>
      </c>
      <c r="L2851">
        <v>20</v>
      </c>
      <c r="M2851" s="2">
        <v>3.2</v>
      </c>
      <c r="N2851" s="2">
        <v>2.62</v>
      </c>
      <c r="O2851">
        <v>0</v>
      </c>
      <c r="P2851">
        <v>1</v>
      </c>
      <c r="Q2851" t="s">
        <v>558</v>
      </c>
      <c r="R2851" s="8" t="s">
        <v>260</v>
      </c>
      <c r="S2851" t="str">
        <f t="shared" si="399"/>
        <v>PA</v>
      </c>
    </row>
    <row r="2852" spans="1:19" x14ac:dyDescent="0.3">
      <c r="A2852" t="s">
        <v>8</v>
      </c>
      <c r="B2852">
        <v>2016210002</v>
      </c>
      <c r="C2852" t="s">
        <v>364</v>
      </c>
      <c r="E2852" t="s">
        <v>157</v>
      </c>
      <c r="F2852" t="s">
        <v>158</v>
      </c>
      <c r="G2852">
        <v>2</v>
      </c>
      <c r="H2852" t="s">
        <v>535</v>
      </c>
      <c r="I2852" s="4">
        <f t="shared" si="397"/>
        <v>1</v>
      </c>
      <c r="J2852">
        <f t="shared" si="398"/>
        <v>2</v>
      </c>
      <c r="K2852">
        <v>44</v>
      </c>
      <c r="L2852">
        <v>20</v>
      </c>
      <c r="M2852" s="2">
        <v>2.2000000000000002</v>
      </c>
      <c r="N2852" s="2">
        <v>2.62</v>
      </c>
      <c r="O2852">
        <v>0</v>
      </c>
      <c r="P2852">
        <v>3</v>
      </c>
      <c r="Q2852" s="4" t="str">
        <f>IF(P2852=1,"2016/2017-Ganjil",IF(P2852=2,"2016/2017-Genap",IF(P2852=3,"2017/2018-Ganjil",IF(P2852=4,"2017/2018-Genap",IF(P2852=5,"2018/2019-Ganjil",IF(P2852=6,"2018/2019-Genap",IF(P2852=7,"2019/2020-Ganjil",IF(P2852=8,"2019/2020-Genap",IF(P2852=9,"2020/2021-Ganjil",IF(P2852=10,"2020/2021-Genap",IF(P2852=11,"2021/2022-Ganjil",IF(P2852=12,"2021/2022-Genap",IF(P2852=13,"2022/2023-Ganjil","2022/2023-Genap")))))))))))))</f>
        <v>2017/2018-Ganjil</v>
      </c>
      <c r="R2852" t="s">
        <v>535</v>
      </c>
      <c r="S2852" t="str">
        <f t="shared" si="399"/>
        <v>FA</v>
      </c>
    </row>
    <row r="2853" spans="1:19" x14ac:dyDescent="0.3">
      <c r="A2853" t="s">
        <v>8</v>
      </c>
      <c r="B2853">
        <v>2016210002</v>
      </c>
      <c r="C2853" t="s">
        <v>364</v>
      </c>
      <c r="E2853" t="s">
        <v>125</v>
      </c>
      <c r="F2853" t="s">
        <v>126</v>
      </c>
      <c r="G2853">
        <v>4</v>
      </c>
      <c r="H2853" t="s">
        <v>535</v>
      </c>
      <c r="I2853" s="4">
        <f t="shared" si="397"/>
        <v>1</v>
      </c>
      <c r="J2853">
        <f t="shared" si="398"/>
        <v>4</v>
      </c>
      <c r="K2853">
        <v>44</v>
      </c>
      <c r="L2853">
        <v>18</v>
      </c>
      <c r="M2853" s="2">
        <v>2.44</v>
      </c>
      <c r="N2853" s="2">
        <v>2.62</v>
      </c>
      <c r="O2853">
        <v>0</v>
      </c>
      <c r="P2853">
        <v>2</v>
      </c>
      <c r="Q2853" s="4" t="str">
        <f>IF(P2853=1,"2016/2017-Ganjil",IF(P2853=2,"2016/2017-Genap",IF(P2853=3,"2017/2018-Ganjil",IF(P2853=4,"2017/2018-Genap",IF(P2853=5,"2018/2019-Ganjil",IF(P2853=6,"2018/2019-Genap",IF(P2853=7,"2019/2020-Ganjil",IF(P2853=8,"2019/2020-Genap",IF(P2853=9,"2020/2021-Ganjil",IF(P2853=10,"2020/2021-Genap",IF(P2853=11,"2021/2022-Ganjil",IF(P2853=12,"2021/2022-Genap",IF(P2853=13,"2022/2023-Ganjil","2022/2023-Genap")))))))))))))</f>
        <v>2016/2017-Genap</v>
      </c>
      <c r="R2853" s="8" t="s">
        <v>260</v>
      </c>
      <c r="S2853" t="str">
        <f t="shared" si="399"/>
        <v>FA</v>
      </c>
    </row>
    <row r="2854" spans="1:19" x14ac:dyDescent="0.3">
      <c r="A2854" t="s">
        <v>8</v>
      </c>
      <c r="B2854">
        <v>2016210002</v>
      </c>
      <c r="C2854" t="s">
        <v>364</v>
      </c>
      <c r="E2854" t="s">
        <v>401</v>
      </c>
      <c r="F2854" t="s">
        <v>258</v>
      </c>
      <c r="G2854">
        <v>4</v>
      </c>
      <c r="H2854" t="s">
        <v>535</v>
      </c>
      <c r="I2854" s="4">
        <f t="shared" si="397"/>
        <v>1</v>
      </c>
      <c r="J2854">
        <f t="shared" si="398"/>
        <v>4</v>
      </c>
      <c r="K2854">
        <v>44</v>
      </c>
      <c r="L2854">
        <v>20</v>
      </c>
      <c r="M2854" s="2">
        <v>2.2000000000000002</v>
      </c>
      <c r="N2854" s="2">
        <v>2.62</v>
      </c>
      <c r="O2854">
        <v>0</v>
      </c>
      <c r="P2854">
        <v>3</v>
      </c>
      <c r="Q2854" s="4" t="str">
        <f>IF(P2854=1,"2016/2017-Ganjil",IF(P2854=2,"2016/2017-Genap",IF(P2854=3,"2017/2018-Ganjil",IF(P2854=4,"2017/2018-Genap",IF(P2854=5,"2018/2019-Ganjil",IF(P2854=6,"2018/2019-Genap",IF(P2854=7,"2019/2020-Ganjil",IF(P2854=8,"2019/2020-Genap",IF(P2854=9,"2020/2021-Ganjil",IF(P2854=10,"2020/2021-Genap",IF(P2854=11,"2021/2022-Ganjil",IF(P2854=12,"2021/2022-Genap",IF(P2854=13,"2022/2023-Ganjil","2022/2023-Genap")))))))))))))</f>
        <v>2017/2018-Ganjil</v>
      </c>
      <c r="R2854" t="s">
        <v>535</v>
      </c>
      <c r="S2854" t="str">
        <f t="shared" si="399"/>
        <v>FA</v>
      </c>
    </row>
    <row r="2855" spans="1:19" x14ac:dyDescent="0.3">
      <c r="A2855" t="s">
        <v>8</v>
      </c>
      <c r="B2855">
        <v>2016210002</v>
      </c>
      <c r="C2855" t="s">
        <v>364</v>
      </c>
      <c r="E2855" t="s">
        <v>44</v>
      </c>
      <c r="F2855" t="s">
        <v>45</v>
      </c>
      <c r="G2855">
        <v>2</v>
      </c>
      <c r="H2855" t="s">
        <v>535</v>
      </c>
      <c r="I2855" s="4">
        <f t="shared" si="397"/>
        <v>1</v>
      </c>
      <c r="J2855">
        <f t="shared" si="398"/>
        <v>2</v>
      </c>
      <c r="K2855">
        <v>44</v>
      </c>
      <c r="L2855">
        <v>18</v>
      </c>
      <c r="M2855" s="2">
        <v>2.44</v>
      </c>
      <c r="N2855" s="2">
        <v>2.62</v>
      </c>
      <c r="O2855">
        <v>0</v>
      </c>
      <c r="P2855">
        <v>2</v>
      </c>
      <c r="Q2855" s="4" t="str">
        <f>IF(P2855=1,"2016/2017-Ganjil",IF(P2855=2,"2016/2017-Genap",IF(P2855=3,"2017/2018-Ganjil",IF(P2855=4,"2017/2018-Genap",IF(P2855=5,"2018/2019-Ganjil",IF(P2855=6,"2018/2019-Genap",IF(P2855=7,"2019/2020-Ganjil",IF(P2855=8,"2019/2020-Genap",IF(P2855=9,"2020/2021-Ganjil",IF(P2855=10,"2020/2021-Genap",IF(P2855=11,"2021/2022-Ganjil",IF(P2855=12,"2021/2022-Genap",IF(P2855=13,"2022/2023-Ganjil","2022/2023-Genap")))))))))))))</f>
        <v>2016/2017-Genap</v>
      </c>
      <c r="R2855" s="8" t="s">
        <v>260</v>
      </c>
      <c r="S2855" t="str">
        <f t="shared" si="399"/>
        <v>FA</v>
      </c>
    </row>
    <row r="2856" spans="1:19" x14ac:dyDescent="0.3">
      <c r="A2856" t="s">
        <v>8</v>
      </c>
      <c r="B2856">
        <v>2016210003</v>
      </c>
      <c r="C2856" t="s">
        <v>200</v>
      </c>
      <c r="E2856" t="s">
        <v>77</v>
      </c>
      <c r="F2856" t="s">
        <v>78</v>
      </c>
      <c r="G2856">
        <v>2</v>
      </c>
      <c r="I2856" s="4"/>
      <c r="J2856">
        <f>G2856*I2856</f>
        <v>0</v>
      </c>
      <c r="K2856">
        <v>0</v>
      </c>
      <c r="L2856">
        <v>8</v>
      </c>
      <c r="M2856" s="2">
        <v>0</v>
      </c>
      <c r="N2856" s="2">
        <v>0</v>
      </c>
      <c r="O2856">
        <v>0</v>
      </c>
      <c r="P2856">
        <v>1</v>
      </c>
      <c r="Q2856" s="4" t="str">
        <f>IF(P2856=1,"2016/2017-Ganjil",IF(P2856=2,"2016/2017-Genap",IF(P2856=3,"2017/2018-Ganjil",IF(P2856=4,"2017/2018-Genap",IF(P2856=5,"2018/2019-Ganjil",IF(P2856=6,"2018/2019-Genap",IF(P2856=7,"2019/2020-Ganjil",IF(P2856=8,"2019/2020-Genap",IF(P2856=9,"2020/2021-Ganjil",IF(P2856=10,"2020/2021-Genap",IF(P2856=11,"2021/2022-Ganjil",IF(P2856=12,"2021/2022-Genap",IF(P2856=13,"2022/2023-Ganjil","2022/2023-Genap")))))))))))))</f>
        <v>2016/2017-Ganjil</v>
      </c>
      <c r="R2856" t="s">
        <v>535</v>
      </c>
      <c r="S2856" t="s">
        <v>595</v>
      </c>
    </row>
    <row r="2857" spans="1:19" x14ac:dyDescent="0.3">
      <c r="A2857" t="s">
        <v>8</v>
      </c>
      <c r="B2857">
        <v>2016210003</v>
      </c>
      <c r="C2857" t="s">
        <v>200</v>
      </c>
      <c r="E2857" t="s">
        <v>147</v>
      </c>
      <c r="F2857" t="s">
        <v>148</v>
      </c>
      <c r="G2857">
        <v>4</v>
      </c>
      <c r="I2857" s="4"/>
      <c r="J2857">
        <f t="shared" ref="J2857:J2862" si="402">G2857*I2857</f>
        <v>0</v>
      </c>
      <c r="K2857">
        <v>0</v>
      </c>
      <c r="L2857">
        <v>8</v>
      </c>
      <c r="M2857" s="2">
        <v>0</v>
      </c>
      <c r="N2857" s="2">
        <v>0</v>
      </c>
      <c r="O2857">
        <v>0</v>
      </c>
      <c r="P2857">
        <v>1</v>
      </c>
      <c r="Q2857" s="4" t="str">
        <f t="shared" ref="Q2857:Q2862" si="403">IF(P2857=1,"2016/2017-Ganjil",IF(P2857=2,"2016/2017-Genap",IF(P2857=3,"2017/2018-Ganjil",IF(P2857=4,"2017/2018-Genap",IF(P2857=5,"2018/2019-Ganjil",IF(P2857=6,"2018/2019-Genap",IF(P2857=7,"2019/2020-Ganjil",IF(P2857=8,"2019/2020-Genap",IF(P2857=9,"2020/2021-Ganjil",IF(P2857=10,"2020/2021-Genap",IF(P2857=11,"2021/2022-Ganjil",IF(P2857=12,"2021/2022-Genap",IF(P2857=13,"2022/2023-Ganjil","2022/2023-Genap")))))))))))))</f>
        <v>2016/2017-Ganjil</v>
      </c>
      <c r="R2857" t="s">
        <v>535</v>
      </c>
      <c r="S2857" t="s">
        <v>595</v>
      </c>
    </row>
    <row r="2858" spans="1:19" x14ac:dyDescent="0.3">
      <c r="A2858" t="s">
        <v>8</v>
      </c>
      <c r="B2858">
        <v>2016210003</v>
      </c>
      <c r="C2858" t="s">
        <v>200</v>
      </c>
      <c r="E2858" t="s">
        <v>110</v>
      </c>
      <c r="F2858" t="s">
        <v>111</v>
      </c>
      <c r="G2858">
        <v>4</v>
      </c>
      <c r="I2858" s="4"/>
      <c r="J2858">
        <f t="shared" si="402"/>
        <v>0</v>
      </c>
      <c r="K2858">
        <v>0</v>
      </c>
      <c r="L2858">
        <v>8</v>
      </c>
      <c r="M2858" s="2">
        <v>0</v>
      </c>
      <c r="N2858" s="2">
        <v>0</v>
      </c>
      <c r="O2858">
        <v>0</v>
      </c>
      <c r="P2858">
        <v>1</v>
      </c>
      <c r="Q2858" s="4" t="str">
        <f t="shared" si="403"/>
        <v>2016/2017-Ganjil</v>
      </c>
      <c r="R2858" t="s">
        <v>535</v>
      </c>
      <c r="S2858" t="s">
        <v>595</v>
      </c>
    </row>
    <row r="2859" spans="1:19" x14ac:dyDescent="0.3">
      <c r="A2859" t="s">
        <v>8</v>
      </c>
      <c r="B2859">
        <v>2016210003</v>
      </c>
      <c r="C2859" t="s">
        <v>200</v>
      </c>
      <c r="E2859" t="s">
        <v>163</v>
      </c>
      <c r="F2859" t="s">
        <v>164</v>
      </c>
      <c r="G2859">
        <v>2</v>
      </c>
      <c r="I2859" s="4"/>
      <c r="J2859">
        <f t="shared" si="402"/>
        <v>0</v>
      </c>
      <c r="K2859">
        <v>0</v>
      </c>
      <c r="L2859">
        <v>8</v>
      </c>
      <c r="M2859" s="2">
        <v>0</v>
      </c>
      <c r="N2859" s="2">
        <v>0</v>
      </c>
      <c r="O2859">
        <v>0</v>
      </c>
      <c r="P2859">
        <v>1</v>
      </c>
      <c r="Q2859" s="4" t="str">
        <f t="shared" si="403"/>
        <v>2016/2017-Ganjil</v>
      </c>
      <c r="R2859" t="s">
        <v>535</v>
      </c>
      <c r="S2859" t="s">
        <v>595</v>
      </c>
    </row>
    <row r="2860" spans="1:19" x14ac:dyDescent="0.3">
      <c r="A2860" t="s">
        <v>8</v>
      </c>
      <c r="B2860">
        <v>2016210003</v>
      </c>
      <c r="C2860" t="s">
        <v>200</v>
      </c>
      <c r="E2860" t="s">
        <v>131</v>
      </c>
      <c r="F2860" t="s">
        <v>132</v>
      </c>
      <c r="G2860">
        <v>2</v>
      </c>
      <c r="H2860" t="s">
        <v>539</v>
      </c>
      <c r="I2860" s="4">
        <f t="shared" ref="I2860:I2862" si="404">IF(H2860="A",4,IF(H2860="B",3,IF(H2860="C",2,IF(H2860="D",1,0))))</f>
        <v>0</v>
      </c>
      <c r="J2860">
        <f t="shared" si="402"/>
        <v>0</v>
      </c>
      <c r="K2860">
        <v>0</v>
      </c>
      <c r="L2860">
        <v>8</v>
      </c>
      <c r="M2860" s="2">
        <v>0</v>
      </c>
      <c r="N2860" s="2">
        <v>0</v>
      </c>
      <c r="O2860">
        <v>0</v>
      </c>
      <c r="P2860">
        <v>1</v>
      </c>
      <c r="Q2860" s="4" t="str">
        <f t="shared" si="403"/>
        <v>2016/2017-Ganjil</v>
      </c>
      <c r="R2860" t="s">
        <v>535</v>
      </c>
      <c r="S2860" t="str">
        <f t="shared" ref="S2860:S2862" si="405">IF(OR(H2860="A",H2860="B",H2860="C"),"PA","FA")</f>
        <v>FA</v>
      </c>
    </row>
    <row r="2861" spans="1:19" x14ac:dyDescent="0.3">
      <c r="A2861" t="s">
        <v>8</v>
      </c>
      <c r="B2861">
        <v>2016210003</v>
      </c>
      <c r="C2861" t="s">
        <v>200</v>
      </c>
      <c r="E2861" t="s">
        <v>202</v>
      </c>
      <c r="F2861" t="s">
        <v>203</v>
      </c>
      <c r="G2861">
        <v>4</v>
      </c>
      <c r="H2861" t="s">
        <v>539</v>
      </c>
      <c r="I2861" s="4">
        <f t="shared" si="404"/>
        <v>0</v>
      </c>
      <c r="J2861">
        <f t="shared" si="402"/>
        <v>0</v>
      </c>
      <c r="K2861">
        <v>0</v>
      </c>
      <c r="L2861">
        <v>8</v>
      </c>
      <c r="M2861" s="2">
        <v>0</v>
      </c>
      <c r="N2861" s="2">
        <v>0</v>
      </c>
      <c r="O2861">
        <v>0</v>
      </c>
      <c r="P2861">
        <v>1</v>
      </c>
      <c r="Q2861" s="4" t="str">
        <f t="shared" si="403"/>
        <v>2016/2017-Ganjil</v>
      </c>
      <c r="R2861" t="s">
        <v>535</v>
      </c>
      <c r="S2861" t="str">
        <f t="shared" si="405"/>
        <v>FA</v>
      </c>
    </row>
    <row r="2862" spans="1:19" x14ac:dyDescent="0.3">
      <c r="A2862" t="s">
        <v>8</v>
      </c>
      <c r="B2862">
        <v>2016210003</v>
      </c>
      <c r="C2862" t="s">
        <v>200</v>
      </c>
      <c r="E2862" t="s">
        <v>395</v>
      </c>
      <c r="F2862" t="s">
        <v>396</v>
      </c>
      <c r="G2862">
        <v>2</v>
      </c>
      <c r="H2862" t="s">
        <v>539</v>
      </c>
      <c r="I2862" s="4">
        <f t="shared" si="404"/>
        <v>0</v>
      </c>
      <c r="J2862">
        <f t="shared" si="402"/>
        <v>0</v>
      </c>
      <c r="K2862">
        <v>0</v>
      </c>
      <c r="L2862">
        <v>8</v>
      </c>
      <c r="M2862" s="2">
        <v>0</v>
      </c>
      <c r="N2862" s="2">
        <v>0</v>
      </c>
      <c r="O2862">
        <v>0</v>
      </c>
      <c r="P2862">
        <v>1</v>
      </c>
      <c r="Q2862" s="4" t="str">
        <f t="shared" si="403"/>
        <v>2016/2017-Ganjil</v>
      </c>
      <c r="R2862" t="s">
        <v>535</v>
      </c>
      <c r="S2862" t="str">
        <f t="shared" si="405"/>
        <v>FA</v>
      </c>
    </row>
    <row r="2863" spans="1:19" x14ac:dyDescent="0.3">
      <c r="A2863" t="s">
        <v>8</v>
      </c>
      <c r="B2863">
        <v>2016210004</v>
      </c>
      <c r="C2863" t="s">
        <v>43</v>
      </c>
      <c r="E2863" t="s">
        <v>44</v>
      </c>
      <c r="F2863" t="s">
        <v>45</v>
      </c>
      <c r="G2863">
        <v>2</v>
      </c>
      <c r="I2863" s="4"/>
      <c r="J2863">
        <f t="shared" ref="J2863:J2889" si="406">G2863*I2863</f>
        <v>0</v>
      </c>
      <c r="K2863">
        <v>14</v>
      </c>
      <c r="L2863">
        <v>10</v>
      </c>
      <c r="M2863" s="2">
        <v>1.4</v>
      </c>
      <c r="N2863">
        <v>2.91</v>
      </c>
      <c r="O2863">
        <v>0</v>
      </c>
      <c r="P2863">
        <v>2</v>
      </c>
      <c r="Q2863" t="s">
        <v>559</v>
      </c>
      <c r="R2863" s="8" t="s">
        <v>260</v>
      </c>
      <c r="S2863" t="s">
        <v>595</v>
      </c>
    </row>
    <row r="2864" spans="1:19" x14ac:dyDescent="0.3">
      <c r="A2864" t="s">
        <v>8</v>
      </c>
      <c r="B2864">
        <v>2016210004</v>
      </c>
      <c r="C2864" t="s">
        <v>43</v>
      </c>
      <c r="E2864" t="s">
        <v>44</v>
      </c>
      <c r="F2864" t="s">
        <v>45</v>
      </c>
      <c r="G2864">
        <v>2</v>
      </c>
      <c r="I2864" s="4"/>
      <c r="J2864">
        <f t="shared" si="406"/>
        <v>0</v>
      </c>
      <c r="K2864">
        <v>2</v>
      </c>
      <c r="L2864">
        <v>8</v>
      </c>
      <c r="M2864" s="2">
        <v>0.25</v>
      </c>
      <c r="N2864">
        <v>2.91</v>
      </c>
      <c r="O2864">
        <v>1</v>
      </c>
      <c r="P2864">
        <v>10</v>
      </c>
      <c r="Q2864" t="s">
        <v>560</v>
      </c>
      <c r="R2864" s="8" t="s">
        <v>260</v>
      </c>
      <c r="S2864" t="s">
        <v>595</v>
      </c>
    </row>
    <row r="2865" spans="1:19" x14ac:dyDescent="0.3">
      <c r="A2865" t="s">
        <v>8</v>
      </c>
      <c r="B2865">
        <v>2016210004</v>
      </c>
      <c r="C2865" t="s">
        <v>43</v>
      </c>
      <c r="E2865" t="s">
        <v>44</v>
      </c>
      <c r="F2865" t="s">
        <v>45</v>
      </c>
      <c r="G2865">
        <v>2</v>
      </c>
      <c r="H2865" t="s">
        <v>438</v>
      </c>
      <c r="I2865" s="4">
        <f t="shared" ref="I2865:I2889" si="407">IF(H2865="A",4,IF(H2865="B",3,IF(H2865="C",2,IF(H2865="D",1,0))))</f>
        <v>3</v>
      </c>
      <c r="J2865">
        <f t="shared" si="406"/>
        <v>6</v>
      </c>
      <c r="K2865">
        <v>30</v>
      </c>
      <c r="L2865">
        <v>12</v>
      </c>
      <c r="M2865" s="2">
        <v>2.5</v>
      </c>
      <c r="N2865">
        <v>2.91</v>
      </c>
      <c r="O2865">
        <v>2</v>
      </c>
      <c r="P2865">
        <v>12</v>
      </c>
      <c r="Q2865" t="s">
        <v>575</v>
      </c>
      <c r="R2865" s="8" t="s">
        <v>260</v>
      </c>
      <c r="S2865" t="str">
        <f>IF(OR(H2865="A",H2865="B",H2865="C"),"PA","FA")</f>
        <v>PA</v>
      </c>
    </row>
    <row r="2866" spans="1:19" x14ac:dyDescent="0.3">
      <c r="A2866" t="s">
        <v>8</v>
      </c>
      <c r="B2866">
        <v>2016210004</v>
      </c>
      <c r="C2866" t="s">
        <v>43</v>
      </c>
      <c r="E2866" t="s">
        <v>22</v>
      </c>
      <c r="F2866" t="s">
        <v>23</v>
      </c>
      <c r="G2866">
        <v>2</v>
      </c>
      <c r="I2866" s="4">
        <f t="shared" si="407"/>
        <v>0</v>
      </c>
      <c r="J2866">
        <f t="shared" si="406"/>
        <v>0</v>
      </c>
      <c r="K2866">
        <v>14</v>
      </c>
      <c r="L2866">
        <v>10</v>
      </c>
      <c r="M2866" s="2">
        <v>1.4</v>
      </c>
      <c r="N2866">
        <v>2.91</v>
      </c>
      <c r="O2866">
        <v>0</v>
      </c>
      <c r="P2866">
        <v>2</v>
      </c>
      <c r="Q2866" t="s">
        <v>559</v>
      </c>
      <c r="R2866" s="8" t="s">
        <v>260</v>
      </c>
      <c r="S2866" t="s">
        <v>595</v>
      </c>
    </row>
    <row r="2867" spans="1:19" x14ac:dyDescent="0.3">
      <c r="A2867" t="s">
        <v>8</v>
      </c>
      <c r="B2867">
        <v>2016210004</v>
      </c>
      <c r="C2867" t="s">
        <v>43</v>
      </c>
      <c r="E2867" t="s">
        <v>22</v>
      </c>
      <c r="F2867" t="s">
        <v>23</v>
      </c>
      <c r="G2867">
        <v>2</v>
      </c>
      <c r="H2867" t="s">
        <v>524</v>
      </c>
      <c r="I2867" s="4">
        <f t="shared" si="407"/>
        <v>2</v>
      </c>
      <c r="J2867">
        <f t="shared" si="406"/>
        <v>4</v>
      </c>
      <c r="K2867">
        <v>22</v>
      </c>
      <c r="L2867">
        <v>10</v>
      </c>
      <c r="M2867" s="2">
        <v>2.2000000000000002</v>
      </c>
      <c r="N2867">
        <v>2.91</v>
      </c>
      <c r="O2867">
        <v>1</v>
      </c>
      <c r="P2867">
        <v>8</v>
      </c>
      <c r="Q2867" t="s">
        <v>569</v>
      </c>
      <c r="R2867" s="8" t="s">
        <v>260</v>
      </c>
      <c r="S2867" t="str">
        <f>IF(OR(H2867="A",H2867="B",H2867="C"),"PA","FA")</f>
        <v>PA</v>
      </c>
    </row>
    <row r="2868" spans="1:19" x14ac:dyDescent="0.3">
      <c r="A2868" t="s">
        <v>8</v>
      </c>
      <c r="B2868">
        <v>2016210004</v>
      </c>
      <c r="C2868" t="s">
        <v>43</v>
      </c>
      <c r="E2868" t="s">
        <v>107</v>
      </c>
      <c r="F2868" t="s">
        <v>108</v>
      </c>
      <c r="G2868">
        <v>2</v>
      </c>
      <c r="I2868" s="4"/>
      <c r="J2868">
        <f t="shared" si="406"/>
        <v>0</v>
      </c>
      <c r="K2868">
        <v>2</v>
      </c>
      <c r="L2868">
        <v>8</v>
      </c>
      <c r="M2868" s="2">
        <v>0.25</v>
      </c>
      <c r="N2868">
        <v>2.91</v>
      </c>
      <c r="O2868">
        <v>0</v>
      </c>
      <c r="P2868">
        <v>10</v>
      </c>
      <c r="Q2868" t="s">
        <v>560</v>
      </c>
      <c r="R2868" s="8" t="s">
        <v>260</v>
      </c>
      <c r="S2868" t="s">
        <v>595</v>
      </c>
    </row>
    <row r="2869" spans="1:19" x14ac:dyDescent="0.3">
      <c r="A2869" t="s">
        <v>8</v>
      </c>
      <c r="B2869">
        <v>2016210004</v>
      </c>
      <c r="C2869" t="s">
        <v>43</v>
      </c>
      <c r="E2869" t="s">
        <v>107</v>
      </c>
      <c r="F2869" t="s">
        <v>108</v>
      </c>
      <c r="G2869">
        <v>2</v>
      </c>
      <c r="H2869" t="s">
        <v>438</v>
      </c>
      <c r="I2869" s="4">
        <f t="shared" si="407"/>
        <v>3</v>
      </c>
      <c r="J2869">
        <f t="shared" si="406"/>
        <v>6</v>
      </c>
      <c r="K2869">
        <v>30</v>
      </c>
      <c r="L2869">
        <v>12</v>
      </c>
      <c r="M2869" s="2">
        <v>2.5</v>
      </c>
      <c r="N2869">
        <v>2.91</v>
      </c>
      <c r="O2869">
        <v>1</v>
      </c>
      <c r="P2869">
        <v>12</v>
      </c>
      <c r="Q2869" t="s">
        <v>575</v>
      </c>
      <c r="R2869" s="8" t="s">
        <v>260</v>
      </c>
      <c r="S2869" t="str">
        <f>IF(OR(H2869="A",H2869="B",H2869="C"),"PA","FA")</f>
        <v>PA</v>
      </c>
    </row>
    <row r="2870" spans="1:19" x14ac:dyDescent="0.3">
      <c r="A2870" t="s">
        <v>8</v>
      </c>
      <c r="B2870">
        <v>2016210004</v>
      </c>
      <c r="C2870" t="s">
        <v>43</v>
      </c>
      <c r="E2870" t="s">
        <v>125</v>
      </c>
      <c r="F2870" t="s">
        <v>126</v>
      </c>
      <c r="G2870">
        <v>4</v>
      </c>
      <c r="I2870" s="4"/>
      <c r="J2870">
        <f t="shared" si="406"/>
        <v>0</v>
      </c>
      <c r="K2870">
        <v>14</v>
      </c>
      <c r="L2870">
        <v>10</v>
      </c>
      <c r="M2870" s="2">
        <v>1.4</v>
      </c>
      <c r="N2870">
        <v>2.91</v>
      </c>
      <c r="O2870">
        <v>0</v>
      </c>
      <c r="P2870">
        <v>2</v>
      </c>
      <c r="Q2870" t="s">
        <v>559</v>
      </c>
      <c r="R2870" s="8" t="s">
        <v>260</v>
      </c>
      <c r="S2870" t="s">
        <v>595</v>
      </c>
    </row>
    <row r="2871" spans="1:19" x14ac:dyDescent="0.3">
      <c r="A2871" t="s">
        <v>8</v>
      </c>
      <c r="B2871">
        <v>2016210004</v>
      </c>
      <c r="C2871" t="s">
        <v>43</v>
      </c>
      <c r="E2871" t="s">
        <v>125</v>
      </c>
      <c r="F2871" t="s">
        <v>126</v>
      </c>
      <c r="G2871">
        <v>4</v>
      </c>
      <c r="H2871" t="s">
        <v>260</v>
      </c>
      <c r="I2871" s="4">
        <f t="shared" si="407"/>
        <v>4</v>
      </c>
      <c r="J2871">
        <f t="shared" si="406"/>
        <v>16</v>
      </c>
      <c r="K2871">
        <v>120</v>
      </c>
      <c r="L2871">
        <v>36</v>
      </c>
      <c r="M2871" s="2">
        <v>3.33</v>
      </c>
      <c r="N2871">
        <v>2.91</v>
      </c>
      <c r="O2871">
        <v>1</v>
      </c>
      <c r="P2871">
        <v>10</v>
      </c>
      <c r="Q2871" t="s">
        <v>578</v>
      </c>
      <c r="R2871" s="8" t="s">
        <v>260</v>
      </c>
      <c r="S2871" t="str">
        <f>IF(OR(H2871="A",H2871="B",H2871="C"),"PA","FA")</f>
        <v>PA</v>
      </c>
    </row>
    <row r="2872" spans="1:19" x14ac:dyDescent="0.3">
      <c r="A2872" t="s">
        <v>8</v>
      </c>
      <c r="B2872">
        <v>2016210004</v>
      </c>
      <c r="C2872" t="s">
        <v>43</v>
      </c>
      <c r="E2872" t="s">
        <v>105</v>
      </c>
      <c r="F2872" t="s">
        <v>106</v>
      </c>
      <c r="G2872">
        <v>2</v>
      </c>
      <c r="I2872" s="4"/>
      <c r="J2872">
        <f t="shared" si="406"/>
        <v>0</v>
      </c>
      <c r="K2872">
        <v>6</v>
      </c>
      <c r="L2872">
        <v>8</v>
      </c>
      <c r="M2872" s="2">
        <v>0.75</v>
      </c>
      <c r="N2872">
        <v>2.91</v>
      </c>
      <c r="O2872">
        <v>0</v>
      </c>
      <c r="P2872">
        <v>9</v>
      </c>
      <c r="Q2872" t="s">
        <v>570</v>
      </c>
      <c r="R2872" s="8" t="s">
        <v>260</v>
      </c>
      <c r="S2872" t="s">
        <v>595</v>
      </c>
    </row>
    <row r="2873" spans="1:19" x14ac:dyDescent="0.3">
      <c r="A2873" t="s">
        <v>8</v>
      </c>
      <c r="B2873">
        <v>2016210004</v>
      </c>
      <c r="C2873" t="s">
        <v>43</v>
      </c>
      <c r="E2873" t="s">
        <v>105</v>
      </c>
      <c r="F2873" t="s">
        <v>106</v>
      </c>
      <c r="G2873">
        <v>2</v>
      </c>
      <c r="H2873" t="s">
        <v>539</v>
      </c>
      <c r="I2873" s="4">
        <f t="shared" ref="I2873" si="408">IF(H2873="A",4,IF(H2873="B",3,IF(H2873="C",2,IF(H2873="D",1,0))))</f>
        <v>0</v>
      </c>
      <c r="J2873">
        <f t="shared" ref="J2873" si="409">G2873*I2873</f>
        <v>0</v>
      </c>
      <c r="K2873">
        <v>22</v>
      </c>
      <c r="L2873">
        <v>12</v>
      </c>
      <c r="M2873" s="2">
        <v>1.83</v>
      </c>
      <c r="N2873">
        <v>2.91</v>
      </c>
      <c r="O2873">
        <v>1</v>
      </c>
      <c r="P2873">
        <v>11</v>
      </c>
      <c r="Q2873" t="s">
        <v>573</v>
      </c>
      <c r="R2873" s="8" t="s">
        <v>260</v>
      </c>
      <c r="S2873" t="str">
        <f t="shared" ref="S2873:S2875" si="410">IF(OR(H2873="A",H2873="B",H2873="C"),"PA","FA")</f>
        <v>FA</v>
      </c>
    </row>
    <row r="2874" spans="1:19" x14ac:dyDescent="0.3">
      <c r="A2874" t="s">
        <v>8</v>
      </c>
      <c r="B2874">
        <v>2016210004</v>
      </c>
      <c r="C2874" t="s">
        <v>43</v>
      </c>
      <c r="E2874" t="s">
        <v>105</v>
      </c>
      <c r="F2874" t="s">
        <v>106</v>
      </c>
      <c r="G2874">
        <v>2</v>
      </c>
      <c r="H2874" t="s">
        <v>260</v>
      </c>
      <c r="I2874" s="4">
        <f t="shared" si="407"/>
        <v>4</v>
      </c>
      <c r="J2874">
        <f t="shared" si="406"/>
        <v>8</v>
      </c>
      <c r="K2874">
        <v>120</v>
      </c>
      <c r="L2874">
        <v>36</v>
      </c>
      <c r="M2874" s="2">
        <v>3.33</v>
      </c>
      <c r="N2874">
        <v>2.91</v>
      </c>
      <c r="O2874">
        <v>2</v>
      </c>
      <c r="P2874">
        <v>10</v>
      </c>
      <c r="Q2874" t="s">
        <v>578</v>
      </c>
      <c r="R2874" s="8" t="s">
        <v>260</v>
      </c>
      <c r="S2874" t="str">
        <f t="shared" si="410"/>
        <v>PA</v>
      </c>
    </row>
    <row r="2875" spans="1:19" x14ac:dyDescent="0.3">
      <c r="A2875" t="s">
        <v>8</v>
      </c>
      <c r="B2875">
        <v>2016210004</v>
      </c>
      <c r="C2875" t="s">
        <v>43</v>
      </c>
      <c r="E2875" t="s">
        <v>176</v>
      </c>
      <c r="F2875" t="s">
        <v>177</v>
      </c>
      <c r="G2875">
        <v>4</v>
      </c>
      <c r="H2875" t="s">
        <v>260</v>
      </c>
      <c r="I2875" s="4">
        <f t="shared" si="407"/>
        <v>4</v>
      </c>
      <c r="J2875">
        <f t="shared" si="406"/>
        <v>16</v>
      </c>
      <c r="K2875">
        <v>34</v>
      </c>
      <c r="L2875">
        <v>10</v>
      </c>
      <c r="M2875" s="2">
        <v>3.4</v>
      </c>
      <c r="N2875">
        <v>2.91</v>
      </c>
      <c r="O2875">
        <v>1</v>
      </c>
      <c r="P2875">
        <v>13</v>
      </c>
      <c r="Q2875" s="4" t="str">
        <f>IF(P2875=1,"2016/2017-Ganjil",IF(P2875=2,"2016/2017-Genap",IF(P2875=3,"2017/2018-Ganjil",IF(P2875=4,"2017/2018-Genap",IF(P2875=5,"2018/2019-Ganjil",IF(P2875=6,"2018/2019-Genap",IF(P2875=7,"2019/2020-Ganjil",IF(P2875=8,"2019/2020-Genap",IF(P2875=9,"2020/2021-Ganjil",IF(P2875=10,"2020/2021-Genap",IF(P2875=11,"2021/2022-Ganjil",IF(P2875=12,"2021/2022-Genap",IF(P2875=13,"2022/2023-Ganjil","2022/2023-Genap")))))))))))))</f>
        <v>2022/2023-Ganjil</v>
      </c>
      <c r="R2875" t="s">
        <v>596</v>
      </c>
      <c r="S2875" t="str">
        <f t="shared" si="410"/>
        <v>PA</v>
      </c>
    </row>
    <row r="2876" spans="1:19" x14ac:dyDescent="0.3">
      <c r="A2876" t="s">
        <v>8</v>
      </c>
      <c r="B2876">
        <v>2016210004</v>
      </c>
      <c r="C2876" t="s">
        <v>43</v>
      </c>
      <c r="E2876" t="s">
        <v>176</v>
      </c>
      <c r="F2876" t="s">
        <v>177</v>
      </c>
      <c r="G2876">
        <v>4</v>
      </c>
      <c r="I2876" s="4"/>
      <c r="J2876">
        <f t="shared" si="406"/>
        <v>0</v>
      </c>
      <c r="K2876">
        <v>6</v>
      </c>
      <c r="L2876">
        <v>8</v>
      </c>
      <c r="M2876" s="2">
        <v>0.75</v>
      </c>
      <c r="N2876">
        <v>2.91</v>
      </c>
      <c r="O2876">
        <v>0</v>
      </c>
      <c r="P2876">
        <v>9</v>
      </c>
      <c r="Q2876" s="4" t="str">
        <f>IF(P2876=1,"2016/2017-Ganjil",IF(P2876=2,"2016/2017-Genap",IF(P2876=3,"2017/2018-Ganjil",IF(P2876=4,"2017/2018-Genap",IF(P2876=5,"2018/2019-Ganjil",IF(P2876=6,"2018/2019-Genap",IF(P2876=7,"2019/2020-Ganjil",IF(P2876=8,"2019/2020-Genap",IF(P2876=9,"2020/2021-Ganjil",IF(P2876=10,"2020/2021-Genap",IF(P2876=11,"2021/2022-Ganjil",IF(P2876=12,"2021/2022-Genap",IF(P2876=13,"2022/2023-Ganjil","2022/2023-Genap")))))))))))))</f>
        <v>2020/2021-Ganjil</v>
      </c>
      <c r="R2876" s="8" t="s">
        <v>260</v>
      </c>
      <c r="S2876" t="s">
        <v>595</v>
      </c>
    </row>
    <row r="2877" spans="1:19" x14ac:dyDescent="0.3">
      <c r="A2877" t="s">
        <v>8</v>
      </c>
      <c r="B2877">
        <v>2016210004</v>
      </c>
      <c r="C2877" t="s">
        <v>43</v>
      </c>
      <c r="E2877" t="s">
        <v>112</v>
      </c>
      <c r="F2877" t="s">
        <v>113</v>
      </c>
      <c r="G2877">
        <v>4</v>
      </c>
      <c r="I2877" s="4"/>
      <c r="J2877">
        <f t="shared" si="406"/>
        <v>0</v>
      </c>
      <c r="K2877">
        <v>24</v>
      </c>
      <c r="L2877">
        <v>12</v>
      </c>
      <c r="M2877" s="2">
        <v>2</v>
      </c>
      <c r="N2877">
        <v>2.91</v>
      </c>
      <c r="O2877">
        <v>0</v>
      </c>
      <c r="P2877">
        <v>3</v>
      </c>
      <c r="Q2877" t="s">
        <v>563</v>
      </c>
      <c r="R2877" s="8" t="s">
        <v>260</v>
      </c>
      <c r="S2877" t="s">
        <v>595</v>
      </c>
    </row>
    <row r="2878" spans="1:19" x14ac:dyDescent="0.3">
      <c r="A2878" t="s">
        <v>8</v>
      </c>
      <c r="B2878">
        <v>2016210004</v>
      </c>
      <c r="C2878" t="s">
        <v>43</v>
      </c>
      <c r="E2878" t="s">
        <v>112</v>
      </c>
      <c r="F2878" t="s">
        <v>113</v>
      </c>
      <c r="G2878">
        <v>4</v>
      </c>
      <c r="H2878" t="s">
        <v>539</v>
      </c>
      <c r="I2878" s="4">
        <f t="shared" ref="I2878" si="411">IF(H2878="A",4,IF(H2878="B",3,IF(H2878="C",2,IF(H2878="D",1,0))))</f>
        <v>0</v>
      </c>
      <c r="J2878">
        <f t="shared" ref="J2878" si="412">G2878*I2878</f>
        <v>0</v>
      </c>
      <c r="K2878">
        <v>6</v>
      </c>
      <c r="L2878">
        <v>8</v>
      </c>
      <c r="M2878" s="2">
        <v>0.75</v>
      </c>
      <c r="N2878">
        <v>2.91</v>
      </c>
      <c r="O2878">
        <v>1</v>
      </c>
      <c r="P2878">
        <v>9</v>
      </c>
      <c r="Q2878" t="s">
        <v>570</v>
      </c>
      <c r="R2878" s="8" t="s">
        <v>260</v>
      </c>
      <c r="S2878" t="str">
        <f t="shared" ref="S2878:S2879" si="413">IF(OR(H2878="A",H2878="B",H2878="C"),"PA","FA")</f>
        <v>FA</v>
      </c>
    </row>
    <row r="2879" spans="1:19" x14ac:dyDescent="0.3">
      <c r="A2879" t="s">
        <v>8</v>
      </c>
      <c r="B2879">
        <v>2016210004</v>
      </c>
      <c r="C2879" t="s">
        <v>43</v>
      </c>
      <c r="E2879" t="s">
        <v>112</v>
      </c>
      <c r="F2879" t="s">
        <v>113</v>
      </c>
      <c r="G2879">
        <v>4</v>
      </c>
      <c r="H2879" t="s">
        <v>438</v>
      </c>
      <c r="I2879" s="4">
        <f t="shared" si="407"/>
        <v>3</v>
      </c>
      <c r="J2879">
        <f t="shared" si="406"/>
        <v>12</v>
      </c>
      <c r="K2879">
        <v>120</v>
      </c>
      <c r="L2879">
        <v>36</v>
      </c>
      <c r="M2879" s="2">
        <v>3.33</v>
      </c>
      <c r="N2879">
        <v>2.91</v>
      </c>
      <c r="O2879">
        <v>2</v>
      </c>
      <c r="P2879">
        <v>10</v>
      </c>
      <c r="Q2879" t="s">
        <v>578</v>
      </c>
      <c r="R2879" s="8" t="s">
        <v>260</v>
      </c>
      <c r="S2879" t="str">
        <f t="shared" si="413"/>
        <v>PA</v>
      </c>
    </row>
    <row r="2880" spans="1:19" x14ac:dyDescent="0.3">
      <c r="A2880" t="s">
        <v>8</v>
      </c>
      <c r="B2880">
        <v>2016210004</v>
      </c>
      <c r="C2880" t="s">
        <v>43</v>
      </c>
      <c r="E2880" t="s">
        <v>80</v>
      </c>
      <c r="F2880" t="s">
        <v>81</v>
      </c>
      <c r="G2880">
        <v>4</v>
      </c>
      <c r="I2880" s="4"/>
      <c r="J2880">
        <f t="shared" si="406"/>
        <v>0</v>
      </c>
      <c r="K2880">
        <v>14</v>
      </c>
      <c r="L2880">
        <v>6</v>
      </c>
      <c r="M2880" s="2">
        <v>2.33</v>
      </c>
      <c r="N2880">
        <v>2.91</v>
      </c>
      <c r="O2880">
        <v>0</v>
      </c>
      <c r="P2880">
        <v>6</v>
      </c>
      <c r="Q2880" s="4" t="str">
        <f>IF(P2880=1,"2016/2017-Ganjil",IF(P2880=2,"2016/2017-Genap",IF(P2880=3,"2017/2018-Ganjil",IF(P2880=4,"2017/2018-Genap",IF(P2880=5,"2018/2019-Ganjil",IF(P2880=6,"2018/2019-Genap",IF(P2880=7,"2019/2020-Ganjil",IF(P2880=8,"2019/2020-Genap",IF(P2880=9,"2020/2021-Ganjil",IF(P2880=10,"2020/2021-Genap",IF(P2880=11,"2021/2022-Ganjil",IF(P2880=12,"2021/2022-Genap",IF(P2880=13,"2022/2023-Ganjil","2022/2023-Genap")))))))))))))</f>
        <v>2018/2019-Genap</v>
      </c>
      <c r="R2880" s="8" t="s">
        <v>260</v>
      </c>
      <c r="S2880" t="s">
        <v>595</v>
      </c>
    </row>
    <row r="2881" spans="1:19" x14ac:dyDescent="0.3">
      <c r="A2881" t="s">
        <v>8</v>
      </c>
      <c r="B2881">
        <v>2016210004</v>
      </c>
      <c r="C2881" t="s">
        <v>43</v>
      </c>
      <c r="E2881" t="s">
        <v>80</v>
      </c>
      <c r="F2881" t="s">
        <v>81</v>
      </c>
      <c r="G2881">
        <v>4</v>
      </c>
      <c r="H2881" t="s">
        <v>539</v>
      </c>
      <c r="I2881" s="4">
        <f t="shared" ref="I2881" si="414">IF(H2881="A",4,IF(H2881="B",3,IF(H2881="C",2,IF(H2881="D",1,0))))</f>
        <v>0</v>
      </c>
      <c r="J2881">
        <f t="shared" ref="J2881:J2882" si="415">G2881*I2881</f>
        <v>0</v>
      </c>
      <c r="K2881">
        <v>2</v>
      </c>
      <c r="L2881">
        <v>8</v>
      </c>
      <c r="M2881" s="2">
        <v>0.25</v>
      </c>
      <c r="N2881">
        <v>2.91</v>
      </c>
      <c r="O2881">
        <v>1</v>
      </c>
      <c r="P2881">
        <v>10</v>
      </c>
      <c r="Q2881" t="s">
        <v>560</v>
      </c>
      <c r="R2881" s="8" t="s">
        <v>260</v>
      </c>
      <c r="S2881" t="str">
        <f>IF(OR(H2881="A",H2881="B",H2881="C"),"PA","FA")</f>
        <v>FA</v>
      </c>
    </row>
    <row r="2882" spans="1:19" x14ac:dyDescent="0.3">
      <c r="A2882" t="s">
        <v>8</v>
      </c>
      <c r="B2882">
        <v>2016210004</v>
      </c>
      <c r="C2882" t="s">
        <v>43</v>
      </c>
      <c r="E2882" t="s">
        <v>119</v>
      </c>
      <c r="F2882" t="s">
        <v>120</v>
      </c>
      <c r="G2882">
        <v>2</v>
      </c>
      <c r="I2882" s="4"/>
      <c r="J2882">
        <f t="shared" si="415"/>
        <v>0</v>
      </c>
      <c r="K2882">
        <v>14</v>
      </c>
      <c r="L2882">
        <v>6</v>
      </c>
      <c r="M2882" s="2">
        <v>2.33</v>
      </c>
      <c r="N2882">
        <v>2.91</v>
      </c>
      <c r="O2882">
        <v>0</v>
      </c>
      <c r="P2882">
        <v>6</v>
      </c>
      <c r="Q2882" s="4" t="str">
        <f>IF(P2882=1,"2016/2017-Ganjil",IF(P2882=2,"2016/2017-Genap",IF(P2882=3,"2017/2018-Ganjil",IF(P2882=4,"2017/2018-Genap",IF(P2882=5,"2018/2019-Ganjil",IF(P2882=6,"2018/2019-Genap",IF(P2882=7,"2019/2020-Ganjil",IF(P2882=8,"2019/2020-Genap",IF(P2882=9,"2020/2021-Ganjil",IF(P2882=10,"2020/2021-Genap",IF(P2882=11,"2021/2022-Ganjil",IF(P2882=12,"2021/2022-Genap",IF(P2882=13,"2022/2023-Ganjil","2022/2023-Genap")))))))))))))</f>
        <v>2018/2019-Genap</v>
      </c>
      <c r="R2882" s="8" t="s">
        <v>260</v>
      </c>
      <c r="S2882" t="s">
        <v>595</v>
      </c>
    </row>
    <row r="2883" spans="1:19" x14ac:dyDescent="0.3">
      <c r="A2883" t="s">
        <v>8</v>
      </c>
      <c r="B2883">
        <v>2016210004</v>
      </c>
      <c r="C2883" t="s">
        <v>43</v>
      </c>
      <c r="E2883" t="s">
        <v>80</v>
      </c>
      <c r="F2883" t="s">
        <v>81</v>
      </c>
      <c r="G2883">
        <v>4</v>
      </c>
      <c r="H2883" t="s">
        <v>438</v>
      </c>
      <c r="I2883" s="4">
        <f t="shared" si="407"/>
        <v>3</v>
      </c>
      <c r="J2883">
        <f t="shared" si="406"/>
        <v>12</v>
      </c>
      <c r="K2883">
        <v>120</v>
      </c>
      <c r="L2883">
        <v>36</v>
      </c>
      <c r="M2883" s="2">
        <v>3.33</v>
      </c>
      <c r="N2883">
        <v>2.91</v>
      </c>
      <c r="O2883">
        <v>2</v>
      </c>
      <c r="P2883">
        <v>10</v>
      </c>
      <c r="Q2883" t="s">
        <v>578</v>
      </c>
      <c r="R2883" s="8" t="s">
        <v>260</v>
      </c>
      <c r="S2883" t="str">
        <f t="shared" ref="S2883:S2885" si="416">IF(OR(H2883="A",H2883="B",H2883="C"),"PA","FA")</f>
        <v>PA</v>
      </c>
    </row>
    <row r="2884" spans="1:19" x14ac:dyDescent="0.3">
      <c r="A2884" t="s">
        <v>8</v>
      </c>
      <c r="B2884">
        <v>2016210004</v>
      </c>
      <c r="C2884" t="s">
        <v>43</v>
      </c>
      <c r="E2884" t="s">
        <v>119</v>
      </c>
      <c r="F2884" t="s">
        <v>120</v>
      </c>
      <c r="G2884">
        <v>2</v>
      </c>
      <c r="H2884" t="s">
        <v>524</v>
      </c>
      <c r="I2884" s="4">
        <f t="shared" ref="I2884" si="417">IF(H2884="A",4,IF(H2884="B",3,IF(H2884="C",2,IF(H2884="D",1,0))))</f>
        <v>2</v>
      </c>
      <c r="J2884">
        <f t="shared" ref="J2884" si="418">G2884*I2884</f>
        <v>4</v>
      </c>
      <c r="K2884">
        <v>120</v>
      </c>
      <c r="L2884">
        <v>36</v>
      </c>
      <c r="M2884" s="2">
        <v>3.33</v>
      </c>
      <c r="N2884">
        <v>2.91</v>
      </c>
      <c r="O2884">
        <v>2</v>
      </c>
      <c r="P2884">
        <v>10</v>
      </c>
      <c r="Q2884" t="s">
        <v>578</v>
      </c>
      <c r="R2884" s="8" t="s">
        <v>260</v>
      </c>
      <c r="S2884" t="str">
        <f t="shared" si="416"/>
        <v>PA</v>
      </c>
    </row>
    <row r="2885" spans="1:19" x14ac:dyDescent="0.3">
      <c r="A2885" t="s">
        <v>8</v>
      </c>
      <c r="B2885">
        <v>2016210004</v>
      </c>
      <c r="C2885" t="s">
        <v>43</v>
      </c>
      <c r="E2885" t="s">
        <v>119</v>
      </c>
      <c r="F2885" t="s">
        <v>120</v>
      </c>
      <c r="G2885">
        <v>2</v>
      </c>
      <c r="H2885" t="s">
        <v>535</v>
      </c>
      <c r="I2885" s="4">
        <f t="shared" si="407"/>
        <v>1</v>
      </c>
      <c r="J2885">
        <f t="shared" si="406"/>
        <v>2</v>
      </c>
      <c r="K2885">
        <v>2</v>
      </c>
      <c r="L2885">
        <v>8</v>
      </c>
      <c r="M2885" s="2">
        <v>0.25</v>
      </c>
      <c r="N2885">
        <v>2.91</v>
      </c>
      <c r="O2885">
        <v>1</v>
      </c>
      <c r="P2885">
        <v>10</v>
      </c>
      <c r="Q2885" t="s">
        <v>560</v>
      </c>
      <c r="R2885" s="8" t="s">
        <v>260</v>
      </c>
      <c r="S2885" t="str">
        <f t="shared" si="416"/>
        <v>FA</v>
      </c>
    </row>
    <row r="2886" spans="1:19" x14ac:dyDescent="0.3">
      <c r="A2886" t="s">
        <v>8</v>
      </c>
      <c r="B2886">
        <v>2016210004</v>
      </c>
      <c r="C2886" t="s">
        <v>43</v>
      </c>
      <c r="E2886" t="s">
        <v>188</v>
      </c>
      <c r="F2886" t="s">
        <v>189</v>
      </c>
      <c r="G2886">
        <v>4</v>
      </c>
      <c r="I2886" s="4"/>
      <c r="J2886">
        <f t="shared" si="406"/>
        <v>0</v>
      </c>
      <c r="K2886">
        <v>34</v>
      </c>
      <c r="L2886">
        <v>16</v>
      </c>
      <c r="M2886">
        <v>2.13</v>
      </c>
      <c r="N2886">
        <v>2.91</v>
      </c>
      <c r="O2886">
        <v>0</v>
      </c>
      <c r="P2886">
        <v>5</v>
      </c>
      <c r="Q2886" t="s">
        <v>566</v>
      </c>
      <c r="R2886" s="8" t="s">
        <v>260</v>
      </c>
      <c r="S2886" t="s">
        <v>595</v>
      </c>
    </row>
    <row r="2887" spans="1:19" x14ac:dyDescent="0.3">
      <c r="A2887" t="s">
        <v>8</v>
      </c>
      <c r="B2887">
        <v>2016210004</v>
      </c>
      <c r="C2887" t="s">
        <v>43</v>
      </c>
      <c r="E2887" t="s">
        <v>188</v>
      </c>
      <c r="F2887" t="s">
        <v>189</v>
      </c>
      <c r="G2887">
        <v>4</v>
      </c>
      <c r="H2887" t="s">
        <v>438</v>
      </c>
      <c r="I2887" s="4">
        <f t="shared" si="407"/>
        <v>3</v>
      </c>
      <c r="J2887">
        <f t="shared" si="406"/>
        <v>12</v>
      </c>
      <c r="K2887">
        <v>22</v>
      </c>
      <c r="L2887">
        <v>12</v>
      </c>
      <c r="M2887" s="2">
        <v>1.83</v>
      </c>
      <c r="N2887">
        <v>2.91</v>
      </c>
      <c r="O2887">
        <v>1</v>
      </c>
      <c r="P2887">
        <v>11</v>
      </c>
      <c r="Q2887" t="s">
        <v>573</v>
      </c>
      <c r="R2887" s="8" t="s">
        <v>260</v>
      </c>
      <c r="S2887" t="str">
        <f>IF(OR(H2887="A",H2887="B",H2887="C"),"PA","FA")</f>
        <v>PA</v>
      </c>
    </row>
    <row r="2888" spans="1:19" x14ac:dyDescent="0.3">
      <c r="A2888" t="s">
        <v>8</v>
      </c>
      <c r="B2888">
        <v>2016210004</v>
      </c>
      <c r="C2888" t="s">
        <v>43</v>
      </c>
      <c r="E2888" t="s">
        <v>157</v>
      </c>
      <c r="F2888" t="s">
        <v>158</v>
      </c>
      <c r="G2888">
        <v>2</v>
      </c>
      <c r="I2888" s="4"/>
      <c r="J2888">
        <f t="shared" si="406"/>
        <v>0</v>
      </c>
      <c r="K2888">
        <v>6</v>
      </c>
      <c r="L2888">
        <v>8</v>
      </c>
      <c r="M2888" s="2">
        <v>0.75</v>
      </c>
      <c r="N2888">
        <v>2.91</v>
      </c>
      <c r="O2888">
        <v>0</v>
      </c>
      <c r="P2888">
        <v>9</v>
      </c>
      <c r="Q2888" t="s">
        <v>570</v>
      </c>
      <c r="R2888" s="8" t="s">
        <v>260</v>
      </c>
      <c r="S2888" t="s">
        <v>595</v>
      </c>
    </row>
    <row r="2889" spans="1:19" x14ac:dyDescent="0.3">
      <c r="A2889" t="s">
        <v>8</v>
      </c>
      <c r="B2889">
        <v>2016210004</v>
      </c>
      <c r="C2889" t="s">
        <v>43</v>
      </c>
      <c r="E2889" t="s">
        <v>157</v>
      </c>
      <c r="F2889" t="s">
        <v>158</v>
      </c>
      <c r="G2889">
        <v>2</v>
      </c>
      <c r="H2889" t="s">
        <v>438</v>
      </c>
      <c r="I2889" s="4">
        <f t="shared" si="407"/>
        <v>3</v>
      </c>
      <c r="J2889">
        <f t="shared" si="406"/>
        <v>6</v>
      </c>
      <c r="K2889">
        <v>22</v>
      </c>
      <c r="L2889">
        <v>12</v>
      </c>
      <c r="M2889" s="2">
        <v>1.83</v>
      </c>
      <c r="N2889">
        <v>2.91</v>
      </c>
      <c r="O2889">
        <v>1</v>
      </c>
      <c r="P2889">
        <v>11</v>
      </c>
      <c r="Q2889" t="s">
        <v>573</v>
      </c>
      <c r="R2889" s="8" t="s">
        <v>260</v>
      </c>
      <c r="S2889" t="str">
        <f t="shared" ref="S2889:S2915" si="419">IF(OR(H2889="A",H2889="B",H2889="C"),"PA","FA")</f>
        <v>PA</v>
      </c>
    </row>
    <row r="2890" spans="1:19" x14ac:dyDescent="0.3">
      <c r="A2890" t="s">
        <v>8</v>
      </c>
      <c r="B2890">
        <v>2016210004</v>
      </c>
      <c r="C2890" t="s">
        <v>43</v>
      </c>
      <c r="E2890" t="s">
        <v>202</v>
      </c>
      <c r="F2890" t="s">
        <v>203</v>
      </c>
      <c r="G2890">
        <v>4</v>
      </c>
      <c r="H2890" t="s">
        <v>260</v>
      </c>
      <c r="I2890" s="4">
        <f t="shared" ref="I2890:I2915" si="420">IF(H2890="A",4,IF(H2890="B",3,IF(H2890="C",2,IF(H2890="D",1,0))))</f>
        <v>4</v>
      </c>
      <c r="J2890">
        <f t="shared" ref="J2890:J2915" si="421">G2890*I2890</f>
        <v>16</v>
      </c>
      <c r="K2890">
        <v>56</v>
      </c>
      <c r="L2890">
        <v>20</v>
      </c>
      <c r="M2890" s="2">
        <v>2.8</v>
      </c>
      <c r="N2890">
        <v>2.91</v>
      </c>
      <c r="O2890">
        <v>0</v>
      </c>
      <c r="P2890">
        <v>1</v>
      </c>
      <c r="Q2890" t="s">
        <v>558</v>
      </c>
      <c r="R2890" s="8" t="s">
        <v>260</v>
      </c>
      <c r="S2890" t="str">
        <f t="shared" si="419"/>
        <v>PA</v>
      </c>
    </row>
    <row r="2891" spans="1:19" x14ac:dyDescent="0.3">
      <c r="A2891" t="s">
        <v>8</v>
      </c>
      <c r="B2891">
        <v>2016210004</v>
      </c>
      <c r="C2891" t="s">
        <v>43</v>
      </c>
      <c r="E2891" t="s">
        <v>362</v>
      </c>
      <c r="F2891" t="s">
        <v>363</v>
      </c>
      <c r="G2891">
        <v>2</v>
      </c>
      <c r="H2891" t="s">
        <v>260</v>
      </c>
      <c r="I2891" s="4">
        <f t="shared" si="420"/>
        <v>4</v>
      </c>
      <c r="J2891">
        <f t="shared" si="421"/>
        <v>8</v>
      </c>
      <c r="K2891">
        <v>34</v>
      </c>
      <c r="L2891">
        <v>16</v>
      </c>
      <c r="M2891">
        <v>2.13</v>
      </c>
      <c r="N2891">
        <v>2.91</v>
      </c>
      <c r="O2891">
        <v>0</v>
      </c>
      <c r="P2891">
        <v>5</v>
      </c>
      <c r="Q2891" t="s">
        <v>566</v>
      </c>
      <c r="R2891" s="8" t="s">
        <v>260</v>
      </c>
      <c r="S2891" t="str">
        <f t="shared" si="419"/>
        <v>PA</v>
      </c>
    </row>
    <row r="2892" spans="1:19" x14ac:dyDescent="0.3">
      <c r="A2892" t="s">
        <v>8</v>
      </c>
      <c r="B2892">
        <v>2016210004</v>
      </c>
      <c r="C2892" t="s">
        <v>43</v>
      </c>
      <c r="E2892" t="s">
        <v>352</v>
      </c>
      <c r="F2892" t="s">
        <v>353</v>
      </c>
      <c r="G2892">
        <v>2</v>
      </c>
      <c r="H2892" t="s">
        <v>260</v>
      </c>
      <c r="I2892" s="4">
        <f t="shared" si="420"/>
        <v>4</v>
      </c>
      <c r="J2892">
        <f t="shared" si="421"/>
        <v>8</v>
      </c>
      <c r="K2892">
        <v>34</v>
      </c>
      <c r="L2892">
        <v>16</v>
      </c>
      <c r="M2892">
        <v>2.13</v>
      </c>
      <c r="N2892">
        <v>2.91</v>
      </c>
      <c r="O2892">
        <v>0</v>
      </c>
      <c r="P2892">
        <v>5</v>
      </c>
      <c r="Q2892" t="s">
        <v>566</v>
      </c>
      <c r="R2892" s="8" t="s">
        <v>260</v>
      </c>
      <c r="S2892" t="str">
        <f t="shared" si="419"/>
        <v>PA</v>
      </c>
    </row>
    <row r="2893" spans="1:19" x14ac:dyDescent="0.3">
      <c r="A2893" t="s">
        <v>8</v>
      </c>
      <c r="B2893">
        <v>2016210004</v>
      </c>
      <c r="C2893" t="s">
        <v>43</v>
      </c>
      <c r="E2893" t="s">
        <v>295</v>
      </c>
      <c r="F2893" t="s">
        <v>296</v>
      </c>
      <c r="G2893">
        <v>2</v>
      </c>
      <c r="H2893" t="s">
        <v>438</v>
      </c>
      <c r="I2893" s="4">
        <f t="shared" si="420"/>
        <v>3</v>
      </c>
      <c r="J2893">
        <f t="shared" si="421"/>
        <v>6</v>
      </c>
      <c r="K2893">
        <v>24</v>
      </c>
      <c r="L2893">
        <v>12</v>
      </c>
      <c r="M2893" s="2">
        <v>2</v>
      </c>
      <c r="N2893">
        <v>2.91</v>
      </c>
      <c r="O2893">
        <v>0</v>
      </c>
      <c r="P2893">
        <v>3</v>
      </c>
      <c r="Q2893" t="s">
        <v>563</v>
      </c>
      <c r="R2893" s="8" t="s">
        <v>260</v>
      </c>
      <c r="S2893" t="str">
        <f t="shared" si="419"/>
        <v>PA</v>
      </c>
    </row>
    <row r="2894" spans="1:19" x14ac:dyDescent="0.3">
      <c r="A2894" t="s">
        <v>8</v>
      </c>
      <c r="B2894">
        <v>2016210004</v>
      </c>
      <c r="C2894" t="s">
        <v>43</v>
      </c>
      <c r="E2894" t="s">
        <v>77</v>
      </c>
      <c r="F2894" t="s">
        <v>78</v>
      </c>
      <c r="G2894">
        <v>2</v>
      </c>
      <c r="H2894" t="s">
        <v>438</v>
      </c>
      <c r="I2894" s="4">
        <f t="shared" si="420"/>
        <v>3</v>
      </c>
      <c r="J2894">
        <f t="shared" si="421"/>
        <v>6</v>
      </c>
      <c r="K2894">
        <v>56</v>
      </c>
      <c r="L2894">
        <v>20</v>
      </c>
      <c r="M2894" s="2">
        <v>2.8</v>
      </c>
      <c r="N2894">
        <v>2.91</v>
      </c>
      <c r="O2894">
        <v>0</v>
      </c>
      <c r="P2894">
        <v>1</v>
      </c>
      <c r="Q2894" t="s">
        <v>558</v>
      </c>
      <c r="R2894" s="8" t="s">
        <v>260</v>
      </c>
      <c r="S2894" t="str">
        <f t="shared" si="419"/>
        <v>PA</v>
      </c>
    </row>
    <row r="2895" spans="1:19" x14ac:dyDescent="0.3">
      <c r="A2895" t="s">
        <v>8</v>
      </c>
      <c r="B2895">
        <v>2016210004</v>
      </c>
      <c r="C2895" t="s">
        <v>43</v>
      </c>
      <c r="E2895" t="s">
        <v>597</v>
      </c>
      <c r="F2895" t="s">
        <v>275</v>
      </c>
      <c r="G2895">
        <v>2</v>
      </c>
      <c r="H2895" t="s">
        <v>438</v>
      </c>
      <c r="I2895" s="4">
        <f t="shared" si="420"/>
        <v>3</v>
      </c>
      <c r="J2895">
        <f t="shared" si="421"/>
        <v>6</v>
      </c>
      <c r="K2895">
        <v>14</v>
      </c>
      <c r="L2895">
        <v>6</v>
      </c>
      <c r="M2895" s="2">
        <v>2.33</v>
      </c>
      <c r="N2895">
        <v>2.91</v>
      </c>
      <c r="O2895">
        <v>0</v>
      </c>
      <c r="P2895">
        <v>6</v>
      </c>
      <c r="Q2895" s="4" t="str">
        <f>IF(P2895=1,"2016/2017-Ganjil",IF(P2895=2,"2016/2017-Genap",IF(P2895=3,"2017/2018-Ganjil",IF(P2895=4,"2017/2018-Genap",IF(P2895=5,"2018/2019-Ganjil",IF(P2895=6,"2018/2019-Genap",IF(P2895=7,"2019/2020-Ganjil",IF(P2895=8,"2019/2020-Genap",IF(P2895=9,"2020/2021-Ganjil",IF(P2895=10,"2020/2021-Genap",IF(P2895=11,"2021/2022-Ganjil",IF(P2895=12,"2021/2022-Genap",IF(P2895=13,"2022/2023-Ganjil","2022/2023-Genap")))))))))))))</f>
        <v>2018/2019-Genap</v>
      </c>
      <c r="R2895" s="8" t="s">
        <v>260</v>
      </c>
      <c r="S2895" t="str">
        <f t="shared" si="419"/>
        <v>PA</v>
      </c>
    </row>
    <row r="2896" spans="1:19" x14ac:dyDescent="0.3">
      <c r="A2896" t="s">
        <v>8</v>
      </c>
      <c r="B2896">
        <v>2016210004</v>
      </c>
      <c r="C2896" t="s">
        <v>43</v>
      </c>
      <c r="E2896" t="s">
        <v>253</v>
      </c>
      <c r="F2896" t="s">
        <v>254</v>
      </c>
      <c r="G2896">
        <v>2</v>
      </c>
      <c r="H2896" t="s">
        <v>438</v>
      </c>
      <c r="I2896" s="4">
        <f t="shared" si="420"/>
        <v>3</v>
      </c>
      <c r="J2896">
        <f t="shared" si="421"/>
        <v>6</v>
      </c>
      <c r="K2896">
        <v>38</v>
      </c>
      <c r="L2896">
        <v>14</v>
      </c>
      <c r="M2896">
        <v>2.71</v>
      </c>
      <c r="N2896">
        <v>2.91</v>
      </c>
      <c r="O2896">
        <v>0</v>
      </c>
      <c r="P2896">
        <v>4</v>
      </c>
      <c r="Q2896" s="4" t="str">
        <f>IF(P2896=1,"2016/2017-Ganjil",IF(P2896=2,"2016/2017-Genap",IF(P2896=3,"2017/2018-Ganjil",IF(P2896=4,"2017/2018-Genap",IF(P2896=5,"2018/2019-Ganjil",IF(P2896=6,"2018/2019-Genap",IF(P2896=7,"2019/2020-Ganjil",IF(P2896=8,"2019/2020-Genap",IF(P2896=9,"2020/2021-Ganjil",IF(P2896=10,"2020/2021-Genap",IF(P2896=11,"2021/2022-Ganjil",IF(P2896=12,"2021/2022-Genap",IF(P2896=13,"2022/2023-Ganjil","2022/2023-Genap")))))))))))))</f>
        <v>2017/2018-Genap</v>
      </c>
      <c r="R2896" s="8" t="s">
        <v>260</v>
      </c>
      <c r="S2896" t="str">
        <f t="shared" si="419"/>
        <v>PA</v>
      </c>
    </row>
    <row r="2897" spans="1:19" x14ac:dyDescent="0.3">
      <c r="A2897" t="s">
        <v>8</v>
      </c>
      <c r="B2897">
        <v>2016210004</v>
      </c>
      <c r="C2897" t="s">
        <v>43</v>
      </c>
      <c r="E2897" t="s">
        <v>147</v>
      </c>
      <c r="F2897" t="s">
        <v>148</v>
      </c>
      <c r="G2897">
        <v>4</v>
      </c>
      <c r="H2897" t="s">
        <v>438</v>
      </c>
      <c r="I2897" s="4">
        <f t="shared" si="420"/>
        <v>3</v>
      </c>
      <c r="J2897">
        <f t="shared" si="421"/>
        <v>12</v>
      </c>
      <c r="K2897">
        <v>56</v>
      </c>
      <c r="L2897">
        <v>20</v>
      </c>
      <c r="M2897" s="2">
        <v>2.8</v>
      </c>
      <c r="N2897">
        <v>2.91</v>
      </c>
      <c r="O2897">
        <v>0</v>
      </c>
      <c r="P2897">
        <v>1</v>
      </c>
      <c r="Q2897" t="s">
        <v>558</v>
      </c>
      <c r="R2897" s="8" t="s">
        <v>260</v>
      </c>
      <c r="S2897" t="str">
        <f t="shared" si="419"/>
        <v>PA</v>
      </c>
    </row>
    <row r="2898" spans="1:19" x14ac:dyDescent="0.3">
      <c r="A2898" t="s">
        <v>8</v>
      </c>
      <c r="B2898">
        <v>2016210004</v>
      </c>
      <c r="C2898" t="s">
        <v>43</v>
      </c>
      <c r="E2898" t="s">
        <v>369</v>
      </c>
      <c r="F2898" t="s">
        <v>307</v>
      </c>
      <c r="G2898">
        <v>2</v>
      </c>
      <c r="H2898" t="s">
        <v>438</v>
      </c>
      <c r="I2898" s="4">
        <f t="shared" si="420"/>
        <v>3</v>
      </c>
      <c r="J2898">
        <f t="shared" si="421"/>
        <v>6</v>
      </c>
      <c r="K2898">
        <v>38</v>
      </c>
      <c r="L2898">
        <v>14</v>
      </c>
      <c r="M2898">
        <v>2.71</v>
      </c>
      <c r="N2898">
        <v>2.91</v>
      </c>
      <c r="O2898">
        <v>0</v>
      </c>
      <c r="P2898">
        <v>4</v>
      </c>
      <c r="Q2898" s="4" t="str">
        <f>IF(P2898=1,"2016/2017-Ganjil",IF(P2898=2,"2016/2017-Genap",IF(P2898=3,"2017/2018-Ganjil",IF(P2898=4,"2017/2018-Genap",IF(P2898=5,"2018/2019-Ganjil",IF(P2898=6,"2018/2019-Genap",IF(P2898=7,"2019/2020-Ganjil",IF(P2898=8,"2019/2020-Genap",IF(P2898=9,"2020/2021-Ganjil",IF(P2898=10,"2020/2021-Genap",IF(P2898=11,"2021/2022-Ganjil",IF(P2898=12,"2021/2022-Genap",IF(P2898=13,"2022/2023-Ganjil","2022/2023-Genap")))))))))))))</f>
        <v>2017/2018-Genap</v>
      </c>
      <c r="R2898" s="8" t="s">
        <v>260</v>
      </c>
      <c r="S2898" t="str">
        <f t="shared" si="419"/>
        <v>PA</v>
      </c>
    </row>
    <row r="2899" spans="1:19" x14ac:dyDescent="0.3">
      <c r="A2899" t="s">
        <v>8</v>
      </c>
      <c r="B2899">
        <v>2016210004</v>
      </c>
      <c r="C2899" t="s">
        <v>43</v>
      </c>
      <c r="E2899" t="s">
        <v>185</v>
      </c>
      <c r="F2899" t="s">
        <v>186</v>
      </c>
      <c r="G2899">
        <v>4</v>
      </c>
      <c r="H2899" t="s">
        <v>438</v>
      </c>
      <c r="I2899" s="4">
        <f t="shared" si="420"/>
        <v>3</v>
      </c>
      <c r="J2899">
        <f t="shared" si="421"/>
        <v>12</v>
      </c>
      <c r="K2899">
        <v>22</v>
      </c>
      <c r="L2899">
        <v>12</v>
      </c>
      <c r="M2899" s="2">
        <v>1.83</v>
      </c>
      <c r="N2899">
        <v>2.91</v>
      </c>
      <c r="O2899">
        <v>0</v>
      </c>
      <c r="P2899">
        <v>11</v>
      </c>
      <c r="Q2899" t="s">
        <v>573</v>
      </c>
      <c r="R2899" s="8" t="s">
        <v>260</v>
      </c>
      <c r="S2899" t="str">
        <f t="shared" si="419"/>
        <v>PA</v>
      </c>
    </row>
    <row r="2900" spans="1:19" x14ac:dyDescent="0.3">
      <c r="A2900" t="s">
        <v>8</v>
      </c>
      <c r="B2900">
        <v>2016210004</v>
      </c>
      <c r="C2900" t="s">
        <v>43</v>
      </c>
      <c r="E2900" t="s">
        <v>87</v>
      </c>
      <c r="F2900" t="s">
        <v>88</v>
      </c>
      <c r="G2900">
        <v>2</v>
      </c>
      <c r="H2900" t="s">
        <v>438</v>
      </c>
      <c r="I2900" s="4">
        <f t="shared" si="420"/>
        <v>3</v>
      </c>
      <c r="J2900">
        <f t="shared" si="421"/>
        <v>6</v>
      </c>
      <c r="K2900">
        <v>22</v>
      </c>
      <c r="L2900">
        <v>10</v>
      </c>
      <c r="M2900" s="2">
        <v>2.2000000000000002</v>
      </c>
      <c r="N2900">
        <v>2.91</v>
      </c>
      <c r="O2900">
        <v>0</v>
      </c>
      <c r="P2900">
        <v>8</v>
      </c>
      <c r="Q2900" t="s">
        <v>569</v>
      </c>
      <c r="R2900" s="8" t="s">
        <v>260</v>
      </c>
      <c r="S2900" t="str">
        <f t="shared" si="419"/>
        <v>PA</v>
      </c>
    </row>
    <row r="2901" spans="1:19" x14ac:dyDescent="0.3">
      <c r="A2901" t="s">
        <v>8</v>
      </c>
      <c r="B2901">
        <v>2016210004</v>
      </c>
      <c r="C2901" t="s">
        <v>43</v>
      </c>
      <c r="E2901" t="s">
        <v>182</v>
      </c>
      <c r="F2901" t="s">
        <v>171</v>
      </c>
      <c r="G2901">
        <v>2</v>
      </c>
      <c r="H2901" t="s">
        <v>438</v>
      </c>
      <c r="I2901" s="4">
        <f t="shared" si="420"/>
        <v>3</v>
      </c>
      <c r="J2901">
        <f t="shared" si="421"/>
        <v>6</v>
      </c>
      <c r="K2901">
        <v>34</v>
      </c>
      <c r="L2901">
        <v>16</v>
      </c>
      <c r="M2901">
        <v>2.13</v>
      </c>
      <c r="N2901">
        <v>2.91</v>
      </c>
      <c r="O2901">
        <v>0</v>
      </c>
      <c r="P2901">
        <v>5</v>
      </c>
      <c r="Q2901" t="s">
        <v>566</v>
      </c>
      <c r="R2901" s="8" t="s">
        <v>260</v>
      </c>
      <c r="S2901" t="str">
        <f t="shared" si="419"/>
        <v>PA</v>
      </c>
    </row>
    <row r="2902" spans="1:19" x14ac:dyDescent="0.3">
      <c r="A2902" t="s">
        <v>8</v>
      </c>
      <c r="B2902">
        <v>2016210004</v>
      </c>
      <c r="C2902" t="s">
        <v>43</v>
      </c>
      <c r="E2902" t="s">
        <v>93</v>
      </c>
      <c r="F2902" t="s">
        <v>94</v>
      </c>
      <c r="G2902">
        <v>4</v>
      </c>
      <c r="H2902" t="s">
        <v>438</v>
      </c>
      <c r="I2902" s="4">
        <f t="shared" si="420"/>
        <v>3</v>
      </c>
      <c r="J2902">
        <f t="shared" si="421"/>
        <v>12</v>
      </c>
      <c r="K2902">
        <v>24</v>
      </c>
      <c r="L2902">
        <v>12</v>
      </c>
      <c r="M2902" s="2">
        <v>2</v>
      </c>
      <c r="N2902">
        <v>2.91</v>
      </c>
      <c r="O2902">
        <v>0</v>
      </c>
      <c r="P2902">
        <v>3</v>
      </c>
      <c r="Q2902" t="s">
        <v>563</v>
      </c>
      <c r="R2902" s="8" t="s">
        <v>260</v>
      </c>
      <c r="S2902" t="str">
        <f t="shared" si="419"/>
        <v>PA</v>
      </c>
    </row>
    <row r="2903" spans="1:19" x14ac:dyDescent="0.3">
      <c r="A2903" t="s">
        <v>8</v>
      </c>
      <c r="B2903">
        <v>2016210004</v>
      </c>
      <c r="C2903" t="s">
        <v>43</v>
      </c>
      <c r="E2903" t="s">
        <v>242</v>
      </c>
      <c r="F2903" t="s">
        <v>166</v>
      </c>
      <c r="G2903">
        <v>2</v>
      </c>
      <c r="H2903" t="s">
        <v>438</v>
      </c>
      <c r="I2903" s="4">
        <f t="shared" si="420"/>
        <v>3</v>
      </c>
      <c r="J2903">
        <f t="shared" si="421"/>
        <v>6</v>
      </c>
      <c r="K2903">
        <v>38</v>
      </c>
      <c r="L2903">
        <v>14</v>
      </c>
      <c r="M2903">
        <v>2.71</v>
      </c>
      <c r="N2903">
        <v>2.91</v>
      </c>
      <c r="O2903">
        <v>0</v>
      </c>
      <c r="P2903">
        <v>4</v>
      </c>
      <c r="Q2903" s="4" t="str">
        <f>IF(P2903=1,"2016/2017-Ganjil",IF(P2903=2,"2016/2017-Genap",IF(P2903=3,"2017/2018-Ganjil",IF(P2903=4,"2017/2018-Genap",IF(P2903=5,"2018/2019-Ganjil",IF(P2903=6,"2018/2019-Genap",IF(P2903=7,"2019/2020-Ganjil",IF(P2903=8,"2019/2020-Genap",IF(P2903=9,"2020/2021-Ganjil",IF(P2903=10,"2020/2021-Genap",IF(P2903=11,"2021/2022-Ganjil",IF(P2903=12,"2021/2022-Genap",IF(P2903=13,"2022/2023-Ganjil","2022/2023-Genap")))))))))))))</f>
        <v>2017/2018-Genap</v>
      </c>
      <c r="R2903" s="8" t="s">
        <v>260</v>
      </c>
      <c r="S2903" t="str">
        <f t="shared" si="419"/>
        <v>PA</v>
      </c>
    </row>
    <row r="2904" spans="1:19" x14ac:dyDescent="0.3">
      <c r="A2904" t="s">
        <v>8</v>
      </c>
      <c r="B2904">
        <v>2016210004</v>
      </c>
      <c r="C2904" t="s">
        <v>43</v>
      </c>
      <c r="E2904" t="s">
        <v>216</v>
      </c>
      <c r="F2904" t="s">
        <v>217</v>
      </c>
      <c r="G2904">
        <v>2</v>
      </c>
      <c r="H2904" t="s">
        <v>438</v>
      </c>
      <c r="I2904" s="4">
        <f t="shared" si="420"/>
        <v>3</v>
      </c>
      <c r="J2904">
        <f t="shared" si="421"/>
        <v>6</v>
      </c>
      <c r="K2904">
        <v>30</v>
      </c>
      <c r="L2904">
        <v>12</v>
      </c>
      <c r="M2904" s="2">
        <v>2.5</v>
      </c>
      <c r="N2904">
        <v>2.91</v>
      </c>
      <c r="O2904">
        <v>0</v>
      </c>
      <c r="P2904">
        <v>12</v>
      </c>
      <c r="Q2904" t="s">
        <v>575</v>
      </c>
      <c r="R2904" s="8" t="s">
        <v>260</v>
      </c>
      <c r="S2904" t="str">
        <f t="shared" si="419"/>
        <v>PA</v>
      </c>
    </row>
    <row r="2905" spans="1:19" x14ac:dyDescent="0.3">
      <c r="A2905" t="s">
        <v>8</v>
      </c>
      <c r="B2905">
        <v>2016210004</v>
      </c>
      <c r="C2905" t="s">
        <v>43</v>
      </c>
      <c r="E2905" t="s">
        <v>163</v>
      </c>
      <c r="F2905" t="s">
        <v>164</v>
      </c>
      <c r="G2905">
        <v>2</v>
      </c>
      <c r="H2905" t="s">
        <v>438</v>
      </c>
      <c r="I2905" s="4">
        <f t="shared" si="420"/>
        <v>3</v>
      </c>
      <c r="J2905">
        <f t="shared" si="421"/>
        <v>6</v>
      </c>
      <c r="K2905">
        <v>56</v>
      </c>
      <c r="L2905">
        <v>20</v>
      </c>
      <c r="M2905" s="2">
        <v>2.8</v>
      </c>
      <c r="N2905">
        <v>2.91</v>
      </c>
      <c r="O2905">
        <v>0</v>
      </c>
      <c r="P2905">
        <v>1</v>
      </c>
      <c r="Q2905" t="s">
        <v>558</v>
      </c>
      <c r="R2905" s="8" t="s">
        <v>260</v>
      </c>
      <c r="S2905" t="str">
        <f t="shared" si="419"/>
        <v>PA</v>
      </c>
    </row>
    <row r="2906" spans="1:19" x14ac:dyDescent="0.3">
      <c r="A2906" t="s">
        <v>8</v>
      </c>
      <c r="B2906">
        <v>2016210004</v>
      </c>
      <c r="C2906" t="s">
        <v>43</v>
      </c>
      <c r="E2906" t="s">
        <v>19</v>
      </c>
      <c r="F2906" t="s">
        <v>20</v>
      </c>
      <c r="G2906">
        <v>6</v>
      </c>
      <c r="H2906" t="s">
        <v>438</v>
      </c>
      <c r="I2906" s="4">
        <f t="shared" si="420"/>
        <v>3</v>
      </c>
      <c r="J2906">
        <f t="shared" si="421"/>
        <v>18</v>
      </c>
      <c r="K2906">
        <v>34</v>
      </c>
      <c r="L2906">
        <v>10</v>
      </c>
      <c r="M2906" s="2">
        <v>3.4</v>
      </c>
      <c r="N2906">
        <v>2.91</v>
      </c>
      <c r="O2906">
        <v>0</v>
      </c>
      <c r="P2906">
        <v>13</v>
      </c>
      <c r="Q2906" s="4" t="str">
        <f>IF(P2906=1,"2016/2017-Ganjil",IF(P2906=2,"2016/2017-Genap",IF(P2906=3,"2017/2018-Ganjil",IF(P2906=4,"2017/2018-Genap",IF(P2906=5,"2018/2019-Ganjil",IF(P2906=6,"2018/2019-Genap",IF(P2906=7,"2019/2020-Ganjil",IF(P2906=8,"2019/2020-Genap",IF(P2906=9,"2020/2021-Ganjil",IF(P2906=10,"2020/2021-Genap",IF(P2906=11,"2021/2022-Ganjil",IF(P2906=12,"2021/2022-Genap",IF(P2906=13,"2022/2023-Ganjil","2022/2023-Genap")))))))))))))</f>
        <v>2022/2023-Ganjil</v>
      </c>
      <c r="R2906" t="s">
        <v>596</v>
      </c>
      <c r="S2906" t="str">
        <f t="shared" si="419"/>
        <v>PA</v>
      </c>
    </row>
    <row r="2907" spans="1:19" x14ac:dyDescent="0.3">
      <c r="A2907" t="s">
        <v>8</v>
      </c>
      <c r="B2907">
        <v>2016210004</v>
      </c>
      <c r="C2907" t="s">
        <v>43</v>
      </c>
      <c r="E2907" t="s">
        <v>131</v>
      </c>
      <c r="F2907" t="s">
        <v>132</v>
      </c>
      <c r="G2907">
        <v>2</v>
      </c>
      <c r="H2907" t="s">
        <v>438</v>
      </c>
      <c r="I2907" s="4">
        <f t="shared" si="420"/>
        <v>3</v>
      </c>
      <c r="J2907">
        <f t="shared" si="421"/>
        <v>6</v>
      </c>
      <c r="K2907">
        <v>56</v>
      </c>
      <c r="L2907">
        <v>20</v>
      </c>
      <c r="M2907" s="2">
        <v>2.8</v>
      </c>
      <c r="N2907">
        <v>2.91</v>
      </c>
      <c r="O2907">
        <v>0</v>
      </c>
      <c r="P2907">
        <v>1</v>
      </c>
      <c r="Q2907" t="s">
        <v>558</v>
      </c>
      <c r="R2907" s="8" t="s">
        <v>260</v>
      </c>
      <c r="S2907" t="str">
        <f t="shared" si="419"/>
        <v>PA</v>
      </c>
    </row>
    <row r="2908" spans="1:19" x14ac:dyDescent="0.3">
      <c r="A2908" t="s">
        <v>8</v>
      </c>
      <c r="B2908">
        <v>2016210004</v>
      </c>
      <c r="C2908" t="s">
        <v>43</v>
      </c>
      <c r="E2908" t="s">
        <v>407</v>
      </c>
      <c r="F2908" t="s">
        <v>312</v>
      </c>
      <c r="G2908">
        <v>2</v>
      </c>
      <c r="H2908" t="s">
        <v>438</v>
      </c>
      <c r="I2908" s="4">
        <f t="shared" si="420"/>
        <v>3</v>
      </c>
      <c r="J2908">
        <f t="shared" si="421"/>
        <v>6</v>
      </c>
      <c r="K2908">
        <v>32</v>
      </c>
      <c r="L2908">
        <v>12</v>
      </c>
      <c r="M2908" s="2">
        <v>2.67</v>
      </c>
      <c r="N2908">
        <v>2.91</v>
      </c>
      <c r="O2908">
        <v>0</v>
      </c>
      <c r="P2908">
        <v>7</v>
      </c>
      <c r="Q2908" t="s">
        <v>568</v>
      </c>
      <c r="R2908" s="8" t="s">
        <v>260</v>
      </c>
      <c r="S2908" t="str">
        <f t="shared" si="419"/>
        <v>PA</v>
      </c>
    </row>
    <row r="2909" spans="1:19" x14ac:dyDescent="0.3">
      <c r="A2909" t="s">
        <v>8</v>
      </c>
      <c r="B2909">
        <v>2016210004</v>
      </c>
      <c r="C2909" t="s">
        <v>43</v>
      </c>
      <c r="E2909" t="s">
        <v>180</v>
      </c>
      <c r="F2909" t="s">
        <v>181</v>
      </c>
      <c r="G2909">
        <v>4</v>
      </c>
      <c r="H2909" t="s">
        <v>438</v>
      </c>
      <c r="I2909" s="4">
        <f t="shared" si="420"/>
        <v>3</v>
      </c>
      <c r="J2909">
        <f t="shared" si="421"/>
        <v>12</v>
      </c>
      <c r="K2909">
        <v>38</v>
      </c>
      <c r="L2909">
        <v>14</v>
      </c>
      <c r="M2909">
        <v>2.71</v>
      </c>
      <c r="N2909">
        <v>2.91</v>
      </c>
      <c r="O2909">
        <v>0</v>
      </c>
      <c r="P2909">
        <v>4</v>
      </c>
      <c r="Q2909" s="4" t="str">
        <f>IF(P2909=1,"2016/2017-Ganjil",IF(P2909=2,"2016/2017-Genap",IF(P2909=3,"2017/2018-Ganjil",IF(P2909=4,"2017/2018-Genap",IF(P2909=5,"2018/2019-Ganjil",IF(P2909=6,"2018/2019-Genap",IF(P2909=7,"2019/2020-Ganjil",IF(P2909=8,"2019/2020-Genap",IF(P2909=9,"2020/2021-Ganjil",IF(P2909=10,"2020/2021-Genap",IF(P2909=11,"2021/2022-Ganjil",IF(P2909=12,"2021/2022-Genap",IF(P2909=13,"2022/2023-Ganjil","2022/2023-Genap")))))))))))))</f>
        <v>2017/2018-Genap</v>
      </c>
      <c r="R2909" s="8" t="s">
        <v>260</v>
      </c>
      <c r="S2909" t="str">
        <f t="shared" si="419"/>
        <v>PA</v>
      </c>
    </row>
    <row r="2910" spans="1:19" x14ac:dyDescent="0.3">
      <c r="A2910" t="s">
        <v>8</v>
      </c>
      <c r="B2910">
        <v>2016210004</v>
      </c>
      <c r="C2910" t="s">
        <v>43</v>
      </c>
      <c r="E2910" t="s">
        <v>219</v>
      </c>
      <c r="F2910" t="s">
        <v>473</v>
      </c>
      <c r="G2910">
        <v>2</v>
      </c>
      <c r="H2910" t="s">
        <v>438</v>
      </c>
      <c r="I2910" s="4">
        <f t="shared" si="420"/>
        <v>3</v>
      </c>
      <c r="J2910">
        <f t="shared" si="421"/>
        <v>6</v>
      </c>
      <c r="K2910">
        <v>32</v>
      </c>
      <c r="L2910">
        <v>12</v>
      </c>
      <c r="M2910" s="2">
        <v>2.67</v>
      </c>
      <c r="N2910">
        <v>2.91</v>
      </c>
      <c r="O2910">
        <v>0</v>
      </c>
      <c r="P2910">
        <v>7</v>
      </c>
      <c r="Q2910" t="s">
        <v>568</v>
      </c>
      <c r="R2910" s="8" t="s">
        <v>260</v>
      </c>
      <c r="S2910" t="str">
        <f t="shared" si="419"/>
        <v>PA</v>
      </c>
    </row>
    <row r="2911" spans="1:19" x14ac:dyDescent="0.3">
      <c r="A2911" t="s">
        <v>8</v>
      </c>
      <c r="B2911">
        <v>2016210004</v>
      </c>
      <c r="C2911" t="s">
        <v>43</v>
      </c>
      <c r="E2911" t="s">
        <v>219</v>
      </c>
      <c r="F2911" t="s">
        <v>473</v>
      </c>
      <c r="G2911">
        <v>2</v>
      </c>
      <c r="H2911" t="s">
        <v>539</v>
      </c>
      <c r="I2911" s="4">
        <f t="shared" si="420"/>
        <v>0</v>
      </c>
      <c r="J2911">
        <f t="shared" si="421"/>
        <v>0</v>
      </c>
      <c r="K2911">
        <v>6</v>
      </c>
      <c r="L2911">
        <v>8</v>
      </c>
      <c r="M2911" s="2">
        <v>0.75</v>
      </c>
      <c r="N2911">
        <v>2.91</v>
      </c>
      <c r="O2911">
        <v>1</v>
      </c>
      <c r="P2911">
        <v>9</v>
      </c>
      <c r="Q2911" t="s">
        <v>570</v>
      </c>
      <c r="R2911" s="8" t="s">
        <v>260</v>
      </c>
      <c r="S2911" t="str">
        <f t="shared" si="419"/>
        <v>FA</v>
      </c>
    </row>
    <row r="2912" spans="1:19" x14ac:dyDescent="0.3">
      <c r="A2912" t="s">
        <v>8</v>
      </c>
      <c r="B2912">
        <v>2016210004</v>
      </c>
      <c r="C2912" t="s">
        <v>43</v>
      </c>
      <c r="E2912" t="s">
        <v>279</v>
      </c>
      <c r="F2912" t="s">
        <v>280</v>
      </c>
      <c r="G2912">
        <v>2</v>
      </c>
      <c r="H2912" t="s">
        <v>438</v>
      </c>
      <c r="I2912" s="4">
        <f t="shared" si="420"/>
        <v>3</v>
      </c>
      <c r="J2912">
        <f t="shared" si="421"/>
        <v>6</v>
      </c>
      <c r="K2912">
        <v>14</v>
      </c>
      <c r="L2912">
        <v>10</v>
      </c>
      <c r="M2912" s="2">
        <v>1.4</v>
      </c>
      <c r="N2912">
        <v>2.91</v>
      </c>
      <c r="O2912">
        <v>0</v>
      </c>
      <c r="P2912">
        <v>2</v>
      </c>
      <c r="Q2912" t="s">
        <v>559</v>
      </c>
      <c r="R2912" s="8" t="s">
        <v>260</v>
      </c>
      <c r="S2912" t="str">
        <f t="shared" si="419"/>
        <v>PA</v>
      </c>
    </row>
    <row r="2913" spans="1:19" x14ac:dyDescent="0.3">
      <c r="A2913" t="s">
        <v>8</v>
      </c>
      <c r="B2913">
        <v>2016210004</v>
      </c>
      <c r="C2913" t="s">
        <v>43</v>
      </c>
      <c r="E2913" t="s">
        <v>227</v>
      </c>
      <c r="F2913" t="s">
        <v>228</v>
      </c>
      <c r="G2913">
        <v>2</v>
      </c>
      <c r="H2913" t="s">
        <v>438</v>
      </c>
      <c r="I2913" s="4">
        <f t="shared" si="420"/>
        <v>3</v>
      </c>
      <c r="J2913">
        <f t="shared" si="421"/>
        <v>6</v>
      </c>
      <c r="K2913">
        <v>24</v>
      </c>
      <c r="L2913">
        <v>12</v>
      </c>
      <c r="M2913" s="2">
        <v>2</v>
      </c>
      <c r="N2913">
        <v>2.91</v>
      </c>
      <c r="O2913">
        <v>0</v>
      </c>
      <c r="P2913">
        <v>3</v>
      </c>
      <c r="Q2913" t="s">
        <v>563</v>
      </c>
      <c r="R2913" s="8" t="s">
        <v>260</v>
      </c>
      <c r="S2913" t="str">
        <f t="shared" si="419"/>
        <v>PA</v>
      </c>
    </row>
    <row r="2914" spans="1:19" x14ac:dyDescent="0.3">
      <c r="A2914" t="s">
        <v>8</v>
      </c>
      <c r="B2914">
        <v>2016210004</v>
      </c>
      <c r="C2914" t="s">
        <v>43</v>
      </c>
      <c r="E2914" t="s">
        <v>10</v>
      </c>
      <c r="F2914" t="s">
        <v>11</v>
      </c>
      <c r="G2914">
        <v>2</v>
      </c>
      <c r="H2914" t="s">
        <v>438</v>
      </c>
      <c r="I2914" s="4">
        <f t="shared" si="420"/>
        <v>3</v>
      </c>
      <c r="J2914">
        <f t="shared" si="421"/>
        <v>6</v>
      </c>
      <c r="K2914">
        <v>6</v>
      </c>
      <c r="L2914">
        <v>8</v>
      </c>
      <c r="M2914" s="2">
        <v>0.75</v>
      </c>
      <c r="N2914">
        <v>2.91</v>
      </c>
      <c r="O2914">
        <v>0</v>
      </c>
      <c r="P2914">
        <v>9</v>
      </c>
      <c r="Q2914" t="s">
        <v>570</v>
      </c>
      <c r="R2914" s="8" t="s">
        <v>260</v>
      </c>
      <c r="S2914" t="str">
        <f t="shared" si="419"/>
        <v>PA</v>
      </c>
    </row>
    <row r="2915" spans="1:19" x14ac:dyDescent="0.3">
      <c r="A2915" t="s">
        <v>8</v>
      </c>
      <c r="B2915">
        <v>2016210004</v>
      </c>
      <c r="C2915" t="s">
        <v>43</v>
      </c>
      <c r="E2915" t="s">
        <v>238</v>
      </c>
      <c r="F2915" t="s">
        <v>239</v>
      </c>
      <c r="G2915">
        <v>4</v>
      </c>
      <c r="H2915" t="s">
        <v>524</v>
      </c>
      <c r="I2915" s="4">
        <f t="shared" si="420"/>
        <v>2</v>
      </c>
      <c r="J2915">
        <f t="shared" si="421"/>
        <v>8</v>
      </c>
      <c r="K2915">
        <v>14</v>
      </c>
      <c r="L2915">
        <v>6</v>
      </c>
      <c r="M2915" s="2">
        <v>2.33</v>
      </c>
      <c r="N2915">
        <v>2.91</v>
      </c>
      <c r="O2915">
        <v>0</v>
      </c>
      <c r="P2915">
        <v>6</v>
      </c>
      <c r="Q2915" s="4" t="str">
        <f>IF(P2915=1,"2016/2017-Ganjil",IF(P2915=2,"2016/2017-Genap",IF(P2915=3,"2017/2018-Ganjil",IF(P2915=4,"2017/2018-Genap",IF(P2915=5,"2018/2019-Ganjil",IF(P2915=6,"2018/2019-Genap",IF(P2915=7,"2019/2020-Ganjil",IF(P2915=8,"2019/2020-Genap",IF(P2915=9,"2020/2021-Ganjil",IF(P2915=10,"2020/2021-Genap",IF(P2915=11,"2021/2022-Ganjil",IF(P2915=12,"2021/2022-Genap",IF(P2915=13,"2022/2023-Ganjil","2022/2023-Genap")))))))))))))</f>
        <v>2018/2019-Genap</v>
      </c>
      <c r="R2915" s="8" t="s">
        <v>260</v>
      </c>
      <c r="S2915" t="str">
        <f t="shared" si="419"/>
        <v>PA</v>
      </c>
    </row>
    <row r="2916" spans="1:19" x14ac:dyDescent="0.3">
      <c r="A2916" t="s">
        <v>8</v>
      </c>
      <c r="B2916">
        <v>2016210004</v>
      </c>
      <c r="C2916" t="s">
        <v>43</v>
      </c>
      <c r="E2916" t="s">
        <v>238</v>
      </c>
      <c r="F2916" t="s">
        <v>239</v>
      </c>
      <c r="G2916">
        <v>4</v>
      </c>
      <c r="I2916" s="4"/>
      <c r="J2916">
        <f t="shared" ref="J2916:J2917" si="422">G2916*I2916</f>
        <v>0</v>
      </c>
      <c r="K2916">
        <v>22</v>
      </c>
      <c r="L2916">
        <v>10</v>
      </c>
      <c r="M2916" s="2">
        <v>2.2000000000000002</v>
      </c>
      <c r="N2916">
        <v>2.91</v>
      </c>
      <c r="O2916">
        <v>1</v>
      </c>
      <c r="P2916">
        <v>8</v>
      </c>
      <c r="Q2916" t="s">
        <v>569</v>
      </c>
      <c r="R2916" s="8" t="s">
        <v>260</v>
      </c>
      <c r="S2916" t="s">
        <v>595</v>
      </c>
    </row>
    <row r="2917" spans="1:19" x14ac:dyDescent="0.3">
      <c r="A2917" t="s">
        <v>8</v>
      </c>
      <c r="B2917">
        <v>2016210004</v>
      </c>
      <c r="C2917" t="s">
        <v>43</v>
      </c>
      <c r="E2917" t="s">
        <v>355</v>
      </c>
      <c r="F2917" t="s">
        <v>274</v>
      </c>
      <c r="G2917">
        <v>2</v>
      </c>
      <c r="H2917" t="s">
        <v>524</v>
      </c>
      <c r="I2917" s="4">
        <f t="shared" ref="I2917" si="423">IF(H2917="A",4,IF(H2917="B",3,IF(H2917="C",2,IF(H2917="D",1,0))))</f>
        <v>2</v>
      </c>
      <c r="J2917">
        <f t="shared" si="422"/>
        <v>4</v>
      </c>
      <c r="K2917">
        <v>30</v>
      </c>
      <c r="L2917">
        <v>12</v>
      </c>
      <c r="M2917" s="2">
        <v>2.5</v>
      </c>
      <c r="N2917">
        <v>2.91</v>
      </c>
      <c r="O2917">
        <v>0</v>
      </c>
      <c r="P2917">
        <v>12</v>
      </c>
      <c r="Q2917" t="s">
        <v>575</v>
      </c>
      <c r="R2917" s="8" t="s">
        <v>260</v>
      </c>
      <c r="S2917" t="str">
        <f t="shared" ref="S2917:S2943" si="424">IF(OR(H2917="A",H2917="B",H2917="C"),"PA","FA")</f>
        <v>PA</v>
      </c>
    </row>
    <row r="2918" spans="1:19" x14ac:dyDescent="0.3">
      <c r="A2918" t="s">
        <v>8</v>
      </c>
      <c r="B2918">
        <v>2016210004</v>
      </c>
      <c r="C2918" t="s">
        <v>43</v>
      </c>
      <c r="E2918" t="s">
        <v>193</v>
      </c>
      <c r="F2918" t="s">
        <v>194</v>
      </c>
      <c r="G2918">
        <v>4</v>
      </c>
      <c r="H2918" t="s">
        <v>524</v>
      </c>
      <c r="I2918" s="4">
        <f t="shared" ref="I2918:I2943" si="425">IF(H2918="A",4,IF(H2918="B",3,IF(H2918="C",2,IF(H2918="D",1,0))))</f>
        <v>2</v>
      </c>
      <c r="J2918">
        <f t="shared" ref="J2918:J2943" si="426">G2918*I2918</f>
        <v>8</v>
      </c>
      <c r="K2918">
        <v>32</v>
      </c>
      <c r="L2918">
        <v>12</v>
      </c>
      <c r="M2918" s="2">
        <v>2.67</v>
      </c>
      <c r="N2918">
        <v>2.91</v>
      </c>
      <c r="O2918">
        <v>0</v>
      </c>
      <c r="P2918">
        <v>7</v>
      </c>
      <c r="Q2918" t="s">
        <v>568</v>
      </c>
      <c r="R2918" s="8" t="s">
        <v>260</v>
      </c>
      <c r="S2918" t="str">
        <f t="shared" si="424"/>
        <v>PA</v>
      </c>
    </row>
    <row r="2919" spans="1:19" x14ac:dyDescent="0.3">
      <c r="A2919" t="s">
        <v>8</v>
      </c>
      <c r="B2919">
        <v>2016210004</v>
      </c>
      <c r="C2919" t="s">
        <v>43</v>
      </c>
      <c r="E2919" t="s">
        <v>246</v>
      </c>
      <c r="F2919" t="s">
        <v>247</v>
      </c>
      <c r="G2919">
        <v>4</v>
      </c>
      <c r="H2919" t="s">
        <v>524</v>
      </c>
      <c r="I2919" s="4">
        <f t="shared" si="425"/>
        <v>2</v>
      </c>
      <c r="J2919">
        <f t="shared" si="426"/>
        <v>8</v>
      </c>
      <c r="K2919">
        <v>30</v>
      </c>
      <c r="L2919">
        <v>12</v>
      </c>
      <c r="M2919" s="2">
        <v>2.5</v>
      </c>
      <c r="N2919">
        <v>2.91</v>
      </c>
      <c r="O2919">
        <v>0</v>
      </c>
      <c r="P2919">
        <v>12</v>
      </c>
      <c r="Q2919" t="s">
        <v>575</v>
      </c>
      <c r="R2919" s="8" t="s">
        <v>260</v>
      </c>
      <c r="S2919" t="str">
        <f t="shared" si="424"/>
        <v>PA</v>
      </c>
    </row>
    <row r="2920" spans="1:19" x14ac:dyDescent="0.3">
      <c r="A2920" t="s">
        <v>8</v>
      </c>
      <c r="B2920">
        <v>2016210004</v>
      </c>
      <c r="C2920" t="s">
        <v>43</v>
      </c>
      <c r="E2920" t="s">
        <v>136</v>
      </c>
      <c r="F2920" t="s">
        <v>137</v>
      </c>
      <c r="G2920">
        <v>4</v>
      </c>
      <c r="H2920" t="s">
        <v>524</v>
      </c>
      <c r="I2920" s="4">
        <f t="shared" si="425"/>
        <v>2</v>
      </c>
      <c r="J2920">
        <f t="shared" si="426"/>
        <v>8</v>
      </c>
      <c r="K2920">
        <v>22</v>
      </c>
      <c r="L2920">
        <v>10</v>
      </c>
      <c r="M2920" s="2">
        <v>2.2000000000000002</v>
      </c>
      <c r="N2920">
        <v>2.91</v>
      </c>
      <c r="O2920">
        <v>0</v>
      </c>
      <c r="P2920">
        <v>8</v>
      </c>
      <c r="Q2920" t="s">
        <v>569</v>
      </c>
      <c r="R2920" s="8" t="s">
        <v>260</v>
      </c>
      <c r="S2920" t="str">
        <f t="shared" si="424"/>
        <v>PA</v>
      </c>
    </row>
    <row r="2921" spans="1:19" x14ac:dyDescent="0.3">
      <c r="A2921" t="s">
        <v>8</v>
      </c>
      <c r="B2921">
        <v>2016210004</v>
      </c>
      <c r="C2921" t="s">
        <v>43</v>
      </c>
      <c r="E2921" t="s">
        <v>213</v>
      </c>
      <c r="F2921" t="s">
        <v>214</v>
      </c>
      <c r="G2921">
        <v>4</v>
      </c>
      <c r="H2921" t="s">
        <v>524</v>
      </c>
      <c r="I2921" s="4">
        <f t="shared" si="425"/>
        <v>2</v>
      </c>
      <c r="J2921">
        <f t="shared" si="426"/>
        <v>8</v>
      </c>
      <c r="K2921">
        <v>34</v>
      </c>
      <c r="L2921">
        <v>16</v>
      </c>
      <c r="M2921">
        <v>2.13</v>
      </c>
      <c r="N2921">
        <v>2.91</v>
      </c>
      <c r="O2921">
        <v>0</v>
      </c>
      <c r="P2921">
        <v>5</v>
      </c>
      <c r="Q2921" t="s">
        <v>566</v>
      </c>
      <c r="R2921" s="8" t="s">
        <v>260</v>
      </c>
      <c r="S2921" t="str">
        <f t="shared" si="424"/>
        <v>PA</v>
      </c>
    </row>
    <row r="2922" spans="1:19" x14ac:dyDescent="0.3">
      <c r="A2922" t="s">
        <v>8</v>
      </c>
      <c r="B2922">
        <v>2016210004</v>
      </c>
      <c r="C2922" t="s">
        <v>43</v>
      </c>
      <c r="E2922" t="s">
        <v>110</v>
      </c>
      <c r="F2922" t="s">
        <v>111</v>
      </c>
      <c r="G2922">
        <v>4</v>
      </c>
      <c r="H2922" t="s">
        <v>524</v>
      </c>
      <c r="I2922" s="4">
        <f t="shared" si="425"/>
        <v>2</v>
      </c>
      <c r="J2922">
        <f t="shared" si="426"/>
        <v>8</v>
      </c>
      <c r="K2922">
        <v>56</v>
      </c>
      <c r="L2922">
        <v>20</v>
      </c>
      <c r="M2922" s="2">
        <v>2.8</v>
      </c>
      <c r="N2922">
        <v>2.91</v>
      </c>
      <c r="O2922">
        <v>0</v>
      </c>
      <c r="P2922">
        <v>1</v>
      </c>
      <c r="Q2922" t="s">
        <v>558</v>
      </c>
      <c r="R2922" s="8" t="s">
        <v>260</v>
      </c>
      <c r="S2922" t="str">
        <f t="shared" si="424"/>
        <v>PA</v>
      </c>
    </row>
    <row r="2923" spans="1:19" x14ac:dyDescent="0.3">
      <c r="A2923" t="s">
        <v>8</v>
      </c>
      <c r="B2923">
        <v>2016210004</v>
      </c>
      <c r="C2923" t="s">
        <v>43</v>
      </c>
      <c r="E2923" t="s">
        <v>449</v>
      </c>
      <c r="F2923" t="s">
        <v>460</v>
      </c>
      <c r="G2923">
        <v>4</v>
      </c>
      <c r="H2923" t="s">
        <v>524</v>
      </c>
      <c r="I2923" s="4">
        <f t="shared" si="425"/>
        <v>2</v>
      </c>
      <c r="J2923">
        <f t="shared" si="426"/>
        <v>8</v>
      </c>
      <c r="K2923">
        <v>38</v>
      </c>
      <c r="L2923">
        <v>14</v>
      </c>
      <c r="M2923">
        <v>2.71</v>
      </c>
      <c r="N2923">
        <v>2.91</v>
      </c>
      <c r="O2923">
        <v>0</v>
      </c>
      <c r="P2923">
        <v>4</v>
      </c>
      <c r="Q2923" s="4" t="str">
        <f>IF(P2923=1,"2016/2017-Ganjil",IF(P2923=2,"2016/2017-Genap",IF(P2923=3,"2017/2018-Ganjil",IF(P2923=4,"2017/2018-Genap",IF(P2923=5,"2018/2019-Ganjil",IF(P2923=6,"2018/2019-Genap",IF(P2923=7,"2019/2020-Ganjil",IF(P2923=8,"2019/2020-Genap",IF(P2923=9,"2020/2021-Ganjil",IF(P2923=10,"2020/2021-Genap",IF(P2923=11,"2021/2022-Ganjil",IF(P2923=12,"2021/2022-Genap",IF(P2923=13,"2022/2023-Ganjil","2022/2023-Genap")))))))))))))</f>
        <v>2017/2018-Genap</v>
      </c>
      <c r="R2923" s="8" t="s">
        <v>260</v>
      </c>
      <c r="S2923" t="str">
        <f t="shared" si="424"/>
        <v>PA</v>
      </c>
    </row>
    <row r="2924" spans="1:19" x14ac:dyDescent="0.3">
      <c r="A2924" t="s">
        <v>8</v>
      </c>
      <c r="B2924">
        <v>2016210004</v>
      </c>
      <c r="C2924" t="s">
        <v>43</v>
      </c>
      <c r="E2924" t="s">
        <v>250</v>
      </c>
      <c r="F2924" t="s">
        <v>429</v>
      </c>
      <c r="G2924">
        <v>2</v>
      </c>
      <c r="H2924" t="s">
        <v>524</v>
      </c>
      <c r="I2924" s="4">
        <f t="shared" si="425"/>
        <v>2</v>
      </c>
      <c r="J2924">
        <f t="shared" si="426"/>
        <v>4</v>
      </c>
      <c r="K2924">
        <v>22</v>
      </c>
      <c r="L2924">
        <v>10</v>
      </c>
      <c r="M2924" s="2">
        <v>2.2000000000000002</v>
      </c>
      <c r="N2924">
        <v>2.91</v>
      </c>
      <c r="O2924">
        <v>0</v>
      </c>
      <c r="P2924">
        <v>8</v>
      </c>
      <c r="Q2924" t="s">
        <v>569</v>
      </c>
      <c r="R2924" s="8" t="s">
        <v>260</v>
      </c>
      <c r="S2924" t="str">
        <f t="shared" si="424"/>
        <v>PA</v>
      </c>
    </row>
    <row r="2925" spans="1:19" x14ac:dyDescent="0.3">
      <c r="A2925" t="s">
        <v>8</v>
      </c>
      <c r="B2925">
        <v>2016210004</v>
      </c>
      <c r="C2925" t="s">
        <v>43</v>
      </c>
      <c r="E2925" t="s">
        <v>391</v>
      </c>
      <c r="F2925" t="s">
        <v>392</v>
      </c>
      <c r="G2925">
        <v>2</v>
      </c>
      <c r="H2925" t="s">
        <v>524</v>
      </c>
      <c r="I2925" s="4">
        <f t="shared" si="425"/>
        <v>2</v>
      </c>
      <c r="J2925">
        <f t="shared" si="426"/>
        <v>4</v>
      </c>
      <c r="K2925">
        <v>34</v>
      </c>
      <c r="L2925">
        <v>16</v>
      </c>
      <c r="M2925">
        <v>2.13</v>
      </c>
      <c r="N2925">
        <v>2.91</v>
      </c>
      <c r="O2925">
        <v>0</v>
      </c>
      <c r="P2925">
        <v>5</v>
      </c>
      <c r="Q2925" t="s">
        <v>566</v>
      </c>
      <c r="R2925" s="8" t="s">
        <v>260</v>
      </c>
      <c r="S2925" t="str">
        <f t="shared" si="424"/>
        <v>PA</v>
      </c>
    </row>
    <row r="2926" spans="1:19" x14ac:dyDescent="0.3">
      <c r="A2926" t="s">
        <v>8</v>
      </c>
      <c r="B2926">
        <v>2016210004</v>
      </c>
      <c r="C2926" t="s">
        <v>43</v>
      </c>
      <c r="E2926" t="s">
        <v>463</v>
      </c>
      <c r="F2926" t="s">
        <v>186</v>
      </c>
      <c r="G2926">
        <v>4</v>
      </c>
      <c r="H2926" t="s">
        <v>438</v>
      </c>
      <c r="I2926" s="4">
        <f t="shared" si="425"/>
        <v>3</v>
      </c>
      <c r="J2926">
        <f t="shared" si="426"/>
        <v>12</v>
      </c>
      <c r="K2926">
        <v>32</v>
      </c>
      <c r="L2926">
        <v>12</v>
      </c>
      <c r="M2926" s="2">
        <v>2.67</v>
      </c>
      <c r="N2926">
        <v>2.91</v>
      </c>
      <c r="O2926">
        <v>0</v>
      </c>
      <c r="P2926">
        <v>7</v>
      </c>
      <c r="Q2926" t="s">
        <v>568</v>
      </c>
      <c r="R2926" s="8" t="s">
        <v>260</v>
      </c>
      <c r="S2926" t="str">
        <f t="shared" si="424"/>
        <v>PA</v>
      </c>
    </row>
    <row r="2927" spans="1:19" x14ac:dyDescent="0.3">
      <c r="A2927" t="s">
        <v>8</v>
      </c>
      <c r="B2927">
        <v>2016210004</v>
      </c>
      <c r="C2927" t="s">
        <v>43</v>
      </c>
      <c r="E2927" t="s">
        <v>115</v>
      </c>
      <c r="F2927" t="s">
        <v>116</v>
      </c>
      <c r="G2927">
        <v>4</v>
      </c>
      <c r="H2927" t="s">
        <v>535</v>
      </c>
      <c r="I2927" s="4">
        <f t="shared" si="425"/>
        <v>1</v>
      </c>
      <c r="J2927">
        <f t="shared" si="426"/>
        <v>4</v>
      </c>
      <c r="K2927">
        <v>14</v>
      </c>
      <c r="L2927">
        <v>10</v>
      </c>
      <c r="M2927" s="2">
        <v>1.4</v>
      </c>
      <c r="N2927">
        <v>2.91</v>
      </c>
      <c r="O2927">
        <v>0</v>
      </c>
      <c r="P2927">
        <v>2</v>
      </c>
      <c r="Q2927" t="s">
        <v>559</v>
      </c>
      <c r="R2927" s="8" t="s">
        <v>260</v>
      </c>
      <c r="S2927" t="str">
        <f t="shared" si="424"/>
        <v>FA</v>
      </c>
    </row>
    <row r="2928" spans="1:19" x14ac:dyDescent="0.3">
      <c r="A2928" t="s">
        <v>8</v>
      </c>
      <c r="B2928">
        <v>2016210004</v>
      </c>
      <c r="C2928" t="s">
        <v>43</v>
      </c>
      <c r="E2928" t="s">
        <v>115</v>
      </c>
      <c r="F2928" t="s">
        <v>116</v>
      </c>
      <c r="G2928">
        <v>4</v>
      </c>
      <c r="H2928" t="s">
        <v>260</v>
      </c>
      <c r="I2928" s="4">
        <f t="shared" si="425"/>
        <v>4</v>
      </c>
      <c r="J2928">
        <f t="shared" si="426"/>
        <v>16</v>
      </c>
      <c r="K2928">
        <v>120</v>
      </c>
      <c r="L2928">
        <v>36</v>
      </c>
      <c r="M2928" s="2">
        <v>3.33</v>
      </c>
      <c r="N2928">
        <v>2.91</v>
      </c>
      <c r="O2928">
        <v>1</v>
      </c>
      <c r="P2928">
        <v>10</v>
      </c>
      <c r="Q2928" t="s">
        <v>578</v>
      </c>
      <c r="R2928" s="8" t="s">
        <v>260</v>
      </c>
      <c r="S2928" t="str">
        <f t="shared" si="424"/>
        <v>PA</v>
      </c>
    </row>
    <row r="2929" spans="1:19" x14ac:dyDescent="0.3">
      <c r="A2929" t="s">
        <v>8</v>
      </c>
      <c r="B2929">
        <v>2016210004</v>
      </c>
      <c r="C2929" t="s">
        <v>43</v>
      </c>
      <c r="E2929" t="s">
        <v>395</v>
      </c>
      <c r="F2929" t="s">
        <v>396</v>
      </c>
      <c r="G2929">
        <v>2</v>
      </c>
      <c r="H2929" t="s">
        <v>535</v>
      </c>
      <c r="I2929" s="4">
        <f t="shared" si="425"/>
        <v>1</v>
      </c>
      <c r="J2929">
        <f t="shared" si="426"/>
        <v>2</v>
      </c>
      <c r="K2929">
        <v>56</v>
      </c>
      <c r="L2929">
        <v>20</v>
      </c>
      <c r="M2929" s="2">
        <v>2.8</v>
      </c>
      <c r="N2929">
        <v>2.91</v>
      </c>
      <c r="O2929">
        <v>0</v>
      </c>
      <c r="P2929">
        <v>1</v>
      </c>
      <c r="Q2929" t="s">
        <v>558</v>
      </c>
      <c r="R2929" s="8" t="s">
        <v>260</v>
      </c>
      <c r="S2929" t="str">
        <f t="shared" si="424"/>
        <v>FA</v>
      </c>
    </row>
    <row r="2930" spans="1:19" x14ac:dyDescent="0.3">
      <c r="A2930" t="s">
        <v>8</v>
      </c>
      <c r="B2930">
        <v>2016210004</v>
      </c>
      <c r="C2930" t="s">
        <v>43</v>
      </c>
      <c r="E2930" t="s">
        <v>395</v>
      </c>
      <c r="F2930" t="s">
        <v>396</v>
      </c>
      <c r="G2930">
        <v>2</v>
      </c>
      <c r="H2930" t="s">
        <v>438</v>
      </c>
      <c r="I2930" s="4">
        <f t="shared" si="425"/>
        <v>3</v>
      </c>
      <c r="J2930">
        <f t="shared" si="426"/>
        <v>6</v>
      </c>
      <c r="K2930">
        <v>120</v>
      </c>
      <c r="L2930">
        <v>36</v>
      </c>
      <c r="M2930" s="2">
        <v>3.33</v>
      </c>
      <c r="N2930">
        <v>2.91</v>
      </c>
      <c r="O2930">
        <v>1</v>
      </c>
      <c r="P2930">
        <v>10</v>
      </c>
      <c r="Q2930" t="s">
        <v>578</v>
      </c>
      <c r="R2930" s="8" t="s">
        <v>260</v>
      </c>
      <c r="S2930" t="str">
        <f t="shared" si="424"/>
        <v>PA</v>
      </c>
    </row>
    <row r="2931" spans="1:19" x14ac:dyDescent="0.3">
      <c r="A2931" t="s">
        <v>8</v>
      </c>
      <c r="B2931">
        <v>2016210004</v>
      </c>
      <c r="C2931" t="s">
        <v>43</v>
      </c>
      <c r="E2931" t="s">
        <v>117</v>
      </c>
      <c r="F2931" t="s">
        <v>118</v>
      </c>
      <c r="G2931">
        <v>2</v>
      </c>
      <c r="H2931" t="s">
        <v>535</v>
      </c>
      <c r="I2931" s="4">
        <f t="shared" si="425"/>
        <v>1</v>
      </c>
      <c r="J2931">
        <f t="shared" si="426"/>
        <v>2</v>
      </c>
      <c r="K2931">
        <v>14</v>
      </c>
      <c r="L2931">
        <v>10</v>
      </c>
      <c r="M2931" s="2">
        <v>1.4</v>
      </c>
      <c r="N2931">
        <v>2.91</v>
      </c>
      <c r="O2931">
        <v>0</v>
      </c>
      <c r="P2931">
        <v>2</v>
      </c>
      <c r="Q2931" t="s">
        <v>559</v>
      </c>
      <c r="R2931" s="8" t="s">
        <v>260</v>
      </c>
      <c r="S2931" t="str">
        <f t="shared" si="424"/>
        <v>FA</v>
      </c>
    </row>
    <row r="2932" spans="1:19" x14ac:dyDescent="0.3">
      <c r="A2932" t="s">
        <v>8</v>
      </c>
      <c r="B2932">
        <v>2016210004</v>
      </c>
      <c r="C2932" t="s">
        <v>43</v>
      </c>
      <c r="E2932" t="s">
        <v>117</v>
      </c>
      <c r="F2932" t="s">
        <v>118</v>
      </c>
      <c r="G2932">
        <v>2</v>
      </c>
      <c r="H2932" t="s">
        <v>260</v>
      </c>
      <c r="I2932" s="4">
        <f t="shared" si="425"/>
        <v>4</v>
      </c>
      <c r="J2932">
        <f t="shared" si="426"/>
        <v>8</v>
      </c>
      <c r="K2932">
        <v>120</v>
      </c>
      <c r="L2932">
        <v>36</v>
      </c>
      <c r="M2932" s="2">
        <v>3.33</v>
      </c>
      <c r="N2932">
        <v>2.91</v>
      </c>
      <c r="O2932">
        <v>1</v>
      </c>
      <c r="P2932">
        <v>10</v>
      </c>
      <c r="Q2932" t="s">
        <v>578</v>
      </c>
      <c r="R2932" s="8" t="s">
        <v>260</v>
      </c>
      <c r="S2932" t="str">
        <f t="shared" si="424"/>
        <v>PA</v>
      </c>
    </row>
    <row r="2933" spans="1:19" x14ac:dyDescent="0.3">
      <c r="A2933" t="s">
        <v>8</v>
      </c>
      <c r="B2933">
        <v>2016210004</v>
      </c>
      <c r="C2933" t="s">
        <v>43</v>
      </c>
      <c r="E2933" t="s">
        <v>266</v>
      </c>
      <c r="F2933" t="s">
        <v>91</v>
      </c>
      <c r="G2933">
        <v>2</v>
      </c>
      <c r="H2933" t="s">
        <v>535</v>
      </c>
      <c r="I2933" s="4">
        <f t="shared" si="425"/>
        <v>1</v>
      </c>
      <c r="J2933">
        <f t="shared" si="426"/>
        <v>2</v>
      </c>
      <c r="K2933">
        <v>14</v>
      </c>
      <c r="L2933">
        <v>10</v>
      </c>
      <c r="M2933" s="2">
        <v>1.4</v>
      </c>
      <c r="N2933">
        <v>2.91</v>
      </c>
      <c r="O2933">
        <v>0</v>
      </c>
      <c r="P2933">
        <v>2</v>
      </c>
      <c r="Q2933" t="s">
        <v>559</v>
      </c>
      <c r="R2933" s="8" t="s">
        <v>260</v>
      </c>
      <c r="S2933" t="str">
        <f t="shared" si="424"/>
        <v>FA</v>
      </c>
    </row>
    <row r="2934" spans="1:19" x14ac:dyDescent="0.3">
      <c r="A2934" t="s">
        <v>8</v>
      </c>
      <c r="B2934">
        <v>2016210004</v>
      </c>
      <c r="C2934" t="s">
        <v>43</v>
      </c>
      <c r="E2934" t="s">
        <v>318</v>
      </c>
      <c r="F2934" t="s">
        <v>319</v>
      </c>
      <c r="G2934">
        <v>2</v>
      </c>
      <c r="H2934" t="s">
        <v>539</v>
      </c>
      <c r="I2934" s="4">
        <f t="shared" si="425"/>
        <v>0</v>
      </c>
      <c r="J2934">
        <f t="shared" si="426"/>
        <v>0</v>
      </c>
      <c r="K2934">
        <v>34</v>
      </c>
      <c r="L2934">
        <v>16</v>
      </c>
      <c r="M2934">
        <v>2.13</v>
      </c>
      <c r="N2934">
        <v>2.91</v>
      </c>
      <c r="O2934">
        <v>0</v>
      </c>
      <c r="P2934">
        <v>5</v>
      </c>
      <c r="Q2934" t="s">
        <v>566</v>
      </c>
      <c r="R2934" s="8" t="s">
        <v>260</v>
      </c>
      <c r="S2934" t="str">
        <f t="shared" si="424"/>
        <v>FA</v>
      </c>
    </row>
    <row r="2935" spans="1:19" x14ac:dyDescent="0.3">
      <c r="A2935" t="s">
        <v>8</v>
      </c>
      <c r="B2935">
        <v>2016210004</v>
      </c>
      <c r="C2935" t="s">
        <v>43</v>
      </c>
      <c r="E2935" t="s">
        <v>266</v>
      </c>
      <c r="F2935" t="s">
        <v>91</v>
      </c>
      <c r="G2935">
        <v>2</v>
      </c>
      <c r="H2935" t="s">
        <v>260</v>
      </c>
      <c r="I2935" s="4">
        <f t="shared" si="425"/>
        <v>4</v>
      </c>
      <c r="J2935">
        <f t="shared" si="426"/>
        <v>8</v>
      </c>
      <c r="K2935">
        <v>120</v>
      </c>
      <c r="L2935">
        <v>36</v>
      </c>
      <c r="M2935" s="2">
        <v>3.33</v>
      </c>
      <c r="N2935">
        <v>2.91</v>
      </c>
      <c r="O2935">
        <v>1</v>
      </c>
      <c r="P2935">
        <v>10</v>
      </c>
      <c r="Q2935" t="s">
        <v>578</v>
      </c>
      <c r="R2935" s="8" t="s">
        <v>260</v>
      </c>
      <c r="S2935" t="str">
        <f t="shared" si="424"/>
        <v>PA</v>
      </c>
    </row>
    <row r="2936" spans="1:19" x14ac:dyDescent="0.3">
      <c r="A2936" t="s">
        <v>8</v>
      </c>
      <c r="B2936">
        <v>2016210004</v>
      </c>
      <c r="C2936" t="s">
        <v>43</v>
      </c>
      <c r="E2936" t="s">
        <v>401</v>
      </c>
      <c r="F2936" t="s">
        <v>258</v>
      </c>
      <c r="G2936">
        <v>4</v>
      </c>
      <c r="H2936" t="s">
        <v>539</v>
      </c>
      <c r="I2936" s="4">
        <f t="shared" si="425"/>
        <v>0</v>
      </c>
      <c r="J2936">
        <f t="shared" si="426"/>
        <v>0</v>
      </c>
      <c r="K2936">
        <v>24</v>
      </c>
      <c r="L2936">
        <v>12</v>
      </c>
      <c r="M2936" s="2">
        <v>2</v>
      </c>
      <c r="N2936">
        <v>2.91</v>
      </c>
      <c r="O2936">
        <v>0</v>
      </c>
      <c r="P2936">
        <v>3</v>
      </c>
      <c r="Q2936" t="s">
        <v>563</v>
      </c>
      <c r="R2936" s="8" t="s">
        <v>260</v>
      </c>
      <c r="S2936" t="str">
        <f t="shared" si="424"/>
        <v>FA</v>
      </c>
    </row>
    <row r="2937" spans="1:19" x14ac:dyDescent="0.3">
      <c r="A2937" t="s">
        <v>8</v>
      </c>
      <c r="B2937">
        <v>2016210004</v>
      </c>
      <c r="C2937" t="s">
        <v>43</v>
      </c>
      <c r="E2937" t="s">
        <v>401</v>
      </c>
      <c r="F2937" t="s">
        <v>258</v>
      </c>
      <c r="G2937">
        <v>4</v>
      </c>
      <c r="H2937" t="s">
        <v>260</v>
      </c>
      <c r="I2937" s="4">
        <f t="shared" si="425"/>
        <v>4</v>
      </c>
      <c r="J2937">
        <f t="shared" si="426"/>
        <v>16</v>
      </c>
      <c r="K2937">
        <v>120</v>
      </c>
      <c r="L2937">
        <v>36</v>
      </c>
      <c r="M2937" s="2">
        <v>3.33</v>
      </c>
      <c r="N2937">
        <v>2.91</v>
      </c>
      <c r="O2937">
        <v>1</v>
      </c>
      <c r="P2937">
        <v>10</v>
      </c>
      <c r="Q2937" t="s">
        <v>578</v>
      </c>
      <c r="R2937" s="8" t="s">
        <v>260</v>
      </c>
      <c r="S2937" t="str">
        <f t="shared" si="424"/>
        <v>PA</v>
      </c>
    </row>
    <row r="2938" spans="1:19" x14ac:dyDescent="0.3">
      <c r="A2938" t="s">
        <v>8</v>
      </c>
      <c r="B2938">
        <v>2016210004</v>
      </c>
      <c r="C2938" t="s">
        <v>43</v>
      </c>
      <c r="E2938" t="s">
        <v>393</v>
      </c>
      <c r="F2938" t="s">
        <v>436</v>
      </c>
      <c r="G2938">
        <v>2</v>
      </c>
      <c r="H2938" t="s">
        <v>539</v>
      </c>
      <c r="I2938" s="4">
        <f t="shared" si="425"/>
        <v>0</v>
      </c>
      <c r="J2938">
        <f t="shared" si="426"/>
        <v>0</v>
      </c>
      <c r="K2938">
        <v>34</v>
      </c>
      <c r="L2938">
        <v>16</v>
      </c>
      <c r="M2938">
        <v>2.13</v>
      </c>
      <c r="N2938">
        <v>2.91</v>
      </c>
      <c r="O2938">
        <v>0</v>
      </c>
      <c r="P2938">
        <v>5</v>
      </c>
      <c r="Q2938" t="s">
        <v>566</v>
      </c>
      <c r="R2938" s="8" t="s">
        <v>260</v>
      </c>
      <c r="S2938" t="str">
        <f t="shared" si="424"/>
        <v>FA</v>
      </c>
    </row>
    <row r="2939" spans="1:19" x14ac:dyDescent="0.3">
      <c r="A2939" t="s">
        <v>8</v>
      </c>
      <c r="B2939">
        <v>2016210004</v>
      </c>
      <c r="C2939" t="s">
        <v>43</v>
      </c>
      <c r="E2939" t="s">
        <v>393</v>
      </c>
      <c r="F2939" t="s">
        <v>436</v>
      </c>
      <c r="G2939">
        <v>2</v>
      </c>
      <c r="H2939" t="s">
        <v>438</v>
      </c>
      <c r="I2939" s="4">
        <f t="shared" si="425"/>
        <v>3</v>
      </c>
      <c r="J2939">
        <f t="shared" si="426"/>
        <v>6</v>
      </c>
      <c r="K2939">
        <v>120</v>
      </c>
      <c r="L2939">
        <v>36</v>
      </c>
      <c r="M2939" s="2">
        <v>3.33</v>
      </c>
      <c r="N2939">
        <v>2.91</v>
      </c>
      <c r="O2939">
        <v>1</v>
      </c>
      <c r="P2939">
        <v>10</v>
      </c>
      <c r="Q2939" t="s">
        <v>578</v>
      </c>
      <c r="R2939" s="8" t="s">
        <v>260</v>
      </c>
      <c r="S2939" t="str">
        <f t="shared" si="424"/>
        <v>PA</v>
      </c>
    </row>
    <row r="2940" spans="1:19" x14ac:dyDescent="0.3">
      <c r="A2940" t="s">
        <v>8</v>
      </c>
      <c r="B2940">
        <v>2016210004</v>
      </c>
      <c r="C2940" t="s">
        <v>43</v>
      </c>
      <c r="E2940" t="s">
        <v>232</v>
      </c>
      <c r="F2940" t="s">
        <v>245</v>
      </c>
      <c r="G2940">
        <v>2</v>
      </c>
      <c r="H2940" t="s">
        <v>539</v>
      </c>
      <c r="I2940" s="4">
        <f t="shared" si="425"/>
        <v>0</v>
      </c>
      <c r="J2940">
        <f t="shared" si="426"/>
        <v>0</v>
      </c>
      <c r="K2940">
        <v>2</v>
      </c>
      <c r="L2940">
        <v>8</v>
      </c>
      <c r="M2940" s="2">
        <v>0.25</v>
      </c>
      <c r="N2940">
        <v>2.91</v>
      </c>
      <c r="O2940">
        <v>0</v>
      </c>
      <c r="P2940">
        <v>10</v>
      </c>
      <c r="Q2940" t="s">
        <v>560</v>
      </c>
      <c r="R2940" s="8" t="s">
        <v>260</v>
      </c>
      <c r="S2940" t="str">
        <f t="shared" si="424"/>
        <v>FA</v>
      </c>
    </row>
    <row r="2941" spans="1:19" x14ac:dyDescent="0.3">
      <c r="A2941" t="s">
        <v>8</v>
      </c>
      <c r="B2941">
        <v>2016210004</v>
      </c>
      <c r="C2941" t="s">
        <v>43</v>
      </c>
      <c r="E2941" t="s">
        <v>318</v>
      </c>
      <c r="F2941" t="s">
        <v>319</v>
      </c>
      <c r="G2941">
        <v>2</v>
      </c>
      <c r="H2941" t="s">
        <v>438</v>
      </c>
      <c r="I2941" s="4">
        <f t="shared" si="425"/>
        <v>3</v>
      </c>
      <c r="J2941">
        <f t="shared" si="426"/>
        <v>6</v>
      </c>
      <c r="K2941">
        <v>120</v>
      </c>
      <c r="L2941">
        <v>36</v>
      </c>
      <c r="M2941" s="2">
        <v>3.33</v>
      </c>
      <c r="N2941">
        <v>2.91</v>
      </c>
      <c r="O2941">
        <v>1</v>
      </c>
      <c r="P2941">
        <v>10</v>
      </c>
      <c r="Q2941" t="s">
        <v>578</v>
      </c>
      <c r="R2941" s="8" t="s">
        <v>260</v>
      </c>
      <c r="S2941" t="str">
        <f t="shared" si="424"/>
        <v>PA</v>
      </c>
    </row>
    <row r="2942" spans="1:19" x14ac:dyDescent="0.3">
      <c r="A2942" t="s">
        <v>8</v>
      </c>
      <c r="B2942">
        <v>2016210004</v>
      </c>
      <c r="C2942" t="s">
        <v>43</v>
      </c>
      <c r="E2942" t="s">
        <v>232</v>
      </c>
      <c r="F2942" t="s">
        <v>245</v>
      </c>
      <c r="G2942">
        <v>2</v>
      </c>
      <c r="H2942" t="s">
        <v>438</v>
      </c>
      <c r="I2942" s="4">
        <f t="shared" si="425"/>
        <v>3</v>
      </c>
      <c r="J2942">
        <f t="shared" si="426"/>
        <v>6</v>
      </c>
      <c r="K2942">
        <v>120</v>
      </c>
      <c r="L2942">
        <v>36</v>
      </c>
      <c r="M2942" s="2">
        <v>3.33</v>
      </c>
      <c r="N2942">
        <v>2.91</v>
      </c>
      <c r="O2942">
        <v>1</v>
      </c>
      <c r="P2942">
        <v>10</v>
      </c>
      <c r="Q2942" t="s">
        <v>578</v>
      </c>
      <c r="R2942" s="8" t="s">
        <v>260</v>
      </c>
      <c r="S2942" t="str">
        <f t="shared" si="424"/>
        <v>PA</v>
      </c>
    </row>
    <row r="2943" spans="1:19" x14ac:dyDescent="0.3">
      <c r="A2943" t="s">
        <v>8</v>
      </c>
      <c r="B2943">
        <v>2016210005</v>
      </c>
      <c r="C2943" t="s">
        <v>71</v>
      </c>
      <c r="E2943" t="s">
        <v>19</v>
      </c>
      <c r="F2943" t="s">
        <v>20</v>
      </c>
      <c r="G2943">
        <v>6</v>
      </c>
      <c r="H2943" t="s">
        <v>438</v>
      </c>
      <c r="I2943" s="4">
        <f t="shared" si="425"/>
        <v>3</v>
      </c>
      <c r="J2943">
        <f t="shared" si="426"/>
        <v>18</v>
      </c>
      <c r="K2943">
        <v>18</v>
      </c>
      <c r="L2943">
        <v>6</v>
      </c>
      <c r="M2943" s="2">
        <v>3</v>
      </c>
      <c r="N2943">
        <v>2.92</v>
      </c>
      <c r="O2943">
        <v>1</v>
      </c>
      <c r="P2943">
        <v>10</v>
      </c>
      <c r="Q2943" t="s">
        <v>560</v>
      </c>
      <c r="R2943" t="s">
        <v>596</v>
      </c>
      <c r="S2943" t="str">
        <f t="shared" si="424"/>
        <v>PA</v>
      </c>
    </row>
    <row r="2944" spans="1:19" x14ac:dyDescent="0.3">
      <c r="A2944" t="s">
        <v>8</v>
      </c>
      <c r="B2944">
        <v>2016210005</v>
      </c>
      <c r="C2944" t="s">
        <v>71</v>
      </c>
      <c r="E2944" t="s">
        <v>19</v>
      </c>
      <c r="F2944" t="s">
        <v>20</v>
      </c>
      <c r="G2944">
        <v>6</v>
      </c>
      <c r="I2944" s="4"/>
      <c r="J2944">
        <f t="shared" ref="J2944:J2945" si="427">G2944*I2944</f>
        <v>0</v>
      </c>
      <c r="K2944">
        <v>0</v>
      </c>
      <c r="L2944">
        <v>0</v>
      </c>
      <c r="M2944" t="s">
        <v>574</v>
      </c>
      <c r="N2944">
        <v>2.92</v>
      </c>
      <c r="O2944">
        <v>0</v>
      </c>
      <c r="P2944">
        <v>9</v>
      </c>
      <c r="Q2944" t="s">
        <v>570</v>
      </c>
      <c r="R2944" s="8" t="s">
        <v>260</v>
      </c>
      <c r="S2944" t="s">
        <v>595</v>
      </c>
    </row>
    <row r="2945" spans="1:19" x14ac:dyDescent="0.3">
      <c r="A2945" t="s">
        <v>8</v>
      </c>
      <c r="B2945">
        <v>2016210005</v>
      </c>
      <c r="C2945" t="s">
        <v>71</v>
      </c>
      <c r="E2945" t="s">
        <v>216</v>
      </c>
      <c r="F2945" t="s">
        <v>217</v>
      </c>
      <c r="G2945">
        <v>2</v>
      </c>
      <c r="H2945" t="s">
        <v>260</v>
      </c>
      <c r="I2945" s="4">
        <f t="shared" ref="I2945" si="428">IF(H2945="A",4,IF(H2945="B",3,IF(H2945="C",2,IF(H2945="D",1,0))))</f>
        <v>4</v>
      </c>
      <c r="J2945">
        <f t="shared" si="427"/>
        <v>8</v>
      </c>
      <c r="K2945">
        <v>52</v>
      </c>
      <c r="L2945">
        <v>18</v>
      </c>
      <c r="M2945">
        <v>2.89</v>
      </c>
      <c r="N2945">
        <v>2.92</v>
      </c>
      <c r="O2945">
        <v>0</v>
      </c>
      <c r="P2945">
        <v>4</v>
      </c>
      <c r="Q2945" t="s">
        <v>565</v>
      </c>
      <c r="R2945" s="8" t="s">
        <v>260</v>
      </c>
      <c r="S2945" t="str">
        <f t="shared" ref="S2945:S3004" si="429">IF(OR(H2945="A",H2945="B",H2945="C"),"PA","FA")</f>
        <v>PA</v>
      </c>
    </row>
    <row r="2946" spans="1:19" x14ac:dyDescent="0.3">
      <c r="A2946" t="s">
        <v>8</v>
      </c>
      <c r="B2946">
        <v>2016210005</v>
      </c>
      <c r="C2946" t="s">
        <v>71</v>
      </c>
      <c r="E2946" t="s">
        <v>17</v>
      </c>
      <c r="F2946" t="s">
        <v>11</v>
      </c>
      <c r="G2946">
        <v>2</v>
      </c>
      <c r="H2946" t="s">
        <v>260</v>
      </c>
      <c r="I2946" s="4">
        <f t="shared" ref="I2946:I3004" si="430">IF(H2946="A",4,IF(H2946="B",3,IF(H2946="C",2,IF(H2946="D",1,0))))</f>
        <v>4</v>
      </c>
      <c r="J2946">
        <f t="shared" ref="J2946:J3004" si="431">G2946*I2946</f>
        <v>8</v>
      </c>
      <c r="K2946">
        <v>60</v>
      </c>
      <c r="L2946">
        <v>22</v>
      </c>
      <c r="M2946">
        <v>2.73</v>
      </c>
      <c r="N2946">
        <v>2.92</v>
      </c>
      <c r="O2946">
        <v>0</v>
      </c>
      <c r="P2946">
        <v>6</v>
      </c>
      <c r="Q2946" t="s">
        <v>567</v>
      </c>
      <c r="R2946" s="8" t="s">
        <v>260</v>
      </c>
      <c r="S2946" t="str">
        <f t="shared" si="429"/>
        <v>PA</v>
      </c>
    </row>
    <row r="2947" spans="1:19" x14ac:dyDescent="0.3">
      <c r="A2947" t="s">
        <v>8</v>
      </c>
      <c r="B2947">
        <v>2016210005</v>
      </c>
      <c r="C2947" t="s">
        <v>71</v>
      </c>
      <c r="E2947" t="s">
        <v>362</v>
      </c>
      <c r="F2947" t="s">
        <v>363</v>
      </c>
      <c r="G2947">
        <v>2</v>
      </c>
      <c r="H2947" t="s">
        <v>260</v>
      </c>
      <c r="I2947" s="4">
        <f t="shared" si="430"/>
        <v>4</v>
      </c>
      <c r="J2947">
        <f t="shared" si="431"/>
        <v>8</v>
      </c>
      <c r="K2947">
        <v>66</v>
      </c>
      <c r="L2947">
        <v>24</v>
      </c>
      <c r="M2947">
        <v>2.75</v>
      </c>
      <c r="N2947">
        <v>2.92</v>
      </c>
      <c r="O2947">
        <v>0</v>
      </c>
      <c r="P2947">
        <v>5</v>
      </c>
      <c r="Q2947" t="s">
        <v>566</v>
      </c>
      <c r="R2947" s="8" t="s">
        <v>260</v>
      </c>
      <c r="S2947" t="str">
        <f t="shared" si="429"/>
        <v>PA</v>
      </c>
    </row>
    <row r="2948" spans="1:19" x14ac:dyDescent="0.3">
      <c r="A2948" t="s">
        <v>8</v>
      </c>
      <c r="B2948">
        <v>2016210005</v>
      </c>
      <c r="C2948" t="s">
        <v>71</v>
      </c>
      <c r="E2948" t="s">
        <v>356</v>
      </c>
      <c r="F2948" t="s">
        <v>166</v>
      </c>
      <c r="G2948">
        <v>2</v>
      </c>
      <c r="H2948" t="s">
        <v>260</v>
      </c>
      <c r="I2948" s="4">
        <f t="shared" si="430"/>
        <v>4</v>
      </c>
      <c r="J2948">
        <f t="shared" si="431"/>
        <v>8</v>
      </c>
      <c r="K2948">
        <v>22</v>
      </c>
      <c r="L2948">
        <v>8</v>
      </c>
      <c r="M2948">
        <v>2.75</v>
      </c>
      <c r="N2948">
        <v>2.92</v>
      </c>
      <c r="O2948">
        <v>0</v>
      </c>
      <c r="P2948">
        <v>8</v>
      </c>
      <c r="Q2948" s="4" t="str">
        <f>IF(P2948=1,"2016/2017-Ganjil",IF(P2948=2,"2016/2017-Genap",IF(P2948=3,"2017/2018-Ganjil",IF(P2948=4,"2017/2018-Genap",IF(P2948=5,"2018/2019-Ganjil",IF(P2948=6,"2018/2019-Genap",IF(P2948=7,"2019/2020-Ganjil",IF(P2948=8,"2019/2020-Genap",IF(P2948=9,"2020/2021-Ganjil",IF(P2948=10,"2020/2021-Genap",IF(P2948=11,"2021/2022-Ganjil",IF(P2948=12,"2021/2022-Genap",IF(P2948=13,"2022/2023-Ganjil","2022/2023-Genap")))))))))))))</f>
        <v>2019/2020-Genap</v>
      </c>
      <c r="R2948" s="8" t="s">
        <v>260</v>
      </c>
      <c r="S2948" t="str">
        <f t="shared" si="429"/>
        <v>PA</v>
      </c>
    </row>
    <row r="2949" spans="1:19" x14ac:dyDescent="0.3">
      <c r="A2949" t="s">
        <v>8</v>
      </c>
      <c r="B2949">
        <v>2016210005</v>
      </c>
      <c r="C2949" t="s">
        <v>71</v>
      </c>
      <c r="E2949" t="s">
        <v>597</v>
      </c>
      <c r="F2949" t="s">
        <v>275</v>
      </c>
      <c r="G2949">
        <v>2</v>
      </c>
      <c r="H2949" t="s">
        <v>260</v>
      </c>
      <c r="I2949" s="4">
        <f t="shared" si="430"/>
        <v>4</v>
      </c>
      <c r="J2949">
        <f t="shared" si="431"/>
        <v>8</v>
      </c>
      <c r="K2949">
        <v>60</v>
      </c>
      <c r="L2949">
        <v>22</v>
      </c>
      <c r="M2949">
        <v>2.73</v>
      </c>
      <c r="N2949">
        <v>2.92</v>
      </c>
      <c r="O2949">
        <v>0</v>
      </c>
      <c r="P2949">
        <v>6</v>
      </c>
      <c r="Q2949" t="s">
        <v>567</v>
      </c>
      <c r="R2949" s="8" t="s">
        <v>260</v>
      </c>
      <c r="S2949" t="str">
        <f t="shared" si="429"/>
        <v>PA</v>
      </c>
    </row>
    <row r="2950" spans="1:19" x14ac:dyDescent="0.3">
      <c r="A2950" t="s">
        <v>8</v>
      </c>
      <c r="B2950">
        <v>2016210005</v>
      </c>
      <c r="C2950" t="s">
        <v>71</v>
      </c>
      <c r="E2950" t="s">
        <v>318</v>
      </c>
      <c r="F2950" t="s">
        <v>319</v>
      </c>
      <c r="G2950">
        <v>2</v>
      </c>
      <c r="H2950" t="s">
        <v>260</v>
      </c>
      <c r="I2950" s="4">
        <f t="shared" si="430"/>
        <v>4</v>
      </c>
      <c r="J2950">
        <f t="shared" si="431"/>
        <v>8</v>
      </c>
      <c r="K2950">
        <v>66</v>
      </c>
      <c r="L2950">
        <v>24</v>
      </c>
      <c r="M2950">
        <v>2.75</v>
      </c>
      <c r="N2950">
        <v>2.92</v>
      </c>
      <c r="O2950">
        <v>0</v>
      </c>
      <c r="P2950">
        <v>5</v>
      </c>
      <c r="Q2950" t="s">
        <v>566</v>
      </c>
      <c r="R2950" s="8" t="s">
        <v>260</v>
      </c>
      <c r="S2950" t="str">
        <f t="shared" si="429"/>
        <v>PA</v>
      </c>
    </row>
    <row r="2951" spans="1:19" x14ac:dyDescent="0.3">
      <c r="A2951" t="s">
        <v>8</v>
      </c>
      <c r="B2951">
        <v>2016210005</v>
      </c>
      <c r="C2951" t="s">
        <v>71</v>
      </c>
      <c r="E2951" t="s">
        <v>77</v>
      </c>
      <c r="F2951" t="s">
        <v>78</v>
      </c>
      <c r="G2951">
        <v>2</v>
      </c>
      <c r="H2951" t="s">
        <v>260</v>
      </c>
      <c r="I2951" s="4">
        <f t="shared" si="430"/>
        <v>4</v>
      </c>
      <c r="J2951">
        <f t="shared" si="431"/>
        <v>8</v>
      </c>
      <c r="K2951">
        <v>54</v>
      </c>
      <c r="L2951">
        <v>20</v>
      </c>
      <c r="M2951" s="2">
        <v>2.7</v>
      </c>
      <c r="N2951">
        <v>2.92</v>
      </c>
      <c r="O2951">
        <v>0</v>
      </c>
      <c r="P2951">
        <v>1</v>
      </c>
      <c r="Q2951" t="s">
        <v>558</v>
      </c>
      <c r="R2951" s="8" t="s">
        <v>260</v>
      </c>
      <c r="S2951" t="str">
        <f t="shared" si="429"/>
        <v>PA</v>
      </c>
    </row>
    <row r="2952" spans="1:19" x14ac:dyDescent="0.3">
      <c r="A2952" t="s">
        <v>8</v>
      </c>
      <c r="B2952">
        <v>2016210005</v>
      </c>
      <c r="C2952" t="s">
        <v>71</v>
      </c>
      <c r="E2952" t="s">
        <v>352</v>
      </c>
      <c r="F2952" t="s">
        <v>353</v>
      </c>
      <c r="G2952">
        <v>2</v>
      </c>
      <c r="H2952" t="s">
        <v>260</v>
      </c>
      <c r="I2952" s="4">
        <f t="shared" si="430"/>
        <v>4</v>
      </c>
      <c r="J2952">
        <f t="shared" si="431"/>
        <v>8</v>
      </c>
      <c r="K2952">
        <v>66</v>
      </c>
      <c r="L2952">
        <v>24</v>
      </c>
      <c r="M2952">
        <v>2.75</v>
      </c>
      <c r="N2952">
        <v>2.92</v>
      </c>
      <c r="O2952">
        <v>0</v>
      </c>
      <c r="P2952">
        <v>5</v>
      </c>
      <c r="Q2952" t="s">
        <v>566</v>
      </c>
      <c r="R2952" s="8" t="s">
        <v>260</v>
      </c>
      <c r="S2952" t="str">
        <f t="shared" si="429"/>
        <v>PA</v>
      </c>
    </row>
    <row r="2953" spans="1:19" x14ac:dyDescent="0.3">
      <c r="A2953" t="s">
        <v>8</v>
      </c>
      <c r="B2953">
        <v>2016210005</v>
      </c>
      <c r="C2953" t="s">
        <v>71</v>
      </c>
      <c r="E2953" t="s">
        <v>369</v>
      </c>
      <c r="F2953" t="s">
        <v>307</v>
      </c>
      <c r="G2953">
        <v>2</v>
      </c>
      <c r="H2953" t="s">
        <v>260</v>
      </c>
      <c r="I2953" s="4">
        <f t="shared" si="430"/>
        <v>4</v>
      </c>
      <c r="J2953">
        <f t="shared" si="431"/>
        <v>8</v>
      </c>
      <c r="K2953">
        <v>22</v>
      </c>
      <c r="L2953">
        <v>8</v>
      </c>
      <c r="M2953">
        <v>2.75</v>
      </c>
      <c r="N2953">
        <v>2.92</v>
      </c>
      <c r="O2953">
        <v>0</v>
      </c>
      <c r="P2953">
        <v>8</v>
      </c>
      <c r="Q2953" s="4" t="str">
        <f>IF(P2953=1,"2016/2017-Ganjil",IF(P2953=2,"2016/2017-Genap",IF(P2953=3,"2017/2018-Ganjil",IF(P2953=4,"2017/2018-Genap",IF(P2953=5,"2018/2019-Ganjil",IF(P2953=6,"2018/2019-Genap",IF(P2953=7,"2019/2020-Ganjil",IF(P2953=8,"2019/2020-Genap",IF(P2953=9,"2020/2021-Ganjil",IF(P2953=10,"2020/2021-Genap",IF(P2953=11,"2021/2022-Ganjil",IF(P2953=12,"2021/2022-Genap",IF(P2953=13,"2022/2023-Ganjil","2022/2023-Genap")))))))))))))</f>
        <v>2019/2020-Genap</v>
      </c>
      <c r="R2953" s="8" t="s">
        <v>260</v>
      </c>
      <c r="S2953" t="str">
        <f t="shared" si="429"/>
        <v>PA</v>
      </c>
    </row>
    <row r="2954" spans="1:19" x14ac:dyDescent="0.3">
      <c r="A2954" t="s">
        <v>8</v>
      </c>
      <c r="B2954">
        <v>2016210005</v>
      </c>
      <c r="C2954" t="s">
        <v>71</v>
      </c>
      <c r="E2954" t="s">
        <v>266</v>
      </c>
      <c r="F2954" t="s">
        <v>91</v>
      </c>
      <c r="G2954">
        <v>2</v>
      </c>
      <c r="H2954" t="s">
        <v>260</v>
      </c>
      <c r="I2954" s="4">
        <f t="shared" si="430"/>
        <v>4</v>
      </c>
      <c r="J2954">
        <f t="shared" si="431"/>
        <v>8</v>
      </c>
      <c r="K2954">
        <v>46</v>
      </c>
      <c r="L2954">
        <v>18</v>
      </c>
      <c r="M2954">
        <v>2.56</v>
      </c>
      <c r="N2954">
        <v>2.92</v>
      </c>
      <c r="O2954">
        <v>0</v>
      </c>
      <c r="P2954">
        <v>2</v>
      </c>
      <c r="Q2954" t="s">
        <v>559</v>
      </c>
      <c r="R2954" s="8" t="s">
        <v>260</v>
      </c>
      <c r="S2954" t="str">
        <f t="shared" si="429"/>
        <v>PA</v>
      </c>
    </row>
    <row r="2955" spans="1:19" x14ac:dyDescent="0.3">
      <c r="A2955" t="s">
        <v>8</v>
      </c>
      <c r="B2955">
        <v>2016210005</v>
      </c>
      <c r="C2955" t="s">
        <v>71</v>
      </c>
      <c r="E2955" t="s">
        <v>180</v>
      </c>
      <c r="F2955" t="s">
        <v>181</v>
      </c>
      <c r="G2955">
        <v>4</v>
      </c>
      <c r="H2955" t="s">
        <v>260</v>
      </c>
      <c r="I2955" s="4">
        <f t="shared" si="430"/>
        <v>4</v>
      </c>
      <c r="J2955">
        <f t="shared" si="431"/>
        <v>16</v>
      </c>
      <c r="K2955">
        <v>52</v>
      </c>
      <c r="L2955">
        <v>18</v>
      </c>
      <c r="M2955">
        <v>2.89</v>
      </c>
      <c r="N2955">
        <v>2.92</v>
      </c>
      <c r="O2955">
        <v>0</v>
      </c>
      <c r="P2955">
        <v>4</v>
      </c>
      <c r="Q2955" t="s">
        <v>565</v>
      </c>
      <c r="R2955" s="8" t="s">
        <v>260</v>
      </c>
      <c r="S2955" t="str">
        <f t="shared" si="429"/>
        <v>PA</v>
      </c>
    </row>
    <row r="2956" spans="1:19" x14ac:dyDescent="0.3">
      <c r="A2956" t="s">
        <v>8</v>
      </c>
      <c r="B2956">
        <v>2016210005</v>
      </c>
      <c r="C2956" t="s">
        <v>71</v>
      </c>
      <c r="E2956" t="s">
        <v>115</v>
      </c>
      <c r="F2956" t="s">
        <v>116</v>
      </c>
      <c r="G2956">
        <v>4</v>
      </c>
      <c r="H2956" t="s">
        <v>438</v>
      </c>
      <c r="I2956" s="4">
        <f t="shared" si="430"/>
        <v>3</v>
      </c>
      <c r="J2956">
        <f t="shared" si="431"/>
        <v>12</v>
      </c>
      <c r="K2956">
        <v>46</v>
      </c>
      <c r="L2956">
        <v>18</v>
      </c>
      <c r="M2956">
        <v>2.56</v>
      </c>
      <c r="N2956">
        <v>2.92</v>
      </c>
      <c r="O2956">
        <v>0</v>
      </c>
      <c r="P2956">
        <v>2</v>
      </c>
      <c r="Q2956" t="s">
        <v>559</v>
      </c>
      <c r="R2956" s="8" t="s">
        <v>260</v>
      </c>
      <c r="S2956" t="str">
        <f t="shared" si="429"/>
        <v>PA</v>
      </c>
    </row>
    <row r="2957" spans="1:19" x14ac:dyDescent="0.3">
      <c r="A2957" t="s">
        <v>8</v>
      </c>
      <c r="B2957">
        <v>2016210005</v>
      </c>
      <c r="C2957" t="s">
        <v>71</v>
      </c>
      <c r="E2957" t="s">
        <v>87</v>
      </c>
      <c r="F2957" t="s">
        <v>88</v>
      </c>
      <c r="G2957">
        <v>2</v>
      </c>
      <c r="H2957" t="s">
        <v>438</v>
      </c>
      <c r="I2957" s="4">
        <f t="shared" si="430"/>
        <v>3</v>
      </c>
      <c r="J2957">
        <f t="shared" si="431"/>
        <v>6</v>
      </c>
      <c r="K2957">
        <v>60</v>
      </c>
      <c r="L2957">
        <v>22</v>
      </c>
      <c r="M2957">
        <v>2.73</v>
      </c>
      <c r="N2957">
        <v>2.92</v>
      </c>
      <c r="O2957">
        <v>0</v>
      </c>
      <c r="P2957">
        <v>6</v>
      </c>
      <c r="Q2957" t="s">
        <v>567</v>
      </c>
      <c r="R2957" s="8" t="s">
        <v>260</v>
      </c>
      <c r="S2957" t="str">
        <f t="shared" si="429"/>
        <v>PA</v>
      </c>
    </row>
    <row r="2958" spans="1:19" x14ac:dyDescent="0.3">
      <c r="A2958" t="s">
        <v>8</v>
      </c>
      <c r="B2958">
        <v>2016210005</v>
      </c>
      <c r="C2958" t="s">
        <v>71</v>
      </c>
      <c r="E2958" t="s">
        <v>279</v>
      </c>
      <c r="F2958" t="s">
        <v>280</v>
      </c>
      <c r="G2958">
        <v>2</v>
      </c>
      <c r="H2958" t="s">
        <v>438</v>
      </c>
      <c r="I2958" s="4">
        <f t="shared" si="430"/>
        <v>3</v>
      </c>
      <c r="J2958">
        <f t="shared" si="431"/>
        <v>6</v>
      </c>
      <c r="K2958">
        <v>46</v>
      </c>
      <c r="L2958">
        <v>18</v>
      </c>
      <c r="M2958">
        <v>2.56</v>
      </c>
      <c r="N2958">
        <v>2.92</v>
      </c>
      <c r="O2958">
        <v>0</v>
      </c>
      <c r="P2958">
        <v>2</v>
      </c>
      <c r="Q2958" t="s">
        <v>559</v>
      </c>
      <c r="R2958" s="8" t="s">
        <v>260</v>
      </c>
      <c r="S2958" t="str">
        <f t="shared" si="429"/>
        <v>PA</v>
      </c>
    </row>
    <row r="2959" spans="1:19" x14ac:dyDescent="0.3">
      <c r="A2959" t="s">
        <v>8</v>
      </c>
      <c r="B2959">
        <v>2016210005</v>
      </c>
      <c r="C2959" t="s">
        <v>71</v>
      </c>
      <c r="E2959" t="s">
        <v>213</v>
      </c>
      <c r="F2959" t="s">
        <v>214</v>
      </c>
      <c r="G2959">
        <v>4</v>
      </c>
      <c r="H2959" t="s">
        <v>438</v>
      </c>
      <c r="I2959" s="4">
        <f t="shared" si="430"/>
        <v>3</v>
      </c>
      <c r="J2959">
        <f t="shared" si="431"/>
        <v>12</v>
      </c>
      <c r="K2959">
        <v>66</v>
      </c>
      <c r="L2959">
        <v>24</v>
      </c>
      <c r="M2959">
        <v>2.75</v>
      </c>
      <c r="N2959">
        <v>2.92</v>
      </c>
      <c r="O2959">
        <v>0</v>
      </c>
      <c r="P2959">
        <v>5</v>
      </c>
      <c r="Q2959" t="s">
        <v>566</v>
      </c>
      <c r="R2959" s="8" t="s">
        <v>260</v>
      </c>
      <c r="S2959" t="str">
        <f t="shared" si="429"/>
        <v>PA</v>
      </c>
    </row>
    <row r="2960" spans="1:19" x14ac:dyDescent="0.3">
      <c r="A2960" t="s">
        <v>8</v>
      </c>
      <c r="B2960">
        <v>2016210005</v>
      </c>
      <c r="C2960" t="s">
        <v>71</v>
      </c>
      <c r="E2960" t="s">
        <v>407</v>
      </c>
      <c r="F2960" t="s">
        <v>312</v>
      </c>
      <c r="G2960">
        <v>2</v>
      </c>
      <c r="H2960" t="s">
        <v>438</v>
      </c>
      <c r="I2960" s="4">
        <f t="shared" si="430"/>
        <v>3</v>
      </c>
      <c r="J2960">
        <f t="shared" si="431"/>
        <v>6</v>
      </c>
      <c r="K2960">
        <v>42</v>
      </c>
      <c r="L2960">
        <v>14</v>
      </c>
      <c r="M2960" s="2">
        <v>3</v>
      </c>
      <c r="N2960" t="s">
        <v>587</v>
      </c>
      <c r="O2960">
        <v>0</v>
      </c>
      <c r="P2960">
        <v>7</v>
      </c>
      <c r="Q2960" t="s">
        <v>568</v>
      </c>
      <c r="R2960" s="8" t="s">
        <v>260</v>
      </c>
      <c r="S2960" t="str">
        <f t="shared" si="429"/>
        <v>PA</v>
      </c>
    </row>
    <row r="2961" spans="1:19" x14ac:dyDescent="0.3">
      <c r="A2961" t="s">
        <v>8</v>
      </c>
      <c r="B2961">
        <v>2016210005</v>
      </c>
      <c r="C2961" t="s">
        <v>71</v>
      </c>
      <c r="E2961" t="s">
        <v>193</v>
      </c>
      <c r="F2961" t="s">
        <v>194</v>
      </c>
      <c r="G2961">
        <v>4</v>
      </c>
      <c r="H2961" t="s">
        <v>438</v>
      </c>
      <c r="I2961" s="4">
        <f t="shared" si="430"/>
        <v>3</v>
      </c>
      <c r="J2961">
        <f t="shared" si="431"/>
        <v>12</v>
      </c>
      <c r="K2961">
        <v>42</v>
      </c>
      <c r="L2961">
        <v>14</v>
      </c>
      <c r="M2961" s="2">
        <v>3</v>
      </c>
      <c r="N2961" t="s">
        <v>587</v>
      </c>
      <c r="O2961">
        <v>0</v>
      </c>
      <c r="P2961">
        <v>7</v>
      </c>
      <c r="Q2961" t="s">
        <v>568</v>
      </c>
      <c r="R2961" s="8" t="s">
        <v>260</v>
      </c>
      <c r="S2961" t="str">
        <f t="shared" si="429"/>
        <v>PA</v>
      </c>
    </row>
    <row r="2962" spans="1:19" x14ac:dyDescent="0.3">
      <c r="A2962" t="s">
        <v>8</v>
      </c>
      <c r="B2962">
        <v>2016210005</v>
      </c>
      <c r="C2962" t="s">
        <v>71</v>
      </c>
      <c r="E2962" t="s">
        <v>295</v>
      </c>
      <c r="F2962" t="s">
        <v>296</v>
      </c>
      <c r="G2962">
        <v>2</v>
      </c>
      <c r="H2962" t="s">
        <v>438</v>
      </c>
      <c r="I2962" s="4">
        <f t="shared" si="430"/>
        <v>3</v>
      </c>
      <c r="J2962">
        <f t="shared" si="431"/>
        <v>6</v>
      </c>
      <c r="K2962">
        <v>36</v>
      </c>
      <c r="L2962">
        <v>20</v>
      </c>
      <c r="M2962" s="2">
        <v>1.8</v>
      </c>
      <c r="N2962" t="s">
        <v>587</v>
      </c>
      <c r="O2962">
        <v>0</v>
      </c>
      <c r="P2962">
        <v>3</v>
      </c>
      <c r="Q2962" t="s">
        <v>563</v>
      </c>
      <c r="R2962" s="8" t="s">
        <v>260</v>
      </c>
      <c r="S2962" t="str">
        <f t="shared" si="429"/>
        <v>PA</v>
      </c>
    </row>
    <row r="2963" spans="1:19" x14ac:dyDescent="0.3">
      <c r="A2963" t="s">
        <v>8</v>
      </c>
      <c r="B2963">
        <v>2016210005</v>
      </c>
      <c r="C2963" t="s">
        <v>71</v>
      </c>
      <c r="E2963" t="s">
        <v>182</v>
      </c>
      <c r="F2963" t="s">
        <v>171</v>
      </c>
      <c r="G2963">
        <v>2</v>
      </c>
      <c r="H2963" t="s">
        <v>438</v>
      </c>
      <c r="I2963" s="4">
        <f t="shared" si="430"/>
        <v>3</v>
      </c>
      <c r="J2963">
        <f t="shared" si="431"/>
        <v>6</v>
      </c>
      <c r="K2963">
        <v>66</v>
      </c>
      <c r="L2963">
        <v>24</v>
      </c>
      <c r="M2963">
        <v>2.75</v>
      </c>
      <c r="N2963">
        <v>2.92</v>
      </c>
      <c r="O2963">
        <v>0</v>
      </c>
      <c r="P2963">
        <v>5</v>
      </c>
      <c r="Q2963" t="s">
        <v>566</v>
      </c>
      <c r="R2963" s="8" t="s">
        <v>260</v>
      </c>
      <c r="S2963" t="str">
        <f t="shared" si="429"/>
        <v>PA</v>
      </c>
    </row>
    <row r="2964" spans="1:19" x14ac:dyDescent="0.3">
      <c r="A2964" t="s">
        <v>8</v>
      </c>
      <c r="B2964">
        <v>2016210005</v>
      </c>
      <c r="C2964" t="s">
        <v>71</v>
      </c>
      <c r="E2964" t="s">
        <v>163</v>
      </c>
      <c r="F2964" t="s">
        <v>164</v>
      </c>
      <c r="G2964">
        <v>2</v>
      </c>
      <c r="H2964" t="s">
        <v>438</v>
      </c>
      <c r="I2964" s="4">
        <f t="shared" si="430"/>
        <v>3</v>
      </c>
      <c r="J2964">
        <f t="shared" si="431"/>
        <v>6</v>
      </c>
      <c r="K2964">
        <v>54</v>
      </c>
      <c r="L2964">
        <v>20</v>
      </c>
      <c r="M2964" s="2">
        <v>2.7</v>
      </c>
      <c r="N2964">
        <v>2.92</v>
      </c>
      <c r="O2964">
        <v>0</v>
      </c>
      <c r="P2964">
        <v>1</v>
      </c>
      <c r="Q2964" t="s">
        <v>558</v>
      </c>
      <c r="R2964" s="8" t="s">
        <v>260</v>
      </c>
      <c r="S2964" t="str">
        <f t="shared" si="429"/>
        <v>PA</v>
      </c>
    </row>
    <row r="2965" spans="1:19" x14ac:dyDescent="0.3">
      <c r="A2965" t="s">
        <v>8</v>
      </c>
      <c r="B2965">
        <v>2016210005</v>
      </c>
      <c r="C2965" t="s">
        <v>71</v>
      </c>
      <c r="E2965" t="s">
        <v>136</v>
      </c>
      <c r="F2965" t="s">
        <v>137</v>
      </c>
      <c r="G2965">
        <v>4</v>
      </c>
      <c r="H2965" t="s">
        <v>438</v>
      </c>
      <c r="I2965" s="4">
        <f t="shared" si="430"/>
        <v>3</v>
      </c>
      <c r="J2965">
        <f t="shared" si="431"/>
        <v>12</v>
      </c>
      <c r="K2965">
        <v>60</v>
      </c>
      <c r="L2965">
        <v>22</v>
      </c>
      <c r="M2965">
        <v>2.73</v>
      </c>
      <c r="N2965">
        <v>2.92</v>
      </c>
      <c r="O2965">
        <v>0</v>
      </c>
      <c r="P2965">
        <v>6</v>
      </c>
      <c r="Q2965" t="s">
        <v>567</v>
      </c>
      <c r="R2965" s="8" t="s">
        <v>260</v>
      </c>
      <c r="S2965" t="str">
        <f t="shared" si="429"/>
        <v>PA</v>
      </c>
    </row>
    <row r="2966" spans="1:19" x14ac:dyDescent="0.3">
      <c r="A2966" t="s">
        <v>8</v>
      </c>
      <c r="B2966">
        <v>2016210005</v>
      </c>
      <c r="C2966" t="s">
        <v>71</v>
      </c>
      <c r="E2966" t="s">
        <v>253</v>
      </c>
      <c r="F2966" t="s">
        <v>254</v>
      </c>
      <c r="G2966">
        <v>2</v>
      </c>
      <c r="H2966" t="s">
        <v>438</v>
      </c>
      <c r="I2966" s="4">
        <f t="shared" si="430"/>
        <v>3</v>
      </c>
      <c r="J2966">
        <f t="shared" si="431"/>
        <v>6</v>
      </c>
      <c r="K2966">
        <v>52</v>
      </c>
      <c r="L2966">
        <v>18</v>
      </c>
      <c r="M2966">
        <v>2.89</v>
      </c>
      <c r="N2966">
        <v>2.92</v>
      </c>
      <c r="O2966">
        <v>0</v>
      </c>
      <c r="P2966">
        <v>4</v>
      </c>
      <c r="Q2966" t="s">
        <v>565</v>
      </c>
      <c r="R2966" s="8" t="s">
        <v>260</v>
      </c>
      <c r="S2966" t="str">
        <f t="shared" si="429"/>
        <v>PA</v>
      </c>
    </row>
    <row r="2967" spans="1:19" x14ac:dyDescent="0.3">
      <c r="A2967" t="s">
        <v>8</v>
      </c>
      <c r="B2967">
        <v>2016210005</v>
      </c>
      <c r="C2967" t="s">
        <v>71</v>
      </c>
      <c r="E2967" t="s">
        <v>131</v>
      </c>
      <c r="F2967" t="s">
        <v>132</v>
      </c>
      <c r="G2967">
        <v>2</v>
      </c>
      <c r="H2967" t="s">
        <v>438</v>
      </c>
      <c r="I2967" s="4">
        <f t="shared" si="430"/>
        <v>3</v>
      </c>
      <c r="J2967">
        <f t="shared" si="431"/>
        <v>6</v>
      </c>
      <c r="K2967">
        <v>54</v>
      </c>
      <c r="L2967">
        <v>20</v>
      </c>
      <c r="M2967" s="2">
        <v>2.7</v>
      </c>
      <c r="N2967">
        <v>2.92</v>
      </c>
      <c r="O2967">
        <v>0</v>
      </c>
      <c r="P2967">
        <v>1</v>
      </c>
      <c r="Q2967" t="s">
        <v>558</v>
      </c>
      <c r="R2967" s="8" t="s">
        <v>260</v>
      </c>
      <c r="S2967" t="str">
        <f t="shared" si="429"/>
        <v>PA</v>
      </c>
    </row>
    <row r="2968" spans="1:19" x14ac:dyDescent="0.3">
      <c r="A2968" t="s">
        <v>8</v>
      </c>
      <c r="B2968">
        <v>2016210005</v>
      </c>
      <c r="C2968" t="s">
        <v>71</v>
      </c>
      <c r="E2968" t="s">
        <v>117</v>
      </c>
      <c r="F2968" t="s">
        <v>118</v>
      </c>
      <c r="G2968">
        <v>2</v>
      </c>
      <c r="H2968" t="s">
        <v>438</v>
      </c>
      <c r="I2968" s="4">
        <f t="shared" si="430"/>
        <v>3</v>
      </c>
      <c r="J2968">
        <f t="shared" si="431"/>
        <v>6</v>
      </c>
      <c r="K2968">
        <v>46</v>
      </c>
      <c r="L2968">
        <v>18</v>
      </c>
      <c r="M2968">
        <v>2.56</v>
      </c>
      <c r="N2968">
        <v>2.92</v>
      </c>
      <c r="O2968">
        <v>0</v>
      </c>
      <c r="P2968">
        <v>2</v>
      </c>
      <c r="Q2968" t="s">
        <v>559</v>
      </c>
      <c r="R2968" s="8" t="s">
        <v>260</v>
      </c>
      <c r="S2968" t="str">
        <f t="shared" si="429"/>
        <v>PA</v>
      </c>
    </row>
    <row r="2969" spans="1:19" x14ac:dyDescent="0.3">
      <c r="A2969" t="s">
        <v>8</v>
      </c>
      <c r="B2969">
        <v>2016210005</v>
      </c>
      <c r="C2969" t="s">
        <v>71</v>
      </c>
      <c r="E2969" t="s">
        <v>355</v>
      </c>
      <c r="F2969" t="s">
        <v>274</v>
      </c>
      <c r="G2969">
        <v>2</v>
      </c>
      <c r="H2969" t="s">
        <v>438</v>
      </c>
      <c r="I2969" s="4">
        <f t="shared" si="430"/>
        <v>3</v>
      </c>
      <c r="J2969">
        <f t="shared" si="431"/>
        <v>6</v>
      </c>
      <c r="K2969">
        <v>52</v>
      </c>
      <c r="L2969">
        <v>18</v>
      </c>
      <c r="M2969">
        <v>2.89</v>
      </c>
      <c r="N2969">
        <v>2.92</v>
      </c>
      <c r="O2969">
        <v>0</v>
      </c>
      <c r="P2969">
        <v>4</v>
      </c>
      <c r="Q2969" t="s">
        <v>565</v>
      </c>
      <c r="R2969" s="8" t="s">
        <v>260</v>
      </c>
      <c r="S2969" t="str">
        <f t="shared" si="429"/>
        <v>PA</v>
      </c>
    </row>
    <row r="2970" spans="1:19" x14ac:dyDescent="0.3">
      <c r="A2970" t="s">
        <v>8</v>
      </c>
      <c r="B2970">
        <v>2016210005</v>
      </c>
      <c r="C2970" t="s">
        <v>71</v>
      </c>
      <c r="E2970" t="s">
        <v>22</v>
      </c>
      <c r="F2970" t="s">
        <v>23</v>
      </c>
      <c r="G2970">
        <v>2</v>
      </c>
      <c r="H2970" t="s">
        <v>438</v>
      </c>
      <c r="I2970" s="4">
        <f t="shared" si="430"/>
        <v>3</v>
      </c>
      <c r="J2970">
        <f t="shared" si="431"/>
        <v>6</v>
      </c>
      <c r="K2970">
        <v>46</v>
      </c>
      <c r="L2970">
        <v>18</v>
      </c>
      <c r="M2970">
        <v>2.56</v>
      </c>
      <c r="N2970">
        <v>2.92</v>
      </c>
      <c r="O2970">
        <v>0</v>
      </c>
      <c r="P2970">
        <v>2</v>
      </c>
      <c r="Q2970" t="s">
        <v>559</v>
      </c>
      <c r="R2970" s="8" t="s">
        <v>260</v>
      </c>
      <c r="S2970" t="str">
        <f t="shared" si="429"/>
        <v>PA</v>
      </c>
    </row>
    <row r="2971" spans="1:19" x14ac:dyDescent="0.3">
      <c r="A2971" t="s">
        <v>8</v>
      </c>
      <c r="B2971">
        <v>2016210005</v>
      </c>
      <c r="C2971" t="s">
        <v>71</v>
      </c>
      <c r="E2971" t="s">
        <v>176</v>
      </c>
      <c r="F2971" t="s">
        <v>177</v>
      </c>
      <c r="G2971">
        <v>4</v>
      </c>
      <c r="H2971" t="s">
        <v>438</v>
      </c>
      <c r="I2971" s="4">
        <f t="shared" si="430"/>
        <v>3</v>
      </c>
      <c r="J2971">
        <f t="shared" si="431"/>
        <v>12</v>
      </c>
      <c r="K2971">
        <v>66</v>
      </c>
      <c r="L2971">
        <v>24</v>
      </c>
      <c r="M2971">
        <v>2.75</v>
      </c>
      <c r="N2971">
        <v>2.92</v>
      </c>
      <c r="O2971">
        <v>0</v>
      </c>
      <c r="P2971">
        <v>5</v>
      </c>
      <c r="Q2971" t="s">
        <v>566</v>
      </c>
      <c r="R2971" s="8" t="s">
        <v>260</v>
      </c>
      <c r="S2971" t="str">
        <f t="shared" si="429"/>
        <v>PA</v>
      </c>
    </row>
    <row r="2972" spans="1:19" x14ac:dyDescent="0.3">
      <c r="A2972" t="s">
        <v>8</v>
      </c>
      <c r="B2972">
        <v>2016210005</v>
      </c>
      <c r="C2972" t="s">
        <v>71</v>
      </c>
      <c r="E2972" t="s">
        <v>185</v>
      </c>
      <c r="F2972" t="s">
        <v>186</v>
      </c>
      <c r="G2972">
        <v>4</v>
      </c>
      <c r="H2972" t="s">
        <v>438</v>
      </c>
      <c r="I2972" s="4">
        <f t="shared" si="430"/>
        <v>3</v>
      </c>
      <c r="J2972">
        <f t="shared" si="431"/>
        <v>12</v>
      </c>
      <c r="K2972">
        <v>42</v>
      </c>
      <c r="L2972">
        <v>14</v>
      </c>
      <c r="M2972" s="2">
        <v>3</v>
      </c>
      <c r="N2972" t="s">
        <v>587</v>
      </c>
      <c r="O2972">
        <v>0</v>
      </c>
      <c r="P2972">
        <v>7</v>
      </c>
      <c r="Q2972" t="s">
        <v>568</v>
      </c>
      <c r="R2972" s="8" t="s">
        <v>260</v>
      </c>
      <c r="S2972" t="str">
        <f t="shared" si="429"/>
        <v>PA</v>
      </c>
    </row>
    <row r="2973" spans="1:19" x14ac:dyDescent="0.3">
      <c r="A2973" t="s">
        <v>8</v>
      </c>
      <c r="B2973">
        <v>2016210005</v>
      </c>
      <c r="C2973" t="s">
        <v>71</v>
      </c>
      <c r="E2973" t="s">
        <v>93</v>
      </c>
      <c r="F2973" t="s">
        <v>94</v>
      </c>
      <c r="G2973">
        <v>4</v>
      </c>
      <c r="H2973" t="s">
        <v>438</v>
      </c>
      <c r="I2973" s="4">
        <f t="shared" si="430"/>
        <v>3</v>
      </c>
      <c r="J2973">
        <f t="shared" si="431"/>
        <v>12</v>
      </c>
      <c r="K2973">
        <v>36</v>
      </c>
      <c r="L2973">
        <v>20</v>
      </c>
      <c r="M2973" s="2">
        <v>1.8</v>
      </c>
      <c r="N2973" t="s">
        <v>587</v>
      </c>
      <c r="O2973">
        <v>0</v>
      </c>
      <c r="P2973">
        <v>3</v>
      </c>
      <c r="Q2973" t="s">
        <v>563</v>
      </c>
      <c r="R2973" s="8" t="s">
        <v>260</v>
      </c>
      <c r="S2973" t="str">
        <f t="shared" si="429"/>
        <v>PA</v>
      </c>
    </row>
    <row r="2974" spans="1:19" x14ac:dyDescent="0.3">
      <c r="A2974" t="s">
        <v>8</v>
      </c>
      <c r="B2974">
        <v>2016210005</v>
      </c>
      <c r="C2974" t="s">
        <v>71</v>
      </c>
      <c r="E2974" t="s">
        <v>219</v>
      </c>
      <c r="F2974" t="s">
        <v>473</v>
      </c>
      <c r="G2974">
        <v>2</v>
      </c>
      <c r="H2974" t="s">
        <v>438</v>
      </c>
      <c r="I2974" s="4">
        <f t="shared" si="430"/>
        <v>3</v>
      </c>
      <c r="J2974">
        <f t="shared" si="431"/>
        <v>6</v>
      </c>
      <c r="K2974">
        <v>42</v>
      </c>
      <c r="L2974">
        <v>14</v>
      </c>
      <c r="M2974" s="2">
        <v>3</v>
      </c>
      <c r="N2974" t="s">
        <v>587</v>
      </c>
      <c r="O2974">
        <v>0</v>
      </c>
      <c r="P2974">
        <v>7</v>
      </c>
      <c r="Q2974" t="s">
        <v>568</v>
      </c>
      <c r="R2974" s="8" t="s">
        <v>260</v>
      </c>
      <c r="S2974" t="str">
        <f t="shared" si="429"/>
        <v>PA</v>
      </c>
    </row>
    <row r="2975" spans="1:19" x14ac:dyDescent="0.3">
      <c r="A2975" t="s">
        <v>8</v>
      </c>
      <c r="B2975">
        <v>2016210005</v>
      </c>
      <c r="C2975" t="s">
        <v>71</v>
      </c>
      <c r="E2975" t="s">
        <v>202</v>
      </c>
      <c r="F2975" t="s">
        <v>203</v>
      </c>
      <c r="G2975">
        <v>4</v>
      </c>
      <c r="H2975" t="s">
        <v>438</v>
      </c>
      <c r="I2975" s="4">
        <f t="shared" si="430"/>
        <v>3</v>
      </c>
      <c r="J2975">
        <f t="shared" si="431"/>
        <v>12</v>
      </c>
      <c r="K2975">
        <v>54</v>
      </c>
      <c r="L2975">
        <v>20</v>
      </c>
      <c r="M2975" s="2">
        <v>2.7</v>
      </c>
      <c r="N2975">
        <v>2.92</v>
      </c>
      <c r="O2975">
        <v>0</v>
      </c>
      <c r="P2975">
        <v>1</v>
      </c>
      <c r="Q2975" t="s">
        <v>558</v>
      </c>
      <c r="R2975" s="8" t="s">
        <v>260</v>
      </c>
      <c r="S2975" t="str">
        <f t="shared" si="429"/>
        <v>PA</v>
      </c>
    </row>
    <row r="2976" spans="1:19" x14ac:dyDescent="0.3">
      <c r="A2976" t="s">
        <v>8</v>
      </c>
      <c r="B2976">
        <v>2016210005</v>
      </c>
      <c r="C2976" t="s">
        <v>71</v>
      </c>
      <c r="E2976" t="s">
        <v>147</v>
      </c>
      <c r="F2976" t="s">
        <v>148</v>
      </c>
      <c r="G2976">
        <v>4</v>
      </c>
      <c r="H2976" t="s">
        <v>438</v>
      </c>
      <c r="I2976" s="4">
        <f t="shared" si="430"/>
        <v>3</v>
      </c>
      <c r="J2976">
        <f t="shared" si="431"/>
        <v>12</v>
      </c>
      <c r="K2976">
        <v>54</v>
      </c>
      <c r="L2976">
        <v>20</v>
      </c>
      <c r="M2976" s="2">
        <v>2.7</v>
      </c>
      <c r="N2976">
        <v>2.92</v>
      </c>
      <c r="O2976">
        <v>0</v>
      </c>
      <c r="P2976">
        <v>1</v>
      </c>
      <c r="Q2976" t="s">
        <v>558</v>
      </c>
      <c r="R2976" s="8" t="s">
        <v>260</v>
      </c>
      <c r="S2976" t="str">
        <f t="shared" si="429"/>
        <v>PA</v>
      </c>
    </row>
    <row r="2977" spans="1:19" x14ac:dyDescent="0.3">
      <c r="A2977" t="s">
        <v>8</v>
      </c>
      <c r="B2977">
        <v>2016210005</v>
      </c>
      <c r="C2977" t="s">
        <v>71</v>
      </c>
      <c r="E2977" t="s">
        <v>238</v>
      </c>
      <c r="F2977" t="s">
        <v>239</v>
      </c>
      <c r="G2977">
        <v>4</v>
      </c>
      <c r="H2977" t="s">
        <v>438</v>
      </c>
      <c r="I2977" s="4">
        <f t="shared" si="430"/>
        <v>3</v>
      </c>
      <c r="J2977">
        <f t="shared" si="431"/>
        <v>12</v>
      </c>
      <c r="K2977">
        <v>60</v>
      </c>
      <c r="L2977">
        <v>22</v>
      </c>
      <c r="M2977">
        <v>2.73</v>
      </c>
      <c r="N2977">
        <v>2.92</v>
      </c>
      <c r="O2977">
        <v>0</v>
      </c>
      <c r="P2977">
        <v>6</v>
      </c>
      <c r="Q2977" t="s">
        <v>567</v>
      </c>
      <c r="R2977" s="8" t="s">
        <v>260</v>
      </c>
      <c r="S2977" t="str">
        <f t="shared" si="429"/>
        <v>PA</v>
      </c>
    </row>
    <row r="2978" spans="1:19" x14ac:dyDescent="0.3">
      <c r="A2978" t="s">
        <v>8</v>
      </c>
      <c r="B2978">
        <v>2016210005</v>
      </c>
      <c r="C2978" t="s">
        <v>71</v>
      </c>
      <c r="E2978" t="s">
        <v>439</v>
      </c>
      <c r="F2978" t="s">
        <v>440</v>
      </c>
      <c r="G2978">
        <v>2</v>
      </c>
      <c r="H2978" t="s">
        <v>438</v>
      </c>
      <c r="I2978" s="4">
        <f t="shared" si="430"/>
        <v>3</v>
      </c>
      <c r="J2978">
        <f t="shared" si="431"/>
        <v>6</v>
      </c>
      <c r="K2978">
        <v>60</v>
      </c>
      <c r="L2978">
        <v>22</v>
      </c>
      <c r="M2978">
        <v>2.73</v>
      </c>
      <c r="N2978">
        <v>2.92</v>
      </c>
      <c r="O2978">
        <v>0</v>
      </c>
      <c r="P2978">
        <v>6</v>
      </c>
      <c r="Q2978" t="s">
        <v>567</v>
      </c>
      <c r="R2978" s="8" t="s">
        <v>260</v>
      </c>
      <c r="S2978" t="str">
        <f t="shared" si="429"/>
        <v>PA</v>
      </c>
    </row>
    <row r="2979" spans="1:19" x14ac:dyDescent="0.3">
      <c r="A2979" t="s">
        <v>8</v>
      </c>
      <c r="B2979">
        <v>2016210005</v>
      </c>
      <c r="C2979" t="s">
        <v>71</v>
      </c>
      <c r="E2979" t="s">
        <v>105</v>
      </c>
      <c r="F2979" t="s">
        <v>106</v>
      </c>
      <c r="G2979">
        <v>2</v>
      </c>
      <c r="H2979" t="s">
        <v>524</v>
      </c>
      <c r="I2979" s="4">
        <f t="shared" si="430"/>
        <v>2</v>
      </c>
      <c r="J2979">
        <f t="shared" si="431"/>
        <v>4</v>
      </c>
      <c r="K2979">
        <v>36</v>
      </c>
      <c r="L2979">
        <v>20</v>
      </c>
      <c r="M2979" s="2">
        <v>1.8</v>
      </c>
      <c r="N2979" t="s">
        <v>587</v>
      </c>
      <c r="O2979">
        <v>0</v>
      </c>
      <c r="P2979">
        <v>3</v>
      </c>
      <c r="Q2979" t="s">
        <v>563</v>
      </c>
      <c r="R2979" s="8" t="s">
        <v>260</v>
      </c>
      <c r="S2979" t="str">
        <f t="shared" si="429"/>
        <v>PA</v>
      </c>
    </row>
    <row r="2980" spans="1:19" x14ac:dyDescent="0.3">
      <c r="A2980" t="s">
        <v>8</v>
      </c>
      <c r="B2980">
        <v>2016210005</v>
      </c>
      <c r="C2980" t="s">
        <v>71</v>
      </c>
      <c r="E2980" t="s">
        <v>110</v>
      </c>
      <c r="F2980" t="s">
        <v>111</v>
      </c>
      <c r="G2980">
        <v>4</v>
      </c>
      <c r="H2980" t="s">
        <v>524</v>
      </c>
      <c r="I2980" s="4">
        <f t="shared" si="430"/>
        <v>2</v>
      </c>
      <c r="J2980">
        <f t="shared" si="431"/>
        <v>8</v>
      </c>
      <c r="K2980">
        <v>54</v>
      </c>
      <c r="L2980">
        <v>20</v>
      </c>
      <c r="M2980" s="2">
        <v>2.7</v>
      </c>
      <c r="N2980">
        <v>2.92</v>
      </c>
      <c r="O2980">
        <v>0</v>
      </c>
      <c r="P2980">
        <v>1</v>
      </c>
      <c r="Q2980" t="s">
        <v>558</v>
      </c>
      <c r="R2980" s="8" t="s">
        <v>260</v>
      </c>
      <c r="S2980" t="str">
        <f t="shared" si="429"/>
        <v>PA</v>
      </c>
    </row>
    <row r="2981" spans="1:19" x14ac:dyDescent="0.3">
      <c r="A2981" t="s">
        <v>8</v>
      </c>
      <c r="B2981">
        <v>2016210005</v>
      </c>
      <c r="C2981" t="s">
        <v>71</v>
      </c>
      <c r="E2981" t="s">
        <v>391</v>
      </c>
      <c r="F2981" t="s">
        <v>392</v>
      </c>
      <c r="G2981">
        <v>2</v>
      </c>
      <c r="H2981" t="s">
        <v>524</v>
      </c>
      <c r="I2981" s="4">
        <f t="shared" si="430"/>
        <v>2</v>
      </c>
      <c r="J2981">
        <f t="shared" si="431"/>
        <v>4</v>
      </c>
      <c r="K2981">
        <v>66</v>
      </c>
      <c r="L2981">
        <v>24</v>
      </c>
      <c r="M2981">
        <v>2.75</v>
      </c>
      <c r="N2981">
        <v>2.92</v>
      </c>
      <c r="O2981">
        <v>0</v>
      </c>
      <c r="P2981">
        <v>5</v>
      </c>
      <c r="Q2981" t="s">
        <v>566</v>
      </c>
      <c r="R2981" s="8" t="s">
        <v>260</v>
      </c>
      <c r="S2981" t="str">
        <f t="shared" si="429"/>
        <v>PA</v>
      </c>
    </row>
    <row r="2982" spans="1:19" x14ac:dyDescent="0.3">
      <c r="A2982" t="s">
        <v>8</v>
      </c>
      <c r="B2982">
        <v>2016210005</v>
      </c>
      <c r="C2982" t="s">
        <v>71</v>
      </c>
      <c r="E2982" t="s">
        <v>227</v>
      </c>
      <c r="F2982" t="s">
        <v>228</v>
      </c>
      <c r="G2982">
        <v>2</v>
      </c>
      <c r="H2982" t="s">
        <v>524</v>
      </c>
      <c r="I2982" s="4">
        <f t="shared" si="430"/>
        <v>2</v>
      </c>
      <c r="J2982">
        <f t="shared" si="431"/>
        <v>4</v>
      </c>
      <c r="K2982">
        <v>36</v>
      </c>
      <c r="L2982">
        <v>20</v>
      </c>
      <c r="M2982" s="2">
        <v>1.8</v>
      </c>
      <c r="N2982" t="s">
        <v>587</v>
      </c>
      <c r="O2982">
        <v>0</v>
      </c>
      <c r="P2982">
        <v>3</v>
      </c>
      <c r="Q2982" t="s">
        <v>563</v>
      </c>
      <c r="R2982" s="8" t="s">
        <v>260</v>
      </c>
      <c r="S2982" t="str">
        <f t="shared" si="429"/>
        <v>PA</v>
      </c>
    </row>
    <row r="2983" spans="1:19" x14ac:dyDescent="0.3">
      <c r="A2983" t="s">
        <v>8</v>
      </c>
      <c r="B2983">
        <v>2016210005</v>
      </c>
      <c r="C2983" t="s">
        <v>71</v>
      </c>
      <c r="E2983" t="s">
        <v>449</v>
      </c>
      <c r="F2983" t="s">
        <v>460</v>
      </c>
      <c r="G2983">
        <v>4</v>
      </c>
      <c r="H2983" t="s">
        <v>524</v>
      </c>
      <c r="I2983" s="4">
        <f t="shared" si="430"/>
        <v>2</v>
      </c>
      <c r="J2983">
        <f t="shared" si="431"/>
        <v>8</v>
      </c>
      <c r="K2983">
        <v>52</v>
      </c>
      <c r="L2983">
        <v>18</v>
      </c>
      <c r="M2983">
        <v>2.89</v>
      </c>
      <c r="N2983">
        <v>2.92</v>
      </c>
      <c r="O2983">
        <v>0</v>
      </c>
      <c r="P2983">
        <v>4</v>
      </c>
      <c r="Q2983" t="s">
        <v>565</v>
      </c>
      <c r="R2983" s="8" t="s">
        <v>260</v>
      </c>
      <c r="S2983" t="str">
        <f t="shared" si="429"/>
        <v>PA</v>
      </c>
    </row>
    <row r="2984" spans="1:19" x14ac:dyDescent="0.3">
      <c r="A2984" t="s">
        <v>8</v>
      </c>
      <c r="B2984">
        <v>2016210005</v>
      </c>
      <c r="C2984" t="s">
        <v>71</v>
      </c>
      <c r="E2984" t="s">
        <v>107</v>
      </c>
      <c r="F2984" t="s">
        <v>108</v>
      </c>
      <c r="G2984">
        <v>2</v>
      </c>
      <c r="H2984" t="s">
        <v>524</v>
      </c>
      <c r="I2984" s="4">
        <f t="shared" si="430"/>
        <v>2</v>
      </c>
      <c r="J2984">
        <f t="shared" si="431"/>
        <v>4</v>
      </c>
      <c r="K2984">
        <v>60</v>
      </c>
      <c r="L2984">
        <v>22</v>
      </c>
      <c r="M2984">
        <v>2.73</v>
      </c>
      <c r="N2984">
        <v>2.92</v>
      </c>
      <c r="O2984">
        <v>0</v>
      </c>
      <c r="P2984">
        <v>6</v>
      </c>
      <c r="Q2984" t="s">
        <v>567</v>
      </c>
      <c r="R2984" s="8" t="s">
        <v>260</v>
      </c>
      <c r="S2984" t="str">
        <f t="shared" si="429"/>
        <v>PA</v>
      </c>
    </row>
    <row r="2985" spans="1:19" x14ac:dyDescent="0.3">
      <c r="A2985" t="s">
        <v>8</v>
      </c>
      <c r="B2985">
        <v>2016210005</v>
      </c>
      <c r="C2985" t="s">
        <v>71</v>
      </c>
      <c r="E2985" t="s">
        <v>44</v>
      </c>
      <c r="F2985" t="s">
        <v>45</v>
      </c>
      <c r="G2985">
        <v>2</v>
      </c>
      <c r="H2985" t="s">
        <v>524</v>
      </c>
      <c r="I2985" s="4">
        <f t="shared" si="430"/>
        <v>2</v>
      </c>
      <c r="J2985">
        <f t="shared" si="431"/>
        <v>4</v>
      </c>
      <c r="K2985">
        <v>46</v>
      </c>
      <c r="L2985">
        <v>18</v>
      </c>
      <c r="M2985">
        <v>2.56</v>
      </c>
      <c r="N2985">
        <v>2.92</v>
      </c>
      <c r="O2985">
        <v>0</v>
      </c>
      <c r="P2985">
        <v>2</v>
      </c>
      <c r="Q2985" t="s">
        <v>559</v>
      </c>
      <c r="R2985" s="8" t="s">
        <v>260</v>
      </c>
      <c r="S2985" t="str">
        <f t="shared" si="429"/>
        <v>PA</v>
      </c>
    </row>
    <row r="2986" spans="1:19" x14ac:dyDescent="0.3">
      <c r="A2986" t="s">
        <v>8</v>
      </c>
      <c r="B2986">
        <v>2016210005</v>
      </c>
      <c r="C2986" t="s">
        <v>71</v>
      </c>
      <c r="E2986" t="s">
        <v>188</v>
      </c>
      <c r="F2986" t="s">
        <v>189</v>
      </c>
      <c r="G2986">
        <v>4</v>
      </c>
      <c r="H2986" t="s">
        <v>524</v>
      </c>
      <c r="I2986" s="4">
        <f t="shared" si="430"/>
        <v>2</v>
      </c>
      <c r="J2986">
        <f t="shared" si="431"/>
        <v>8</v>
      </c>
      <c r="K2986">
        <v>66</v>
      </c>
      <c r="L2986">
        <v>24</v>
      </c>
      <c r="M2986">
        <v>2.75</v>
      </c>
      <c r="N2986">
        <v>2.92</v>
      </c>
      <c r="O2986">
        <v>0</v>
      </c>
      <c r="P2986">
        <v>5</v>
      </c>
      <c r="Q2986" t="s">
        <v>566</v>
      </c>
      <c r="R2986" s="8" t="s">
        <v>260</v>
      </c>
      <c r="S2986" t="str">
        <f t="shared" si="429"/>
        <v>PA</v>
      </c>
    </row>
    <row r="2987" spans="1:19" x14ac:dyDescent="0.3">
      <c r="A2987" t="s">
        <v>8</v>
      </c>
      <c r="B2987">
        <v>2016210005</v>
      </c>
      <c r="C2987" t="s">
        <v>71</v>
      </c>
      <c r="E2987" t="s">
        <v>232</v>
      </c>
      <c r="F2987" t="s">
        <v>245</v>
      </c>
      <c r="G2987">
        <v>2</v>
      </c>
      <c r="H2987" t="s">
        <v>524</v>
      </c>
      <c r="I2987" s="4">
        <f t="shared" si="430"/>
        <v>2</v>
      </c>
      <c r="J2987">
        <f t="shared" si="431"/>
        <v>4</v>
      </c>
      <c r="K2987">
        <v>22</v>
      </c>
      <c r="L2987">
        <v>8</v>
      </c>
      <c r="M2987">
        <v>2.75</v>
      </c>
      <c r="N2987">
        <v>2.92</v>
      </c>
      <c r="O2987">
        <v>0</v>
      </c>
      <c r="P2987">
        <v>8</v>
      </c>
      <c r="Q2987" s="4" t="str">
        <f>IF(P2987=1,"2016/2017-Ganjil",IF(P2987=2,"2016/2017-Genap",IF(P2987=3,"2017/2018-Ganjil",IF(P2987=4,"2017/2018-Genap",IF(P2987=5,"2018/2019-Ganjil",IF(P2987=6,"2018/2019-Genap",IF(P2987=7,"2019/2020-Ganjil",IF(P2987=8,"2019/2020-Genap",IF(P2987=9,"2020/2021-Ganjil",IF(P2987=10,"2020/2021-Genap",IF(P2987=11,"2021/2022-Ganjil",IF(P2987=12,"2021/2022-Genap",IF(P2987=13,"2022/2023-Ganjil","2022/2023-Genap")))))))))))))</f>
        <v>2019/2020-Genap</v>
      </c>
      <c r="R2987" s="8" t="s">
        <v>260</v>
      </c>
      <c r="S2987" t="str">
        <f t="shared" si="429"/>
        <v>PA</v>
      </c>
    </row>
    <row r="2988" spans="1:19" x14ac:dyDescent="0.3">
      <c r="A2988" t="s">
        <v>8</v>
      </c>
      <c r="B2988">
        <v>2016210005</v>
      </c>
      <c r="C2988" t="s">
        <v>71</v>
      </c>
      <c r="E2988" t="s">
        <v>112</v>
      </c>
      <c r="F2988" t="s">
        <v>113</v>
      </c>
      <c r="G2988">
        <v>4</v>
      </c>
      <c r="H2988" t="s">
        <v>524</v>
      </c>
      <c r="I2988" s="4">
        <f t="shared" si="430"/>
        <v>2</v>
      </c>
      <c r="J2988">
        <f t="shared" si="431"/>
        <v>8</v>
      </c>
      <c r="K2988">
        <v>36</v>
      </c>
      <c r="L2988">
        <v>20</v>
      </c>
      <c r="M2988" s="2">
        <v>1.8</v>
      </c>
      <c r="N2988" t="s">
        <v>587</v>
      </c>
      <c r="O2988">
        <v>0</v>
      </c>
      <c r="P2988">
        <v>3</v>
      </c>
      <c r="Q2988" t="s">
        <v>563</v>
      </c>
      <c r="R2988" s="8" t="s">
        <v>260</v>
      </c>
      <c r="S2988" t="str">
        <f t="shared" si="429"/>
        <v>PA</v>
      </c>
    </row>
    <row r="2989" spans="1:19" x14ac:dyDescent="0.3">
      <c r="A2989" t="s">
        <v>8</v>
      </c>
      <c r="B2989">
        <v>2016210005</v>
      </c>
      <c r="C2989" t="s">
        <v>71</v>
      </c>
      <c r="E2989" t="s">
        <v>246</v>
      </c>
      <c r="F2989" t="s">
        <v>247</v>
      </c>
      <c r="G2989">
        <v>4</v>
      </c>
      <c r="H2989" t="s">
        <v>524</v>
      </c>
      <c r="I2989" s="4">
        <f t="shared" si="430"/>
        <v>2</v>
      </c>
      <c r="J2989">
        <f t="shared" si="431"/>
        <v>8</v>
      </c>
      <c r="K2989">
        <v>52</v>
      </c>
      <c r="L2989">
        <v>18</v>
      </c>
      <c r="M2989">
        <v>2.89</v>
      </c>
      <c r="N2989">
        <v>2.92</v>
      </c>
      <c r="O2989">
        <v>0</v>
      </c>
      <c r="P2989">
        <v>4</v>
      </c>
      <c r="Q2989" t="s">
        <v>565</v>
      </c>
      <c r="R2989" s="8" t="s">
        <v>260</v>
      </c>
      <c r="S2989" t="str">
        <f t="shared" si="429"/>
        <v>PA</v>
      </c>
    </row>
    <row r="2990" spans="1:19" x14ac:dyDescent="0.3">
      <c r="A2990" t="s">
        <v>8</v>
      </c>
      <c r="B2990">
        <v>2016210005</v>
      </c>
      <c r="C2990" t="s">
        <v>71</v>
      </c>
      <c r="E2990" t="s">
        <v>125</v>
      </c>
      <c r="F2990" t="s">
        <v>126</v>
      </c>
      <c r="G2990">
        <v>4</v>
      </c>
      <c r="H2990" t="s">
        <v>535</v>
      </c>
      <c r="I2990" s="4">
        <f t="shared" si="430"/>
        <v>1</v>
      </c>
      <c r="J2990">
        <f t="shared" si="431"/>
        <v>4</v>
      </c>
      <c r="K2990">
        <v>46</v>
      </c>
      <c r="L2990">
        <v>18</v>
      </c>
      <c r="M2990">
        <v>2.56</v>
      </c>
      <c r="N2990">
        <v>2.92</v>
      </c>
      <c r="O2990">
        <v>0</v>
      </c>
      <c r="P2990">
        <v>2</v>
      </c>
      <c r="Q2990" t="s">
        <v>559</v>
      </c>
      <c r="R2990" s="8" t="s">
        <v>260</v>
      </c>
      <c r="S2990" t="str">
        <f t="shared" si="429"/>
        <v>FA</v>
      </c>
    </row>
    <row r="2991" spans="1:19" x14ac:dyDescent="0.3">
      <c r="A2991" t="s">
        <v>8</v>
      </c>
      <c r="B2991">
        <v>2016210005</v>
      </c>
      <c r="C2991" t="s">
        <v>71</v>
      </c>
      <c r="E2991" t="s">
        <v>125</v>
      </c>
      <c r="F2991" t="s">
        <v>126</v>
      </c>
      <c r="G2991">
        <v>4</v>
      </c>
      <c r="H2991" t="s">
        <v>438</v>
      </c>
      <c r="I2991" s="4">
        <f t="shared" si="430"/>
        <v>3</v>
      </c>
      <c r="J2991">
        <f t="shared" si="431"/>
        <v>12</v>
      </c>
      <c r="K2991">
        <v>56</v>
      </c>
      <c r="L2991">
        <v>18</v>
      </c>
      <c r="M2991">
        <v>3.11</v>
      </c>
      <c r="N2991">
        <v>2.92</v>
      </c>
      <c r="O2991">
        <v>1</v>
      </c>
      <c r="P2991">
        <v>8</v>
      </c>
      <c r="Q2991" t="s">
        <v>571</v>
      </c>
      <c r="R2991" s="8" t="s">
        <v>260</v>
      </c>
      <c r="S2991" t="str">
        <f t="shared" si="429"/>
        <v>PA</v>
      </c>
    </row>
    <row r="2992" spans="1:19" x14ac:dyDescent="0.3">
      <c r="A2992" t="s">
        <v>8</v>
      </c>
      <c r="B2992">
        <v>2016210005</v>
      </c>
      <c r="C2992" t="s">
        <v>71</v>
      </c>
      <c r="E2992" t="s">
        <v>395</v>
      </c>
      <c r="F2992" t="s">
        <v>396</v>
      </c>
      <c r="G2992">
        <v>2</v>
      </c>
      <c r="H2992" t="s">
        <v>535</v>
      </c>
      <c r="I2992" s="4">
        <f t="shared" si="430"/>
        <v>1</v>
      </c>
      <c r="J2992">
        <f t="shared" si="431"/>
        <v>2</v>
      </c>
      <c r="K2992">
        <v>54</v>
      </c>
      <c r="L2992">
        <v>20</v>
      </c>
      <c r="M2992" s="2">
        <v>2.7</v>
      </c>
      <c r="N2992">
        <v>2.92</v>
      </c>
      <c r="O2992">
        <v>0</v>
      </c>
      <c r="P2992">
        <v>1</v>
      </c>
      <c r="Q2992" t="s">
        <v>558</v>
      </c>
      <c r="R2992" s="8" t="s">
        <v>260</v>
      </c>
      <c r="S2992" t="str">
        <f t="shared" si="429"/>
        <v>FA</v>
      </c>
    </row>
    <row r="2993" spans="1:19" x14ac:dyDescent="0.3">
      <c r="A2993" t="s">
        <v>8</v>
      </c>
      <c r="B2993">
        <v>2016210005</v>
      </c>
      <c r="C2993" t="s">
        <v>71</v>
      </c>
      <c r="E2993" t="s">
        <v>395</v>
      </c>
      <c r="F2993" t="s">
        <v>396</v>
      </c>
      <c r="G2993">
        <v>2</v>
      </c>
      <c r="H2993" t="s">
        <v>438</v>
      </c>
      <c r="I2993" s="4">
        <f t="shared" si="430"/>
        <v>3</v>
      </c>
      <c r="J2993">
        <f t="shared" si="431"/>
        <v>6</v>
      </c>
      <c r="K2993">
        <v>56</v>
      </c>
      <c r="L2993">
        <v>18</v>
      </c>
      <c r="M2993">
        <v>3.11</v>
      </c>
      <c r="N2993">
        <v>2.92</v>
      </c>
      <c r="O2993">
        <v>1</v>
      </c>
      <c r="P2993">
        <v>8</v>
      </c>
      <c r="Q2993" t="s">
        <v>571</v>
      </c>
      <c r="R2993" s="8" t="s">
        <v>260</v>
      </c>
      <c r="S2993" t="str">
        <f t="shared" si="429"/>
        <v>PA</v>
      </c>
    </row>
    <row r="2994" spans="1:19" x14ac:dyDescent="0.3">
      <c r="A2994" t="s">
        <v>8</v>
      </c>
      <c r="B2994">
        <v>2016210005</v>
      </c>
      <c r="C2994" t="s">
        <v>71</v>
      </c>
      <c r="E2994" t="s">
        <v>119</v>
      </c>
      <c r="F2994" t="s">
        <v>120</v>
      </c>
      <c r="G2994">
        <v>2</v>
      </c>
      <c r="H2994" t="s">
        <v>535</v>
      </c>
      <c r="I2994" s="4">
        <f t="shared" si="430"/>
        <v>1</v>
      </c>
      <c r="J2994">
        <f t="shared" si="431"/>
        <v>2</v>
      </c>
      <c r="K2994">
        <v>22</v>
      </c>
      <c r="L2994">
        <v>8</v>
      </c>
      <c r="M2994">
        <v>2.75</v>
      </c>
      <c r="N2994">
        <v>2.92</v>
      </c>
      <c r="O2994">
        <v>0</v>
      </c>
      <c r="P2994">
        <v>8</v>
      </c>
      <c r="Q2994" s="4" t="str">
        <f>IF(P2994=1,"2016/2017-Ganjil",IF(P2994=2,"2016/2017-Genap",IF(P2994=3,"2017/2018-Ganjil",IF(P2994=4,"2017/2018-Genap",IF(P2994=5,"2018/2019-Ganjil",IF(P2994=6,"2018/2019-Genap",IF(P2994=7,"2019/2020-Ganjil",IF(P2994=8,"2019/2020-Genap",IF(P2994=9,"2020/2021-Ganjil",IF(P2994=10,"2020/2021-Genap",IF(P2994=11,"2021/2022-Ganjil",IF(P2994=12,"2021/2022-Genap",IF(P2994=13,"2022/2023-Ganjil","2022/2023-Genap")))))))))))))</f>
        <v>2019/2020-Genap</v>
      </c>
      <c r="R2994" s="8" t="s">
        <v>260</v>
      </c>
      <c r="S2994" t="str">
        <f t="shared" si="429"/>
        <v>FA</v>
      </c>
    </row>
    <row r="2995" spans="1:19" x14ac:dyDescent="0.3">
      <c r="A2995" t="s">
        <v>8</v>
      </c>
      <c r="B2995">
        <v>2016210005</v>
      </c>
      <c r="C2995" t="s">
        <v>71</v>
      </c>
      <c r="E2995" t="s">
        <v>119</v>
      </c>
      <c r="F2995" t="s">
        <v>120</v>
      </c>
      <c r="G2995">
        <v>2</v>
      </c>
      <c r="H2995" t="s">
        <v>438</v>
      </c>
      <c r="I2995" s="4">
        <f t="shared" si="430"/>
        <v>3</v>
      </c>
      <c r="J2995">
        <f t="shared" si="431"/>
        <v>6</v>
      </c>
      <c r="K2995">
        <v>56</v>
      </c>
      <c r="L2995">
        <v>18</v>
      </c>
      <c r="M2995">
        <v>3.11</v>
      </c>
      <c r="N2995">
        <v>2.92</v>
      </c>
      <c r="O2995">
        <v>1</v>
      </c>
      <c r="P2995">
        <v>8</v>
      </c>
      <c r="Q2995" t="s">
        <v>571</v>
      </c>
      <c r="R2995" s="8" t="s">
        <v>260</v>
      </c>
      <c r="S2995" t="str">
        <f t="shared" si="429"/>
        <v>PA</v>
      </c>
    </row>
    <row r="2996" spans="1:19" x14ac:dyDescent="0.3">
      <c r="A2996" t="s">
        <v>8</v>
      </c>
      <c r="B2996">
        <v>2016210005</v>
      </c>
      <c r="C2996" t="s">
        <v>71</v>
      </c>
      <c r="E2996" t="s">
        <v>80</v>
      </c>
      <c r="F2996" t="s">
        <v>81</v>
      </c>
      <c r="G2996">
        <v>4</v>
      </c>
      <c r="H2996" t="s">
        <v>438</v>
      </c>
      <c r="I2996" s="4">
        <f t="shared" si="430"/>
        <v>3</v>
      </c>
      <c r="J2996">
        <f t="shared" si="431"/>
        <v>12</v>
      </c>
      <c r="K2996">
        <v>56</v>
      </c>
      <c r="L2996">
        <v>18</v>
      </c>
      <c r="M2996">
        <v>3.11</v>
      </c>
      <c r="N2996">
        <v>2.92</v>
      </c>
      <c r="O2996">
        <v>1</v>
      </c>
      <c r="P2996">
        <v>8</v>
      </c>
      <c r="Q2996" t="s">
        <v>571</v>
      </c>
      <c r="R2996" s="8" t="s">
        <v>260</v>
      </c>
      <c r="S2996" t="str">
        <f t="shared" si="429"/>
        <v>PA</v>
      </c>
    </row>
    <row r="2997" spans="1:19" x14ac:dyDescent="0.3">
      <c r="A2997" t="s">
        <v>8</v>
      </c>
      <c r="B2997">
        <v>2016210005</v>
      </c>
      <c r="C2997" t="s">
        <v>71</v>
      </c>
      <c r="E2997" t="s">
        <v>80</v>
      </c>
      <c r="F2997" t="s">
        <v>81</v>
      </c>
      <c r="G2997">
        <v>4</v>
      </c>
      <c r="H2997" t="s">
        <v>535</v>
      </c>
      <c r="I2997" s="4">
        <f t="shared" si="430"/>
        <v>1</v>
      </c>
      <c r="J2997">
        <f t="shared" si="431"/>
        <v>4</v>
      </c>
      <c r="K2997">
        <v>60</v>
      </c>
      <c r="L2997">
        <v>22</v>
      </c>
      <c r="M2997">
        <v>2.73</v>
      </c>
      <c r="N2997">
        <v>2.92</v>
      </c>
      <c r="O2997">
        <v>0</v>
      </c>
      <c r="P2997">
        <v>6</v>
      </c>
      <c r="Q2997" t="s">
        <v>567</v>
      </c>
      <c r="R2997" s="8" t="s">
        <v>260</v>
      </c>
      <c r="S2997" t="str">
        <f t="shared" si="429"/>
        <v>FA</v>
      </c>
    </row>
    <row r="2998" spans="1:19" x14ac:dyDescent="0.3">
      <c r="A2998" t="s">
        <v>8</v>
      </c>
      <c r="B2998">
        <v>2016210005</v>
      </c>
      <c r="C2998" t="s">
        <v>71</v>
      </c>
      <c r="E2998" t="s">
        <v>157</v>
      </c>
      <c r="F2998" t="s">
        <v>158</v>
      </c>
      <c r="G2998">
        <v>2</v>
      </c>
      <c r="H2998" t="s">
        <v>535</v>
      </c>
      <c r="I2998" s="4">
        <f t="shared" si="430"/>
        <v>1</v>
      </c>
      <c r="J2998">
        <f t="shared" si="431"/>
        <v>2</v>
      </c>
      <c r="K2998">
        <v>36</v>
      </c>
      <c r="L2998">
        <v>20</v>
      </c>
      <c r="M2998" s="2">
        <v>1.8</v>
      </c>
      <c r="N2998" t="s">
        <v>587</v>
      </c>
      <c r="O2998">
        <v>0</v>
      </c>
      <c r="P2998">
        <v>3</v>
      </c>
      <c r="Q2998" t="s">
        <v>563</v>
      </c>
      <c r="R2998" s="8" t="s">
        <v>260</v>
      </c>
      <c r="S2998" t="str">
        <f t="shared" si="429"/>
        <v>FA</v>
      </c>
    </row>
    <row r="2999" spans="1:19" x14ac:dyDescent="0.3">
      <c r="A2999" t="s">
        <v>8</v>
      </c>
      <c r="B2999">
        <v>2016210005</v>
      </c>
      <c r="C2999" t="s">
        <v>71</v>
      </c>
      <c r="E2999" t="s">
        <v>157</v>
      </c>
      <c r="F2999" t="s">
        <v>158</v>
      </c>
      <c r="G2999">
        <v>2</v>
      </c>
      <c r="H2999" t="s">
        <v>524</v>
      </c>
      <c r="I2999" s="4">
        <f t="shared" si="430"/>
        <v>2</v>
      </c>
      <c r="J2999">
        <f t="shared" si="431"/>
        <v>4</v>
      </c>
      <c r="K2999">
        <v>56</v>
      </c>
      <c r="L2999">
        <v>18</v>
      </c>
      <c r="M2999">
        <v>3.11</v>
      </c>
      <c r="N2999">
        <v>2.92</v>
      </c>
      <c r="O2999">
        <v>1</v>
      </c>
      <c r="P2999">
        <v>8</v>
      </c>
      <c r="Q2999" t="s">
        <v>571</v>
      </c>
      <c r="R2999" s="8" t="s">
        <v>260</v>
      </c>
      <c r="S2999" t="str">
        <f t="shared" si="429"/>
        <v>PA</v>
      </c>
    </row>
    <row r="3000" spans="1:19" x14ac:dyDescent="0.3">
      <c r="A3000" t="s">
        <v>8</v>
      </c>
      <c r="B3000">
        <v>2016210005</v>
      </c>
      <c r="C3000" t="s">
        <v>71</v>
      </c>
      <c r="E3000" t="s">
        <v>393</v>
      </c>
      <c r="F3000" t="s">
        <v>492</v>
      </c>
      <c r="G3000">
        <v>2</v>
      </c>
      <c r="H3000" t="s">
        <v>438</v>
      </c>
      <c r="I3000" s="4">
        <f t="shared" si="430"/>
        <v>3</v>
      </c>
      <c r="J3000">
        <f t="shared" si="431"/>
        <v>6</v>
      </c>
      <c r="K3000">
        <v>42</v>
      </c>
      <c r="L3000">
        <v>14</v>
      </c>
      <c r="M3000" s="2">
        <v>3</v>
      </c>
      <c r="N3000" t="s">
        <v>587</v>
      </c>
      <c r="O3000">
        <v>1</v>
      </c>
      <c r="P3000">
        <v>7</v>
      </c>
      <c r="Q3000" t="s">
        <v>568</v>
      </c>
      <c r="R3000" s="8" t="s">
        <v>260</v>
      </c>
      <c r="S3000" t="str">
        <f t="shared" si="429"/>
        <v>PA</v>
      </c>
    </row>
    <row r="3001" spans="1:19" x14ac:dyDescent="0.3">
      <c r="A3001" t="s">
        <v>8</v>
      </c>
      <c r="B3001">
        <v>2016210005</v>
      </c>
      <c r="C3001" t="s">
        <v>71</v>
      </c>
      <c r="E3001" t="s">
        <v>393</v>
      </c>
      <c r="F3001" t="s">
        <v>436</v>
      </c>
      <c r="G3001">
        <v>2</v>
      </c>
      <c r="H3001" t="s">
        <v>539</v>
      </c>
      <c r="I3001" s="4">
        <f t="shared" si="430"/>
        <v>0</v>
      </c>
      <c r="J3001">
        <f t="shared" si="431"/>
        <v>0</v>
      </c>
      <c r="K3001">
        <v>66</v>
      </c>
      <c r="L3001">
        <v>24</v>
      </c>
      <c r="M3001">
        <v>2.75</v>
      </c>
      <c r="N3001">
        <v>2.92</v>
      </c>
      <c r="O3001">
        <v>0</v>
      </c>
      <c r="P3001">
        <v>5</v>
      </c>
      <c r="Q3001" t="s">
        <v>566</v>
      </c>
      <c r="R3001" s="8" t="s">
        <v>260</v>
      </c>
      <c r="S3001" t="str">
        <f t="shared" si="429"/>
        <v>FA</v>
      </c>
    </row>
    <row r="3002" spans="1:19" x14ac:dyDescent="0.3">
      <c r="A3002" t="s">
        <v>8</v>
      </c>
      <c r="B3002">
        <v>2016210005</v>
      </c>
      <c r="C3002" t="s">
        <v>71</v>
      </c>
      <c r="E3002" t="s">
        <v>401</v>
      </c>
      <c r="F3002" t="s">
        <v>258</v>
      </c>
      <c r="G3002">
        <v>4</v>
      </c>
      <c r="H3002" t="s">
        <v>539</v>
      </c>
      <c r="I3002" s="4">
        <f t="shared" si="430"/>
        <v>0</v>
      </c>
      <c r="J3002">
        <f t="shared" si="431"/>
        <v>0</v>
      </c>
      <c r="K3002">
        <v>36</v>
      </c>
      <c r="L3002">
        <v>20</v>
      </c>
      <c r="M3002" s="2">
        <v>1.8</v>
      </c>
      <c r="N3002" t="s">
        <v>587</v>
      </c>
      <c r="O3002">
        <v>0</v>
      </c>
      <c r="P3002">
        <v>3</v>
      </c>
      <c r="Q3002" t="s">
        <v>563</v>
      </c>
      <c r="R3002" s="8" t="s">
        <v>260</v>
      </c>
      <c r="S3002" t="str">
        <f t="shared" si="429"/>
        <v>FA</v>
      </c>
    </row>
    <row r="3003" spans="1:19" x14ac:dyDescent="0.3">
      <c r="A3003" t="s">
        <v>8</v>
      </c>
      <c r="B3003">
        <v>2016210005</v>
      </c>
      <c r="C3003" t="s">
        <v>71</v>
      </c>
      <c r="E3003" t="s">
        <v>401</v>
      </c>
      <c r="F3003" t="s">
        <v>258</v>
      </c>
      <c r="G3003">
        <v>4</v>
      </c>
      <c r="H3003" t="s">
        <v>260</v>
      </c>
      <c r="I3003" s="4">
        <f t="shared" si="430"/>
        <v>4</v>
      </c>
      <c r="J3003">
        <f t="shared" si="431"/>
        <v>16</v>
      </c>
      <c r="K3003">
        <v>56</v>
      </c>
      <c r="L3003">
        <v>18</v>
      </c>
      <c r="M3003">
        <v>3.11</v>
      </c>
      <c r="N3003">
        <v>2.92</v>
      </c>
      <c r="O3003">
        <v>1</v>
      </c>
      <c r="P3003">
        <v>8</v>
      </c>
      <c r="Q3003" t="s">
        <v>571</v>
      </c>
      <c r="R3003" s="8" t="s">
        <v>260</v>
      </c>
      <c r="S3003" t="str">
        <f t="shared" si="429"/>
        <v>PA</v>
      </c>
    </row>
    <row r="3004" spans="1:19" x14ac:dyDescent="0.3">
      <c r="A3004" t="s">
        <v>8</v>
      </c>
      <c r="B3004">
        <v>2016210006</v>
      </c>
      <c r="C3004" t="s">
        <v>61</v>
      </c>
      <c r="E3004" t="s">
        <v>17</v>
      </c>
      <c r="F3004" t="s">
        <v>11</v>
      </c>
      <c r="G3004">
        <v>2</v>
      </c>
      <c r="H3004" t="s">
        <v>438</v>
      </c>
      <c r="I3004" s="4">
        <f t="shared" si="430"/>
        <v>3</v>
      </c>
      <c r="J3004">
        <f t="shared" si="431"/>
        <v>6</v>
      </c>
      <c r="K3004">
        <v>6</v>
      </c>
      <c r="L3004">
        <v>2</v>
      </c>
      <c r="M3004" s="2">
        <v>3</v>
      </c>
      <c r="N3004" s="2">
        <v>3.1</v>
      </c>
      <c r="O3004">
        <v>2</v>
      </c>
      <c r="P3004">
        <v>9</v>
      </c>
      <c r="Q3004" t="s">
        <v>570</v>
      </c>
      <c r="R3004" s="8" t="s">
        <v>260</v>
      </c>
      <c r="S3004" t="str">
        <f t="shared" si="429"/>
        <v>PA</v>
      </c>
    </row>
    <row r="3005" spans="1:19" x14ac:dyDescent="0.3">
      <c r="A3005" t="s">
        <v>8</v>
      </c>
      <c r="B3005">
        <v>2016210006</v>
      </c>
      <c r="C3005" t="s">
        <v>61</v>
      </c>
      <c r="E3005" t="s">
        <v>10</v>
      </c>
      <c r="F3005" t="s">
        <v>11</v>
      </c>
      <c r="G3005">
        <v>2</v>
      </c>
      <c r="I3005" s="4"/>
      <c r="J3005">
        <f t="shared" ref="J3005:J3013" si="432">G3005*I3005</f>
        <v>0</v>
      </c>
      <c r="K3005">
        <v>24</v>
      </c>
      <c r="L3005">
        <v>8</v>
      </c>
      <c r="M3005" s="2">
        <v>3</v>
      </c>
      <c r="N3005" s="2">
        <v>3.1</v>
      </c>
      <c r="O3005">
        <v>1</v>
      </c>
      <c r="P3005">
        <v>8</v>
      </c>
      <c r="Q3005" t="s">
        <v>569</v>
      </c>
      <c r="R3005" s="8" t="s">
        <v>260</v>
      </c>
      <c r="S3005" t="s">
        <v>595</v>
      </c>
    </row>
    <row r="3006" spans="1:19" x14ac:dyDescent="0.3">
      <c r="A3006" t="s">
        <v>8</v>
      </c>
      <c r="B3006">
        <v>2016210006</v>
      </c>
      <c r="C3006" t="s">
        <v>61</v>
      </c>
      <c r="E3006" t="s">
        <v>10</v>
      </c>
      <c r="F3006" t="s">
        <v>11</v>
      </c>
      <c r="G3006">
        <v>2</v>
      </c>
      <c r="I3006" s="4"/>
      <c r="J3006">
        <f t="shared" si="432"/>
        <v>0</v>
      </c>
      <c r="K3006">
        <v>34</v>
      </c>
      <c r="L3006">
        <v>12</v>
      </c>
      <c r="M3006" s="2">
        <v>2.83</v>
      </c>
      <c r="N3006" s="2">
        <v>3.1</v>
      </c>
      <c r="O3006">
        <v>0</v>
      </c>
      <c r="P3006">
        <v>7</v>
      </c>
      <c r="Q3006" t="s">
        <v>568</v>
      </c>
      <c r="R3006" s="8" t="s">
        <v>260</v>
      </c>
      <c r="S3006" t="s">
        <v>595</v>
      </c>
    </row>
    <row r="3007" spans="1:19" x14ac:dyDescent="0.3">
      <c r="A3007" t="s">
        <v>8</v>
      </c>
      <c r="B3007">
        <v>2016210006</v>
      </c>
      <c r="C3007" t="s">
        <v>61</v>
      </c>
      <c r="E3007" t="s">
        <v>80</v>
      </c>
      <c r="F3007" t="s">
        <v>81</v>
      </c>
      <c r="G3007">
        <v>4</v>
      </c>
      <c r="I3007" s="4"/>
      <c r="J3007">
        <f t="shared" si="432"/>
        <v>0</v>
      </c>
      <c r="K3007">
        <v>24</v>
      </c>
      <c r="L3007">
        <v>8</v>
      </c>
      <c r="M3007" s="2">
        <v>3</v>
      </c>
      <c r="N3007" s="2">
        <v>3.1</v>
      </c>
      <c r="O3007">
        <v>0</v>
      </c>
      <c r="P3007">
        <v>8</v>
      </c>
      <c r="Q3007" t="s">
        <v>569</v>
      </c>
      <c r="R3007" s="8" t="s">
        <v>260</v>
      </c>
      <c r="S3007" t="s">
        <v>595</v>
      </c>
    </row>
    <row r="3008" spans="1:19" x14ac:dyDescent="0.3">
      <c r="A3008" t="s">
        <v>8</v>
      </c>
      <c r="B3008">
        <v>2016210006</v>
      </c>
      <c r="C3008" t="s">
        <v>61</v>
      </c>
      <c r="E3008" t="s">
        <v>80</v>
      </c>
      <c r="F3008" t="s">
        <v>81</v>
      </c>
      <c r="G3008">
        <v>4</v>
      </c>
      <c r="I3008" s="4"/>
      <c r="J3008">
        <f t="shared" ref="J3008:J3010" si="433">G3008*I3008</f>
        <v>0</v>
      </c>
      <c r="K3008">
        <v>54</v>
      </c>
      <c r="L3008">
        <v>16</v>
      </c>
      <c r="M3008" s="2">
        <v>3.38</v>
      </c>
      <c r="N3008" s="2">
        <v>3.1</v>
      </c>
      <c r="O3008">
        <v>0</v>
      </c>
      <c r="P3008">
        <v>6</v>
      </c>
      <c r="Q3008" t="s">
        <v>567</v>
      </c>
      <c r="R3008" s="8" t="s">
        <v>260</v>
      </c>
      <c r="S3008" t="s">
        <v>595</v>
      </c>
    </row>
    <row r="3009" spans="1:19" x14ac:dyDescent="0.3">
      <c r="A3009" t="s">
        <v>8</v>
      </c>
      <c r="B3009">
        <v>2016210006</v>
      </c>
      <c r="C3009" t="s">
        <v>61</v>
      </c>
      <c r="E3009" t="s">
        <v>80</v>
      </c>
      <c r="F3009" t="s">
        <v>81</v>
      </c>
      <c r="G3009">
        <v>4</v>
      </c>
      <c r="H3009" t="s">
        <v>539</v>
      </c>
      <c r="I3009" s="4">
        <f t="shared" ref="I3009" si="434">IF(H3009="A",4,IF(H3009="B",3,IF(H3009="C",2,IF(H3009="D",1,0))))</f>
        <v>0</v>
      </c>
      <c r="J3009">
        <f t="shared" ref="J3009" si="435">G3009*I3009</f>
        <v>0</v>
      </c>
      <c r="K3009">
        <v>0</v>
      </c>
      <c r="L3009">
        <v>6</v>
      </c>
      <c r="M3009" s="2">
        <v>0</v>
      </c>
      <c r="N3009" s="2">
        <v>3.1</v>
      </c>
      <c r="O3009">
        <v>0</v>
      </c>
      <c r="P3009">
        <v>10</v>
      </c>
      <c r="Q3009" s="4" t="str">
        <f>IF(P3009=1,"2016/2017-Ganjil",IF(P3009=2,"2016/2017-Genap",IF(P3009=3,"2017/2018-Ganjil",IF(P3009=4,"2017/2018-Genap",IF(P3009=5,"2018/2019-Ganjil",IF(P3009=6,"2018/2019-Genap",IF(P3009=7,"2019/2020-Ganjil",IF(P3009=8,"2019/2020-Genap",IF(P3009=9,"2020/2021-Ganjil",IF(P3009=10,"2020/2021-Genap",IF(P3009=11,"2021/2022-Ganjil",IF(P3009=12,"2021/2022-Genap",IF(P3009=13,"2022/2023-Ganjil","2022/2023-Genap")))))))))))))</f>
        <v>2020/2021-Genap</v>
      </c>
      <c r="R3009" s="8" t="s">
        <v>260</v>
      </c>
      <c r="S3009" t="str">
        <f t="shared" ref="S3009:S3011" si="436">IF(OR(H3009="A",H3009="B",H3009="C"),"PA","FA")</f>
        <v>FA</v>
      </c>
    </row>
    <row r="3010" spans="1:19" x14ac:dyDescent="0.3">
      <c r="A3010" t="s">
        <v>8</v>
      </c>
      <c r="B3010">
        <v>2016210006</v>
      </c>
      <c r="C3010" t="s">
        <v>61</v>
      </c>
      <c r="E3010" t="s">
        <v>80</v>
      </c>
      <c r="F3010" t="s">
        <v>81</v>
      </c>
      <c r="G3010">
        <v>4</v>
      </c>
      <c r="H3010" t="s">
        <v>260</v>
      </c>
      <c r="I3010" s="4">
        <f t="shared" ref="I3010" si="437">IF(H3010="A",4,IF(H3010="B",3,IF(H3010="C",2,IF(H3010="D",1,0))))</f>
        <v>4</v>
      </c>
      <c r="J3010">
        <f t="shared" si="433"/>
        <v>16</v>
      </c>
      <c r="K3010">
        <v>80</v>
      </c>
      <c r="L3010">
        <v>24</v>
      </c>
      <c r="M3010" s="2">
        <v>3.33</v>
      </c>
      <c r="N3010" s="2">
        <v>3.1</v>
      </c>
      <c r="O3010">
        <v>0</v>
      </c>
      <c r="P3010">
        <v>10</v>
      </c>
      <c r="Q3010" t="s">
        <v>578</v>
      </c>
      <c r="R3010" s="8" t="s">
        <v>260</v>
      </c>
      <c r="S3010" t="str">
        <f t="shared" si="436"/>
        <v>PA</v>
      </c>
    </row>
    <row r="3011" spans="1:19" x14ac:dyDescent="0.3">
      <c r="A3011" t="s">
        <v>8</v>
      </c>
      <c r="B3011">
        <v>2016210006</v>
      </c>
      <c r="C3011" t="s">
        <v>61</v>
      </c>
      <c r="E3011" t="s">
        <v>222</v>
      </c>
      <c r="F3011" t="s">
        <v>223</v>
      </c>
      <c r="G3011">
        <v>2</v>
      </c>
      <c r="H3011" t="s">
        <v>539</v>
      </c>
      <c r="I3011" s="4">
        <f t="shared" ref="I3011:I3013" si="438">IF(H3011="A",4,IF(H3011="B",3,IF(H3011="C",2,IF(H3011="D",1,0))))</f>
        <v>0</v>
      </c>
      <c r="J3011">
        <f t="shared" si="432"/>
        <v>0</v>
      </c>
      <c r="K3011">
        <v>24</v>
      </c>
      <c r="L3011">
        <v>8</v>
      </c>
      <c r="M3011" s="2">
        <v>3</v>
      </c>
      <c r="N3011" s="2">
        <v>3.1</v>
      </c>
      <c r="O3011">
        <v>1</v>
      </c>
      <c r="P3011">
        <v>8</v>
      </c>
      <c r="Q3011" t="s">
        <v>569</v>
      </c>
      <c r="R3011" s="8" t="s">
        <v>260</v>
      </c>
      <c r="S3011" t="str">
        <f t="shared" si="436"/>
        <v>FA</v>
      </c>
    </row>
    <row r="3012" spans="1:19" x14ac:dyDescent="0.3">
      <c r="A3012" t="s">
        <v>8</v>
      </c>
      <c r="B3012">
        <v>2016210006</v>
      </c>
      <c r="C3012" t="s">
        <v>61</v>
      </c>
      <c r="E3012" t="s">
        <v>222</v>
      </c>
      <c r="F3012" t="s">
        <v>223</v>
      </c>
      <c r="G3012">
        <v>2</v>
      </c>
      <c r="I3012" s="4"/>
      <c r="J3012">
        <f t="shared" ref="J3012" si="439">G3012*I3012</f>
        <v>0</v>
      </c>
      <c r="K3012">
        <v>54</v>
      </c>
      <c r="L3012">
        <v>16</v>
      </c>
      <c r="M3012" s="2">
        <v>3.38</v>
      </c>
      <c r="N3012" s="2">
        <v>3.1</v>
      </c>
      <c r="O3012">
        <v>0</v>
      </c>
      <c r="P3012">
        <v>6</v>
      </c>
      <c r="Q3012" t="s">
        <v>567</v>
      </c>
      <c r="R3012" s="8" t="s">
        <v>260</v>
      </c>
      <c r="S3012" t="s">
        <v>595</v>
      </c>
    </row>
    <row r="3013" spans="1:19" x14ac:dyDescent="0.3">
      <c r="A3013" t="s">
        <v>8</v>
      </c>
      <c r="B3013">
        <v>2016210006</v>
      </c>
      <c r="C3013" t="s">
        <v>61</v>
      </c>
      <c r="E3013" t="s">
        <v>222</v>
      </c>
      <c r="F3013" t="s">
        <v>223</v>
      </c>
      <c r="G3013">
        <v>2</v>
      </c>
      <c r="H3013" t="s">
        <v>438</v>
      </c>
      <c r="I3013" s="4">
        <f t="shared" si="438"/>
        <v>3</v>
      </c>
      <c r="J3013">
        <f t="shared" si="432"/>
        <v>6</v>
      </c>
      <c r="K3013">
        <v>80</v>
      </c>
      <c r="L3013">
        <v>24</v>
      </c>
      <c r="M3013" s="2">
        <v>3.33</v>
      </c>
      <c r="N3013" s="2">
        <v>3.1</v>
      </c>
      <c r="O3013">
        <v>2</v>
      </c>
      <c r="P3013">
        <v>10</v>
      </c>
      <c r="Q3013" t="s">
        <v>578</v>
      </c>
      <c r="R3013" s="8" t="s">
        <v>260</v>
      </c>
      <c r="S3013" t="str">
        <f t="shared" ref="S3013:S3067" si="440">IF(OR(H3013="A",H3013="B",H3013="C"),"PA","FA")</f>
        <v>PA</v>
      </c>
    </row>
    <row r="3014" spans="1:19" x14ac:dyDescent="0.3">
      <c r="A3014" t="s">
        <v>8</v>
      </c>
      <c r="B3014">
        <v>2016210006</v>
      </c>
      <c r="C3014" t="s">
        <v>61</v>
      </c>
      <c r="E3014" t="s">
        <v>147</v>
      </c>
      <c r="F3014" t="s">
        <v>148</v>
      </c>
      <c r="G3014">
        <v>4</v>
      </c>
      <c r="H3014" t="s">
        <v>260</v>
      </c>
      <c r="I3014" s="4">
        <f t="shared" ref="I3014:I3061" si="441">IF(H3014="A",4,IF(H3014="B",3,IF(H3014="C",2,IF(H3014="D",1,0))))</f>
        <v>4</v>
      </c>
      <c r="J3014">
        <f t="shared" ref="J3014:J3061" si="442">G3014*I3014</f>
        <v>16</v>
      </c>
      <c r="K3014">
        <v>70</v>
      </c>
      <c r="L3014">
        <v>20</v>
      </c>
      <c r="M3014" s="2">
        <v>3.5</v>
      </c>
      <c r="N3014" s="2">
        <v>3.1</v>
      </c>
      <c r="O3014">
        <v>0</v>
      </c>
      <c r="P3014">
        <v>1</v>
      </c>
      <c r="Q3014" t="s">
        <v>558</v>
      </c>
      <c r="R3014" s="8" t="s">
        <v>260</v>
      </c>
      <c r="S3014" t="str">
        <f t="shared" si="440"/>
        <v>PA</v>
      </c>
    </row>
    <row r="3015" spans="1:19" x14ac:dyDescent="0.3">
      <c r="A3015" t="s">
        <v>8</v>
      </c>
      <c r="B3015">
        <v>2016210006</v>
      </c>
      <c r="C3015" t="s">
        <v>61</v>
      </c>
      <c r="E3015" t="s">
        <v>180</v>
      </c>
      <c r="F3015" t="s">
        <v>181</v>
      </c>
      <c r="G3015">
        <v>4</v>
      </c>
      <c r="H3015" t="s">
        <v>260</v>
      </c>
      <c r="I3015" s="4">
        <f t="shared" si="441"/>
        <v>4</v>
      </c>
      <c r="J3015">
        <f t="shared" si="442"/>
        <v>16</v>
      </c>
      <c r="K3015">
        <v>24</v>
      </c>
      <c r="L3015">
        <v>8</v>
      </c>
      <c r="M3015" s="2">
        <v>3</v>
      </c>
      <c r="N3015" s="2">
        <v>3.1</v>
      </c>
      <c r="O3015">
        <v>0</v>
      </c>
      <c r="P3015">
        <v>8</v>
      </c>
      <c r="Q3015" t="s">
        <v>569</v>
      </c>
      <c r="R3015" s="8" t="s">
        <v>260</v>
      </c>
      <c r="S3015" t="str">
        <f t="shared" si="440"/>
        <v>PA</v>
      </c>
    </row>
    <row r="3016" spans="1:19" x14ac:dyDescent="0.3">
      <c r="A3016" t="s">
        <v>8</v>
      </c>
      <c r="B3016">
        <v>2016210006</v>
      </c>
      <c r="C3016" t="s">
        <v>61</v>
      </c>
      <c r="E3016" t="s">
        <v>115</v>
      </c>
      <c r="F3016" t="s">
        <v>116</v>
      </c>
      <c r="G3016">
        <v>4</v>
      </c>
      <c r="H3016" t="s">
        <v>260</v>
      </c>
      <c r="I3016" s="4">
        <f t="shared" si="441"/>
        <v>4</v>
      </c>
      <c r="J3016">
        <f t="shared" si="442"/>
        <v>16</v>
      </c>
      <c r="K3016">
        <v>48</v>
      </c>
      <c r="L3016">
        <v>18</v>
      </c>
      <c r="M3016" s="2">
        <v>2.67</v>
      </c>
      <c r="N3016" s="2">
        <v>3.1</v>
      </c>
      <c r="O3016">
        <v>0</v>
      </c>
      <c r="P3016">
        <v>2</v>
      </c>
      <c r="Q3016" t="s">
        <v>559</v>
      </c>
      <c r="R3016" s="8" t="s">
        <v>260</v>
      </c>
      <c r="S3016" t="str">
        <f t="shared" si="440"/>
        <v>PA</v>
      </c>
    </row>
    <row r="3017" spans="1:19" x14ac:dyDescent="0.3">
      <c r="A3017" t="s">
        <v>8</v>
      </c>
      <c r="B3017">
        <v>2016210006</v>
      </c>
      <c r="C3017" t="s">
        <v>61</v>
      </c>
      <c r="E3017" t="s">
        <v>597</v>
      </c>
      <c r="F3017" t="s">
        <v>275</v>
      </c>
      <c r="G3017">
        <v>2</v>
      </c>
      <c r="H3017" t="s">
        <v>260</v>
      </c>
      <c r="I3017" s="4">
        <f t="shared" si="441"/>
        <v>4</v>
      </c>
      <c r="J3017">
        <f t="shared" si="442"/>
        <v>8</v>
      </c>
      <c r="K3017">
        <v>54</v>
      </c>
      <c r="L3017">
        <v>16</v>
      </c>
      <c r="M3017" s="2">
        <v>3.38</v>
      </c>
      <c r="N3017" s="2">
        <v>3.1</v>
      </c>
      <c r="O3017">
        <v>0</v>
      </c>
      <c r="P3017">
        <v>6</v>
      </c>
      <c r="Q3017" t="s">
        <v>567</v>
      </c>
      <c r="R3017" s="8" t="s">
        <v>260</v>
      </c>
      <c r="S3017" t="str">
        <f t="shared" si="440"/>
        <v>PA</v>
      </c>
    </row>
    <row r="3018" spans="1:19" x14ac:dyDescent="0.3">
      <c r="A3018" t="s">
        <v>8</v>
      </c>
      <c r="B3018">
        <v>2016210006</v>
      </c>
      <c r="C3018" t="s">
        <v>61</v>
      </c>
      <c r="E3018" t="s">
        <v>266</v>
      </c>
      <c r="F3018" t="s">
        <v>91</v>
      </c>
      <c r="G3018">
        <v>2</v>
      </c>
      <c r="H3018" t="s">
        <v>260</v>
      </c>
      <c r="I3018" s="4">
        <f t="shared" si="441"/>
        <v>4</v>
      </c>
      <c r="J3018">
        <f t="shared" si="442"/>
        <v>8</v>
      </c>
      <c r="K3018">
        <v>48</v>
      </c>
      <c r="L3018">
        <v>18</v>
      </c>
      <c r="M3018" s="2">
        <v>2.67</v>
      </c>
      <c r="N3018" s="2">
        <v>3.1</v>
      </c>
      <c r="O3018">
        <v>0</v>
      </c>
      <c r="P3018">
        <v>2</v>
      </c>
      <c r="Q3018" t="s">
        <v>559</v>
      </c>
      <c r="R3018" s="8" t="s">
        <v>260</v>
      </c>
      <c r="S3018" t="str">
        <f t="shared" si="440"/>
        <v>PA</v>
      </c>
    </row>
    <row r="3019" spans="1:19" x14ac:dyDescent="0.3">
      <c r="A3019" t="s">
        <v>8</v>
      </c>
      <c r="B3019">
        <v>2016210006</v>
      </c>
      <c r="C3019" t="s">
        <v>61</v>
      </c>
      <c r="E3019" t="s">
        <v>163</v>
      </c>
      <c r="F3019" t="s">
        <v>164</v>
      </c>
      <c r="G3019">
        <v>2</v>
      </c>
      <c r="H3019" t="s">
        <v>260</v>
      </c>
      <c r="I3019" s="4">
        <f t="shared" si="441"/>
        <v>4</v>
      </c>
      <c r="J3019">
        <f t="shared" si="442"/>
        <v>8</v>
      </c>
      <c r="K3019">
        <v>70</v>
      </c>
      <c r="L3019">
        <v>20</v>
      </c>
      <c r="M3019" s="2">
        <v>3.5</v>
      </c>
      <c r="N3019" s="2">
        <v>3.1</v>
      </c>
      <c r="O3019">
        <v>0</v>
      </c>
      <c r="P3019">
        <v>1</v>
      </c>
      <c r="Q3019" t="s">
        <v>558</v>
      </c>
      <c r="R3019" s="8" t="s">
        <v>260</v>
      </c>
      <c r="S3019" t="str">
        <f t="shared" si="440"/>
        <v>PA</v>
      </c>
    </row>
    <row r="3020" spans="1:19" x14ac:dyDescent="0.3">
      <c r="A3020" t="s">
        <v>8</v>
      </c>
      <c r="B3020">
        <v>2016210006</v>
      </c>
      <c r="C3020" t="s">
        <v>61</v>
      </c>
      <c r="E3020" t="s">
        <v>131</v>
      </c>
      <c r="F3020" t="s">
        <v>132</v>
      </c>
      <c r="G3020">
        <v>2</v>
      </c>
      <c r="H3020" t="s">
        <v>260</v>
      </c>
      <c r="I3020" s="4">
        <f t="shared" si="441"/>
        <v>4</v>
      </c>
      <c r="J3020">
        <f t="shared" si="442"/>
        <v>8</v>
      </c>
      <c r="K3020">
        <v>70</v>
      </c>
      <c r="L3020">
        <v>20</v>
      </c>
      <c r="M3020" s="2">
        <v>3.5</v>
      </c>
      <c r="N3020" s="2">
        <v>3.1</v>
      </c>
      <c r="O3020">
        <v>0</v>
      </c>
      <c r="P3020">
        <v>1</v>
      </c>
      <c r="Q3020" t="s">
        <v>558</v>
      </c>
      <c r="R3020" s="8" t="s">
        <v>260</v>
      </c>
      <c r="S3020" t="str">
        <f t="shared" si="440"/>
        <v>PA</v>
      </c>
    </row>
    <row r="3021" spans="1:19" x14ac:dyDescent="0.3">
      <c r="A3021" t="s">
        <v>8</v>
      </c>
      <c r="B3021">
        <v>2016210006</v>
      </c>
      <c r="C3021" t="s">
        <v>61</v>
      </c>
      <c r="E3021" t="s">
        <v>107</v>
      </c>
      <c r="F3021" t="s">
        <v>108</v>
      </c>
      <c r="G3021">
        <v>2</v>
      </c>
      <c r="H3021" t="s">
        <v>260</v>
      </c>
      <c r="I3021" s="4">
        <f t="shared" si="441"/>
        <v>4</v>
      </c>
      <c r="J3021">
        <f t="shared" si="442"/>
        <v>8</v>
      </c>
      <c r="K3021">
        <v>24</v>
      </c>
      <c r="L3021">
        <v>8</v>
      </c>
      <c r="M3021" s="2">
        <v>3</v>
      </c>
      <c r="N3021" s="2">
        <v>3.1</v>
      </c>
      <c r="O3021">
        <v>0</v>
      </c>
      <c r="P3021">
        <v>8</v>
      </c>
      <c r="Q3021" t="s">
        <v>569</v>
      </c>
      <c r="R3021" s="8" t="s">
        <v>260</v>
      </c>
      <c r="S3021" t="str">
        <f t="shared" si="440"/>
        <v>PA</v>
      </c>
    </row>
    <row r="3022" spans="1:19" x14ac:dyDescent="0.3">
      <c r="A3022" t="s">
        <v>8</v>
      </c>
      <c r="B3022">
        <v>2016210006</v>
      </c>
      <c r="C3022" t="s">
        <v>61</v>
      </c>
      <c r="E3022" t="s">
        <v>352</v>
      </c>
      <c r="F3022" t="s">
        <v>353</v>
      </c>
      <c r="G3022">
        <v>2</v>
      </c>
      <c r="H3022" t="s">
        <v>260</v>
      </c>
      <c r="I3022" s="4">
        <f t="shared" si="441"/>
        <v>4</v>
      </c>
      <c r="J3022">
        <f t="shared" si="442"/>
        <v>8</v>
      </c>
      <c r="K3022">
        <v>58</v>
      </c>
      <c r="L3022">
        <v>20</v>
      </c>
      <c r="M3022" s="2">
        <v>2.9</v>
      </c>
      <c r="N3022">
        <v>3.1</v>
      </c>
      <c r="O3022">
        <v>0</v>
      </c>
      <c r="P3022">
        <v>5</v>
      </c>
      <c r="Q3022" t="s">
        <v>566</v>
      </c>
      <c r="R3022" s="8" t="s">
        <v>260</v>
      </c>
      <c r="S3022" t="str">
        <f t="shared" si="440"/>
        <v>PA</v>
      </c>
    </row>
    <row r="3023" spans="1:19" x14ac:dyDescent="0.3">
      <c r="A3023" t="s">
        <v>8</v>
      </c>
      <c r="B3023">
        <v>2016210006</v>
      </c>
      <c r="C3023" t="s">
        <v>61</v>
      </c>
      <c r="E3023" t="s">
        <v>238</v>
      </c>
      <c r="F3023" t="s">
        <v>239</v>
      </c>
      <c r="G3023">
        <v>4</v>
      </c>
      <c r="H3023" t="s">
        <v>260</v>
      </c>
      <c r="I3023" s="4">
        <f t="shared" si="441"/>
        <v>4</v>
      </c>
      <c r="J3023">
        <f t="shared" si="442"/>
        <v>16</v>
      </c>
      <c r="K3023">
        <v>54</v>
      </c>
      <c r="L3023">
        <v>16</v>
      </c>
      <c r="M3023" s="2">
        <v>3.38</v>
      </c>
      <c r="N3023" s="2">
        <v>3.1</v>
      </c>
      <c r="O3023">
        <v>0</v>
      </c>
      <c r="P3023">
        <v>6</v>
      </c>
      <c r="Q3023" t="s">
        <v>567</v>
      </c>
      <c r="R3023" s="8" t="s">
        <v>260</v>
      </c>
      <c r="S3023" t="str">
        <f t="shared" si="440"/>
        <v>PA</v>
      </c>
    </row>
    <row r="3024" spans="1:19" x14ac:dyDescent="0.3">
      <c r="A3024" t="s">
        <v>8</v>
      </c>
      <c r="B3024">
        <v>2016210006</v>
      </c>
      <c r="C3024" t="s">
        <v>61</v>
      </c>
      <c r="E3024" t="s">
        <v>242</v>
      </c>
      <c r="F3024" t="s">
        <v>166</v>
      </c>
      <c r="G3024">
        <v>2</v>
      </c>
      <c r="H3024" t="s">
        <v>260</v>
      </c>
      <c r="I3024" s="4">
        <f t="shared" si="441"/>
        <v>4</v>
      </c>
      <c r="J3024">
        <f t="shared" si="442"/>
        <v>8</v>
      </c>
      <c r="K3024">
        <v>40</v>
      </c>
      <c r="L3024">
        <v>18</v>
      </c>
      <c r="M3024" s="2">
        <v>2.2200000000000002</v>
      </c>
      <c r="N3024">
        <v>3.1</v>
      </c>
      <c r="O3024">
        <v>0</v>
      </c>
      <c r="P3024">
        <v>4</v>
      </c>
      <c r="Q3024" t="s">
        <v>565</v>
      </c>
      <c r="R3024" s="8" t="s">
        <v>260</v>
      </c>
      <c r="S3024" t="str">
        <f t="shared" si="440"/>
        <v>PA</v>
      </c>
    </row>
    <row r="3025" spans="1:19" x14ac:dyDescent="0.3">
      <c r="A3025" t="s">
        <v>8</v>
      </c>
      <c r="B3025">
        <v>2016210006</v>
      </c>
      <c r="C3025" t="s">
        <v>61</v>
      </c>
      <c r="E3025" t="s">
        <v>77</v>
      </c>
      <c r="F3025" t="s">
        <v>78</v>
      </c>
      <c r="G3025">
        <v>2</v>
      </c>
      <c r="H3025" t="s">
        <v>260</v>
      </c>
      <c r="I3025" s="4">
        <f t="shared" si="441"/>
        <v>4</v>
      </c>
      <c r="J3025">
        <f t="shared" si="442"/>
        <v>8</v>
      </c>
      <c r="K3025">
        <v>70</v>
      </c>
      <c r="L3025">
        <v>20</v>
      </c>
      <c r="M3025" s="2">
        <v>3.5</v>
      </c>
      <c r="N3025" s="2">
        <v>3.1</v>
      </c>
      <c r="O3025">
        <v>0</v>
      </c>
      <c r="P3025">
        <v>1</v>
      </c>
      <c r="Q3025" t="s">
        <v>558</v>
      </c>
      <c r="R3025" s="8" t="s">
        <v>260</v>
      </c>
      <c r="S3025" t="str">
        <f t="shared" si="440"/>
        <v>PA</v>
      </c>
    </row>
    <row r="3026" spans="1:19" x14ac:dyDescent="0.3">
      <c r="A3026" t="s">
        <v>8</v>
      </c>
      <c r="B3026">
        <v>2016210006</v>
      </c>
      <c r="C3026" t="s">
        <v>61</v>
      </c>
      <c r="E3026" t="s">
        <v>362</v>
      </c>
      <c r="F3026" t="s">
        <v>363</v>
      </c>
      <c r="G3026">
        <v>2</v>
      </c>
      <c r="H3026" t="s">
        <v>260</v>
      </c>
      <c r="I3026" s="4">
        <f t="shared" si="441"/>
        <v>4</v>
      </c>
      <c r="J3026">
        <f t="shared" si="442"/>
        <v>8</v>
      </c>
      <c r="K3026">
        <v>58</v>
      </c>
      <c r="L3026">
        <v>20</v>
      </c>
      <c r="M3026" s="2">
        <v>2.9</v>
      </c>
      <c r="N3026">
        <v>3.1</v>
      </c>
      <c r="O3026">
        <v>0</v>
      </c>
      <c r="P3026">
        <v>5</v>
      </c>
      <c r="Q3026" t="s">
        <v>566</v>
      </c>
      <c r="R3026" s="8" t="s">
        <v>260</v>
      </c>
      <c r="S3026" t="str">
        <f t="shared" si="440"/>
        <v>PA</v>
      </c>
    </row>
    <row r="3027" spans="1:19" x14ac:dyDescent="0.3">
      <c r="A3027" t="s">
        <v>8</v>
      </c>
      <c r="B3027">
        <v>2016210006</v>
      </c>
      <c r="C3027" t="s">
        <v>61</v>
      </c>
      <c r="E3027" t="s">
        <v>202</v>
      </c>
      <c r="F3027" t="s">
        <v>203</v>
      </c>
      <c r="G3027">
        <v>4</v>
      </c>
      <c r="H3027" t="s">
        <v>260</v>
      </c>
      <c r="I3027" s="4">
        <f t="shared" si="441"/>
        <v>4</v>
      </c>
      <c r="J3027">
        <f t="shared" si="442"/>
        <v>16</v>
      </c>
      <c r="K3027">
        <v>70</v>
      </c>
      <c r="L3027">
        <v>20</v>
      </c>
      <c r="M3027" s="2">
        <v>3.5</v>
      </c>
      <c r="N3027" s="2">
        <v>3.1</v>
      </c>
      <c r="O3027">
        <v>0</v>
      </c>
      <c r="P3027">
        <v>1</v>
      </c>
      <c r="Q3027" t="s">
        <v>558</v>
      </c>
      <c r="R3027" s="8" t="s">
        <v>260</v>
      </c>
      <c r="S3027" t="str">
        <f t="shared" si="440"/>
        <v>PA</v>
      </c>
    </row>
    <row r="3028" spans="1:19" x14ac:dyDescent="0.3">
      <c r="A3028" t="s">
        <v>8</v>
      </c>
      <c r="B3028">
        <v>2016210006</v>
      </c>
      <c r="C3028" t="s">
        <v>61</v>
      </c>
      <c r="E3028" t="s">
        <v>193</v>
      </c>
      <c r="F3028" t="s">
        <v>194</v>
      </c>
      <c r="G3028">
        <v>4</v>
      </c>
      <c r="H3028" t="s">
        <v>438</v>
      </c>
      <c r="I3028" s="4">
        <f t="shared" si="441"/>
        <v>3</v>
      </c>
      <c r="J3028">
        <f t="shared" si="442"/>
        <v>12</v>
      </c>
      <c r="K3028">
        <v>34</v>
      </c>
      <c r="L3028">
        <v>12</v>
      </c>
      <c r="M3028" s="2">
        <v>2.83</v>
      </c>
      <c r="N3028" s="2">
        <v>3.1</v>
      </c>
      <c r="O3028">
        <v>0</v>
      </c>
      <c r="P3028">
        <v>7</v>
      </c>
      <c r="Q3028" t="s">
        <v>568</v>
      </c>
      <c r="R3028" s="8" t="s">
        <v>260</v>
      </c>
      <c r="S3028" t="str">
        <f t="shared" si="440"/>
        <v>PA</v>
      </c>
    </row>
    <row r="3029" spans="1:19" x14ac:dyDescent="0.3">
      <c r="A3029" t="s">
        <v>8</v>
      </c>
      <c r="B3029">
        <v>2016210006</v>
      </c>
      <c r="C3029" t="s">
        <v>61</v>
      </c>
      <c r="E3029" t="s">
        <v>93</v>
      </c>
      <c r="F3029" t="s">
        <v>94</v>
      </c>
      <c r="G3029">
        <v>4</v>
      </c>
      <c r="H3029" t="s">
        <v>438</v>
      </c>
      <c r="I3029" s="4">
        <f t="shared" si="441"/>
        <v>3</v>
      </c>
      <c r="J3029">
        <f t="shared" si="442"/>
        <v>12</v>
      </c>
      <c r="K3029">
        <v>42</v>
      </c>
      <c r="L3029">
        <v>20</v>
      </c>
      <c r="M3029" s="2">
        <v>2.1</v>
      </c>
      <c r="N3029" s="2">
        <v>3.1</v>
      </c>
      <c r="O3029">
        <v>0</v>
      </c>
      <c r="P3029">
        <v>3</v>
      </c>
      <c r="Q3029" t="s">
        <v>563</v>
      </c>
      <c r="R3029" s="8" t="s">
        <v>260</v>
      </c>
      <c r="S3029" t="str">
        <f t="shared" si="440"/>
        <v>PA</v>
      </c>
    </row>
    <row r="3030" spans="1:19" x14ac:dyDescent="0.3">
      <c r="A3030" t="s">
        <v>8</v>
      </c>
      <c r="B3030">
        <v>2016210006</v>
      </c>
      <c r="C3030" t="s">
        <v>61</v>
      </c>
      <c r="E3030" t="s">
        <v>295</v>
      </c>
      <c r="F3030" t="s">
        <v>296</v>
      </c>
      <c r="G3030">
        <v>2</v>
      </c>
      <c r="H3030" t="s">
        <v>438</v>
      </c>
      <c r="I3030" s="4">
        <f t="shared" si="441"/>
        <v>3</v>
      </c>
      <c r="J3030">
        <f t="shared" si="442"/>
        <v>6</v>
      </c>
      <c r="K3030">
        <v>42</v>
      </c>
      <c r="L3030">
        <v>20</v>
      </c>
      <c r="M3030" s="2">
        <v>2.1</v>
      </c>
      <c r="N3030" s="2">
        <v>3.1</v>
      </c>
      <c r="O3030">
        <v>0</v>
      </c>
      <c r="P3030">
        <v>3</v>
      </c>
      <c r="Q3030" t="s">
        <v>563</v>
      </c>
      <c r="R3030" s="8" t="s">
        <v>260</v>
      </c>
      <c r="S3030" t="str">
        <f t="shared" si="440"/>
        <v>PA</v>
      </c>
    </row>
    <row r="3031" spans="1:19" x14ac:dyDescent="0.3">
      <c r="A3031" t="s">
        <v>8</v>
      </c>
      <c r="B3031">
        <v>2016210006</v>
      </c>
      <c r="C3031" t="s">
        <v>61</v>
      </c>
      <c r="E3031" t="s">
        <v>136</v>
      </c>
      <c r="F3031" t="s">
        <v>137</v>
      </c>
      <c r="G3031">
        <v>4</v>
      </c>
      <c r="H3031" t="s">
        <v>438</v>
      </c>
      <c r="I3031" s="4">
        <f t="shared" si="441"/>
        <v>3</v>
      </c>
      <c r="J3031">
        <f t="shared" si="442"/>
        <v>12</v>
      </c>
      <c r="K3031">
        <v>54</v>
      </c>
      <c r="L3031">
        <v>16</v>
      </c>
      <c r="M3031" s="2">
        <v>3.38</v>
      </c>
      <c r="N3031" s="2">
        <v>3.1</v>
      </c>
      <c r="O3031">
        <v>0</v>
      </c>
      <c r="P3031">
        <v>6</v>
      </c>
      <c r="Q3031" t="s">
        <v>567</v>
      </c>
      <c r="R3031" s="8" t="s">
        <v>260</v>
      </c>
      <c r="S3031" t="str">
        <f t="shared" si="440"/>
        <v>PA</v>
      </c>
    </row>
    <row r="3032" spans="1:19" x14ac:dyDescent="0.3">
      <c r="A3032" t="s">
        <v>8</v>
      </c>
      <c r="B3032">
        <v>2016210006</v>
      </c>
      <c r="C3032" t="s">
        <v>61</v>
      </c>
      <c r="E3032" t="s">
        <v>253</v>
      </c>
      <c r="F3032" t="s">
        <v>254</v>
      </c>
      <c r="G3032">
        <v>2</v>
      </c>
      <c r="H3032" t="s">
        <v>438</v>
      </c>
      <c r="I3032" s="4">
        <f t="shared" si="441"/>
        <v>3</v>
      </c>
      <c r="J3032">
        <f t="shared" si="442"/>
        <v>6</v>
      </c>
      <c r="K3032">
        <v>40</v>
      </c>
      <c r="L3032">
        <v>18</v>
      </c>
      <c r="M3032" s="2">
        <v>2.2200000000000002</v>
      </c>
      <c r="N3032" s="2">
        <v>3.1</v>
      </c>
      <c r="O3032">
        <v>0</v>
      </c>
      <c r="P3032">
        <v>4</v>
      </c>
      <c r="Q3032" t="s">
        <v>565</v>
      </c>
      <c r="R3032" s="8" t="s">
        <v>260</v>
      </c>
      <c r="S3032" t="str">
        <f t="shared" si="440"/>
        <v>PA</v>
      </c>
    </row>
    <row r="3033" spans="1:19" x14ac:dyDescent="0.3">
      <c r="A3033" t="s">
        <v>8</v>
      </c>
      <c r="B3033">
        <v>2016210006</v>
      </c>
      <c r="C3033" t="s">
        <v>61</v>
      </c>
      <c r="E3033" t="s">
        <v>87</v>
      </c>
      <c r="F3033" t="s">
        <v>88</v>
      </c>
      <c r="G3033">
        <v>2</v>
      </c>
      <c r="H3033" t="s">
        <v>438</v>
      </c>
      <c r="I3033" s="4">
        <f t="shared" si="441"/>
        <v>3</v>
      </c>
      <c r="J3033">
        <f t="shared" si="442"/>
        <v>6</v>
      </c>
      <c r="K3033">
        <v>54</v>
      </c>
      <c r="L3033">
        <v>16</v>
      </c>
      <c r="M3033" s="2">
        <v>3.38</v>
      </c>
      <c r="N3033" s="2">
        <v>3.1</v>
      </c>
      <c r="O3033">
        <v>0</v>
      </c>
      <c r="P3033">
        <v>6</v>
      </c>
      <c r="Q3033" t="s">
        <v>567</v>
      </c>
      <c r="R3033" s="8" t="s">
        <v>260</v>
      </c>
      <c r="S3033" t="str">
        <f t="shared" si="440"/>
        <v>PA</v>
      </c>
    </row>
    <row r="3034" spans="1:19" x14ac:dyDescent="0.3">
      <c r="A3034" t="s">
        <v>8</v>
      </c>
      <c r="B3034">
        <v>2016210006</v>
      </c>
      <c r="C3034" t="s">
        <v>61</v>
      </c>
      <c r="E3034" t="s">
        <v>110</v>
      </c>
      <c r="F3034" t="s">
        <v>111</v>
      </c>
      <c r="G3034">
        <v>4</v>
      </c>
      <c r="H3034" t="s">
        <v>438</v>
      </c>
      <c r="I3034" s="4">
        <f t="shared" si="441"/>
        <v>3</v>
      </c>
      <c r="J3034">
        <f t="shared" si="442"/>
        <v>12</v>
      </c>
      <c r="K3034">
        <v>70</v>
      </c>
      <c r="L3034">
        <v>20</v>
      </c>
      <c r="M3034" s="2">
        <v>3.5</v>
      </c>
      <c r="N3034" s="2">
        <v>3.1</v>
      </c>
      <c r="O3034">
        <v>0</v>
      </c>
      <c r="P3034">
        <v>1</v>
      </c>
      <c r="Q3034" t="s">
        <v>558</v>
      </c>
      <c r="R3034" s="8" t="s">
        <v>260</v>
      </c>
      <c r="S3034" t="str">
        <f t="shared" si="440"/>
        <v>PA</v>
      </c>
    </row>
    <row r="3035" spans="1:19" x14ac:dyDescent="0.3">
      <c r="A3035" t="s">
        <v>8</v>
      </c>
      <c r="B3035">
        <v>2016210006</v>
      </c>
      <c r="C3035" t="s">
        <v>61</v>
      </c>
      <c r="E3035" t="s">
        <v>219</v>
      </c>
      <c r="F3035" t="s">
        <v>473</v>
      </c>
      <c r="G3035">
        <v>2</v>
      </c>
      <c r="H3035" t="s">
        <v>438</v>
      </c>
      <c r="I3035" s="4">
        <f t="shared" si="441"/>
        <v>3</v>
      </c>
      <c r="J3035">
        <f t="shared" si="442"/>
        <v>6</v>
      </c>
      <c r="K3035">
        <v>34</v>
      </c>
      <c r="L3035">
        <v>12</v>
      </c>
      <c r="M3035" s="2">
        <v>2.83</v>
      </c>
      <c r="N3035" s="2">
        <v>3.1</v>
      </c>
      <c r="O3035">
        <v>0</v>
      </c>
      <c r="P3035">
        <v>7</v>
      </c>
      <c r="Q3035" t="s">
        <v>568</v>
      </c>
      <c r="R3035" s="8" t="s">
        <v>260</v>
      </c>
      <c r="S3035" t="str">
        <f t="shared" si="440"/>
        <v>PA</v>
      </c>
    </row>
    <row r="3036" spans="1:19" x14ac:dyDescent="0.3">
      <c r="A3036" t="s">
        <v>8</v>
      </c>
      <c r="B3036">
        <v>2016210006</v>
      </c>
      <c r="C3036" t="s">
        <v>61</v>
      </c>
      <c r="E3036" t="s">
        <v>182</v>
      </c>
      <c r="F3036" t="s">
        <v>171</v>
      </c>
      <c r="G3036">
        <v>2</v>
      </c>
      <c r="H3036" t="s">
        <v>438</v>
      </c>
      <c r="I3036" s="4">
        <f t="shared" si="441"/>
        <v>3</v>
      </c>
      <c r="J3036">
        <f t="shared" si="442"/>
        <v>6</v>
      </c>
      <c r="K3036">
        <v>58</v>
      </c>
      <c r="L3036">
        <v>20</v>
      </c>
      <c r="M3036" s="2">
        <v>2.9</v>
      </c>
      <c r="N3036" s="2">
        <v>3.1</v>
      </c>
      <c r="O3036">
        <v>0</v>
      </c>
      <c r="P3036">
        <v>5</v>
      </c>
      <c r="Q3036" t="s">
        <v>566</v>
      </c>
      <c r="R3036" s="8" t="s">
        <v>260</v>
      </c>
      <c r="S3036" t="str">
        <f t="shared" si="440"/>
        <v>PA</v>
      </c>
    </row>
    <row r="3037" spans="1:19" x14ac:dyDescent="0.3">
      <c r="A3037" t="s">
        <v>8</v>
      </c>
      <c r="B3037">
        <v>2016210006</v>
      </c>
      <c r="C3037" t="s">
        <v>61</v>
      </c>
      <c r="E3037" t="s">
        <v>188</v>
      </c>
      <c r="F3037" t="s">
        <v>189</v>
      </c>
      <c r="G3037">
        <v>4</v>
      </c>
      <c r="H3037" t="s">
        <v>438</v>
      </c>
      <c r="I3037" s="4">
        <f t="shared" si="441"/>
        <v>3</v>
      </c>
      <c r="J3037">
        <f t="shared" si="442"/>
        <v>12</v>
      </c>
      <c r="K3037">
        <v>58</v>
      </c>
      <c r="L3037">
        <v>20</v>
      </c>
      <c r="M3037" s="2">
        <v>2.9</v>
      </c>
      <c r="N3037" s="2">
        <v>3.1</v>
      </c>
      <c r="O3037">
        <v>0</v>
      </c>
      <c r="P3037">
        <v>5</v>
      </c>
      <c r="Q3037" t="s">
        <v>566</v>
      </c>
      <c r="R3037" s="8" t="s">
        <v>260</v>
      </c>
      <c r="S3037" t="str">
        <f t="shared" si="440"/>
        <v>PA</v>
      </c>
    </row>
    <row r="3038" spans="1:19" x14ac:dyDescent="0.3">
      <c r="A3038" t="s">
        <v>8</v>
      </c>
      <c r="B3038">
        <v>2016210006</v>
      </c>
      <c r="C3038" t="s">
        <v>61</v>
      </c>
      <c r="E3038" t="s">
        <v>213</v>
      </c>
      <c r="F3038" t="s">
        <v>214</v>
      </c>
      <c r="G3038">
        <v>4</v>
      </c>
      <c r="H3038" t="s">
        <v>438</v>
      </c>
      <c r="I3038" s="4">
        <f t="shared" si="441"/>
        <v>3</v>
      </c>
      <c r="J3038">
        <f t="shared" si="442"/>
        <v>12</v>
      </c>
      <c r="K3038">
        <v>58</v>
      </c>
      <c r="L3038">
        <v>20</v>
      </c>
      <c r="M3038" s="2">
        <v>2.9</v>
      </c>
      <c r="N3038" s="2">
        <v>3.1</v>
      </c>
      <c r="O3038">
        <v>0</v>
      </c>
      <c r="P3038">
        <v>5</v>
      </c>
      <c r="Q3038" t="s">
        <v>566</v>
      </c>
      <c r="R3038" s="8" t="s">
        <v>260</v>
      </c>
      <c r="S3038" t="str">
        <f t="shared" si="440"/>
        <v>PA</v>
      </c>
    </row>
    <row r="3039" spans="1:19" x14ac:dyDescent="0.3">
      <c r="A3039" t="s">
        <v>8</v>
      </c>
      <c r="B3039">
        <v>2016210006</v>
      </c>
      <c r="C3039" t="s">
        <v>61</v>
      </c>
      <c r="E3039" t="s">
        <v>19</v>
      </c>
      <c r="F3039" t="s">
        <v>20</v>
      </c>
      <c r="G3039">
        <v>6</v>
      </c>
      <c r="H3039" t="s">
        <v>438</v>
      </c>
      <c r="I3039" s="4">
        <f t="shared" si="441"/>
        <v>3</v>
      </c>
      <c r="J3039">
        <f t="shared" si="442"/>
        <v>18</v>
      </c>
      <c r="K3039">
        <v>18</v>
      </c>
      <c r="L3039">
        <v>6</v>
      </c>
      <c r="M3039" s="2">
        <v>3</v>
      </c>
      <c r="N3039" s="2">
        <v>3.1</v>
      </c>
      <c r="O3039">
        <v>0</v>
      </c>
      <c r="P3039">
        <v>11</v>
      </c>
      <c r="Q3039" t="s">
        <v>573</v>
      </c>
      <c r="R3039" t="s">
        <v>596</v>
      </c>
      <c r="S3039" t="str">
        <f t="shared" si="440"/>
        <v>PA</v>
      </c>
    </row>
    <row r="3040" spans="1:19" x14ac:dyDescent="0.3">
      <c r="A3040" t="s">
        <v>8</v>
      </c>
      <c r="B3040">
        <v>2016210006</v>
      </c>
      <c r="C3040" t="s">
        <v>61</v>
      </c>
      <c r="E3040" t="s">
        <v>355</v>
      </c>
      <c r="F3040" t="s">
        <v>274</v>
      </c>
      <c r="G3040">
        <v>2</v>
      </c>
      <c r="H3040" t="s">
        <v>438</v>
      </c>
      <c r="I3040" s="4">
        <f t="shared" si="441"/>
        <v>3</v>
      </c>
      <c r="J3040">
        <f t="shared" si="442"/>
        <v>6</v>
      </c>
      <c r="K3040">
        <v>40</v>
      </c>
      <c r="L3040">
        <v>18</v>
      </c>
      <c r="M3040" s="2">
        <v>2.2200000000000002</v>
      </c>
      <c r="N3040" s="2">
        <v>3.1</v>
      </c>
      <c r="O3040">
        <v>0</v>
      </c>
      <c r="P3040">
        <v>4</v>
      </c>
      <c r="Q3040" t="s">
        <v>565</v>
      </c>
      <c r="R3040" s="8" t="s">
        <v>260</v>
      </c>
      <c r="S3040" t="str">
        <f t="shared" si="440"/>
        <v>PA</v>
      </c>
    </row>
    <row r="3041" spans="1:19" x14ac:dyDescent="0.3">
      <c r="A3041" t="s">
        <v>8</v>
      </c>
      <c r="B3041">
        <v>2016210006</v>
      </c>
      <c r="C3041" t="s">
        <v>61</v>
      </c>
      <c r="E3041" t="s">
        <v>117</v>
      </c>
      <c r="F3041" t="s">
        <v>118</v>
      </c>
      <c r="G3041">
        <v>2</v>
      </c>
      <c r="H3041" t="s">
        <v>438</v>
      </c>
      <c r="I3041" s="4">
        <f t="shared" si="441"/>
        <v>3</v>
      </c>
      <c r="J3041">
        <f t="shared" si="442"/>
        <v>6</v>
      </c>
      <c r="K3041">
        <v>48</v>
      </c>
      <c r="L3041">
        <v>18</v>
      </c>
      <c r="M3041" s="2">
        <v>2.67</v>
      </c>
      <c r="N3041" s="2">
        <v>3.1</v>
      </c>
      <c r="O3041">
        <v>0</v>
      </c>
      <c r="P3041">
        <v>2</v>
      </c>
      <c r="Q3041" t="s">
        <v>559</v>
      </c>
      <c r="R3041" s="8" t="s">
        <v>260</v>
      </c>
      <c r="S3041" t="str">
        <f t="shared" si="440"/>
        <v>PA</v>
      </c>
    </row>
    <row r="3042" spans="1:19" x14ac:dyDescent="0.3">
      <c r="A3042" t="s">
        <v>8</v>
      </c>
      <c r="B3042">
        <v>2016210006</v>
      </c>
      <c r="C3042" t="s">
        <v>61</v>
      </c>
      <c r="E3042" t="s">
        <v>279</v>
      </c>
      <c r="F3042" t="s">
        <v>280</v>
      </c>
      <c r="G3042">
        <v>2</v>
      </c>
      <c r="H3042" t="s">
        <v>438</v>
      </c>
      <c r="I3042" s="4">
        <f t="shared" si="441"/>
        <v>3</v>
      </c>
      <c r="J3042">
        <f t="shared" si="442"/>
        <v>6</v>
      </c>
      <c r="K3042">
        <v>48</v>
      </c>
      <c r="L3042">
        <v>18</v>
      </c>
      <c r="M3042" s="2">
        <v>2.67</v>
      </c>
      <c r="N3042" s="2">
        <v>3.1</v>
      </c>
      <c r="O3042">
        <v>0</v>
      </c>
      <c r="P3042">
        <v>2</v>
      </c>
      <c r="Q3042" t="s">
        <v>559</v>
      </c>
      <c r="R3042" s="8" t="s">
        <v>260</v>
      </c>
      <c r="S3042" t="str">
        <f t="shared" si="440"/>
        <v>PA</v>
      </c>
    </row>
    <row r="3043" spans="1:19" x14ac:dyDescent="0.3">
      <c r="A3043" t="s">
        <v>8</v>
      </c>
      <c r="B3043">
        <v>2016210006</v>
      </c>
      <c r="C3043" t="s">
        <v>61</v>
      </c>
      <c r="E3043" t="s">
        <v>185</v>
      </c>
      <c r="F3043" t="s">
        <v>186</v>
      </c>
      <c r="G3043">
        <v>4</v>
      </c>
      <c r="H3043" t="s">
        <v>438</v>
      </c>
      <c r="I3043" s="4">
        <f t="shared" si="441"/>
        <v>3</v>
      </c>
      <c r="J3043">
        <f t="shared" si="442"/>
        <v>12</v>
      </c>
      <c r="K3043">
        <v>34</v>
      </c>
      <c r="L3043">
        <v>12</v>
      </c>
      <c r="M3043" s="2">
        <v>2.83</v>
      </c>
      <c r="N3043" s="2">
        <v>3.1</v>
      </c>
      <c r="O3043">
        <v>0</v>
      </c>
      <c r="P3043">
        <v>7</v>
      </c>
      <c r="Q3043" t="s">
        <v>568</v>
      </c>
      <c r="R3043" s="8" t="s">
        <v>260</v>
      </c>
      <c r="S3043" t="str">
        <f t="shared" si="440"/>
        <v>PA</v>
      </c>
    </row>
    <row r="3044" spans="1:19" x14ac:dyDescent="0.3">
      <c r="A3044" t="s">
        <v>8</v>
      </c>
      <c r="B3044">
        <v>2016210006</v>
      </c>
      <c r="C3044" t="s">
        <v>61</v>
      </c>
      <c r="E3044" t="s">
        <v>22</v>
      </c>
      <c r="F3044" t="s">
        <v>23</v>
      </c>
      <c r="G3044">
        <v>2</v>
      </c>
      <c r="H3044" t="s">
        <v>438</v>
      </c>
      <c r="I3044" s="4">
        <f t="shared" si="441"/>
        <v>3</v>
      </c>
      <c r="J3044">
        <f t="shared" si="442"/>
        <v>6</v>
      </c>
      <c r="K3044">
        <v>48</v>
      </c>
      <c r="L3044">
        <v>18</v>
      </c>
      <c r="M3044" s="2">
        <v>2.67</v>
      </c>
      <c r="N3044" s="2">
        <v>3.1</v>
      </c>
      <c r="O3044">
        <v>0</v>
      </c>
      <c r="P3044">
        <v>2</v>
      </c>
      <c r="Q3044" t="s">
        <v>559</v>
      </c>
      <c r="R3044" s="8" t="s">
        <v>260</v>
      </c>
      <c r="S3044" t="str">
        <f t="shared" si="440"/>
        <v>PA</v>
      </c>
    </row>
    <row r="3045" spans="1:19" x14ac:dyDescent="0.3">
      <c r="A3045" t="s">
        <v>8</v>
      </c>
      <c r="B3045">
        <v>2016210006</v>
      </c>
      <c r="C3045" t="s">
        <v>61</v>
      </c>
      <c r="E3045" t="s">
        <v>176</v>
      </c>
      <c r="F3045" t="s">
        <v>177</v>
      </c>
      <c r="G3045">
        <v>4</v>
      </c>
      <c r="H3045" t="s">
        <v>524</v>
      </c>
      <c r="I3045" s="4">
        <f t="shared" si="441"/>
        <v>2</v>
      </c>
      <c r="J3045">
        <f t="shared" si="442"/>
        <v>8</v>
      </c>
      <c r="K3045">
        <v>58</v>
      </c>
      <c r="L3045">
        <v>20</v>
      </c>
      <c r="M3045" s="2">
        <v>2.9</v>
      </c>
      <c r="N3045" s="2">
        <v>3.1</v>
      </c>
      <c r="O3045">
        <v>0</v>
      </c>
      <c r="P3045">
        <v>5</v>
      </c>
      <c r="Q3045" t="s">
        <v>566</v>
      </c>
      <c r="R3045" s="8" t="s">
        <v>260</v>
      </c>
      <c r="S3045" t="str">
        <f t="shared" si="440"/>
        <v>PA</v>
      </c>
    </row>
    <row r="3046" spans="1:19" x14ac:dyDescent="0.3">
      <c r="A3046" t="s">
        <v>8</v>
      </c>
      <c r="B3046">
        <v>2016210006</v>
      </c>
      <c r="C3046" t="s">
        <v>61</v>
      </c>
      <c r="E3046" t="s">
        <v>391</v>
      </c>
      <c r="F3046" t="s">
        <v>392</v>
      </c>
      <c r="G3046">
        <v>2</v>
      </c>
      <c r="H3046" t="s">
        <v>524</v>
      </c>
      <c r="I3046" s="4">
        <f t="shared" si="441"/>
        <v>2</v>
      </c>
      <c r="J3046">
        <f t="shared" si="442"/>
        <v>4</v>
      </c>
      <c r="K3046">
        <v>58</v>
      </c>
      <c r="L3046">
        <v>20</v>
      </c>
      <c r="M3046" s="2">
        <v>2.9</v>
      </c>
      <c r="N3046" s="2">
        <v>3.1</v>
      </c>
      <c r="O3046">
        <v>0</v>
      </c>
      <c r="P3046">
        <v>5</v>
      </c>
      <c r="Q3046" t="s">
        <v>566</v>
      </c>
      <c r="R3046" s="8" t="s">
        <v>260</v>
      </c>
      <c r="S3046" t="str">
        <f t="shared" si="440"/>
        <v>PA</v>
      </c>
    </row>
    <row r="3047" spans="1:19" x14ac:dyDescent="0.3">
      <c r="A3047" t="s">
        <v>8</v>
      </c>
      <c r="B3047">
        <v>2016210006</v>
      </c>
      <c r="C3047" t="s">
        <v>61</v>
      </c>
      <c r="E3047" t="s">
        <v>112</v>
      </c>
      <c r="F3047" t="s">
        <v>113</v>
      </c>
      <c r="G3047">
        <v>4</v>
      </c>
      <c r="H3047" t="s">
        <v>524</v>
      </c>
      <c r="I3047" s="4">
        <f t="shared" si="441"/>
        <v>2</v>
      </c>
      <c r="J3047">
        <f t="shared" si="442"/>
        <v>8</v>
      </c>
      <c r="K3047">
        <v>42</v>
      </c>
      <c r="L3047">
        <v>20</v>
      </c>
      <c r="M3047" s="2">
        <v>2.1</v>
      </c>
      <c r="N3047" s="2">
        <v>3.1</v>
      </c>
      <c r="O3047">
        <v>0</v>
      </c>
      <c r="P3047">
        <v>3</v>
      </c>
      <c r="Q3047" t="s">
        <v>563</v>
      </c>
      <c r="R3047" s="8" t="s">
        <v>260</v>
      </c>
      <c r="S3047" t="str">
        <f t="shared" si="440"/>
        <v>PA</v>
      </c>
    </row>
    <row r="3048" spans="1:19" x14ac:dyDescent="0.3">
      <c r="A3048" t="s">
        <v>8</v>
      </c>
      <c r="B3048">
        <v>2016210006</v>
      </c>
      <c r="C3048" t="s">
        <v>61</v>
      </c>
      <c r="E3048" t="s">
        <v>246</v>
      </c>
      <c r="F3048" t="s">
        <v>247</v>
      </c>
      <c r="G3048">
        <v>4</v>
      </c>
      <c r="H3048" t="s">
        <v>524</v>
      </c>
      <c r="I3048" s="4">
        <f t="shared" si="441"/>
        <v>2</v>
      </c>
      <c r="J3048">
        <f t="shared" si="442"/>
        <v>8</v>
      </c>
      <c r="K3048">
        <v>40</v>
      </c>
      <c r="L3048">
        <v>18</v>
      </c>
      <c r="M3048" s="2">
        <v>2.2200000000000002</v>
      </c>
      <c r="N3048" s="2">
        <v>3.1</v>
      </c>
      <c r="O3048">
        <v>0</v>
      </c>
      <c r="P3048">
        <v>4</v>
      </c>
      <c r="Q3048" t="s">
        <v>565</v>
      </c>
      <c r="R3048" s="8" t="s">
        <v>260</v>
      </c>
      <c r="S3048" t="str">
        <f t="shared" si="440"/>
        <v>PA</v>
      </c>
    </row>
    <row r="3049" spans="1:19" x14ac:dyDescent="0.3">
      <c r="A3049" t="s">
        <v>8</v>
      </c>
      <c r="B3049">
        <v>2016210006</v>
      </c>
      <c r="C3049" t="s">
        <v>61</v>
      </c>
      <c r="E3049" t="s">
        <v>407</v>
      </c>
      <c r="F3049" t="s">
        <v>312</v>
      </c>
      <c r="G3049">
        <v>2</v>
      </c>
      <c r="H3049" t="s">
        <v>524</v>
      </c>
      <c r="I3049" s="4">
        <f t="shared" si="441"/>
        <v>2</v>
      </c>
      <c r="J3049">
        <f t="shared" si="442"/>
        <v>4</v>
      </c>
      <c r="K3049">
        <v>34</v>
      </c>
      <c r="L3049">
        <v>12</v>
      </c>
      <c r="M3049" s="2">
        <v>2.83</v>
      </c>
      <c r="N3049" s="2">
        <v>3.1</v>
      </c>
      <c r="O3049">
        <v>0</v>
      </c>
      <c r="P3049">
        <v>7</v>
      </c>
      <c r="Q3049" t="s">
        <v>568</v>
      </c>
      <c r="R3049" s="8" t="s">
        <v>260</v>
      </c>
      <c r="S3049" t="str">
        <f t="shared" si="440"/>
        <v>PA</v>
      </c>
    </row>
    <row r="3050" spans="1:19" x14ac:dyDescent="0.3">
      <c r="A3050" t="s">
        <v>8</v>
      </c>
      <c r="B3050">
        <v>2016210006</v>
      </c>
      <c r="C3050" t="s">
        <v>61</v>
      </c>
      <c r="E3050" t="s">
        <v>401</v>
      </c>
      <c r="F3050" t="s">
        <v>258</v>
      </c>
      <c r="G3050">
        <v>4</v>
      </c>
      <c r="H3050" t="s">
        <v>524</v>
      </c>
      <c r="I3050" s="4">
        <f t="shared" si="441"/>
        <v>2</v>
      </c>
      <c r="J3050">
        <f t="shared" si="442"/>
        <v>8</v>
      </c>
      <c r="K3050">
        <v>42</v>
      </c>
      <c r="L3050">
        <v>20</v>
      </c>
      <c r="M3050" s="2">
        <v>2.1</v>
      </c>
      <c r="N3050" s="2">
        <v>3.1</v>
      </c>
      <c r="O3050">
        <v>0</v>
      </c>
      <c r="P3050">
        <v>3</v>
      </c>
      <c r="Q3050" t="s">
        <v>563</v>
      </c>
      <c r="R3050" s="8" t="s">
        <v>260</v>
      </c>
      <c r="S3050" t="str">
        <f t="shared" si="440"/>
        <v>PA</v>
      </c>
    </row>
    <row r="3051" spans="1:19" x14ac:dyDescent="0.3">
      <c r="A3051" t="s">
        <v>8</v>
      </c>
      <c r="B3051">
        <v>2016210006</v>
      </c>
      <c r="C3051" t="s">
        <v>61</v>
      </c>
      <c r="E3051" t="s">
        <v>227</v>
      </c>
      <c r="F3051" t="s">
        <v>228</v>
      </c>
      <c r="G3051">
        <v>2</v>
      </c>
      <c r="H3051" t="s">
        <v>524</v>
      </c>
      <c r="I3051" s="4">
        <f t="shared" si="441"/>
        <v>2</v>
      </c>
      <c r="J3051">
        <f t="shared" si="442"/>
        <v>4</v>
      </c>
      <c r="K3051">
        <v>42</v>
      </c>
      <c r="L3051">
        <v>20</v>
      </c>
      <c r="M3051" s="2">
        <v>2.1</v>
      </c>
      <c r="N3051" s="2">
        <v>3.1</v>
      </c>
      <c r="O3051">
        <v>0</v>
      </c>
      <c r="P3051">
        <v>3</v>
      </c>
      <c r="Q3051" t="s">
        <v>563</v>
      </c>
      <c r="R3051" s="8" t="s">
        <v>260</v>
      </c>
      <c r="S3051" t="str">
        <f t="shared" si="440"/>
        <v>PA</v>
      </c>
    </row>
    <row r="3052" spans="1:19" x14ac:dyDescent="0.3">
      <c r="A3052" t="s">
        <v>8</v>
      </c>
      <c r="B3052">
        <v>2016210006</v>
      </c>
      <c r="C3052" t="s">
        <v>61</v>
      </c>
      <c r="E3052" t="s">
        <v>119</v>
      </c>
      <c r="F3052" t="s">
        <v>120</v>
      </c>
      <c r="G3052">
        <v>2</v>
      </c>
      <c r="H3052" t="s">
        <v>524</v>
      </c>
      <c r="I3052" s="4">
        <f t="shared" si="441"/>
        <v>2</v>
      </c>
      <c r="J3052">
        <f t="shared" si="442"/>
        <v>4</v>
      </c>
      <c r="K3052">
        <v>54</v>
      </c>
      <c r="L3052">
        <v>16</v>
      </c>
      <c r="M3052" s="2">
        <v>3.38</v>
      </c>
      <c r="N3052" s="2">
        <v>3.1</v>
      </c>
      <c r="O3052">
        <v>0</v>
      </c>
      <c r="P3052">
        <v>6</v>
      </c>
      <c r="Q3052" t="s">
        <v>567</v>
      </c>
      <c r="R3052" s="8" t="s">
        <v>260</v>
      </c>
      <c r="S3052" t="str">
        <f t="shared" si="440"/>
        <v>PA</v>
      </c>
    </row>
    <row r="3053" spans="1:19" x14ac:dyDescent="0.3">
      <c r="A3053" t="s">
        <v>8</v>
      </c>
      <c r="B3053">
        <v>2016210006</v>
      </c>
      <c r="C3053" t="s">
        <v>61</v>
      </c>
      <c r="E3053" t="s">
        <v>449</v>
      </c>
      <c r="F3053" t="s">
        <v>460</v>
      </c>
      <c r="G3053">
        <v>4</v>
      </c>
      <c r="H3053" t="s">
        <v>524</v>
      </c>
      <c r="I3053" s="4">
        <f t="shared" si="441"/>
        <v>2</v>
      </c>
      <c r="J3053">
        <f t="shared" si="442"/>
        <v>8</v>
      </c>
      <c r="K3053">
        <v>40</v>
      </c>
      <c r="L3053">
        <v>18</v>
      </c>
      <c r="M3053" s="2">
        <v>2.2200000000000002</v>
      </c>
      <c r="N3053" s="2">
        <v>3.1</v>
      </c>
      <c r="O3053">
        <v>0</v>
      </c>
      <c r="P3053">
        <v>4</v>
      </c>
      <c r="Q3053" t="s">
        <v>565</v>
      </c>
      <c r="R3053" s="8" t="s">
        <v>260</v>
      </c>
      <c r="S3053" t="str">
        <f t="shared" si="440"/>
        <v>PA</v>
      </c>
    </row>
    <row r="3054" spans="1:19" x14ac:dyDescent="0.3">
      <c r="A3054" t="s">
        <v>8</v>
      </c>
      <c r="B3054">
        <v>2016210006</v>
      </c>
      <c r="C3054" t="s">
        <v>61</v>
      </c>
      <c r="E3054" t="s">
        <v>216</v>
      </c>
      <c r="F3054" t="s">
        <v>217</v>
      </c>
      <c r="G3054">
        <v>2</v>
      </c>
      <c r="H3054" t="s">
        <v>524</v>
      </c>
      <c r="I3054" s="4">
        <f t="shared" si="441"/>
        <v>2</v>
      </c>
      <c r="J3054">
        <f t="shared" si="442"/>
        <v>4</v>
      </c>
      <c r="K3054">
        <v>40</v>
      </c>
      <c r="L3054">
        <v>18</v>
      </c>
      <c r="M3054" s="2">
        <v>2.2200000000000002</v>
      </c>
      <c r="N3054" s="2">
        <v>3.1</v>
      </c>
      <c r="O3054">
        <v>0</v>
      </c>
      <c r="P3054">
        <v>4</v>
      </c>
      <c r="Q3054" t="s">
        <v>565</v>
      </c>
      <c r="R3054" s="8" t="s">
        <v>260</v>
      </c>
      <c r="S3054" t="str">
        <f t="shared" si="440"/>
        <v>PA</v>
      </c>
    </row>
    <row r="3055" spans="1:19" x14ac:dyDescent="0.3">
      <c r="A3055" t="s">
        <v>8</v>
      </c>
      <c r="B3055">
        <v>2016210006</v>
      </c>
      <c r="C3055" t="s">
        <v>61</v>
      </c>
      <c r="E3055" t="s">
        <v>369</v>
      </c>
      <c r="F3055" t="s">
        <v>307</v>
      </c>
      <c r="G3055">
        <v>2</v>
      </c>
      <c r="H3055" t="s">
        <v>539</v>
      </c>
      <c r="I3055" s="4">
        <f t="shared" si="441"/>
        <v>0</v>
      </c>
      <c r="J3055">
        <f t="shared" si="442"/>
        <v>0</v>
      </c>
      <c r="K3055">
        <v>40</v>
      </c>
      <c r="L3055">
        <v>18</v>
      </c>
      <c r="M3055" s="2">
        <v>2.2200000000000002</v>
      </c>
      <c r="N3055" s="2">
        <v>3.1</v>
      </c>
      <c r="O3055">
        <v>0</v>
      </c>
      <c r="P3055">
        <v>4</v>
      </c>
      <c r="Q3055" t="s">
        <v>565</v>
      </c>
      <c r="R3055" s="8" t="s">
        <v>260</v>
      </c>
      <c r="S3055" t="str">
        <f t="shared" si="440"/>
        <v>FA</v>
      </c>
    </row>
    <row r="3056" spans="1:19" x14ac:dyDescent="0.3">
      <c r="A3056" t="s">
        <v>8</v>
      </c>
      <c r="B3056">
        <v>2016210006</v>
      </c>
      <c r="C3056" t="s">
        <v>61</v>
      </c>
      <c r="E3056" t="s">
        <v>157</v>
      </c>
      <c r="F3056" t="s">
        <v>158</v>
      </c>
      <c r="G3056">
        <v>2</v>
      </c>
      <c r="H3056" t="s">
        <v>535</v>
      </c>
      <c r="I3056" s="4">
        <f t="shared" si="441"/>
        <v>1</v>
      </c>
      <c r="J3056">
        <f t="shared" si="442"/>
        <v>2</v>
      </c>
      <c r="K3056">
        <v>42</v>
      </c>
      <c r="L3056">
        <v>20</v>
      </c>
      <c r="M3056" s="2">
        <v>2.1</v>
      </c>
      <c r="N3056" s="2">
        <v>3.1</v>
      </c>
      <c r="O3056">
        <v>0</v>
      </c>
      <c r="P3056">
        <v>3</v>
      </c>
      <c r="Q3056" t="s">
        <v>563</v>
      </c>
      <c r="R3056" s="8" t="s">
        <v>260</v>
      </c>
      <c r="S3056" t="str">
        <f t="shared" si="440"/>
        <v>FA</v>
      </c>
    </row>
    <row r="3057" spans="1:19" x14ac:dyDescent="0.3">
      <c r="A3057" t="s">
        <v>8</v>
      </c>
      <c r="B3057">
        <v>2016210006</v>
      </c>
      <c r="C3057" t="s">
        <v>61</v>
      </c>
      <c r="E3057" t="s">
        <v>157</v>
      </c>
      <c r="F3057" t="s">
        <v>158</v>
      </c>
      <c r="G3057">
        <v>2</v>
      </c>
      <c r="H3057" t="s">
        <v>438</v>
      </c>
      <c r="I3057" s="4">
        <f t="shared" si="441"/>
        <v>3</v>
      </c>
      <c r="J3057">
        <f t="shared" si="442"/>
        <v>6</v>
      </c>
      <c r="K3057">
        <v>80</v>
      </c>
      <c r="L3057">
        <v>24</v>
      </c>
      <c r="M3057" s="2">
        <v>3.33</v>
      </c>
      <c r="N3057" s="2">
        <v>3.1</v>
      </c>
      <c r="O3057">
        <v>1</v>
      </c>
      <c r="P3057">
        <v>10</v>
      </c>
      <c r="Q3057" t="s">
        <v>578</v>
      </c>
      <c r="R3057" s="8" t="s">
        <v>260</v>
      </c>
      <c r="S3057" t="str">
        <f t="shared" si="440"/>
        <v>PA</v>
      </c>
    </row>
    <row r="3058" spans="1:19" x14ac:dyDescent="0.3">
      <c r="A3058" t="s">
        <v>8</v>
      </c>
      <c r="B3058">
        <v>2016210006</v>
      </c>
      <c r="C3058" t="s">
        <v>61</v>
      </c>
      <c r="E3058" t="s">
        <v>44</v>
      </c>
      <c r="F3058" t="s">
        <v>45</v>
      </c>
      <c r="G3058">
        <v>2</v>
      </c>
      <c r="H3058" t="s">
        <v>535</v>
      </c>
      <c r="I3058" s="4">
        <f t="shared" si="441"/>
        <v>1</v>
      </c>
      <c r="J3058">
        <f t="shared" si="442"/>
        <v>2</v>
      </c>
      <c r="K3058">
        <v>48</v>
      </c>
      <c r="L3058">
        <v>18</v>
      </c>
      <c r="M3058" s="2">
        <v>2.67</v>
      </c>
      <c r="N3058" s="2">
        <v>3.1</v>
      </c>
      <c r="O3058">
        <v>0</v>
      </c>
      <c r="P3058">
        <v>2</v>
      </c>
      <c r="Q3058" t="s">
        <v>559</v>
      </c>
      <c r="R3058" s="8" t="s">
        <v>260</v>
      </c>
      <c r="S3058" t="str">
        <f t="shared" si="440"/>
        <v>FA</v>
      </c>
    </row>
    <row r="3059" spans="1:19" x14ac:dyDescent="0.3">
      <c r="A3059" t="s">
        <v>8</v>
      </c>
      <c r="B3059">
        <v>2016210006</v>
      </c>
      <c r="C3059" t="s">
        <v>61</v>
      </c>
      <c r="E3059" t="s">
        <v>44</v>
      </c>
      <c r="F3059" t="s">
        <v>45</v>
      </c>
      <c r="G3059">
        <v>2</v>
      </c>
      <c r="H3059" t="s">
        <v>260</v>
      </c>
      <c r="I3059" s="4">
        <f t="shared" si="441"/>
        <v>4</v>
      </c>
      <c r="J3059">
        <f t="shared" si="442"/>
        <v>8</v>
      </c>
      <c r="K3059">
        <v>80</v>
      </c>
      <c r="L3059">
        <v>24</v>
      </c>
      <c r="M3059" s="2">
        <v>3.33</v>
      </c>
      <c r="N3059" s="2">
        <v>3.1</v>
      </c>
      <c r="O3059">
        <v>1</v>
      </c>
      <c r="P3059">
        <v>10</v>
      </c>
      <c r="Q3059" t="s">
        <v>578</v>
      </c>
      <c r="R3059" s="8" t="s">
        <v>260</v>
      </c>
      <c r="S3059" t="str">
        <f t="shared" si="440"/>
        <v>PA</v>
      </c>
    </row>
    <row r="3060" spans="1:19" x14ac:dyDescent="0.3">
      <c r="A3060" t="s">
        <v>8</v>
      </c>
      <c r="B3060">
        <v>2016210006</v>
      </c>
      <c r="C3060" t="s">
        <v>61</v>
      </c>
      <c r="E3060" t="s">
        <v>125</v>
      </c>
      <c r="F3060" t="s">
        <v>126</v>
      </c>
      <c r="G3060">
        <v>4</v>
      </c>
      <c r="H3060" t="s">
        <v>535</v>
      </c>
      <c r="I3060" s="4">
        <f t="shared" si="441"/>
        <v>1</v>
      </c>
      <c r="J3060">
        <f t="shared" si="442"/>
        <v>4</v>
      </c>
      <c r="K3060">
        <v>48</v>
      </c>
      <c r="L3060">
        <v>18</v>
      </c>
      <c r="M3060" s="2">
        <v>2.67</v>
      </c>
      <c r="N3060" s="2">
        <v>3.1</v>
      </c>
      <c r="O3060">
        <v>0</v>
      </c>
      <c r="P3060">
        <v>2</v>
      </c>
      <c r="Q3060" t="s">
        <v>559</v>
      </c>
      <c r="R3060" s="8" t="s">
        <v>260</v>
      </c>
      <c r="S3060" t="str">
        <f t="shared" si="440"/>
        <v>FA</v>
      </c>
    </row>
    <row r="3061" spans="1:19" x14ac:dyDescent="0.3">
      <c r="A3061" t="s">
        <v>8</v>
      </c>
      <c r="B3061">
        <v>2016210006</v>
      </c>
      <c r="C3061" t="s">
        <v>61</v>
      </c>
      <c r="E3061" t="s">
        <v>125</v>
      </c>
      <c r="F3061" t="s">
        <v>126</v>
      </c>
      <c r="G3061">
        <v>4</v>
      </c>
      <c r="H3061" t="s">
        <v>524</v>
      </c>
      <c r="I3061" s="4">
        <f t="shared" si="441"/>
        <v>2</v>
      </c>
      <c r="J3061">
        <f t="shared" si="442"/>
        <v>8</v>
      </c>
      <c r="K3061">
        <v>80</v>
      </c>
      <c r="L3061">
        <v>24</v>
      </c>
      <c r="M3061" s="2">
        <v>3.33</v>
      </c>
      <c r="N3061" s="2">
        <v>3.1</v>
      </c>
      <c r="O3061">
        <v>1</v>
      </c>
      <c r="P3061">
        <v>10</v>
      </c>
      <c r="Q3061" t="s">
        <v>578</v>
      </c>
      <c r="R3061" s="8" t="s">
        <v>260</v>
      </c>
      <c r="S3061" t="str">
        <f t="shared" si="440"/>
        <v>PA</v>
      </c>
    </row>
    <row r="3062" spans="1:19" x14ac:dyDescent="0.3">
      <c r="A3062" t="s">
        <v>8</v>
      </c>
      <c r="B3062">
        <v>2016210006</v>
      </c>
      <c r="C3062" t="s">
        <v>61</v>
      </c>
      <c r="E3062" t="s">
        <v>395</v>
      </c>
      <c r="F3062" t="s">
        <v>396</v>
      </c>
      <c r="G3062">
        <v>2</v>
      </c>
      <c r="H3062" t="s">
        <v>535</v>
      </c>
      <c r="I3062" s="4">
        <f t="shared" ref="I3062:I3067" si="443">IF(H3062="A",4,IF(H3062="B",3,IF(H3062="C",2,IF(H3062="D",1,0))))</f>
        <v>1</v>
      </c>
      <c r="J3062">
        <f t="shared" ref="J3062:J3067" si="444">G3062*I3062</f>
        <v>2</v>
      </c>
      <c r="K3062">
        <v>70</v>
      </c>
      <c r="L3062">
        <v>20</v>
      </c>
      <c r="M3062" s="2">
        <v>3.5</v>
      </c>
      <c r="N3062" s="2">
        <v>3.1</v>
      </c>
      <c r="O3062">
        <v>0</v>
      </c>
      <c r="P3062">
        <v>1</v>
      </c>
      <c r="Q3062" t="s">
        <v>558</v>
      </c>
      <c r="R3062" s="8" t="s">
        <v>260</v>
      </c>
      <c r="S3062" t="str">
        <f t="shared" si="440"/>
        <v>FA</v>
      </c>
    </row>
    <row r="3063" spans="1:19" x14ac:dyDescent="0.3">
      <c r="A3063" t="s">
        <v>8</v>
      </c>
      <c r="B3063">
        <v>2016210006</v>
      </c>
      <c r="C3063" t="s">
        <v>61</v>
      </c>
      <c r="E3063" t="s">
        <v>395</v>
      </c>
      <c r="F3063" t="s">
        <v>396</v>
      </c>
      <c r="G3063">
        <v>2</v>
      </c>
      <c r="H3063" t="s">
        <v>438</v>
      </c>
      <c r="I3063" s="4">
        <f t="shared" si="443"/>
        <v>3</v>
      </c>
      <c r="J3063">
        <f t="shared" si="444"/>
        <v>6</v>
      </c>
      <c r="K3063">
        <v>80</v>
      </c>
      <c r="L3063">
        <v>24</v>
      </c>
      <c r="M3063" s="2">
        <v>3.33</v>
      </c>
      <c r="N3063" s="2">
        <v>3.1</v>
      </c>
      <c r="O3063">
        <v>1</v>
      </c>
      <c r="P3063">
        <v>10</v>
      </c>
      <c r="Q3063" t="s">
        <v>578</v>
      </c>
      <c r="R3063" s="8" t="s">
        <v>260</v>
      </c>
      <c r="S3063" t="str">
        <f t="shared" si="440"/>
        <v>PA</v>
      </c>
    </row>
    <row r="3064" spans="1:19" x14ac:dyDescent="0.3">
      <c r="A3064" t="s">
        <v>8</v>
      </c>
      <c r="B3064">
        <v>2016210006</v>
      </c>
      <c r="C3064" t="s">
        <v>61</v>
      </c>
      <c r="E3064" t="s">
        <v>105</v>
      </c>
      <c r="F3064" t="s">
        <v>106</v>
      </c>
      <c r="G3064">
        <v>2</v>
      </c>
      <c r="H3064" t="s">
        <v>535</v>
      </c>
      <c r="I3064" s="4">
        <f t="shared" si="443"/>
        <v>1</v>
      </c>
      <c r="J3064">
        <f t="shared" si="444"/>
        <v>2</v>
      </c>
      <c r="K3064">
        <v>42</v>
      </c>
      <c r="L3064">
        <v>20</v>
      </c>
      <c r="M3064" s="2">
        <v>2.1</v>
      </c>
      <c r="N3064" s="2">
        <v>3.1</v>
      </c>
      <c r="O3064">
        <v>0</v>
      </c>
      <c r="P3064">
        <v>3</v>
      </c>
      <c r="Q3064" t="s">
        <v>563</v>
      </c>
      <c r="R3064" s="8" t="s">
        <v>260</v>
      </c>
      <c r="S3064" t="str">
        <f t="shared" si="440"/>
        <v>FA</v>
      </c>
    </row>
    <row r="3065" spans="1:19" x14ac:dyDescent="0.3">
      <c r="A3065" t="s">
        <v>8</v>
      </c>
      <c r="B3065">
        <v>2016210006</v>
      </c>
      <c r="C3065" t="s">
        <v>61</v>
      </c>
      <c r="E3065" t="s">
        <v>105</v>
      </c>
      <c r="F3065" t="s">
        <v>106</v>
      </c>
      <c r="G3065">
        <v>2</v>
      </c>
      <c r="H3065" t="s">
        <v>260</v>
      </c>
      <c r="I3065" s="4">
        <f t="shared" si="443"/>
        <v>4</v>
      </c>
      <c r="J3065">
        <f t="shared" si="444"/>
        <v>8</v>
      </c>
      <c r="K3065">
        <v>80</v>
      </c>
      <c r="L3065">
        <v>24</v>
      </c>
      <c r="M3065" s="2">
        <v>3.33</v>
      </c>
      <c r="N3065" s="2">
        <v>3.1</v>
      </c>
      <c r="O3065">
        <v>1</v>
      </c>
      <c r="P3065">
        <v>10</v>
      </c>
      <c r="Q3065" t="s">
        <v>578</v>
      </c>
      <c r="R3065" s="8" t="s">
        <v>260</v>
      </c>
      <c r="S3065" t="str">
        <f t="shared" si="440"/>
        <v>PA</v>
      </c>
    </row>
    <row r="3066" spans="1:19" x14ac:dyDescent="0.3">
      <c r="A3066" t="s">
        <v>8</v>
      </c>
      <c r="B3066">
        <v>2016210006</v>
      </c>
      <c r="C3066" t="s">
        <v>61</v>
      </c>
      <c r="E3066" t="s">
        <v>250</v>
      </c>
      <c r="F3066" t="s">
        <v>251</v>
      </c>
      <c r="G3066">
        <v>2</v>
      </c>
      <c r="H3066" t="s">
        <v>539</v>
      </c>
      <c r="I3066" s="4">
        <f t="shared" si="443"/>
        <v>0</v>
      </c>
      <c r="J3066">
        <f t="shared" si="444"/>
        <v>0</v>
      </c>
      <c r="K3066">
        <v>1</v>
      </c>
      <c r="L3066">
        <v>6</v>
      </c>
      <c r="M3066" s="2">
        <v>0</v>
      </c>
      <c r="N3066" s="2">
        <v>3.1</v>
      </c>
      <c r="O3066">
        <v>0</v>
      </c>
      <c r="P3066">
        <v>10</v>
      </c>
      <c r="Q3066" s="4" t="str">
        <f>IF(P3066=1,"2016/2017-Ganjil",IF(P3066=2,"2016/2017-Genap",IF(P3066=3,"2017/2018-Ganjil",IF(P3066=4,"2017/2018-Genap",IF(P3066=5,"2018/2019-Ganjil",IF(P3066=6,"2018/2019-Genap",IF(P3066=7,"2019/2020-Ganjil",IF(P3066=8,"2019/2020-Genap",IF(P3066=9,"2020/2021-Ganjil",IF(P3066=10,"2020/2021-Genap",IF(P3066=11,"2021/2022-Ganjil",IF(P3066=12,"2021/2022-Genap",IF(P3066=13,"2022/2023-Ganjil","2022/2023-Genap")))))))))))))</f>
        <v>2020/2021-Genap</v>
      </c>
      <c r="R3066" s="8" t="s">
        <v>260</v>
      </c>
      <c r="S3066" t="str">
        <f t="shared" si="440"/>
        <v>FA</v>
      </c>
    </row>
    <row r="3067" spans="1:19" x14ac:dyDescent="0.3">
      <c r="A3067" t="s">
        <v>8</v>
      </c>
      <c r="B3067">
        <v>2016210006</v>
      </c>
      <c r="C3067" t="s">
        <v>61</v>
      </c>
      <c r="E3067" t="s">
        <v>80</v>
      </c>
      <c r="F3067" t="s">
        <v>81</v>
      </c>
      <c r="G3067">
        <v>4</v>
      </c>
      <c r="H3067" t="s">
        <v>539</v>
      </c>
      <c r="I3067" s="4">
        <f t="shared" si="443"/>
        <v>0</v>
      </c>
      <c r="J3067">
        <f t="shared" si="444"/>
        <v>0</v>
      </c>
      <c r="K3067">
        <v>1</v>
      </c>
      <c r="L3067">
        <v>6</v>
      </c>
      <c r="M3067" s="2">
        <v>0</v>
      </c>
      <c r="N3067" s="2">
        <v>3.1</v>
      </c>
      <c r="O3067">
        <v>2</v>
      </c>
      <c r="P3067">
        <v>10</v>
      </c>
      <c r="Q3067" s="4" t="str">
        <f>IF(P3067=1,"2016/2017-Ganjil",IF(P3067=2,"2016/2017-Genap",IF(P3067=3,"2017/2018-Ganjil",IF(P3067=4,"2017/2018-Genap",IF(P3067=5,"2018/2019-Ganjil",IF(P3067=6,"2018/2019-Genap",IF(P3067=7,"2019/2020-Ganjil",IF(P3067=8,"2019/2020-Genap",IF(P3067=9,"2020/2021-Ganjil",IF(P3067=10,"2020/2021-Genap",IF(P3067=11,"2021/2022-Ganjil",IF(P3067=12,"2021/2022-Genap",IF(P3067=13,"2022/2023-Ganjil","2022/2023-Genap")))))))))))))</f>
        <v>2020/2021-Genap</v>
      </c>
      <c r="R3067" s="8" t="s">
        <v>260</v>
      </c>
      <c r="S3067" t="str">
        <f t="shared" si="440"/>
        <v>FA</v>
      </c>
    </row>
    <row r="3068" spans="1:19" x14ac:dyDescent="0.3">
      <c r="A3068" t="s">
        <v>8</v>
      </c>
      <c r="B3068">
        <v>2016210006</v>
      </c>
      <c r="C3068" t="s">
        <v>61</v>
      </c>
      <c r="E3068" t="s">
        <v>80</v>
      </c>
      <c r="F3068" t="s">
        <v>81</v>
      </c>
      <c r="G3068">
        <v>4</v>
      </c>
      <c r="I3068" s="4"/>
      <c r="J3068">
        <f>G3068*I3068</f>
        <v>0</v>
      </c>
      <c r="K3068">
        <v>54</v>
      </c>
      <c r="L3068">
        <v>16</v>
      </c>
      <c r="M3068" s="2">
        <v>3.38</v>
      </c>
      <c r="N3068" s="2">
        <v>3.1</v>
      </c>
      <c r="O3068">
        <v>0</v>
      </c>
      <c r="P3068">
        <v>6</v>
      </c>
      <c r="Q3068" s="4" t="str">
        <f>IF(P3068=1,"2016/2017-Ganjil",IF(P3068=2,"2016/2017-Genap",IF(P3068=3,"2017/2018-Ganjil",IF(P3068=4,"2017/2018-Genap",IF(P3068=5,"2018/2019-Ganjil",IF(P3068=6,"2018/2019-Genap",IF(P3068=7,"2019/2020-Ganjil",IF(P3068=8,"2019/2020-Genap",IF(P3068=9,"2020/2021-Ganjil",IF(P3068=10,"2020/2021-Genap",IF(P3068=11,"2021/2022-Ganjil",IF(P3068=12,"2021/2022-Genap",IF(P3068=13,"2022/2023-Ganjil","2022/2023-Genap")))))))))))))</f>
        <v>2018/2019-Genap</v>
      </c>
      <c r="R3068" s="8" t="s">
        <v>260</v>
      </c>
      <c r="S3068" t="s">
        <v>595</v>
      </c>
    </row>
    <row r="3069" spans="1:19" x14ac:dyDescent="0.3">
      <c r="A3069" t="s">
        <v>8</v>
      </c>
      <c r="B3069">
        <v>2016210006</v>
      </c>
      <c r="C3069" t="s">
        <v>61</v>
      </c>
      <c r="E3069" t="s">
        <v>80</v>
      </c>
      <c r="F3069" t="s">
        <v>81</v>
      </c>
      <c r="G3069">
        <v>4</v>
      </c>
      <c r="I3069" s="4"/>
      <c r="J3069">
        <f>G3069*I3069</f>
        <v>0</v>
      </c>
      <c r="K3069">
        <v>24</v>
      </c>
      <c r="L3069">
        <v>8</v>
      </c>
      <c r="M3069" s="2">
        <v>3</v>
      </c>
      <c r="N3069" s="2">
        <v>3.1</v>
      </c>
      <c r="O3069">
        <v>1</v>
      </c>
      <c r="P3069">
        <v>8</v>
      </c>
      <c r="Q3069" s="4" t="str">
        <f>IF(P3069=1,"2016/2017-Ganjil",IF(P3069=2,"2016/2017-Genap",IF(P3069=3,"2017/2018-Ganjil",IF(P3069=4,"2017/2018-Genap",IF(P3069=5,"2018/2019-Ganjil",IF(P3069=6,"2018/2019-Genap",IF(P3069=7,"2019/2020-Ganjil",IF(P3069=8,"2019/2020-Genap",IF(P3069=9,"2020/2021-Ganjil",IF(P3069=10,"2020/2021-Genap",IF(P3069=11,"2021/2022-Ganjil",IF(P3069=12,"2021/2022-Genap",IF(P3069=13,"2022/2023-Ganjil","2022/2023-Genap")))))))))))))</f>
        <v>2019/2020-Genap</v>
      </c>
      <c r="R3069" s="8" t="s">
        <v>260</v>
      </c>
      <c r="S3069" t="s">
        <v>595</v>
      </c>
    </row>
    <row r="3070" spans="1:19" x14ac:dyDescent="0.3">
      <c r="A3070" t="s">
        <v>8</v>
      </c>
      <c r="B3070">
        <v>2016210006</v>
      </c>
      <c r="C3070" t="s">
        <v>61</v>
      </c>
      <c r="E3070" t="s">
        <v>80</v>
      </c>
      <c r="F3070" t="s">
        <v>81</v>
      </c>
      <c r="G3070">
        <v>4</v>
      </c>
      <c r="H3070" t="s">
        <v>260</v>
      </c>
      <c r="I3070" s="4">
        <f t="shared" ref="I3070" si="445">IF(H3070="A",4,IF(H3070="B",3,IF(H3070="C",2,IF(H3070="D",1,0))))</f>
        <v>4</v>
      </c>
      <c r="J3070">
        <f t="shared" ref="J3070" si="446">G3070*I3070</f>
        <v>16</v>
      </c>
      <c r="K3070">
        <v>80</v>
      </c>
      <c r="L3070">
        <v>24</v>
      </c>
      <c r="M3070" s="2">
        <v>3.33</v>
      </c>
      <c r="N3070" s="2">
        <v>3.1</v>
      </c>
      <c r="O3070">
        <v>3</v>
      </c>
      <c r="P3070">
        <v>10</v>
      </c>
      <c r="Q3070" t="s">
        <v>578</v>
      </c>
      <c r="R3070" s="8" t="s">
        <v>260</v>
      </c>
      <c r="S3070" t="str">
        <f t="shared" ref="S3070:S3132" si="447">IF(OR(H3070="A",H3070="B",H3070="C"),"PA","FA")</f>
        <v>PA</v>
      </c>
    </row>
    <row r="3071" spans="1:19" x14ac:dyDescent="0.3">
      <c r="A3071" t="s">
        <v>8</v>
      </c>
      <c r="B3071">
        <v>2016210006</v>
      </c>
      <c r="C3071" t="s">
        <v>61</v>
      </c>
      <c r="E3071" t="s">
        <v>250</v>
      </c>
      <c r="F3071" t="s">
        <v>251</v>
      </c>
      <c r="G3071">
        <v>2</v>
      </c>
      <c r="H3071" t="s">
        <v>438</v>
      </c>
      <c r="I3071" s="4">
        <f t="shared" ref="I3071:I3132" si="448">IF(H3071="A",4,IF(H3071="B",3,IF(H3071="C",2,IF(H3071="D",1,0))))</f>
        <v>3</v>
      </c>
      <c r="J3071">
        <f t="shared" ref="J3071:J3132" si="449">G3071*I3071</f>
        <v>6</v>
      </c>
      <c r="K3071">
        <v>80</v>
      </c>
      <c r="L3071">
        <v>24</v>
      </c>
      <c r="M3071" s="2">
        <v>3.33</v>
      </c>
      <c r="N3071" s="2">
        <v>3.1</v>
      </c>
      <c r="O3071">
        <v>1</v>
      </c>
      <c r="P3071">
        <v>10</v>
      </c>
      <c r="Q3071" t="s">
        <v>578</v>
      </c>
      <c r="R3071" s="8" t="s">
        <v>260</v>
      </c>
      <c r="S3071" t="str">
        <f t="shared" si="447"/>
        <v>PA</v>
      </c>
    </row>
    <row r="3072" spans="1:19" x14ac:dyDescent="0.3">
      <c r="A3072" t="s">
        <v>8</v>
      </c>
      <c r="B3072">
        <v>2016210006</v>
      </c>
      <c r="C3072" t="s">
        <v>61</v>
      </c>
      <c r="E3072" t="s">
        <v>369</v>
      </c>
      <c r="F3072" t="s">
        <v>307</v>
      </c>
      <c r="G3072">
        <v>2</v>
      </c>
      <c r="H3072" t="s">
        <v>260</v>
      </c>
      <c r="I3072" s="4">
        <f t="shared" si="448"/>
        <v>4</v>
      </c>
      <c r="J3072">
        <f t="shared" si="449"/>
        <v>8</v>
      </c>
      <c r="K3072">
        <v>54</v>
      </c>
      <c r="L3072">
        <v>16</v>
      </c>
      <c r="M3072" s="2">
        <v>3.38</v>
      </c>
      <c r="N3072" s="2">
        <v>3.1</v>
      </c>
      <c r="O3072">
        <v>1</v>
      </c>
      <c r="P3072">
        <v>6</v>
      </c>
      <c r="Q3072" t="s">
        <v>567</v>
      </c>
      <c r="R3072" s="8" t="s">
        <v>260</v>
      </c>
      <c r="S3072" t="str">
        <f t="shared" si="447"/>
        <v>PA</v>
      </c>
    </row>
    <row r="3073" spans="1:19" x14ac:dyDescent="0.3">
      <c r="A3073" t="s">
        <v>8</v>
      </c>
      <c r="B3073">
        <v>2016210006</v>
      </c>
      <c r="C3073" t="s">
        <v>61</v>
      </c>
      <c r="E3073" t="s">
        <v>369</v>
      </c>
      <c r="F3073" t="s">
        <v>307</v>
      </c>
      <c r="G3073">
        <v>2</v>
      </c>
      <c r="H3073" t="s">
        <v>539</v>
      </c>
      <c r="I3073" s="4">
        <f t="shared" si="448"/>
        <v>0</v>
      </c>
      <c r="J3073">
        <f t="shared" si="449"/>
        <v>0</v>
      </c>
      <c r="K3073">
        <v>40</v>
      </c>
      <c r="L3073">
        <v>18</v>
      </c>
      <c r="M3073" s="2">
        <v>2.2200000000000002</v>
      </c>
      <c r="N3073" s="2">
        <v>3.1</v>
      </c>
      <c r="O3073">
        <v>0</v>
      </c>
      <c r="P3073">
        <v>4</v>
      </c>
      <c r="Q3073" s="4" t="str">
        <f>IF(P3073=1,"2016/2017-Ganjil",IF(P3073=2,"2016/2017-Genap",IF(P3073=3,"2017/2018-Ganjil",IF(P3073=4,"2017/2018-Genap",IF(P3073=5,"2018/2019-Ganjil",IF(P3073=6,"2018/2019-Genap",IF(P3073=7,"2019/2020-Ganjil",IF(P3073=8,"2019/2020-Genap",IF(P3073=9,"2020/2021-Ganjil",IF(P3073=10,"2020/2021-Genap",IF(P3073=11,"2021/2022-Ganjil",IF(P3073=12,"2021/2022-Genap",IF(P3073=13,"2022/2023-Ganjil","2022/2023-Genap")))))))))))))</f>
        <v>2017/2018-Genap</v>
      </c>
      <c r="R3073" s="8" t="s">
        <v>260</v>
      </c>
      <c r="S3073" t="str">
        <f t="shared" si="447"/>
        <v>FA</v>
      </c>
    </row>
    <row r="3074" spans="1:19" x14ac:dyDescent="0.3">
      <c r="A3074" t="s">
        <v>8</v>
      </c>
      <c r="B3074">
        <v>2016210007</v>
      </c>
      <c r="C3074" t="s">
        <v>277</v>
      </c>
      <c r="E3074" t="s">
        <v>246</v>
      </c>
      <c r="F3074" t="s">
        <v>247</v>
      </c>
      <c r="G3074">
        <v>4</v>
      </c>
      <c r="H3074" t="s">
        <v>260</v>
      </c>
      <c r="I3074" s="4">
        <f t="shared" si="448"/>
        <v>4</v>
      </c>
      <c r="J3074">
        <f t="shared" si="449"/>
        <v>16</v>
      </c>
      <c r="K3074">
        <v>60</v>
      </c>
      <c r="L3074">
        <v>20</v>
      </c>
      <c r="M3074" s="2">
        <v>3</v>
      </c>
      <c r="N3074">
        <v>2.99</v>
      </c>
      <c r="O3074">
        <v>0</v>
      </c>
      <c r="P3074">
        <v>4</v>
      </c>
      <c r="Q3074" t="s">
        <v>565</v>
      </c>
      <c r="R3074" s="8" t="s">
        <v>260</v>
      </c>
      <c r="S3074" t="str">
        <f t="shared" si="447"/>
        <v>PA</v>
      </c>
    </row>
    <row r="3075" spans="1:19" x14ac:dyDescent="0.3">
      <c r="A3075" t="s">
        <v>8</v>
      </c>
      <c r="B3075">
        <v>2016210007</v>
      </c>
      <c r="C3075" t="s">
        <v>277</v>
      </c>
      <c r="E3075" t="s">
        <v>266</v>
      </c>
      <c r="F3075" t="s">
        <v>91</v>
      </c>
      <c r="G3075">
        <v>2</v>
      </c>
      <c r="H3075" t="s">
        <v>260</v>
      </c>
      <c r="I3075" s="4">
        <f t="shared" si="448"/>
        <v>4</v>
      </c>
      <c r="J3075">
        <f t="shared" si="449"/>
        <v>8</v>
      </c>
      <c r="K3075">
        <v>44</v>
      </c>
      <c r="L3075">
        <v>18</v>
      </c>
      <c r="M3075">
        <v>2.44</v>
      </c>
      <c r="N3075">
        <v>2.99</v>
      </c>
      <c r="O3075">
        <v>0</v>
      </c>
      <c r="P3075">
        <v>2</v>
      </c>
      <c r="Q3075" t="s">
        <v>559</v>
      </c>
      <c r="R3075" s="8" t="s">
        <v>260</v>
      </c>
      <c r="S3075" t="str">
        <f t="shared" si="447"/>
        <v>PA</v>
      </c>
    </row>
    <row r="3076" spans="1:19" x14ac:dyDescent="0.3">
      <c r="A3076" t="s">
        <v>8</v>
      </c>
      <c r="B3076">
        <v>2016210007</v>
      </c>
      <c r="C3076" t="s">
        <v>277</v>
      </c>
      <c r="E3076" t="s">
        <v>185</v>
      </c>
      <c r="F3076" t="s">
        <v>186</v>
      </c>
      <c r="G3076">
        <v>4</v>
      </c>
      <c r="H3076" t="s">
        <v>260</v>
      </c>
      <c r="I3076" s="4">
        <f t="shared" si="448"/>
        <v>4</v>
      </c>
      <c r="J3076">
        <f t="shared" si="449"/>
        <v>16</v>
      </c>
      <c r="K3076">
        <v>34</v>
      </c>
      <c r="L3076">
        <v>10</v>
      </c>
      <c r="M3076" s="2">
        <v>3.4</v>
      </c>
      <c r="N3076">
        <v>2.99</v>
      </c>
      <c r="O3076">
        <v>0</v>
      </c>
      <c r="P3076">
        <v>7</v>
      </c>
      <c r="Q3076" t="s">
        <v>568</v>
      </c>
      <c r="R3076" s="8" t="s">
        <v>260</v>
      </c>
      <c r="S3076" t="str">
        <f t="shared" si="447"/>
        <v>PA</v>
      </c>
    </row>
    <row r="3077" spans="1:19" x14ac:dyDescent="0.3">
      <c r="A3077" t="s">
        <v>8</v>
      </c>
      <c r="B3077">
        <v>2016210007</v>
      </c>
      <c r="C3077" t="s">
        <v>277</v>
      </c>
      <c r="E3077" t="s">
        <v>352</v>
      </c>
      <c r="F3077" t="s">
        <v>353</v>
      </c>
      <c r="G3077">
        <v>2</v>
      </c>
      <c r="H3077" t="s">
        <v>260</v>
      </c>
      <c r="I3077" s="4">
        <f t="shared" si="448"/>
        <v>4</v>
      </c>
      <c r="J3077">
        <f t="shared" si="449"/>
        <v>8</v>
      </c>
      <c r="K3077">
        <v>76</v>
      </c>
      <c r="L3077">
        <v>24</v>
      </c>
      <c r="M3077">
        <v>3.17</v>
      </c>
      <c r="N3077">
        <v>2.99</v>
      </c>
      <c r="O3077">
        <v>0</v>
      </c>
      <c r="P3077">
        <v>5</v>
      </c>
      <c r="Q3077" t="s">
        <v>566</v>
      </c>
      <c r="R3077" s="8" t="s">
        <v>260</v>
      </c>
      <c r="S3077" t="str">
        <f t="shared" si="447"/>
        <v>PA</v>
      </c>
    </row>
    <row r="3078" spans="1:19" x14ac:dyDescent="0.3">
      <c r="A3078" t="s">
        <v>8</v>
      </c>
      <c r="B3078">
        <v>2016210007</v>
      </c>
      <c r="C3078" t="s">
        <v>277</v>
      </c>
      <c r="E3078" t="s">
        <v>242</v>
      </c>
      <c r="F3078" t="s">
        <v>166</v>
      </c>
      <c r="G3078">
        <v>2</v>
      </c>
      <c r="H3078" t="s">
        <v>260</v>
      </c>
      <c r="I3078" s="4">
        <f t="shared" si="448"/>
        <v>4</v>
      </c>
      <c r="J3078">
        <f t="shared" si="449"/>
        <v>8</v>
      </c>
      <c r="K3078">
        <v>60</v>
      </c>
      <c r="L3078">
        <v>20</v>
      </c>
      <c r="M3078" s="2">
        <v>3</v>
      </c>
      <c r="N3078">
        <v>2.99</v>
      </c>
      <c r="O3078">
        <v>0</v>
      </c>
      <c r="P3078">
        <v>4</v>
      </c>
      <c r="Q3078" t="s">
        <v>565</v>
      </c>
      <c r="R3078" s="8" t="s">
        <v>260</v>
      </c>
      <c r="S3078" t="str">
        <f t="shared" si="447"/>
        <v>PA</v>
      </c>
    </row>
    <row r="3079" spans="1:19" x14ac:dyDescent="0.3">
      <c r="A3079" t="s">
        <v>8</v>
      </c>
      <c r="B3079">
        <v>2016210007</v>
      </c>
      <c r="C3079" t="s">
        <v>277</v>
      </c>
      <c r="E3079" t="s">
        <v>597</v>
      </c>
      <c r="F3079" t="s">
        <v>275</v>
      </c>
      <c r="G3079">
        <v>2</v>
      </c>
      <c r="H3079" t="s">
        <v>260</v>
      </c>
      <c r="I3079" s="4">
        <f t="shared" si="448"/>
        <v>4</v>
      </c>
      <c r="J3079">
        <f t="shared" si="449"/>
        <v>8</v>
      </c>
      <c r="K3079">
        <v>60</v>
      </c>
      <c r="L3079">
        <v>20</v>
      </c>
      <c r="M3079" s="2">
        <v>3</v>
      </c>
      <c r="N3079">
        <v>2.99</v>
      </c>
      <c r="O3079">
        <v>0</v>
      </c>
      <c r="P3079">
        <v>4</v>
      </c>
      <c r="Q3079" t="s">
        <v>565</v>
      </c>
      <c r="R3079" s="8" t="s">
        <v>260</v>
      </c>
      <c r="S3079" t="str">
        <f t="shared" si="447"/>
        <v>PA</v>
      </c>
    </row>
    <row r="3080" spans="1:19" x14ac:dyDescent="0.3">
      <c r="A3080" t="s">
        <v>8</v>
      </c>
      <c r="B3080">
        <v>2016210007</v>
      </c>
      <c r="C3080" t="s">
        <v>277</v>
      </c>
      <c r="E3080" t="s">
        <v>362</v>
      </c>
      <c r="F3080" t="s">
        <v>363</v>
      </c>
      <c r="G3080">
        <v>2</v>
      </c>
      <c r="H3080" t="s">
        <v>260</v>
      </c>
      <c r="I3080" s="4">
        <f t="shared" si="448"/>
        <v>4</v>
      </c>
      <c r="J3080">
        <f t="shared" si="449"/>
        <v>8</v>
      </c>
      <c r="K3080">
        <v>76</v>
      </c>
      <c r="L3080">
        <v>24</v>
      </c>
      <c r="M3080">
        <v>3.17</v>
      </c>
      <c r="N3080">
        <v>2.99</v>
      </c>
      <c r="O3080">
        <v>0</v>
      </c>
      <c r="P3080">
        <v>5</v>
      </c>
      <c r="Q3080" t="s">
        <v>566</v>
      </c>
      <c r="R3080" s="8" t="s">
        <v>260</v>
      </c>
      <c r="S3080" t="str">
        <f t="shared" si="447"/>
        <v>PA</v>
      </c>
    </row>
    <row r="3081" spans="1:19" x14ac:dyDescent="0.3">
      <c r="A3081" t="s">
        <v>8</v>
      </c>
      <c r="B3081">
        <v>2016210007</v>
      </c>
      <c r="C3081" t="s">
        <v>277</v>
      </c>
      <c r="E3081" t="s">
        <v>77</v>
      </c>
      <c r="F3081" t="s">
        <v>78</v>
      </c>
      <c r="G3081">
        <v>2</v>
      </c>
      <c r="H3081" t="s">
        <v>260</v>
      </c>
      <c r="I3081" s="4">
        <f t="shared" si="448"/>
        <v>4</v>
      </c>
      <c r="J3081">
        <f t="shared" si="449"/>
        <v>8</v>
      </c>
      <c r="K3081">
        <v>60</v>
      </c>
      <c r="L3081">
        <v>20</v>
      </c>
      <c r="M3081" s="2">
        <v>3</v>
      </c>
      <c r="N3081">
        <v>2.99</v>
      </c>
      <c r="O3081">
        <v>0</v>
      </c>
      <c r="P3081">
        <v>1</v>
      </c>
      <c r="Q3081" t="s">
        <v>558</v>
      </c>
      <c r="R3081" s="8" t="s">
        <v>260</v>
      </c>
      <c r="S3081" t="str">
        <f t="shared" si="447"/>
        <v>PA</v>
      </c>
    </row>
    <row r="3082" spans="1:19" x14ac:dyDescent="0.3">
      <c r="A3082" t="s">
        <v>8</v>
      </c>
      <c r="B3082">
        <v>2016210007</v>
      </c>
      <c r="C3082" t="s">
        <v>277</v>
      </c>
      <c r="E3082" t="s">
        <v>202</v>
      </c>
      <c r="F3082" t="s">
        <v>203</v>
      </c>
      <c r="G3082">
        <v>4</v>
      </c>
      <c r="H3082" t="s">
        <v>260</v>
      </c>
      <c r="I3082" s="4">
        <f t="shared" si="448"/>
        <v>4</v>
      </c>
      <c r="J3082">
        <f t="shared" si="449"/>
        <v>16</v>
      </c>
      <c r="K3082">
        <v>60</v>
      </c>
      <c r="L3082">
        <v>20</v>
      </c>
      <c r="M3082" s="2">
        <v>3</v>
      </c>
      <c r="N3082">
        <v>2.99</v>
      </c>
      <c r="O3082">
        <v>0</v>
      </c>
      <c r="P3082">
        <v>1</v>
      </c>
      <c r="Q3082" t="s">
        <v>558</v>
      </c>
      <c r="R3082" s="8" t="s">
        <v>260</v>
      </c>
      <c r="S3082" t="str">
        <f t="shared" si="447"/>
        <v>PA</v>
      </c>
    </row>
    <row r="3083" spans="1:19" x14ac:dyDescent="0.3">
      <c r="A3083" t="s">
        <v>8</v>
      </c>
      <c r="B3083">
        <v>2016210007</v>
      </c>
      <c r="C3083" t="s">
        <v>277</v>
      </c>
      <c r="E3083" t="s">
        <v>131</v>
      </c>
      <c r="F3083" t="s">
        <v>132</v>
      </c>
      <c r="G3083">
        <v>2</v>
      </c>
      <c r="H3083" t="s">
        <v>260</v>
      </c>
      <c r="I3083" s="4">
        <f t="shared" si="448"/>
        <v>4</v>
      </c>
      <c r="J3083">
        <f t="shared" si="449"/>
        <v>8</v>
      </c>
      <c r="K3083">
        <v>60</v>
      </c>
      <c r="L3083">
        <v>20</v>
      </c>
      <c r="M3083" s="2">
        <v>3</v>
      </c>
      <c r="N3083">
        <v>2.99</v>
      </c>
      <c r="O3083">
        <v>0</v>
      </c>
      <c r="P3083">
        <v>1</v>
      </c>
      <c r="Q3083" t="s">
        <v>558</v>
      </c>
      <c r="R3083" s="8" t="s">
        <v>260</v>
      </c>
      <c r="S3083" t="str">
        <f t="shared" si="447"/>
        <v>PA</v>
      </c>
    </row>
    <row r="3084" spans="1:19" x14ac:dyDescent="0.3">
      <c r="A3084" t="s">
        <v>8</v>
      </c>
      <c r="B3084">
        <v>2016210007</v>
      </c>
      <c r="C3084" t="s">
        <v>277</v>
      </c>
      <c r="E3084" t="s">
        <v>279</v>
      </c>
      <c r="F3084" t="s">
        <v>280</v>
      </c>
      <c r="G3084">
        <v>2</v>
      </c>
      <c r="H3084" t="s">
        <v>438</v>
      </c>
      <c r="I3084" s="4">
        <f t="shared" si="448"/>
        <v>3</v>
      </c>
      <c r="J3084">
        <f t="shared" si="449"/>
        <v>6</v>
      </c>
      <c r="K3084">
        <v>44</v>
      </c>
      <c r="L3084">
        <v>18</v>
      </c>
      <c r="M3084">
        <v>2.44</v>
      </c>
      <c r="N3084">
        <v>2.99</v>
      </c>
      <c r="O3084">
        <v>0</v>
      </c>
      <c r="P3084">
        <v>2</v>
      </c>
      <c r="Q3084" t="s">
        <v>559</v>
      </c>
      <c r="R3084" s="8" t="s">
        <v>260</v>
      </c>
      <c r="S3084" t="str">
        <f t="shared" si="447"/>
        <v>PA</v>
      </c>
    </row>
    <row r="3085" spans="1:19" x14ac:dyDescent="0.3">
      <c r="A3085" t="s">
        <v>8</v>
      </c>
      <c r="B3085">
        <v>2016210007</v>
      </c>
      <c r="C3085" t="s">
        <v>277</v>
      </c>
      <c r="E3085" t="s">
        <v>188</v>
      </c>
      <c r="F3085" t="s">
        <v>189</v>
      </c>
      <c r="G3085">
        <v>4</v>
      </c>
      <c r="H3085" t="s">
        <v>438</v>
      </c>
      <c r="I3085" s="4">
        <f t="shared" si="448"/>
        <v>3</v>
      </c>
      <c r="J3085">
        <f t="shared" si="449"/>
        <v>12</v>
      </c>
      <c r="K3085">
        <v>76</v>
      </c>
      <c r="L3085">
        <v>24</v>
      </c>
      <c r="M3085">
        <v>3.17</v>
      </c>
      <c r="N3085">
        <v>2.99</v>
      </c>
      <c r="O3085">
        <v>0</v>
      </c>
      <c r="P3085">
        <v>5</v>
      </c>
      <c r="Q3085" t="s">
        <v>566</v>
      </c>
      <c r="R3085" s="8" t="s">
        <v>260</v>
      </c>
      <c r="S3085" t="str">
        <f t="shared" si="447"/>
        <v>PA</v>
      </c>
    </row>
    <row r="3086" spans="1:19" x14ac:dyDescent="0.3">
      <c r="A3086" t="s">
        <v>8</v>
      </c>
      <c r="B3086">
        <v>2016210007</v>
      </c>
      <c r="C3086" t="s">
        <v>277</v>
      </c>
      <c r="E3086" t="s">
        <v>219</v>
      </c>
      <c r="F3086" t="s">
        <v>473</v>
      </c>
      <c r="G3086">
        <v>2</v>
      </c>
      <c r="H3086" t="s">
        <v>438</v>
      </c>
      <c r="I3086" s="4">
        <f t="shared" si="448"/>
        <v>3</v>
      </c>
      <c r="J3086">
        <f t="shared" si="449"/>
        <v>6</v>
      </c>
      <c r="K3086">
        <v>34</v>
      </c>
      <c r="L3086">
        <v>10</v>
      </c>
      <c r="M3086" s="2">
        <v>3.4</v>
      </c>
      <c r="N3086">
        <v>2.99</v>
      </c>
      <c r="O3086">
        <v>0</v>
      </c>
      <c r="P3086">
        <v>7</v>
      </c>
      <c r="Q3086" t="s">
        <v>568</v>
      </c>
      <c r="R3086" s="8" t="s">
        <v>260</v>
      </c>
      <c r="S3086" t="str">
        <f t="shared" si="447"/>
        <v>PA</v>
      </c>
    </row>
    <row r="3087" spans="1:19" x14ac:dyDescent="0.3">
      <c r="A3087" t="s">
        <v>8</v>
      </c>
      <c r="B3087">
        <v>2016210007</v>
      </c>
      <c r="C3087" t="s">
        <v>277</v>
      </c>
      <c r="E3087" t="s">
        <v>391</v>
      </c>
      <c r="F3087" t="s">
        <v>392</v>
      </c>
      <c r="G3087">
        <v>2</v>
      </c>
      <c r="H3087" t="s">
        <v>438</v>
      </c>
      <c r="I3087" s="4">
        <f t="shared" si="448"/>
        <v>3</v>
      </c>
      <c r="J3087">
        <f t="shared" si="449"/>
        <v>6</v>
      </c>
      <c r="K3087">
        <v>76</v>
      </c>
      <c r="L3087">
        <v>24</v>
      </c>
      <c r="M3087">
        <v>3.17</v>
      </c>
      <c r="N3087">
        <v>2.99</v>
      </c>
      <c r="O3087">
        <v>0</v>
      </c>
      <c r="P3087">
        <v>5</v>
      </c>
      <c r="Q3087" t="s">
        <v>566</v>
      </c>
      <c r="R3087" s="8" t="s">
        <v>260</v>
      </c>
      <c r="S3087" t="str">
        <f t="shared" si="447"/>
        <v>PA</v>
      </c>
    </row>
    <row r="3088" spans="1:19" x14ac:dyDescent="0.3">
      <c r="A3088" t="s">
        <v>8</v>
      </c>
      <c r="B3088">
        <v>2016210007</v>
      </c>
      <c r="C3088" t="s">
        <v>277</v>
      </c>
      <c r="E3088" t="s">
        <v>19</v>
      </c>
      <c r="F3088" t="s">
        <v>20</v>
      </c>
      <c r="G3088">
        <v>6</v>
      </c>
      <c r="H3088" t="s">
        <v>438</v>
      </c>
      <c r="I3088" s="4">
        <f t="shared" si="448"/>
        <v>3</v>
      </c>
      <c r="J3088">
        <f t="shared" si="449"/>
        <v>18</v>
      </c>
      <c r="K3088">
        <v>26</v>
      </c>
      <c r="L3088">
        <v>10</v>
      </c>
      <c r="M3088" s="2">
        <v>2.6</v>
      </c>
      <c r="N3088">
        <v>2.99</v>
      </c>
      <c r="O3088">
        <v>0</v>
      </c>
      <c r="P3088">
        <v>8</v>
      </c>
      <c r="Q3088" t="s">
        <v>569</v>
      </c>
      <c r="R3088" t="s">
        <v>596</v>
      </c>
      <c r="S3088" t="str">
        <f t="shared" si="447"/>
        <v>PA</v>
      </c>
    </row>
    <row r="3089" spans="1:19" x14ac:dyDescent="0.3">
      <c r="A3089" t="s">
        <v>8</v>
      </c>
      <c r="B3089">
        <v>2016210007</v>
      </c>
      <c r="C3089" t="s">
        <v>277</v>
      </c>
      <c r="E3089" t="s">
        <v>163</v>
      </c>
      <c r="F3089" t="s">
        <v>164</v>
      </c>
      <c r="G3089">
        <v>2</v>
      </c>
      <c r="H3089" t="s">
        <v>438</v>
      </c>
      <c r="I3089" s="4">
        <f t="shared" si="448"/>
        <v>3</v>
      </c>
      <c r="J3089">
        <f t="shared" si="449"/>
        <v>6</v>
      </c>
      <c r="K3089">
        <v>60</v>
      </c>
      <c r="L3089">
        <v>20</v>
      </c>
      <c r="M3089" s="2">
        <v>3</v>
      </c>
      <c r="N3089">
        <v>2.99</v>
      </c>
      <c r="O3089">
        <v>0</v>
      </c>
      <c r="P3089">
        <v>1</v>
      </c>
      <c r="Q3089" t="s">
        <v>558</v>
      </c>
      <c r="R3089" s="8" t="s">
        <v>260</v>
      </c>
      <c r="S3089" t="str">
        <f t="shared" si="447"/>
        <v>PA</v>
      </c>
    </row>
    <row r="3090" spans="1:19" x14ac:dyDescent="0.3">
      <c r="A3090" t="s">
        <v>8</v>
      </c>
      <c r="B3090">
        <v>2016210007</v>
      </c>
      <c r="C3090" t="s">
        <v>277</v>
      </c>
      <c r="E3090" t="s">
        <v>393</v>
      </c>
      <c r="F3090" t="s">
        <v>436</v>
      </c>
      <c r="G3090">
        <v>2</v>
      </c>
      <c r="H3090" t="s">
        <v>438</v>
      </c>
      <c r="I3090" s="4">
        <f t="shared" si="448"/>
        <v>3</v>
      </c>
      <c r="J3090">
        <f t="shared" si="449"/>
        <v>6</v>
      </c>
      <c r="K3090">
        <v>76</v>
      </c>
      <c r="L3090">
        <v>24</v>
      </c>
      <c r="M3090">
        <v>3.17</v>
      </c>
      <c r="N3090">
        <v>2.99</v>
      </c>
      <c r="O3090">
        <v>0</v>
      </c>
      <c r="P3090">
        <v>5</v>
      </c>
      <c r="Q3090" t="s">
        <v>566</v>
      </c>
      <c r="R3090" s="8" t="s">
        <v>260</v>
      </c>
      <c r="S3090" t="str">
        <f t="shared" si="447"/>
        <v>PA</v>
      </c>
    </row>
    <row r="3091" spans="1:19" x14ac:dyDescent="0.3">
      <c r="A3091" t="s">
        <v>8</v>
      </c>
      <c r="B3091">
        <v>2016210007</v>
      </c>
      <c r="C3091" t="s">
        <v>277</v>
      </c>
      <c r="E3091" t="s">
        <v>147</v>
      </c>
      <c r="F3091" t="s">
        <v>148</v>
      </c>
      <c r="G3091">
        <v>4</v>
      </c>
      <c r="H3091" t="s">
        <v>438</v>
      </c>
      <c r="I3091" s="4">
        <f t="shared" si="448"/>
        <v>3</v>
      </c>
      <c r="J3091">
        <f t="shared" si="449"/>
        <v>12</v>
      </c>
      <c r="K3091">
        <v>60</v>
      </c>
      <c r="L3091">
        <v>20</v>
      </c>
      <c r="M3091" s="2">
        <v>3</v>
      </c>
      <c r="N3091">
        <v>2.99</v>
      </c>
      <c r="O3091">
        <v>0</v>
      </c>
      <c r="P3091">
        <v>1</v>
      </c>
      <c r="Q3091" t="s">
        <v>558</v>
      </c>
      <c r="R3091" s="8" t="s">
        <v>260</v>
      </c>
      <c r="S3091" t="str">
        <f t="shared" si="447"/>
        <v>PA</v>
      </c>
    </row>
    <row r="3092" spans="1:19" x14ac:dyDescent="0.3">
      <c r="A3092" t="s">
        <v>8</v>
      </c>
      <c r="B3092">
        <v>2016210007</v>
      </c>
      <c r="C3092" t="s">
        <v>277</v>
      </c>
      <c r="E3092" t="s">
        <v>17</v>
      </c>
      <c r="F3092" t="s">
        <v>11</v>
      </c>
      <c r="G3092">
        <v>2</v>
      </c>
      <c r="H3092" t="s">
        <v>438</v>
      </c>
      <c r="I3092" s="4">
        <f t="shared" si="448"/>
        <v>3</v>
      </c>
      <c r="J3092">
        <f t="shared" si="449"/>
        <v>6</v>
      </c>
      <c r="K3092">
        <v>56</v>
      </c>
      <c r="L3092">
        <v>24</v>
      </c>
      <c r="M3092">
        <v>2.33</v>
      </c>
      <c r="N3092">
        <v>2.99</v>
      </c>
      <c r="O3092">
        <v>0</v>
      </c>
      <c r="P3092">
        <v>6</v>
      </c>
      <c r="Q3092" t="s">
        <v>567</v>
      </c>
      <c r="R3092" s="8" t="s">
        <v>260</v>
      </c>
      <c r="S3092" t="str">
        <f t="shared" si="447"/>
        <v>PA</v>
      </c>
    </row>
    <row r="3093" spans="1:19" x14ac:dyDescent="0.3">
      <c r="A3093" t="s">
        <v>8</v>
      </c>
      <c r="B3093">
        <v>2016210007</v>
      </c>
      <c r="C3093" t="s">
        <v>277</v>
      </c>
      <c r="E3093" t="s">
        <v>117</v>
      </c>
      <c r="F3093" t="s">
        <v>118</v>
      </c>
      <c r="G3093">
        <v>2</v>
      </c>
      <c r="H3093" t="s">
        <v>438</v>
      </c>
      <c r="I3093" s="4">
        <f t="shared" si="448"/>
        <v>3</v>
      </c>
      <c r="J3093">
        <f t="shared" si="449"/>
        <v>6</v>
      </c>
      <c r="K3093">
        <v>44</v>
      </c>
      <c r="L3093">
        <v>18</v>
      </c>
      <c r="M3093">
        <v>2.44</v>
      </c>
      <c r="N3093">
        <v>2.99</v>
      </c>
      <c r="O3093">
        <v>0</v>
      </c>
      <c r="P3093">
        <v>2</v>
      </c>
      <c r="Q3093" t="s">
        <v>559</v>
      </c>
      <c r="R3093" s="8" t="s">
        <v>260</v>
      </c>
      <c r="S3093" t="str">
        <f t="shared" si="447"/>
        <v>PA</v>
      </c>
    </row>
    <row r="3094" spans="1:19" x14ac:dyDescent="0.3">
      <c r="A3094" t="s">
        <v>8</v>
      </c>
      <c r="B3094">
        <v>2016210007</v>
      </c>
      <c r="C3094" t="s">
        <v>277</v>
      </c>
      <c r="E3094" t="s">
        <v>222</v>
      </c>
      <c r="F3094" t="s">
        <v>223</v>
      </c>
      <c r="G3094">
        <v>2</v>
      </c>
      <c r="H3094" t="s">
        <v>438</v>
      </c>
      <c r="I3094" s="4">
        <f t="shared" si="448"/>
        <v>3</v>
      </c>
      <c r="J3094">
        <f t="shared" si="449"/>
        <v>6</v>
      </c>
      <c r="K3094">
        <v>56</v>
      </c>
      <c r="L3094">
        <v>24</v>
      </c>
      <c r="M3094">
        <v>2.33</v>
      </c>
      <c r="N3094">
        <v>2.99</v>
      </c>
      <c r="O3094">
        <v>0</v>
      </c>
      <c r="P3094">
        <v>6</v>
      </c>
      <c r="Q3094" t="s">
        <v>567</v>
      </c>
      <c r="R3094" s="8" t="s">
        <v>260</v>
      </c>
      <c r="S3094" t="str">
        <f t="shared" si="447"/>
        <v>PA</v>
      </c>
    </row>
    <row r="3095" spans="1:19" x14ac:dyDescent="0.3">
      <c r="A3095" t="s">
        <v>8</v>
      </c>
      <c r="B3095">
        <v>2016210007</v>
      </c>
      <c r="C3095" t="s">
        <v>277</v>
      </c>
      <c r="E3095" t="s">
        <v>355</v>
      </c>
      <c r="F3095" t="s">
        <v>274</v>
      </c>
      <c r="G3095">
        <v>2</v>
      </c>
      <c r="H3095" t="s">
        <v>438</v>
      </c>
      <c r="I3095" s="4">
        <f t="shared" si="448"/>
        <v>3</v>
      </c>
      <c r="J3095">
        <f t="shared" si="449"/>
        <v>6</v>
      </c>
      <c r="K3095">
        <v>60</v>
      </c>
      <c r="L3095">
        <v>20</v>
      </c>
      <c r="M3095" s="2">
        <v>3</v>
      </c>
      <c r="N3095">
        <v>2.99</v>
      </c>
      <c r="O3095">
        <v>0</v>
      </c>
      <c r="P3095">
        <v>4</v>
      </c>
      <c r="Q3095" t="s">
        <v>565</v>
      </c>
      <c r="R3095" s="8" t="s">
        <v>260</v>
      </c>
      <c r="S3095" t="str">
        <f t="shared" si="447"/>
        <v>PA</v>
      </c>
    </row>
    <row r="3096" spans="1:19" x14ac:dyDescent="0.3">
      <c r="A3096" t="s">
        <v>8</v>
      </c>
      <c r="B3096">
        <v>2016210007</v>
      </c>
      <c r="C3096" t="s">
        <v>277</v>
      </c>
      <c r="E3096" t="s">
        <v>87</v>
      </c>
      <c r="F3096" t="s">
        <v>88</v>
      </c>
      <c r="G3096">
        <v>2</v>
      </c>
      <c r="H3096" t="s">
        <v>438</v>
      </c>
      <c r="I3096" s="4">
        <f t="shared" si="448"/>
        <v>3</v>
      </c>
      <c r="J3096">
        <f t="shared" si="449"/>
        <v>6</v>
      </c>
      <c r="K3096">
        <v>56</v>
      </c>
      <c r="L3096">
        <v>24</v>
      </c>
      <c r="M3096">
        <v>2.33</v>
      </c>
      <c r="N3096">
        <v>2.99</v>
      </c>
      <c r="O3096">
        <v>0</v>
      </c>
      <c r="P3096">
        <v>6</v>
      </c>
      <c r="Q3096" t="s">
        <v>567</v>
      </c>
      <c r="R3096" s="8" t="s">
        <v>260</v>
      </c>
      <c r="S3096" t="str">
        <f t="shared" si="447"/>
        <v>PA</v>
      </c>
    </row>
    <row r="3097" spans="1:19" x14ac:dyDescent="0.3">
      <c r="A3097" t="s">
        <v>8</v>
      </c>
      <c r="B3097">
        <v>2016210007</v>
      </c>
      <c r="C3097" t="s">
        <v>277</v>
      </c>
      <c r="E3097" t="s">
        <v>93</v>
      </c>
      <c r="F3097" t="s">
        <v>94</v>
      </c>
      <c r="G3097">
        <v>4</v>
      </c>
      <c r="H3097" t="s">
        <v>438</v>
      </c>
      <c r="I3097" s="4">
        <f t="shared" si="448"/>
        <v>3</v>
      </c>
      <c r="J3097">
        <f t="shared" si="449"/>
        <v>12</v>
      </c>
      <c r="K3097">
        <v>40</v>
      </c>
      <c r="L3097">
        <v>22</v>
      </c>
      <c r="M3097">
        <v>1.82</v>
      </c>
      <c r="N3097">
        <v>2.99</v>
      </c>
      <c r="O3097">
        <v>0</v>
      </c>
      <c r="P3097">
        <v>3</v>
      </c>
      <c r="Q3097" t="s">
        <v>563</v>
      </c>
      <c r="R3097" s="8" t="s">
        <v>260</v>
      </c>
      <c r="S3097" t="str">
        <f t="shared" si="447"/>
        <v>PA</v>
      </c>
    </row>
    <row r="3098" spans="1:19" x14ac:dyDescent="0.3">
      <c r="A3098" t="s">
        <v>8</v>
      </c>
      <c r="B3098">
        <v>2016210007</v>
      </c>
      <c r="C3098" t="s">
        <v>277</v>
      </c>
      <c r="E3098" t="s">
        <v>107</v>
      </c>
      <c r="F3098" t="s">
        <v>108</v>
      </c>
      <c r="G3098">
        <v>2</v>
      </c>
      <c r="H3098" t="s">
        <v>438</v>
      </c>
      <c r="I3098" s="4">
        <f t="shared" si="448"/>
        <v>3</v>
      </c>
      <c r="J3098">
        <f t="shared" si="449"/>
        <v>6</v>
      </c>
      <c r="K3098">
        <v>56</v>
      </c>
      <c r="L3098">
        <v>24</v>
      </c>
      <c r="M3098">
        <v>2.33</v>
      </c>
      <c r="N3098">
        <v>2.99</v>
      </c>
      <c r="O3098">
        <v>0</v>
      </c>
      <c r="P3098">
        <v>6</v>
      </c>
      <c r="Q3098" t="s">
        <v>567</v>
      </c>
      <c r="R3098" s="8" t="s">
        <v>260</v>
      </c>
      <c r="S3098" t="str">
        <f t="shared" si="447"/>
        <v>PA</v>
      </c>
    </row>
    <row r="3099" spans="1:19" x14ac:dyDescent="0.3">
      <c r="A3099" t="s">
        <v>8</v>
      </c>
      <c r="B3099">
        <v>2016210007</v>
      </c>
      <c r="C3099" t="s">
        <v>277</v>
      </c>
      <c r="E3099" t="s">
        <v>193</v>
      </c>
      <c r="F3099" t="s">
        <v>194</v>
      </c>
      <c r="G3099">
        <v>4</v>
      </c>
      <c r="H3099" t="s">
        <v>438</v>
      </c>
      <c r="I3099" s="4">
        <f t="shared" si="448"/>
        <v>3</v>
      </c>
      <c r="J3099">
        <f t="shared" si="449"/>
        <v>12</v>
      </c>
      <c r="K3099">
        <v>34</v>
      </c>
      <c r="L3099">
        <v>10</v>
      </c>
      <c r="M3099" s="2">
        <v>3.4</v>
      </c>
      <c r="N3099">
        <v>2.99</v>
      </c>
      <c r="O3099">
        <v>0</v>
      </c>
      <c r="P3099">
        <v>7</v>
      </c>
      <c r="Q3099" t="s">
        <v>568</v>
      </c>
      <c r="R3099" s="8" t="s">
        <v>260</v>
      </c>
      <c r="S3099" t="str">
        <f t="shared" si="447"/>
        <v>PA</v>
      </c>
    </row>
    <row r="3100" spans="1:19" x14ac:dyDescent="0.3">
      <c r="A3100" t="s">
        <v>8</v>
      </c>
      <c r="B3100">
        <v>2016210007</v>
      </c>
      <c r="C3100" t="s">
        <v>277</v>
      </c>
      <c r="E3100" t="s">
        <v>176</v>
      </c>
      <c r="F3100" t="s">
        <v>177</v>
      </c>
      <c r="G3100">
        <v>4</v>
      </c>
      <c r="H3100" t="s">
        <v>438</v>
      </c>
      <c r="I3100" s="4">
        <f t="shared" si="448"/>
        <v>3</v>
      </c>
      <c r="J3100">
        <f t="shared" si="449"/>
        <v>12</v>
      </c>
      <c r="K3100">
        <v>76</v>
      </c>
      <c r="L3100">
        <v>24</v>
      </c>
      <c r="M3100">
        <v>3.17</v>
      </c>
      <c r="N3100">
        <v>2.99</v>
      </c>
      <c r="O3100">
        <v>0</v>
      </c>
      <c r="P3100">
        <v>5</v>
      </c>
      <c r="Q3100" t="s">
        <v>566</v>
      </c>
      <c r="R3100" s="8" t="s">
        <v>260</v>
      </c>
      <c r="S3100" t="str">
        <f t="shared" si="447"/>
        <v>PA</v>
      </c>
    </row>
    <row r="3101" spans="1:19" x14ac:dyDescent="0.3">
      <c r="A3101" t="s">
        <v>8</v>
      </c>
      <c r="B3101">
        <v>2016210007</v>
      </c>
      <c r="C3101" t="s">
        <v>277</v>
      </c>
      <c r="E3101" t="s">
        <v>295</v>
      </c>
      <c r="F3101" t="s">
        <v>296</v>
      </c>
      <c r="G3101">
        <v>2</v>
      </c>
      <c r="H3101" t="s">
        <v>438</v>
      </c>
      <c r="I3101" s="4">
        <f t="shared" si="448"/>
        <v>3</v>
      </c>
      <c r="J3101">
        <f t="shared" si="449"/>
        <v>6</v>
      </c>
      <c r="K3101">
        <v>40</v>
      </c>
      <c r="L3101">
        <v>22</v>
      </c>
      <c r="M3101">
        <v>1.82</v>
      </c>
      <c r="N3101">
        <v>2.99</v>
      </c>
      <c r="O3101">
        <v>0</v>
      </c>
      <c r="P3101">
        <v>3</v>
      </c>
      <c r="Q3101" t="s">
        <v>563</v>
      </c>
      <c r="R3101" s="8" t="s">
        <v>260</v>
      </c>
      <c r="S3101" t="str">
        <f t="shared" si="447"/>
        <v>PA</v>
      </c>
    </row>
    <row r="3102" spans="1:19" x14ac:dyDescent="0.3">
      <c r="A3102" t="s">
        <v>8</v>
      </c>
      <c r="B3102">
        <v>2016210007</v>
      </c>
      <c r="C3102" t="s">
        <v>277</v>
      </c>
      <c r="E3102" t="s">
        <v>213</v>
      </c>
      <c r="F3102" t="s">
        <v>214</v>
      </c>
      <c r="G3102">
        <v>4</v>
      </c>
      <c r="H3102" t="s">
        <v>438</v>
      </c>
      <c r="I3102" s="4">
        <f t="shared" si="448"/>
        <v>3</v>
      </c>
      <c r="J3102">
        <f t="shared" si="449"/>
        <v>12</v>
      </c>
      <c r="K3102">
        <v>76</v>
      </c>
      <c r="L3102">
        <v>24</v>
      </c>
      <c r="M3102">
        <v>3.17</v>
      </c>
      <c r="N3102">
        <v>2.99</v>
      </c>
      <c r="O3102">
        <v>0</v>
      </c>
      <c r="P3102">
        <v>5</v>
      </c>
      <c r="Q3102" t="s">
        <v>566</v>
      </c>
      <c r="R3102" s="8" t="s">
        <v>260</v>
      </c>
      <c r="S3102" t="str">
        <f t="shared" si="447"/>
        <v>PA</v>
      </c>
    </row>
    <row r="3103" spans="1:19" x14ac:dyDescent="0.3">
      <c r="A3103" t="s">
        <v>8</v>
      </c>
      <c r="B3103">
        <v>2016210007</v>
      </c>
      <c r="C3103" t="s">
        <v>277</v>
      </c>
      <c r="E3103" t="s">
        <v>227</v>
      </c>
      <c r="F3103" t="s">
        <v>228</v>
      </c>
      <c r="G3103">
        <v>2</v>
      </c>
      <c r="H3103" t="s">
        <v>438</v>
      </c>
      <c r="I3103" s="4">
        <f t="shared" si="448"/>
        <v>3</v>
      </c>
      <c r="J3103">
        <f t="shared" si="449"/>
        <v>6</v>
      </c>
      <c r="K3103">
        <v>40</v>
      </c>
      <c r="L3103">
        <v>22</v>
      </c>
      <c r="M3103">
        <v>1.82</v>
      </c>
      <c r="N3103">
        <v>2.99</v>
      </c>
      <c r="O3103">
        <v>0</v>
      </c>
      <c r="P3103">
        <v>3</v>
      </c>
      <c r="Q3103" t="s">
        <v>563</v>
      </c>
      <c r="R3103" s="8" t="s">
        <v>260</v>
      </c>
      <c r="S3103" t="str">
        <f t="shared" si="447"/>
        <v>PA</v>
      </c>
    </row>
    <row r="3104" spans="1:19" x14ac:dyDescent="0.3">
      <c r="A3104" t="s">
        <v>8</v>
      </c>
      <c r="B3104">
        <v>2016210007</v>
      </c>
      <c r="C3104" t="s">
        <v>277</v>
      </c>
      <c r="E3104" t="s">
        <v>407</v>
      </c>
      <c r="F3104" t="s">
        <v>312</v>
      </c>
      <c r="G3104">
        <v>2</v>
      </c>
      <c r="H3104" t="s">
        <v>438</v>
      </c>
      <c r="I3104" s="4">
        <f t="shared" si="448"/>
        <v>3</v>
      </c>
      <c r="J3104">
        <f t="shared" si="449"/>
        <v>6</v>
      </c>
      <c r="K3104">
        <v>76</v>
      </c>
      <c r="L3104">
        <v>24</v>
      </c>
      <c r="M3104">
        <v>3.17</v>
      </c>
      <c r="N3104">
        <v>2.99</v>
      </c>
      <c r="O3104">
        <v>0</v>
      </c>
      <c r="P3104">
        <v>5</v>
      </c>
      <c r="Q3104" t="s">
        <v>566</v>
      </c>
      <c r="R3104" s="8" t="s">
        <v>260</v>
      </c>
      <c r="S3104" t="str">
        <f t="shared" si="447"/>
        <v>PA</v>
      </c>
    </row>
    <row r="3105" spans="1:19" x14ac:dyDescent="0.3">
      <c r="A3105" t="s">
        <v>8</v>
      </c>
      <c r="B3105">
        <v>2016210007</v>
      </c>
      <c r="C3105" t="s">
        <v>277</v>
      </c>
      <c r="E3105" t="s">
        <v>253</v>
      </c>
      <c r="F3105" t="s">
        <v>254</v>
      </c>
      <c r="G3105">
        <v>2</v>
      </c>
      <c r="H3105" t="s">
        <v>438</v>
      </c>
      <c r="I3105" s="4">
        <f t="shared" si="448"/>
        <v>3</v>
      </c>
      <c r="J3105">
        <f t="shared" si="449"/>
        <v>6</v>
      </c>
      <c r="K3105">
        <v>60</v>
      </c>
      <c r="L3105">
        <v>20</v>
      </c>
      <c r="M3105" s="2">
        <v>3</v>
      </c>
      <c r="N3105">
        <v>2.99</v>
      </c>
      <c r="O3105">
        <v>0</v>
      </c>
      <c r="P3105">
        <v>4</v>
      </c>
      <c r="Q3105" t="s">
        <v>565</v>
      </c>
      <c r="R3105" s="8" t="s">
        <v>260</v>
      </c>
      <c r="S3105" t="str">
        <f t="shared" si="447"/>
        <v>PA</v>
      </c>
    </row>
    <row r="3106" spans="1:19" x14ac:dyDescent="0.3">
      <c r="A3106" t="s">
        <v>8</v>
      </c>
      <c r="B3106">
        <v>2016210007</v>
      </c>
      <c r="C3106" t="s">
        <v>277</v>
      </c>
      <c r="E3106" t="s">
        <v>115</v>
      </c>
      <c r="F3106" t="s">
        <v>116</v>
      </c>
      <c r="G3106">
        <v>4</v>
      </c>
      <c r="H3106" t="s">
        <v>438</v>
      </c>
      <c r="I3106" s="4">
        <f t="shared" si="448"/>
        <v>3</v>
      </c>
      <c r="J3106">
        <f t="shared" si="449"/>
        <v>12</v>
      </c>
      <c r="K3106">
        <v>44</v>
      </c>
      <c r="L3106">
        <v>18</v>
      </c>
      <c r="M3106">
        <v>2.44</v>
      </c>
      <c r="N3106">
        <v>2.99</v>
      </c>
      <c r="O3106">
        <v>0</v>
      </c>
      <c r="P3106">
        <v>2</v>
      </c>
      <c r="Q3106" t="s">
        <v>559</v>
      </c>
      <c r="R3106" s="8" t="s">
        <v>260</v>
      </c>
      <c r="S3106" t="str">
        <f t="shared" si="447"/>
        <v>PA</v>
      </c>
    </row>
    <row r="3107" spans="1:19" x14ac:dyDescent="0.3">
      <c r="A3107" t="s">
        <v>8</v>
      </c>
      <c r="B3107">
        <v>2016210007</v>
      </c>
      <c r="C3107" t="s">
        <v>277</v>
      </c>
      <c r="E3107" t="s">
        <v>22</v>
      </c>
      <c r="F3107" t="s">
        <v>23</v>
      </c>
      <c r="G3107">
        <v>2</v>
      </c>
      <c r="H3107" t="s">
        <v>438</v>
      </c>
      <c r="I3107" s="4">
        <f t="shared" si="448"/>
        <v>3</v>
      </c>
      <c r="J3107">
        <f t="shared" si="449"/>
        <v>6</v>
      </c>
      <c r="K3107">
        <v>44</v>
      </c>
      <c r="L3107">
        <v>18</v>
      </c>
      <c r="M3107">
        <v>2.44</v>
      </c>
      <c r="N3107">
        <v>2.99</v>
      </c>
      <c r="O3107">
        <v>0</v>
      </c>
      <c r="P3107">
        <v>2</v>
      </c>
      <c r="Q3107" t="s">
        <v>559</v>
      </c>
      <c r="R3107" s="8" t="s">
        <v>260</v>
      </c>
      <c r="S3107" t="str">
        <f t="shared" si="447"/>
        <v>PA</v>
      </c>
    </row>
    <row r="3108" spans="1:19" x14ac:dyDescent="0.3">
      <c r="A3108" t="s">
        <v>8</v>
      </c>
      <c r="B3108">
        <v>2016210007</v>
      </c>
      <c r="C3108" t="s">
        <v>277</v>
      </c>
      <c r="E3108" t="s">
        <v>80</v>
      </c>
      <c r="F3108" t="s">
        <v>81</v>
      </c>
      <c r="G3108">
        <v>4</v>
      </c>
      <c r="H3108" t="s">
        <v>438</v>
      </c>
      <c r="I3108" s="4">
        <f t="shared" si="448"/>
        <v>3</v>
      </c>
      <c r="J3108">
        <f t="shared" si="449"/>
        <v>12</v>
      </c>
      <c r="K3108">
        <v>56</v>
      </c>
      <c r="L3108">
        <v>24</v>
      </c>
      <c r="M3108">
        <v>2.33</v>
      </c>
      <c r="N3108">
        <v>2.99</v>
      </c>
      <c r="O3108">
        <v>0</v>
      </c>
      <c r="P3108">
        <v>6</v>
      </c>
      <c r="Q3108" t="s">
        <v>567</v>
      </c>
      <c r="R3108" s="8" t="s">
        <v>260</v>
      </c>
      <c r="S3108" t="str">
        <f t="shared" si="447"/>
        <v>PA</v>
      </c>
    </row>
    <row r="3109" spans="1:19" x14ac:dyDescent="0.3">
      <c r="A3109" t="s">
        <v>8</v>
      </c>
      <c r="B3109">
        <v>2016210007</v>
      </c>
      <c r="C3109" t="s">
        <v>277</v>
      </c>
      <c r="E3109" t="s">
        <v>119</v>
      </c>
      <c r="F3109" t="s">
        <v>120</v>
      </c>
      <c r="G3109">
        <v>2</v>
      </c>
      <c r="H3109" t="s">
        <v>524</v>
      </c>
      <c r="I3109" s="4">
        <f t="shared" si="448"/>
        <v>2</v>
      </c>
      <c r="J3109">
        <f t="shared" si="449"/>
        <v>4</v>
      </c>
      <c r="K3109">
        <v>56</v>
      </c>
      <c r="L3109">
        <v>24</v>
      </c>
      <c r="M3109">
        <v>2.33</v>
      </c>
      <c r="N3109">
        <v>2.99</v>
      </c>
      <c r="O3109">
        <v>0</v>
      </c>
      <c r="P3109">
        <v>6</v>
      </c>
      <c r="Q3109" t="s">
        <v>567</v>
      </c>
      <c r="R3109" s="8" t="s">
        <v>260</v>
      </c>
      <c r="S3109" t="str">
        <f t="shared" si="447"/>
        <v>PA</v>
      </c>
    </row>
    <row r="3110" spans="1:19" x14ac:dyDescent="0.3">
      <c r="A3110" t="s">
        <v>8</v>
      </c>
      <c r="B3110">
        <v>2016210007</v>
      </c>
      <c r="C3110" t="s">
        <v>277</v>
      </c>
      <c r="E3110" t="s">
        <v>369</v>
      </c>
      <c r="F3110" t="s">
        <v>307</v>
      </c>
      <c r="G3110">
        <v>2</v>
      </c>
      <c r="H3110" t="s">
        <v>524</v>
      </c>
      <c r="I3110" s="4">
        <f t="shared" si="448"/>
        <v>2</v>
      </c>
      <c r="J3110">
        <f t="shared" si="449"/>
        <v>4</v>
      </c>
      <c r="K3110">
        <v>60</v>
      </c>
      <c r="L3110">
        <v>20</v>
      </c>
      <c r="M3110" s="2">
        <v>3</v>
      </c>
      <c r="N3110">
        <v>2.99</v>
      </c>
      <c r="O3110">
        <v>0</v>
      </c>
      <c r="P3110">
        <v>4</v>
      </c>
      <c r="Q3110" t="s">
        <v>565</v>
      </c>
      <c r="R3110" s="8" t="s">
        <v>260</v>
      </c>
      <c r="S3110" t="str">
        <f t="shared" si="447"/>
        <v>PA</v>
      </c>
    </row>
    <row r="3111" spans="1:19" x14ac:dyDescent="0.3">
      <c r="A3111" t="s">
        <v>8</v>
      </c>
      <c r="B3111">
        <v>2016210007</v>
      </c>
      <c r="C3111" t="s">
        <v>277</v>
      </c>
      <c r="E3111" t="s">
        <v>105</v>
      </c>
      <c r="F3111" t="s">
        <v>106</v>
      </c>
      <c r="G3111">
        <v>2</v>
      </c>
      <c r="H3111" t="s">
        <v>524</v>
      </c>
      <c r="I3111" s="4">
        <f t="shared" si="448"/>
        <v>2</v>
      </c>
      <c r="J3111">
        <f t="shared" si="449"/>
        <v>4</v>
      </c>
      <c r="K3111">
        <v>40</v>
      </c>
      <c r="L3111">
        <v>22</v>
      </c>
      <c r="M3111">
        <v>1.82</v>
      </c>
      <c r="N3111">
        <v>2.99</v>
      </c>
      <c r="O3111">
        <v>0</v>
      </c>
      <c r="P3111">
        <v>3</v>
      </c>
      <c r="Q3111" t="s">
        <v>563</v>
      </c>
      <c r="R3111" s="8" t="s">
        <v>260</v>
      </c>
      <c r="S3111" t="str">
        <f t="shared" si="447"/>
        <v>PA</v>
      </c>
    </row>
    <row r="3112" spans="1:19" x14ac:dyDescent="0.3">
      <c r="A3112" t="s">
        <v>8</v>
      </c>
      <c r="B3112">
        <v>2016210007</v>
      </c>
      <c r="C3112" t="s">
        <v>277</v>
      </c>
      <c r="E3112" t="s">
        <v>110</v>
      </c>
      <c r="F3112" t="s">
        <v>111</v>
      </c>
      <c r="G3112">
        <v>4</v>
      </c>
      <c r="H3112" t="s">
        <v>524</v>
      </c>
      <c r="I3112" s="4">
        <f t="shared" si="448"/>
        <v>2</v>
      </c>
      <c r="J3112">
        <f t="shared" si="449"/>
        <v>8</v>
      </c>
      <c r="K3112">
        <v>60</v>
      </c>
      <c r="L3112">
        <v>20</v>
      </c>
      <c r="M3112" s="2">
        <v>3</v>
      </c>
      <c r="N3112">
        <v>2.99</v>
      </c>
      <c r="O3112">
        <v>0</v>
      </c>
      <c r="P3112">
        <v>1</v>
      </c>
      <c r="Q3112" t="s">
        <v>558</v>
      </c>
      <c r="R3112" s="8" t="s">
        <v>260</v>
      </c>
      <c r="S3112" t="str">
        <f t="shared" si="447"/>
        <v>PA</v>
      </c>
    </row>
    <row r="3113" spans="1:19" x14ac:dyDescent="0.3">
      <c r="A3113" t="s">
        <v>8</v>
      </c>
      <c r="B3113">
        <v>2016210007</v>
      </c>
      <c r="C3113" t="s">
        <v>277</v>
      </c>
      <c r="E3113" t="s">
        <v>238</v>
      </c>
      <c r="F3113" t="s">
        <v>239</v>
      </c>
      <c r="G3113">
        <v>4</v>
      </c>
      <c r="H3113" t="s">
        <v>524</v>
      </c>
      <c r="I3113" s="4">
        <f t="shared" si="448"/>
        <v>2</v>
      </c>
      <c r="J3113">
        <f t="shared" si="449"/>
        <v>8</v>
      </c>
      <c r="K3113">
        <v>56</v>
      </c>
      <c r="L3113">
        <v>24</v>
      </c>
      <c r="M3113">
        <v>2.33</v>
      </c>
      <c r="N3113">
        <v>2.99</v>
      </c>
      <c r="O3113">
        <v>0</v>
      </c>
      <c r="P3113">
        <v>6</v>
      </c>
      <c r="Q3113" t="s">
        <v>567</v>
      </c>
      <c r="R3113" s="8" t="s">
        <v>260</v>
      </c>
      <c r="S3113" t="str">
        <f t="shared" si="447"/>
        <v>PA</v>
      </c>
    </row>
    <row r="3114" spans="1:19" x14ac:dyDescent="0.3">
      <c r="A3114" t="s">
        <v>8</v>
      </c>
      <c r="B3114">
        <v>2016210007</v>
      </c>
      <c r="C3114" t="s">
        <v>277</v>
      </c>
      <c r="E3114" t="s">
        <v>216</v>
      </c>
      <c r="F3114" t="s">
        <v>217</v>
      </c>
      <c r="G3114">
        <v>2</v>
      </c>
      <c r="H3114" t="s">
        <v>524</v>
      </c>
      <c r="I3114" s="4">
        <f t="shared" si="448"/>
        <v>2</v>
      </c>
      <c r="J3114">
        <f t="shared" si="449"/>
        <v>4</v>
      </c>
      <c r="K3114">
        <v>60</v>
      </c>
      <c r="L3114">
        <v>20</v>
      </c>
      <c r="M3114" s="2">
        <v>3</v>
      </c>
      <c r="N3114">
        <v>2.99</v>
      </c>
      <c r="O3114">
        <v>0</v>
      </c>
      <c r="P3114">
        <v>4</v>
      </c>
      <c r="Q3114" t="s">
        <v>565</v>
      </c>
      <c r="R3114" s="8" t="s">
        <v>260</v>
      </c>
      <c r="S3114" t="str">
        <f t="shared" si="447"/>
        <v>PA</v>
      </c>
    </row>
    <row r="3115" spans="1:19" x14ac:dyDescent="0.3">
      <c r="A3115" t="s">
        <v>8</v>
      </c>
      <c r="B3115">
        <v>2016210007</v>
      </c>
      <c r="C3115" t="s">
        <v>277</v>
      </c>
      <c r="E3115" t="s">
        <v>112</v>
      </c>
      <c r="F3115" t="s">
        <v>113</v>
      </c>
      <c r="G3115">
        <v>4</v>
      </c>
      <c r="H3115" t="s">
        <v>524</v>
      </c>
      <c r="I3115" s="4">
        <f t="shared" si="448"/>
        <v>2</v>
      </c>
      <c r="J3115">
        <f t="shared" si="449"/>
        <v>8</v>
      </c>
      <c r="K3115">
        <v>40</v>
      </c>
      <c r="L3115">
        <v>22</v>
      </c>
      <c r="M3115">
        <v>1.82</v>
      </c>
      <c r="N3115">
        <v>2.99</v>
      </c>
      <c r="O3115">
        <v>0</v>
      </c>
      <c r="P3115">
        <v>3</v>
      </c>
      <c r="Q3115" t="s">
        <v>563</v>
      </c>
      <c r="R3115" s="8" t="s">
        <v>260</v>
      </c>
      <c r="S3115" t="str">
        <f t="shared" si="447"/>
        <v>PA</v>
      </c>
    </row>
    <row r="3116" spans="1:19" x14ac:dyDescent="0.3">
      <c r="A3116" t="s">
        <v>8</v>
      </c>
      <c r="B3116">
        <v>2016210007</v>
      </c>
      <c r="C3116" t="s">
        <v>277</v>
      </c>
      <c r="E3116" t="s">
        <v>136</v>
      </c>
      <c r="F3116" t="s">
        <v>137</v>
      </c>
      <c r="G3116">
        <v>4</v>
      </c>
      <c r="H3116" t="s">
        <v>524</v>
      </c>
      <c r="I3116" s="4">
        <f t="shared" si="448"/>
        <v>2</v>
      </c>
      <c r="J3116">
        <f t="shared" si="449"/>
        <v>8</v>
      </c>
      <c r="K3116">
        <v>26</v>
      </c>
      <c r="L3116">
        <v>10</v>
      </c>
      <c r="M3116" s="2">
        <v>2.6</v>
      </c>
      <c r="N3116">
        <v>2.99</v>
      </c>
      <c r="O3116">
        <v>0</v>
      </c>
      <c r="P3116">
        <v>8</v>
      </c>
      <c r="Q3116" t="s">
        <v>569</v>
      </c>
      <c r="R3116" t="s">
        <v>596</v>
      </c>
      <c r="S3116" t="str">
        <f t="shared" si="447"/>
        <v>PA</v>
      </c>
    </row>
    <row r="3117" spans="1:19" x14ac:dyDescent="0.3">
      <c r="A3117" t="s">
        <v>8</v>
      </c>
      <c r="B3117">
        <v>2016210007</v>
      </c>
      <c r="C3117" t="s">
        <v>277</v>
      </c>
      <c r="E3117" t="s">
        <v>180</v>
      </c>
      <c r="F3117" t="s">
        <v>181</v>
      </c>
      <c r="G3117">
        <v>4</v>
      </c>
      <c r="H3117" t="s">
        <v>524</v>
      </c>
      <c r="I3117" s="4">
        <f t="shared" si="448"/>
        <v>2</v>
      </c>
      <c r="J3117">
        <f t="shared" si="449"/>
        <v>8</v>
      </c>
      <c r="K3117">
        <v>56</v>
      </c>
      <c r="L3117">
        <v>24</v>
      </c>
      <c r="M3117">
        <v>2.33</v>
      </c>
      <c r="N3117">
        <v>2.99</v>
      </c>
      <c r="O3117">
        <v>0</v>
      </c>
      <c r="P3117">
        <v>6</v>
      </c>
      <c r="Q3117" t="s">
        <v>567</v>
      </c>
      <c r="R3117" s="8" t="s">
        <v>260</v>
      </c>
      <c r="S3117" t="str">
        <f t="shared" si="447"/>
        <v>PA</v>
      </c>
    </row>
    <row r="3118" spans="1:19" x14ac:dyDescent="0.3">
      <c r="A3118" t="s">
        <v>8</v>
      </c>
      <c r="B3118">
        <v>2016210007</v>
      </c>
      <c r="C3118" t="s">
        <v>277</v>
      </c>
      <c r="E3118" t="s">
        <v>449</v>
      </c>
      <c r="F3118" t="s">
        <v>460</v>
      </c>
      <c r="G3118">
        <v>4</v>
      </c>
      <c r="H3118" t="s">
        <v>524</v>
      </c>
      <c r="I3118" s="4">
        <f t="shared" si="448"/>
        <v>2</v>
      </c>
      <c r="J3118">
        <f t="shared" si="449"/>
        <v>8</v>
      </c>
      <c r="K3118">
        <v>60</v>
      </c>
      <c r="L3118">
        <v>20</v>
      </c>
      <c r="M3118" s="2">
        <v>3</v>
      </c>
      <c r="N3118">
        <v>2.99</v>
      </c>
      <c r="O3118">
        <v>0</v>
      </c>
      <c r="P3118">
        <v>4</v>
      </c>
      <c r="Q3118" t="s">
        <v>565</v>
      </c>
      <c r="R3118" s="8" t="s">
        <v>260</v>
      </c>
      <c r="S3118" t="str">
        <f t="shared" si="447"/>
        <v>PA</v>
      </c>
    </row>
    <row r="3119" spans="1:19" x14ac:dyDescent="0.3">
      <c r="A3119" t="s">
        <v>8</v>
      </c>
      <c r="B3119">
        <v>2016210007</v>
      </c>
      <c r="C3119" t="s">
        <v>277</v>
      </c>
      <c r="E3119" t="s">
        <v>157</v>
      </c>
      <c r="F3119" t="s">
        <v>158</v>
      </c>
      <c r="G3119">
        <v>2</v>
      </c>
      <c r="H3119" t="s">
        <v>535</v>
      </c>
      <c r="I3119" s="4">
        <f t="shared" si="448"/>
        <v>1</v>
      </c>
      <c r="J3119">
        <f t="shared" si="449"/>
        <v>2</v>
      </c>
      <c r="K3119">
        <v>40</v>
      </c>
      <c r="L3119">
        <v>22</v>
      </c>
      <c r="M3119">
        <v>1.82</v>
      </c>
      <c r="N3119">
        <v>2.99</v>
      </c>
      <c r="O3119">
        <v>0</v>
      </c>
      <c r="P3119">
        <v>3</v>
      </c>
      <c r="Q3119" t="s">
        <v>563</v>
      </c>
      <c r="R3119" s="8" t="s">
        <v>260</v>
      </c>
      <c r="S3119" t="str">
        <f t="shared" si="447"/>
        <v>FA</v>
      </c>
    </row>
    <row r="3120" spans="1:19" x14ac:dyDescent="0.3">
      <c r="A3120" t="s">
        <v>8</v>
      </c>
      <c r="B3120">
        <v>2016210007</v>
      </c>
      <c r="C3120" t="s">
        <v>277</v>
      </c>
      <c r="E3120" t="s">
        <v>395</v>
      </c>
      <c r="F3120" t="s">
        <v>396</v>
      </c>
      <c r="G3120">
        <v>2</v>
      </c>
      <c r="H3120" t="s">
        <v>535</v>
      </c>
      <c r="I3120" s="4">
        <f t="shared" si="448"/>
        <v>1</v>
      </c>
      <c r="J3120">
        <f t="shared" si="449"/>
        <v>2</v>
      </c>
      <c r="K3120">
        <v>60</v>
      </c>
      <c r="L3120">
        <v>20</v>
      </c>
      <c r="M3120" s="2">
        <v>3</v>
      </c>
      <c r="N3120">
        <v>2.99</v>
      </c>
      <c r="O3120">
        <v>0</v>
      </c>
      <c r="P3120">
        <v>1</v>
      </c>
      <c r="Q3120" t="s">
        <v>558</v>
      </c>
      <c r="R3120" s="8" t="s">
        <v>260</v>
      </c>
      <c r="S3120" t="str">
        <f t="shared" si="447"/>
        <v>FA</v>
      </c>
    </row>
    <row r="3121" spans="1:19" x14ac:dyDescent="0.3">
      <c r="A3121" t="s">
        <v>8</v>
      </c>
      <c r="B3121">
        <v>2016210007</v>
      </c>
      <c r="C3121" t="s">
        <v>277</v>
      </c>
      <c r="E3121" t="s">
        <v>157</v>
      </c>
      <c r="F3121" t="s">
        <v>158</v>
      </c>
      <c r="G3121">
        <v>2</v>
      </c>
      <c r="H3121" t="s">
        <v>438</v>
      </c>
      <c r="I3121" s="4">
        <f t="shared" si="448"/>
        <v>3</v>
      </c>
      <c r="J3121">
        <f t="shared" si="449"/>
        <v>6</v>
      </c>
      <c r="K3121">
        <v>52</v>
      </c>
      <c r="L3121">
        <v>16</v>
      </c>
      <c r="M3121">
        <v>3.25</v>
      </c>
      <c r="N3121">
        <v>2.99</v>
      </c>
      <c r="O3121">
        <v>1</v>
      </c>
      <c r="P3121">
        <v>6</v>
      </c>
      <c r="Q3121" s="4" t="s">
        <v>572</v>
      </c>
      <c r="R3121" s="8" t="s">
        <v>260</v>
      </c>
      <c r="S3121" t="str">
        <f t="shared" si="447"/>
        <v>PA</v>
      </c>
    </row>
    <row r="3122" spans="1:19" x14ac:dyDescent="0.3">
      <c r="A3122" t="s">
        <v>8</v>
      </c>
      <c r="B3122">
        <v>2016210007</v>
      </c>
      <c r="C3122" t="s">
        <v>277</v>
      </c>
      <c r="E3122" t="s">
        <v>395</v>
      </c>
      <c r="F3122" t="s">
        <v>396</v>
      </c>
      <c r="G3122">
        <v>2</v>
      </c>
      <c r="H3122" t="s">
        <v>438</v>
      </c>
      <c r="I3122" s="4">
        <f t="shared" si="448"/>
        <v>3</v>
      </c>
      <c r="J3122">
        <f t="shared" si="449"/>
        <v>6</v>
      </c>
      <c r="K3122">
        <v>52</v>
      </c>
      <c r="L3122">
        <v>16</v>
      </c>
      <c r="M3122">
        <v>3.25</v>
      </c>
      <c r="N3122">
        <v>2.99</v>
      </c>
      <c r="O3122">
        <v>1</v>
      </c>
      <c r="P3122">
        <v>6</v>
      </c>
      <c r="Q3122" s="4" t="s">
        <v>572</v>
      </c>
      <c r="R3122" s="8" t="s">
        <v>260</v>
      </c>
      <c r="S3122" t="str">
        <f t="shared" si="447"/>
        <v>PA</v>
      </c>
    </row>
    <row r="3123" spans="1:19" x14ac:dyDescent="0.3">
      <c r="A3123" t="s">
        <v>8</v>
      </c>
      <c r="B3123">
        <v>2016210007</v>
      </c>
      <c r="C3123" t="s">
        <v>277</v>
      </c>
      <c r="E3123" t="s">
        <v>182</v>
      </c>
      <c r="F3123" t="s">
        <v>171</v>
      </c>
      <c r="G3123">
        <v>2</v>
      </c>
      <c r="H3123" t="s">
        <v>535</v>
      </c>
      <c r="I3123" s="4">
        <f t="shared" si="448"/>
        <v>1</v>
      </c>
      <c r="J3123">
        <f t="shared" si="449"/>
        <v>2</v>
      </c>
      <c r="K3123">
        <v>40</v>
      </c>
      <c r="L3123">
        <v>22</v>
      </c>
      <c r="M3123">
        <v>1.82</v>
      </c>
      <c r="N3123">
        <v>2.99</v>
      </c>
      <c r="O3123">
        <v>0</v>
      </c>
      <c r="P3123">
        <v>3</v>
      </c>
      <c r="Q3123" s="4" t="str">
        <f>IF(P3123=1,"2016/2017-Ganjil",IF(P3123=2,"2016/2017-Genap",IF(P3123=3,"2017/2018-Ganjil",IF(P3123=4,"2017/2018-Genap",IF(P3123=5,"2018/2019-Ganjil",IF(P3123=6,"2018/2019-Genap",IF(P3123=7,"2019/2020-Ganjil",IF(P3123=8,"2019/2020-Genap",IF(P3123=9,"2020/2021-Ganjil",IF(P3123=10,"2020/2021-Genap",IF(P3123=11,"2021/2022-Ganjil",IF(P3123=12,"2021/2022-Genap",IF(P3123=13,"2022/2023-Ganjil","2022/2023-Genap")))))))))))))</f>
        <v>2017/2018-Ganjil</v>
      </c>
      <c r="R3123" s="8" t="s">
        <v>260</v>
      </c>
      <c r="S3123" t="str">
        <f t="shared" si="447"/>
        <v>FA</v>
      </c>
    </row>
    <row r="3124" spans="1:19" x14ac:dyDescent="0.3">
      <c r="A3124" t="s">
        <v>8</v>
      </c>
      <c r="B3124">
        <v>2016210007</v>
      </c>
      <c r="C3124" t="s">
        <v>277</v>
      </c>
      <c r="E3124" t="s">
        <v>182</v>
      </c>
      <c r="F3124" t="s">
        <v>171</v>
      </c>
      <c r="G3124">
        <v>2</v>
      </c>
      <c r="H3124" t="s">
        <v>438</v>
      </c>
      <c r="I3124" s="4">
        <f t="shared" si="448"/>
        <v>3</v>
      </c>
      <c r="J3124">
        <f t="shared" si="449"/>
        <v>6</v>
      </c>
      <c r="K3124">
        <v>76</v>
      </c>
      <c r="L3124">
        <v>24</v>
      </c>
      <c r="M3124">
        <v>3.17</v>
      </c>
      <c r="N3124">
        <v>2.99</v>
      </c>
      <c r="O3124">
        <v>1</v>
      </c>
      <c r="P3124">
        <v>5</v>
      </c>
      <c r="Q3124" s="4" t="str">
        <f>IF(P3124=1,"2016/2017-Ganjil",IF(P3124=2,"2016/2017-Genap",IF(P3124=3,"2017/2018-Ganjil",IF(P3124=4,"2017/2018-Genap",IF(P3124=5,"2018/2019-Ganjil",IF(P3124=6,"2018/2019-Genap",IF(P3124=7,"2019/2020-Ganjil",IF(P3124=8,"2019/2020-Genap",IF(P3124=9,"2020/2021-Ganjil",IF(P3124=10,"2020/2021-Genap",IF(P3124=11,"2021/2022-Ganjil",IF(P3124=12,"2021/2022-Genap",IF(P3124=13,"2022/2023-Ganjil","2022/2023-Genap")))))))))))))</f>
        <v>2018/2019-Ganjil</v>
      </c>
      <c r="R3124" s="8" t="s">
        <v>260</v>
      </c>
      <c r="S3124" t="str">
        <f t="shared" si="447"/>
        <v>PA</v>
      </c>
    </row>
    <row r="3125" spans="1:19" x14ac:dyDescent="0.3">
      <c r="A3125" t="s">
        <v>8</v>
      </c>
      <c r="B3125">
        <v>2016210007</v>
      </c>
      <c r="C3125" t="s">
        <v>277</v>
      </c>
      <c r="E3125" t="s">
        <v>125</v>
      </c>
      <c r="F3125" t="s">
        <v>126</v>
      </c>
      <c r="G3125">
        <v>4</v>
      </c>
      <c r="H3125" t="s">
        <v>535</v>
      </c>
      <c r="I3125" s="4">
        <f t="shared" si="448"/>
        <v>1</v>
      </c>
      <c r="J3125">
        <f t="shared" si="449"/>
        <v>4</v>
      </c>
      <c r="K3125">
        <v>44</v>
      </c>
      <c r="L3125">
        <v>18</v>
      </c>
      <c r="M3125">
        <v>2.44</v>
      </c>
      <c r="N3125">
        <v>2.99</v>
      </c>
      <c r="O3125">
        <v>0</v>
      </c>
      <c r="P3125">
        <v>2</v>
      </c>
      <c r="Q3125" t="s">
        <v>559</v>
      </c>
      <c r="R3125" s="8" t="s">
        <v>260</v>
      </c>
      <c r="S3125" t="str">
        <f t="shared" si="447"/>
        <v>FA</v>
      </c>
    </row>
    <row r="3126" spans="1:19" x14ac:dyDescent="0.3">
      <c r="A3126" t="s">
        <v>8</v>
      </c>
      <c r="B3126">
        <v>2016210007</v>
      </c>
      <c r="C3126" t="s">
        <v>277</v>
      </c>
      <c r="E3126" t="s">
        <v>44</v>
      </c>
      <c r="F3126" t="s">
        <v>45</v>
      </c>
      <c r="G3126">
        <v>2</v>
      </c>
      <c r="H3126" t="s">
        <v>535</v>
      </c>
      <c r="I3126" s="4">
        <f t="shared" si="448"/>
        <v>1</v>
      </c>
      <c r="J3126">
        <f t="shared" si="449"/>
        <v>2</v>
      </c>
      <c r="K3126">
        <v>44</v>
      </c>
      <c r="L3126">
        <v>18</v>
      </c>
      <c r="M3126">
        <v>2.44</v>
      </c>
      <c r="N3126">
        <v>2.99</v>
      </c>
      <c r="O3126">
        <v>0</v>
      </c>
      <c r="P3126">
        <v>2</v>
      </c>
      <c r="Q3126" t="s">
        <v>559</v>
      </c>
      <c r="R3126" s="8" t="s">
        <v>260</v>
      </c>
      <c r="S3126" t="str">
        <f t="shared" si="447"/>
        <v>FA</v>
      </c>
    </row>
    <row r="3127" spans="1:19" x14ac:dyDescent="0.3">
      <c r="A3127" t="s">
        <v>8</v>
      </c>
      <c r="B3127">
        <v>2016210007</v>
      </c>
      <c r="C3127" t="s">
        <v>277</v>
      </c>
      <c r="E3127" t="s">
        <v>232</v>
      </c>
      <c r="F3127" t="s">
        <v>233</v>
      </c>
      <c r="G3127">
        <v>2</v>
      </c>
      <c r="H3127" t="s">
        <v>539</v>
      </c>
      <c r="I3127" s="4">
        <f t="shared" si="448"/>
        <v>0</v>
      </c>
      <c r="J3127">
        <f t="shared" si="449"/>
        <v>0</v>
      </c>
      <c r="K3127">
        <v>56</v>
      </c>
      <c r="L3127">
        <v>24</v>
      </c>
      <c r="M3127">
        <v>2.33</v>
      </c>
      <c r="N3127">
        <v>2.99</v>
      </c>
      <c r="O3127">
        <v>0</v>
      </c>
      <c r="P3127">
        <v>6</v>
      </c>
      <c r="Q3127" t="s">
        <v>567</v>
      </c>
      <c r="R3127" s="8" t="s">
        <v>260</v>
      </c>
      <c r="S3127" t="str">
        <f t="shared" si="447"/>
        <v>FA</v>
      </c>
    </row>
    <row r="3128" spans="1:19" x14ac:dyDescent="0.3">
      <c r="A3128" t="s">
        <v>8</v>
      </c>
      <c r="B3128">
        <v>2016210007</v>
      </c>
      <c r="C3128" t="s">
        <v>277</v>
      </c>
      <c r="E3128" t="s">
        <v>401</v>
      </c>
      <c r="F3128" t="s">
        <v>258</v>
      </c>
      <c r="G3128">
        <v>4</v>
      </c>
      <c r="H3128" t="s">
        <v>539</v>
      </c>
      <c r="I3128" s="4">
        <f t="shared" si="448"/>
        <v>0</v>
      </c>
      <c r="J3128">
        <f t="shared" si="449"/>
        <v>0</v>
      </c>
      <c r="K3128">
        <v>40</v>
      </c>
      <c r="L3128">
        <v>22</v>
      </c>
      <c r="M3128">
        <v>1.82</v>
      </c>
      <c r="N3128">
        <v>2.99</v>
      </c>
      <c r="O3128">
        <v>0</v>
      </c>
      <c r="P3128">
        <v>3</v>
      </c>
      <c r="Q3128" t="s">
        <v>563</v>
      </c>
      <c r="R3128" s="8" t="s">
        <v>260</v>
      </c>
      <c r="S3128" t="str">
        <f t="shared" si="447"/>
        <v>FA</v>
      </c>
    </row>
    <row r="3129" spans="1:19" x14ac:dyDescent="0.3">
      <c r="A3129" t="s">
        <v>8</v>
      </c>
      <c r="B3129">
        <v>2016210007</v>
      </c>
      <c r="C3129" t="s">
        <v>277</v>
      </c>
      <c r="E3129" t="s">
        <v>125</v>
      </c>
      <c r="F3129" t="s">
        <v>126</v>
      </c>
      <c r="G3129">
        <v>4</v>
      </c>
      <c r="H3129" t="s">
        <v>438</v>
      </c>
      <c r="I3129" s="4">
        <f t="shared" si="448"/>
        <v>3</v>
      </c>
      <c r="J3129">
        <f t="shared" si="449"/>
        <v>12</v>
      </c>
      <c r="K3129">
        <v>52</v>
      </c>
      <c r="L3129">
        <v>16</v>
      </c>
      <c r="M3129">
        <v>3.25</v>
      </c>
      <c r="N3129">
        <v>2.99</v>
      </c>
      <c r="O3129">
        <v>1</v>
      </c>
      <c r="P3129">
        <v>6</v>
      </c>
      <c r="Q3129" s="4" t="s">
        <v>572</v>
      </c>
      <c r="R3129" s="8" t="s">
        <v>260</v>
      </c>
      <c r="S3129" t="str">
        <f t="shared" si="447"/>
        <v>PA</v>
      </c>
    </row>
    <row r="3130" spans="1:19" x14ac:dyDescent="0.3">
      <c r="A3130" t="s">
        <v>8</v>
      </c>
      <c r="B3130">
        <v>2016210007</v>
      </c>
      <c r="C3130" t="s">
        <v>277</v>
      </c>
      <c r="E3130" t="s">
        <v>44</v>
      </c>
      <c r="F3130" t="s">
        <v>45</v>
      </c>
      <c r="G3130">
        <v>2</v>
      </c>
      <c r="H3130" t="s">
        <v>438</v>
      </c>
      <c r="I3130" s="4">
        <f t="shared" si="448"/>
        <v>3</v>
      </c>
      <c r="J3130">
        <f t="shared" si="449"/>
        <v>6</v>
      </c>
      <c r="K3130">
        <v>52</v>
      </c>
      <c r="L3130">
        <v>16</v>
      </c>
      <c r="M3130">
        <v>3.25</v>
      </c>
      <c r="N3130">
        <v>2.99</v>
      </c>
      <c r="O3130">
        <v>1</v>
      </c>
      <c r="P3130">
        <v>6</v>
      </c>
      <c r="Q3130" s="4" t="s">
        <v>572</v>
      </c>
      <c r="R3130" s="8" t="s">
        <v>260</v>
      </c>
      <c r="S3130" t="str">
        <f t="shared" si="447"/>
        <v>PA</v>
      </c>
    </row>
    <row r="3131" spans="1:19" x14ac:dyDescent="0.3">
      <c r="A3131" t="s">
        <v>8</v>
      </c>
      <c r="B3131">
        <v>2016210007</v>
      </c>
      <c r="C3131" t="s">
        <v>277</v>
      </c>
      <c r="E3131" t="s">
        <v>232</v>
      </c>
      <c r="F3131" t="s">
        <v>233</v>
      </c>
      <c r="G3131">
        <v>2</v>
      </c>
      <c r="H3131" t="s">
        <v>438</v>
      </c>
      <c r="I3131" s="4">
        <f t="shared" si="448"/>
        <v>3</v>
      </c>
      <c r="J3131">
        <f t="shared" si="449"/>
        <v>6</v>
      </c>
      <c r="K3131">
        <v>52</v>
      </c>
      <c r="L3131">
        <v>16</v>
      </c>
      <c r="M3131">
        <v>3.25</v>
      </c>
      <c r="N3131">
        <v>2.99</v>
      </c>
      <c r="O3131">
        <v>1</v>
      </c>
      <c r="P3131">
        <v>6</v>
      </c>
      <c r="Q3131" s="4" t="s">
        <v>572</v>
      </c>
      <c r="R3131" s="8" t="s">
        <v>260</v>
      </c>
      <c r="S3131" t="str">
        <f t="shared" si="447"/>
        <v>PA</v>
      </c>
    </row>
    <row r="3132" spans="1:19" x14ac:dyDescent="0.3">
      <c r="A3132" t="s">
        <v>8</v>
      </c>
      <c r="B3132">
        <v>2016210007</v>
      </c>
      <c r="C3132" t="s">
        <v>277</v>
      </c>
      <c r="E3132" t="s">
        <v>401</v>
      </c>
      <c r="F3132" t="s">
        <v>258</v>
      </c>
      <c r="G3132">
        <v>4</v>
      </c>
      <c r="H3132" t="s">
        <v>260</v>
      </c>
      <c r="I3132" s="4">
        <f t="shared" si="448"/>
        <v>4</v>
      </c>
      <c r="J3132">
        <f t="shared" si="449"/>
        <v>16</v>
      </c>
      <c r="K3132">
        <v>52</v>
      </c>
      <c r="L3132">
        <v>16</v>
      </c>
      <c r="M3132">
        <v>3.25</v>
      </c>
      <c r="N3132">
        <v>2.99</v>
      </c>
      <c r="O3132">
        <v>1</v>
      </c>
      <c r="P3132">
        <v>6</v>
      </c>
      <c r="Q3132" s="4" t="s">
        <v>572</v>
      </c>
      <c r="R3132" s="8" t="s">
        <v>260</v>
      </c>
      <c r="S3132" t="str">
        <f t="shared" si="447"/>
        <v>PA</v>
      </c>
    </row>
    <row r="3133" spans="1:19" x14ac:dyDescent="0.3">
      <c r="A3133" t="s">
        <v>8</v>
      </c>
      <c r="B3133">
        <v>2016210008</v>
      </c>
      <c r="C3133" t="s">
        <v>187</v>
      </c>
      <c r="E3133" t="s">
        <v>188</v>
      </c>
      <c r="F3133" t="s">
        <v>189</v>
      </c>
      <c r="G3133">
        <v>4</v>
      </c>
      <c r="I3133" s="4"/>
      <c r="J3133">
        <f t="shared" ref="J3133:J3204" si="450">G3133*I3133</f>
        <v>0</v>
      </c>
      <c r="K3133">
        <v>30</v>
      </c>
      <c r="L3133">
        <v>14</v>
      </c>
      <c r="M3133">
        <v>2.14</v>
      </c>
      <c r="N3133">
        <v>3.01</v>
      </c>
      <c r="O3133">
        <v>0</v>
      </c>
      <c r="P3133">
        <v>5</v>
      </c>
      <c r="Q3133" t="s">
        <v>566</v>
      </c>
      <c r="R3133" s="8" t="s">
        <v>260</v>
      </c>
      <c r="S3133" t="s">
        <v>595</v>
      </c>
    </row>
    <row r="3134" spans="1:19" x14ac:dyDescent="0.3">
      <c r="A3134" t="s">
        <v>8</v>
      </c>
      <c r="B3134">
        <v>2016210008</v>
      </c>
      <c r="C3134" t="s">
        <v>187</v>
      </c>
      <c r="E3134" t="s">
        <v>188</v>
      </c>
      <c r="F3134" t="s">
        <v>189</v>
      </c>
      <c r="G3134">
        <v>4</v>
      </c>
      <c r="H3134" t="s">
        <v>524</v>
      </c>
      <c r="I3134" s="4">
        <f t="shared" ref="I3134:I3204" si="451">IF(H3134="A",4,IF(H3134="B",3,IF(H3134="C",2,IF(H3134="D",1,0))))</f>
        <v>2</v>
      </c>
      <c r="J3134">
        <f t="shared" si="450"/>
        <v>8</v>
      </c>
      <c r="K3134">
        <v>54</v>
      </c>
      <c r="L3134">
        <v>22</v>
      </c>
      <c r="M3134">
        <v>2.4500000000000002</v>
      </c>
      <c r="N3134">
        <v>3.01</v>
      </c>
      <c r="O3134">
        <v>1</v>
      </c>
      <c r="P3134">
        <v>9</v>
      </c>
      <c r="Q3134" t="s">
        <v>570</v>
      </c>
      <c r="R3134" s="8" t="s">
        <v>260</v>
      </c>
      <c r="S3134" t="str">
        <f t="shared" ref="S3134:S3135" si="452">IF(OR(H3134="A",H3134="B",H3134="C"),"PA","FA")</f>
        <v>PA</v>
      </c>
    </row>
    <row r="3135" spans="1:19" x14ac:dyDescent="0.3">
      <c r="A3135" t="s">
        <v>8</v>
      </c>
      <c r="B3135">
        <v>2016210008</v>
      </c>
      <c r="C3135" t="s">
        <v>187</v>
      </c>
      <c r="E3135" t="s">
        <v>87</v>
      </c>
      <c r="F3135" t="s">
        <v>88</v>
      </c>
      <c r="G3135">
        <v>2</v>
      </c>
      <c r="H3135" t="s">
        <v>260</v>
      </c>
      <c r="I3135" s="4">
        <f>IF(H3135="A",4,IF(H3135="B",3,IF(H3135="C",2,IF(H3135="D",1,0))))</f>
        <v>4</v>
      </c>
      <c r="J3135">
        <f>G3135*I3135</f>
        <v>8</v>
      </c>
      <c r="K3135">
        <v>38</v>
      </c>
      <c r="L3135">
        <v>12</v>
      </c>
      <c r="M3135" s="2">
        <v>3.17</v>
      </c>
      <c r="N3135">
        <v>3.01</v>
      </c>
      <c r="O3135">
        <v>1</v>
      </c>
      <c r="P3135">
        <v>8</v>
      </c>
      <c r="Q3135" s="4" t="str">
        <f>IF(P3135=1,"2016/2017-Ganjil",IF(P3135=2,"2016/2017-Genap",IF(P3135=3,"2017/2018-Ganjil",IF(P3135=4,"2017/2018-Genap",IF(P3135=5,"2018/2019-Ganjil",IF(P3135=6,"2018/2019-Genap",IF(P3135=7,"2019/2020-Ganjil",IF(P3135=8,"2019/2020-Genap",IF(P3135=9,"2020/2021-Ganjil",IF(P3135=10,"2020/2021-Genap",IF(P3135=11,"2021/2022-Ganjil",IF(P3135=12,"2021/2022-Genap",IF(P3135=13,"2022/2023-Ganjil","2022/2023-Genap")))))))))))))</f>
        <v>2019/2020-Genap</v>
      </c>
      <c r="R3135" s="8" t="s">
        <v>260</v>
      </c>
      <c r="S3135" t="str">
        <f t="shared" si="452"/>
        <v>PA</v>
      </c>
    </row>
    <row r="3136" spans="1:19" x14ac:dyDescent="0.3">
      <c r="A3136" t="s">
        <v>8</v>
      </c>
      <c r="B3136">
        <v>2016210008</v>
      </c>
      <c r="C3136" t="s">
        <v>187</v>
      </c>
      <c r="E3136" t="s">
        <v>87</v>
      </c>
      <c r="F3136" t="s">
        <v>88</v>
      </c>
      <c r="G3136">
        <v>2</v>
      </c>
      <c r="I3136" s="4"/>
      <c r="J3136">
        <f t="shared" si="450"/>
        <v>0</v>
      </c>
      <c r="K3136">
        <v>18</v>
      </c>
      <c r="L3136">
        <v>6</v>
      </c>
      <c r="M3136" s="2">
        <v>3</v>
      </c>
      <c r="N3136">
        <v>3.01</v>
      </c>
      <c r="O3136">
        <v>0</v>
      </c>
      <c r="P3136">
        <v>6</v>
      </c>
      <c r="Q3136" s="4" t="str">
        <f>IF(P3136=1,"2016/2017-Ganjil",IF(P3136=2,"2016/2017-Genap",IF(P3136=3,"2017/2018-Ganjil",IF(P3136=4,"2017/2018-Genap",IF(P3136=5,"2018/2019-Ganjil",IF(P3136=6,"2018/2019-Genap",IF(P3136=7,"2019/2020-Ganjil",IF(P3136=8,"2019/2020-Genap",IF(P3136=9,"2020/2021-Ganjil",IF(P3136=10,"2020/2021-Genap",IF(P3136=11,"2021/2022-Ganjil",IF(P3136=12,"2021/2022-Genap",IF(P3136=13,"2022/2023-Ganjil","2022/2023-Genap")))))))))))))</f>
        <v>2018/2019-Genap</v>
      </c>
      <c r="R3136" s="8" t="s">
        <v>260</v>
      </c>
      <c r="S3136" t="s">
        <v>595</v>
      </c>
    </row>
    <row r="3137" spans="1:19" x14ac:dyDescent="0.3">
      <c r="A3137" t="s">
        <v>8</v>
      </c>
      <c r="B3137">
        <v>2016210008</v>
      </c>
      <c r="C3137" t="s">
        <v>187</v>
      </c>
      <c r="E3137" t="s">
        <v>193</v>
      </c>
      <c r="F3137" t="s">
        <v>194</v>
      </c>
      <c r="G3137">
        <v>4</v>
      </c>
      <c r="I3137" s="4"/>
      <c r="J3137">
        <f t="shared" si="450"/>
        <v>0</v>
      </c>
      <c r="K3137">
        <v>22</v>
      </c>
      <c r="L3137">
        <v>8</v>
      </c>
      <c r="M3137">
        <v>2.75</v>
      </c>
      <c r="N3137">
        <v>3.01</v>
      </c>
      <c r="O3137">
        <v>0</v>
      </c>
      <c r="P3137">
        <v>7</v>
      </c>
      <c r="Q3137" t="s">
        <v>568</v>
      </c>
      <c r="R3137" s="8" t="s">
        <v>260</v>
      </c>
      <c r="S3137" t="s">
        <v>595</v>
      </c>
    </row>
    <row r="3138" spans="1:19" x14ac:dyDescent="0.3">
      <c r="A3138" t="s">
        <v>8</v>
      </c>
      <c r="B3138">
        <v>2016210008</v>
      </c>
      <c r="C3138" t="s">
        <v>187</v>
      </c>
      <c r="E3138" t="s">
        <v>193</v>
      </c>
      <c r="F3138" t="s">
        <v>194</v>
      </c>
      <c r="G3138">
        <v>4</v>
      </c>
      <c r="H3138" t="s">
        <v>524</v>
      </c>
      <c r="I3138" s="4">
        <f t="shared" si="451"/>
        <v>2</v>
      </c>
      <c r="J3138">
        <f t="shared" si="450"/>
        <v>8</v>
      </c>
      <c r="K3138">
        <v>54</v>
      </c>
      <c r="L3138">
        <v>22</v>
      </c>
      <c r="M3138">
        <v>2.4500000000000002</v>
      </c>
      <c r="N3138">
        <v>3.01</v>
      </c>
      <c r="O3138">
        <v>1</v>
      </c>
      <c r="P3138">
        <v>9</v>
      </c>
      <c r="Q3138" t="s">
        <v>570</v>
      </c>
      <c r="R3138" s="8" t="s">
        <v>260</v>
      </c>
      <c r="S3138" t="str">
        <f t="shared" ref="S3138:S3139" si="453">IF(OR(H3138="A",H3138="B",H3138="C"),"PA","FA")</f>
        <v>PA</v>
      </c>
    </row>
    <row r="3139" spans="1:19" x14ac:dyDescent="0.3">
      <c r="A3139" t="s">
        <v>8</v>
      </c>
      <c r="B3139">
        <v>2016210008</v>
      </c>
      <c r="C3139" t="s">
        <v>187</v>
      </c>
      <c r="E3139" t="s">
        <v>238</v>
      </c>
      <c r="F3139" t="s">
        <v>239</v>
      </c>
      <c r="G3139">
        <v>4</v>
      </c>
      <c r="H3139" t="s">
        <v>438</v>
      </c>
      <c r="I3139" s="4">
        <f>IF(H3139="A",4,IF(H3139="B",3,IF(H3139="C",2,IF(H3139="D",1,0))))</f>
        <v>3</v>
      </c>
      <c r="J3139">
        <f>G3139*I3139</f>
        <v>12</v>
      </c>
      <c r="K3139">
        <v>38</v>
      </c>
      <c r="L3139">
        <v>12</v>
      </c>
      <c r="M3139" s="2">
        <v>3.17</v>
      </c>
      <c r="N3139">
        <v>3.01</v>
      </c>
      <c r="O3139">
        <v>1</v>
      </c>
      <c r="P3139">
        <v>8</v>
      </c>
      <c r="Q3139" s="4" t="str">
        <f>IF(P3139=1,"2016/2017-Ganjil",IF(P3139=2,"2016/2017-Genap",IF(P3139=3,"2017/2018-Ganjil",IF(P3139=4,"2017/2018-Genap",IF(P3139=5,"2018/2019-Ganjil",IF(P3139=6,"2018/2019-Genap",IF(P3139=7,"2019/2020-Ganjil",IF(P3139=8,"2019/2020-Genap",IF(P3139=9,"2020/2021-Ganjil",IF(P3139=10,"2020/2021-Genap",IF(P3139=11,"2021/2022-Ganjil",IF(P3139=12,"2021/2022-Genap",IF(P3139=13,"2022/2023-Ganjil","2022/2023-Genap")))))))))))))</f>
        <v>2019/2020-Genap</v>
      </c>
      <c r="R3139" s="8" t="s">
        <v>260</v>
      </c>
      <c r="S3139" t="str">
        <f t="shared" si="453"/>
        <v>PA</v>
      </c>
    </row>
    <row r="3140" spans="1:19" x14ac:dyDescent="0.3">
      <c r="A3140" t="s">
        <v>8</v>
      </c>
      <c r="B3140">
        <v>2016210008</v>
      </c>
      <c r="C3140" t="s">
        <v>187</v>
      </c>
      <c r="E3140" t="s">
        <v>238</v>
      </c>
      <c r="F3140" t="s">
        <v>239</v>
      </c>
      <c r="G3140">
        <v>4</v>
      </c>
      <c r="I3140" s="4"/>
      <c r="J3140">
        <f t="shared" si="450"/>
        <v>0</v>
      </c>
      <c r="K3140">
        <v>18</v>
      </c>
      <c r="L3140">
        <v>6</v>
      </c>
      <c r="M3140" s="2">
        <v>3</v>
      </c>
      <c r="N3140">
        <v>3.01</v>
      </c>
      <c r="O3140">
        <v>0</v>
      </c>
      <c r="P3140">
        <v>6</v>
      </c>
      <c r="Q3140" s="4" t="str">
        <f>IF(P3140=1,"2016/2017-Ganjil",IF(P3140=2,"2016/2017-Genap",IF(P3140=3,"2017/2018-Ganjil",IF(P3140=4,"2017/2018-Genap",IF(P3140=5,"2018/2019-Ganjil",IF(P3140=6,"2018/2019-Genap",IF(P3140=7,"2019/2020-Ganjil",IF(P3140=8,"2019/2020-Genap",IF(P3140=9,"2020/2021-Ganjil",IF(P3140=10,"2020/2021-Genap",IF(P3140=11,"2021/2022-Ganjil",IF(P3140=12,"2021/2022-Genap",IF(P3140=13,"2022/2023-Ganjil","2022/2023-Genap")))))))))))))</f>
        <v>2018/2019-Genap</v>
      </c>
      <c r="R3140" s="8" t="s">
        <v>260</v>
      </c>
      <c r="S3140" t="s">
        <v>595</v>
      </c>
    </row>
    <row r="3141" spans="1:19" x14ac:dyDescent="0.3">
      <c r="A3141" t="s">
        <v>8</v>
      </c>
      <c r="B3141">
        <v>2016210008</v>
      </c>
      <c r="C3141" t="s">
        <v>187</v>
      </c>
      <c r="E3141" t="s">
        <v>119</v>
      </c>
      <c r="F3141" t="s">
        <v>120</v>
      </c>
      <c r="G3141">
        <v>2</v>
      </c>
      <c r="I3141" s="4"/>
      <c r="J3141">
        <f t="shared" si="450"/>
        <v>0</v>
      </c>
      <c r="K3141">
        <v>18</v>
      </c>
      <c r="L3141">
        <v>6</v>
      </c>
      <c r="M3141" s="2">
        <v>3</v>
      </c>
      <c r="N3141">
        <v>3.01</v>
      </c>
      <c r="O3141">
        <v>0</v>
      </c>
      <c r="P3141">
        <v>6</v>
      </c>
      <c r="Q3141" t="s">
        <v>567</v>
      </c>
      <c r="R3141" s="8" t="s">
        <v>260</v>
      </c>
      <c r="S3141" t="s">
        <v>595</v>
      </c>
    </row>
    <row r="3142" spans="1:19" x14ac:dyDescent="0.3">
      <c r="A3142" t="s">
        <v>8</v>
      </c>
      <c r="B3142">
        <v>2016210008</v>
      </c>
      <c r="C3142" t="s">
        <v>187</v>
      </c>
      <c r="E3142" t="s">
        <v>119</v>
      </c>
      <c r="F3142" t="s">
        <v>120</v>
      </c>
      <c r="G3142">
        <v>2</v>
      </c>
      <c r="H3142" t="s">
        <v>438</v>
      </c>
      <c r="I3142" s="4">
        <f t="shared" si="451"/>
        <v>3</v>
      </c>
      <c r="J3142">
        <f t="shared" si="450"/>
        <v>6</v>
      </c>
      <c r="K3142">
        <v>28</v>
      </c>
      <c r="L3142">
        <v>12</v>
      </c>
      <c r="M3142" s="2">
        <v>2.33</v>
      </c>
      <c r="N3142">
        <v>3.01</v>
      </c>
      <c r="O3142">
        <v>1</v>
      </c>
      <c r="P3142">
        <v>10</v>
      </c>
      <c r="Q3142" t="s">
        <v>560</v>
      </c>
      <c r="R3142" s="8" t="s">
        <v>260</v>
      </c>
      <c r="S3142" t="str">
        <f t="shared" ref="S3142:S3201" si="454">IF(OR(H3142="A",H3142="B",H3142="C"),"PA","FA")</f>
        <v>PA</v>
      </c>
    </row>
    <row r="3143" spans="1:19" x14ac:dyDescent="0.3">
      <c r="A3143" t="s">
        <v>8</v>
      </c>
      <c r="B3143">
        <v>2016210008</v>
      </c>
      <c r="C3143" t="s">
        <v>187</v>
      </c>
      <c r="E3143" t="s">
        <v>180</v>
      </c>
      <c r="F3143" t="s">
        <v>181</v>
      </c>
      <c r="G3143">
        <v>4</v>
      </c>
      <c r="H3143" t="s">
        <v>260</v>
      </c>
      <c r="I3143" s="4">
        <f t="shared" ref="I3143:I3201" si="455">IF(H3143="A",4,IF(H3143="B",3,IF(H3143="C",2,IF(H3143="D",1,0))))</f>
        <v>4</v>
      </c>
      <c r="J3143">
        <f t="shared" ref="J3143:J3201" si="456">G3143*I3143</f>
        <v>16</v>
      </c>
      <c r="K3143">
        <v>28</v>
      </c>
      <c r="L3143">
        <v>12</v>
      </c>
      <c r="M3143" s="2">
        <v>2.33</v>
      </c>
      <c r="N3143">
        <v>3.01</v>
      </c>
      <c r="O3143">
        <v>0</v>
      </c>
      <c r="P3143">
        <v>10</v>
      </c>
      <c r="Q3143" t="s">
        <v>560</v>
      </c>
      <c r="R3143" s="8" t="s">
        <v>260</v>
      </c>
      <c r="S3143" t="str">
        <f t="shared" si="454"/>
        <v>PA</v>
      </c>
    </row>
    <row r="3144" spans="1:19" x14ac:dyDescent="0.3">
      <c r="A3144" t="s">
        <v>8</v>
      </c>
      <c r="B3144">
        <v>2016210008</v>
      </c>
      <c r="C3144" t="s">
        <v>187</v>
      </c>
      <c r="E3144" t="s">
        <v>202</v>
      </c>
      <c r="F3144" t="s">
        <v>203</v>
      </c>
      <c r="G3144">
        <v>4</v>
      </c>
      <c r="H3144" t="s">
        <v>260</v>
      </c>
      <c r="I3144" s="4">
        <f t="shared" si="455"/>
        <v>4</v>
      </c>
      <c r="J3144">
        <f t="shared" si="456"/>
        <v>16</v>
      </c>
      <c r="K3144">
        <v>54</v>
      </c>
      <c r="L3144">
        <v>20</v>
      </c>
      <c r="M3144" s="2">
        <v>2.7</v>
      </c>
      <c r="N3144">
        <v>3.01</v>
      </c>
      <c r="O3144">
        <v>0</v>
      </c>
      <c r="P3144">
        <v>1</v>
      </c>
      <c r="Q3144" t="s">
        <v>558</v>
      </c>
      <c r="R3144" s="8" t="s">
        <v>260</v>
      </c>
      <c r="S3144" t="str">
        <f t="shared" si="454"/>
        <v>PA</v>
      </c>
    </row>
    <row r="3145" spans="1:19" x14ac:dyDescent="0.3">
      <c r="A3145" t="s">
        <v>8</v>
      </c>
      <c r="B3145">
        <v>2016210008</v>
      </c>
      <c r="C3145" t="s">
        <v>187</v>
      </c>
      <c r="E3145" t="s">
        <v>369</v>
      </c>
      <c r="F3145" t="s">
        <v>307</v>
      </c>
      <c r="G3145">
        <v>2</v>
      </c>
      <c r="H3145" t="s">
        <v>260</v>
      </c>
      <c r="I3145" s="4">
        <f t="shared" si="455"/>
        <v>4</v>
      </c>
      <c r="J3145">
        <f t="shared" si="456"/>
        <v>8</v>
      </c>
      <c r="K3145">
        <v>18</v>
      </c>
      <c r="L3145">
        <v>6</v>
      </c>
      <c r="M3145" s="2">
        <v>3</v>
      </c>
      <c r="N3145">
        <v>3.01</v>
      </c>
      <c r="O3145">
        <v>0</v>
      </c>
      <c r="P3145">
        <v>6</v>
      </c>
      <c r="Q3145" t="s">
        <v>567</v>
      </c>
      <c r="R3145" s="8" t="s">
        <v>260</v>
      </c>
      <c r="S3145" t="str">
        <f t="shared" si="454"/>
        <v>PA</v>
      </c>
    </row>
    <row r="3146" spans="1:19" x14ac:dyDescent="0.3">
      <c r="A3146" t="s">
        <v>8</v>
      </c>
      <c r="B3146">
        <v>2016210008</v>
      </c>
      <c r="C3146" t="s">
        <v>187</v>
      </c>
      <c r="E3146" t="s">
        <v>266</v>
      </c>
      <c r="F3146" t="s">
        <v>91</v>
      </c>
      <c r="G3146">
        <v>2</v>
      </c>
      <c r="H3146" t="s">
        <v>260</v>
      </c>
      <c r="I3146" s="4">
        <f t="shared" si="455"/>
        <v>4</v>
      </c>
      <c r="J3146">
        <f t="shared" si="456"/>
        <v>8</v>
      </c>
      <c r="K3146">
        <v>36</v>
      </c>
      <c r="L3146">
        <v>18</v>
      </c>
      <c r="M3146" s="2">
        <v>2</v>
      </c>
      <c r="N3146">
        <v>3.01</v>
      </c>
      <c r="O3146">
        <v>0</v>
      </c>
      <c r="P3146">
        <v>2</v>
      </c>
      <c r="Q3146" t="s">
        <v>588</v>
      </c>
      <c r="R3146" s="8" t="s">
        <v>260</v>
      </c>
      <c r="S3146" t="str">
        <f t="shared" si="454"/>
        <v>PA</v>
      </c>
    </row>
    <row r="3147" spans="1:19" x14ac:dyDescent="0.3">
      <c r="A3147" t="s">
        <v>8</v>
      </c>
      <c r="B3147">
        <v>2016210008</v>
      </c>
      <c r="C3147" t="s">
        <v>187</v>
      </c>
      <c r="E3147" t="s">
        <v>352</v>
      </c>
      <c r="F3147" t="s">
        <v>353</v>
      </c>
      <c r="G3147">
        <v>2</v>
      </c>
      <c r="H3147" t="s">
        <v>260</v>
      </c>
      <c r="I3147" s="4">
        <f t="shared" si="455"/>
        <v>4</v>
      </c>
      <c r="J3147">
        <f t="shared" si="456"/>
        <v>8</v>
      </c>
      <c r="K3147">
        <v>54</v>
      </c>
      <c r="L3147">
        <v>22</v>
      </c>
      <c r="M3147">
        <v>2.4500000000000002</v>
      </c>
      <c r="N3147">
        <v>3.01</v>
      </c>
      <c r="O3147">
        <v>0</v>
      </c>
      <c r="P3147">
        <v>9</v>
      </c>
      <c r="Q3147" t="s">
        <v>570</v>
      </c>
      <c r="R3147" s="8" t="s">
        <v>260</v>
      </c>
      <c r="S3147" t="str">
        <f t="shared" si="454"/>
        <v>PA</v>
      </c>
    </row>
    <row r="3148" spans="1:19" x14ac:dyDescent="0.3">
      <c r="A3148" t="s">
        <v>8</v>
      </c>
      <c r="B3148">
        <v>2016210008</v>
      </c>
      <c r="C3148" t="s">
        <v>187</v>
      </c>
      <c r="E3148" t="s">
        <v>362</v>
      </c>
      <c r="F3148" t="s">
        <v>363</v>
      </c>
      <c r="G3148">
        <v>2</v>
      </c>
      <c r="H3148" t="s">
        <v>260</v>
      </c>
      <c r="I3148" s="4">
        <f t="shared" si="455"/>
        <v>4</v>
      </c>
      <c r="J3148">
        <f t="shared" si="456"/>
        <v>8</v>
      </c>
      <c r="K3148">
        <v>30</v>
      </c>
      <c r="L3148">
        <v>14</v>
      </c>
      <c r="M3148">
        <v>2.14</v>
      </c>
      <c r="N3148">
        <v>3.01</v>
      </c>
      <c r="O3148">
        <v>0</v>
      </c>
      <c r="P3148">
        <v>5</v>
      </c>
      <c r="Q3148" t="s">
        <v>566</v>
      </c>
      <c r="R3148" s="8" t="s">
        <v>260</v>
      </c>
      <c r="S3148" t="str">
        <f t="shared" si="454"/>
        <v>PA</v>
      </c>
    </row>
    <row r="3149" spans="1:19" x14ac:dyDescent="0.3">
      <c r="A3149" t="s">
        <v>8</v>
      </c>
      <c r="B3149">
        <v>2016210008</v>
      </c>
      <c r="C3149" t="s">
        <v>187</v>
      </c>
      <c r="E3149" t="s">
        <v>10</v>
      </c>
      <c r="F3149" t="s">
        <v>11</v>
      </c>
      <c r="G3149">
        <v>2</v>
      </c>
      <c r="H3149" t="s">
        <v>260</v>
      </c>
      <c r="I3149" s="4">
        <f t="shared" si="455"/>
        <v>4</v>
      </c>
      <c r="J3149">
        <f t="shared" si="456"/>
        <v>8</v>
      </c>
      <c r="K3149">
        <v>54</v>
      </c>
      <c r="L3149">
        <v>22</v>
      </c>
      <c r="M3149">
        <v>2.4500000000000002</v>
      </c>
      <c r="N3149">
        <v>3.01</v>
      </c>
      <c r="O3149">
        <v>0</v>
      </c>
      <c r="P3149">
        <v>9</v>
      </c>
      <c r="Q3149" t="s">
        <v>570</v>
      </c>
      <c r="R3149" s="8" t="s">
        <v>260</v>
      </c>
      <c r="S3149" t="str">
        <f t="shared" si="454"/>
        <v>PA</v>
      </c>
    </row>
    <row r="3150" spans="1:19" x14ac:dyDescent="0.3">
      <c r="A3150" t="s">
        <v>8</v>
      </c>
      <c r="B3150">
        <v>2016210008</v>
      </c>
      <c r="C3150" t="s">
        <v>187</v>
      </c>
      <c r="E3150" t="s">
        <v>597</v>
      </c>
      <c r="F3150" t="s">
        <v>275</v>
      </c>
      <c r="G3150">
        <v>2</v>
      </c>
      <c r="H3150" t="s">
        <v>260</v>
      </c>
      <c r="I3150" s="4">
        <f t="shared" si="455"/>
        <v>4</v>
      </c>
      <c r="J3150">
        <f t="shared" si="456"/>
        <v>8</v>
      </c>
      <c r="K3150">
        <v>18</v>
      </c>
      <c r="L3150">
        <v>6</v>
      </c>
      <c r="M3150" s="2">
        <v>3</v>
      </c>
      <c r="N3150">
        <v>3.01</v>
      </c>
      <c r="O3150">
        <v>0</v>
      </c>
      <c r="P3150">
        <v>6</v>
      </c>
      <c r="Q3150" t="s">
        <v>567</v>
      </c>
      <c r="R3150" s="8" t="s">
        <v>260</v>
      </c>
      <c r="S3150" t="str">
        <f t="shared" si="454"/>
        <v>PA</v>
      </c>
    </row>
    <row r="3151" spans="1:19" x14ac:dyDescent="0.3">
      <c r="A3151" t="s">
        <v>8</v>
      </c>
      <c r="B3151">
        <v>2016210008</v>
      </c>
      <c r="C3151" t="s">
        <v>187</v>
      </c>
      <c r="E3151" t="s">
        <v>242</v>
      </c>
      <c r="F3151" t="s">
        <v>166</v>
      </c>
      <c r="G3151">
        <v>2</v>
      </c>
      <c r="H3151" t="s">
        <v>260</v>
      </c>
      <c r="I3151" s="4">
        <f t="shared" si="455"/>
        <v>4</v>
      </c>
      <c r="J3151">
        <f t="shared" si="456"/>
        <v>8</v>
      </c>
      <c r="K3151">
        <v>38</v>
      </c>
      <c r="L3151">
        <v>16</v>
      </c>
      <c r="M3151">
        <v>2.38</v>
      </c>
      <c r="N3151">
        <v>3.01</v>
      </c>
      <c r="O3151">
        <v>0</v>
      </c>
      <c r="P3151">
        <v>4</v>
      </c>
      <c r="Q3151" t="s">
        <v>565</v>
      </c>
      <c r="R3151" s="8" t="s">
        <v>260</v>
      </c>
      <c r="S3151" t="str">
        <f t="shared" si="454"/>
        <v>PA</v>
      </c>
    </row>
    <row r="3152" spans="1:19" x14ac:dyDescent="0.3">
      <c r="A3152" t="s">
        <v>8</v>
      </c>
      <c r="B3152">
        <v>2016210008</v>
      </c>
      <c r="C3152" t="s">
        <v>187</v>
      </c>
      <c r="E3152" t="s">
        <v>147</v>
      </c>
      <c r="F3152" t="s">
        <v>148</v>
      </c>
      <c r="G3152">
        <v>4</v>
      </c>
      <c r="H3152" t="s">
        <v>438</v>
      </c>
      <c r="I3152" s="4">
        <f t="shared" si="455"/>
        <v>3</v>
      </c>
      <c r="J3152">
        <f t="shared" si="456"/>
        <v>12</v>
      </c>
      <c r="K3152">
        <v>54</v>
      </c>
      <c r="L3152">
        <v>20</v>
      </c>
      <c r="M3152" s="2">
        <v>2.7</v>
      </c>
      <c r="N3152">
        <v>3.01</v>
      </c>
      <c r="O3152">
        <v>0</v>
      </c>
      <c r="P3152">
        <v>1</v>
      </c>
      <c r="Q3152" t="s">
        <v>558</v>
      </c>
      <c r="R3152" s="8" t="s">
        <v>260</v>
      </c>
      <c r="S3152" t="str">
        <f t="shared" si="454"/>
        <v>PA</v>
      </c>
    </row>
    <row r="3153" spans="1:19" x14ac:dyDescent="0.3">
      <c r="A3153" t="s">
        <v>8</v>
      </c>
      <c r="B3153">
        <v>2016210008</v>
      </c>
      <c r="C3153" t="s">
        <v>187</v>
      </c>
      <c r="E3153" t="s">
        <v>185</v>
      </c>
      <c r="F3153" t="s">
        <v>186</v>
      </c>
      <c r="G3153">
        <v>4</v>
      </c>
      <c r="H3153" t="s">
        <v>438</v>
      </c>
      <c r="I3153" s="4">
        <f t="shared" si="455"/>
        <v>3</v>
      </c>
      <c r="J3153">
        <f t="shared" si="456"/>
        <v>12</v>
      </c>
      <c r="K3153">
        <v>22</v>
      </c>
      <c r="L3153">
        <v>8</v>
      </c>
      <c r="M3153">
        <v>2.75</v>
      </c>
      <c r="N3153">
        <v>3.01</v>
      </c>
      <c r="O3153">
        <v>0</v>
      </c>
      <c r="P3153">
        <v>7</v>
      </c>
      <c r="Q3153" t="s">
        <v>568</v>
      </c>
      <c r="R3153" s="8" t="s">
        <v>260</v>
      </c>
      <c r="S3153" t="str">
        <f t="shared" si="454"/>
        <v>PA</v>
      </c>
    </row>
    <row r="3154" spans="1:19" x14ac:dyDescent="0.3">
      <c r="A3154" t="s">
        <v>8</v>
      </c>
      <c r="B3154">
        <v>2016210008</v>
      </c>
      <c r="C3154" t="s">
        <v>187</v>
      </c>
      <c r="E3154" t="s">
        <v>117</v>
      </c>
      <c r="F3154" t="s">
        <v>118</v>
      </c>
      <c r="G3154">
        <v>2</v>
      </c>
      <c r="H3154" t="s">
        <v>438</v>
      </c>
      <c r="I3154" s="4">
        <f t="shared" si="455"/>
        <v>3</v>
      </c>
      <c r="J3154">
        <f t="shared" si="456"/>
        <v>6</v>
      </c>
      <c r="K3154">
        <v>36</v>
      </c>
      <c r="L3154">
        <v>18</v>
      </c>
      <c r="M3154" s="2">
        <v>2</v>
      </c>
      <c r="N3154">
        <v>3.01</v>
      </c>
      <c r="O3154">
        <v>0</v>
      </c>
      <c r="P3154">
        <v>2</v>
      </c>
      <c r="Q3154" t="s">
        <v>588</v>
      </c>
      <c r="R3154" s="8" t="s">
        <v>260</v>
      </c>
      <c r="S3154" t="str">
        <f t="shared" si="454"/>
        <v>PA</v>
      </c>
    </row>
    <row r="3155" spans="1:19" x14ac:dyDescent="0.3">
      <c r="A3155" t="s">
        <v>8</v>
      </c>
      <c r="B3155">
        <v>2016210008</v>
      </c>
      <c r="C3155" t="s">
        <v>187</v>
      </c>
      <c r="E3155" t="s">
        <v>407</v>
      </c>
      <c r="F3155" t="s">
        <v>312</v>
      </c>
      <c r="G3155">
        <v>2</v>
      </c>
      <c r="H3155" t="s">
        <v>438</v>
      </c>
      <c r="I3155" s="4">
        <f t="shared" si="455"/>
        <v>3</v>
      </c>
      <c r="J3155">
        <f t="shared" si="456"/>
        <v>6</v>
      </c>
      <c r="K3155">
        <v>22</v>
      </c>
      <c r="L3155">
        <v>8</v>
      </c>
      <c r="M3155">
        <v>2.75</v>
      </c>
      <c r="N3155">
        <v>3.01</v>
      </c>
      <c r="O3155">
        <v>0</v>
      </c>
      <c r="P3155">
        <v>7</v>
      </c>
      <c r="Q3155" t="s">
        <v>568</v>
      </c>
      <c r="R3155" s="8" t="s">
        <v>260</v>
      </c>
      <c r="S3155" t="str">
        <f t="shared" si="454"/>
        <v>PA</v>
      </c>
    </row>
    <row r="3156" spans="1:19" x14ac:dyDescent="0.3">
      <c r="A3156" t="s">
        <v>8</v>
      </c>
      <c r="B3156">
        <v>2016210008</v>
      </c>
      <c r="C3156" t="s">
        <v>187</v>
      </c>
      <c r="E3156" t="s">
        <v>136</v>
      </c>
      <c r="F3156" t="s">
        <v>137</v>
      </c>
      <c r="G3156">
        <v>4</v>
      </c>
      <c r="H3156" t="s">
        <v>438</v>
      </c>
      <c r="I3156" s="4">
        <f t="shared" si="455"/>
        <v>3</v>
      </c>
      <c r="J3156">
        <f t="shared" si="456"/>
        <v>12</v>
      </c>
      <c r="K3156">
        <v>38</v>
      </c>
      <c r="L3156">
        <v>12</v>
      </c>
      <c r="M3156" s="2">
        <v>3.17</v>
      </c>
      <c r="N3156">
        <v>3.01</v>
      </c>
      <c r="O3156">
        <v>0</v>
      </c>
      <c r="P3156">
        <v>8</v>
      </c>
      <c r="Q3156" s="4" t="str">
        <f>IF(P3156=1,"2016/2017-Ganjil",IF(P3156=2,"2016/2017-Genap",IF(P3156=3,"2017/2018-Ganjil",IF(P3156=4,"2017/2018-Genap",IF(P3156=5,"2018/2019-Ganjil",IF(P3156=6,"2018/2019-Genap",IF(P3156=7,"2019/2020-Ganjil",IF(P3156=8,"2019/2020-Genap",IF(P3156=9,"2020/2021-Ganjil",IF(P3156=10,"2020/2021-Genap",IF(P3156=11,"2021/2022-Ganjil",IF(P3156=12,"2021/2022-Genap",IF(P3156=13,"2022/2023-Ganjil","2022/2023-Genap")))))))))))))</f>
        <v>2019/2020-Genap</v>
      </c>
      <c r="R3156" s="8" t="s">
        <v>260</v>
      </c>
      <c r="S3156" t="str">
        <f t="shared" si="454"/>
        <v>PA</v>
      </c>
    </row>
    <row r="3157" spans="1:19" x14ac:dyDescent="0.3">
      <c r="A3157" t="s">
        <v>8</v>
      </c>
      <c r="B3157">
        <v>2016210008</v>
      </c>
      <c r="C3157" t="s">
        <v>187</v>
      </c>
      <c r="E3157" t="s">
        <v>22</v>
      </c>
      <c r="F3157" t="s">
        <v>23</v>
      </c>
      <c r="G3157">
        <v>2</v>
      </c>
      <c r="H3157" t="s">
        <v>438</v>
      </c>
      <c r="I3157" s="4">
        <f t="shared" si="455"/>
        <v>3</v>
      </c>
      <c r="J3157">
        <f t="shared" si="456"/>
        <v>6</v>
      </c>
      <c r="K3157">
        <v>36</v>
      </c>
      <c r="L3157">
        <v>18</v>
      </c>
      <c r="M3157" s="2">
        <v>2</v>
      </c>
      <c r="N3157">
        <v>3.01</v>
      </c>
      <c r="O3157">
        <v>0</v>
      </c>
      <c r="P3157">
        <v>2</v>
      </c>
      <c r="Q3157" t="s">
        <v>588</v>
      </c>
      <c r="R3157" s="8" t="s">
        <v>260</v>
      </c>
      <c r="S3157" t="str">
        <f t="shared" si="454"/>
        <v>PA</v>
      </c>
    </row>
    <row r="3158" spans="1:19" x14ac:dyDescent="0.3">
      <c r="A3158" t="s">
        <v>8</v>
      </c>
      <c r="B3158">
        <v>2016210008</v>
      </c>
      <c r="C3158" t="s">
        <v>187</v>
      </c>
      <c r="E3158" t="s">
        <v>227</v>
      </c>
      <c r="F3158" t="s">
        <v>228</v>
      </c>
      <c r="G3158">
        <v>2</v>
      </c>
      <c r="H3158" t="s">
        <v>438</v>
      </c>
      <c r="I3158" s="4">
        <f t="shared" si="455"/>
        <v>3</v>
      </c>
      <c r="J3158">
        <f t="shared" si="456"/>
        <v>6</v>
      </c>
      <c r="K3158">
        <v>34</v>
      </c>
      <c r="L3158">
        <v>18</v>
      </c>
      <c r="M3158">
        <v>1.89</v>
      </c>
      <c r="N3158">
        <v>3.01</v>
      </c>
      <c r="O3158">
        <v>0</v>
      </c>
      <c r="P3158">
        <v>3</v>
      </c>
      <c r="Q3158" t="s">
        <v>563</v>
      </c>
      <c r="R3158" s="8" t="s">
        <v>260</v>
      </c>
      <c r="S3158" t="str">
        <f t="shared" si="454"/>
        <v>PA</v>
      </c>
    </row>
    <row r="3159" spans="1:19" x14ac:dyDescent="0.3">
      <c r="A3159" t="s">
        <v>8</v>
      </c>
      <c r="B3159">
        <v>2016210008</v>
      </c>
      <c r="C3159" t="s">
        <v>187</v>
      </c>
      <c r="E3159" t="s">
        <v>232</v>
      </c>
      <c r="F3159" t="s">
        <v>245</v>
      </c>
      <c r="G3159">
        <v>2</v>
      </c>
      <c r="H3159" t="s">
        <v>438</v>
      </c>
      <c r="I3159" s="4">
        <f t="shared" si="455"/>
        <v>3</v>
      </c>
      <c r="J3159">
        <f t="shared" si="456"/>
        <v>6</v>
      </c>
      <c r="K3159">
        <v>28</v>
      </c>
      <c r="L3159">
        <v>12</v>
      </c>
      <c r="M3159" s="2">
        <v>2.33</v>
      </c>
      <c r="N3159">
        <v>3.01</v>
      </c>
      <c r="O3159">
        <v>0</v>
      </c>
      <c r="P3159">
        <v>10</v>
      </c>
      <c r="Q3159" t="s">
        <v>560</v>
      </c>
      <c r="R3159" s="8" t="s">
        <v>260</v>
      </c>
      <c r="S3159" t="str">
        <f t="shared" si="454"/>
        <v>PA</v>
      </c>
    </row>
    <row r="3160" spans="1:19" x14ac:dyDescent="0.3">
      <c r="A3160" t="s">
        <v>8</v>
      </c>
      <c r="B3160">
        <v>2016210008</v>
      </c>
      <c r="C3160" t="s">
        <v>187</v>
      </c>
      <c r="E3160" t="s">
        <v>131</v>
      </c>
      <c r="F3160" t="s">
        <v>132</v>
      </c>
      <c r="G3160">
        <v>2</v>
      </c>
      <c r="H3160" t="s">
        <v>438</v>
      </c>
      <c r="I3160" s="4">
        <f t="shared" si="455"/>
        <v>3</v>
      </c>
      <c r="J3160">
        <f t="shared" si="456"/>
        <v>6</v>
      </c>
      <c r="K3160">
        <v>54</v>
      </c>
      <c r="L3160">
        <v>20</v>
      </c>
      <c r="M3160" s="2">
        <v>2.7</v>
      </c>
      <c r="N3160">
        <v>3.01</v>
      </c>
      <c r="O3160">
        <v>0</v>
      </c>
      <c r="P3160">
        <v>1</v>
      </c>
      <c r="Q3160" t="s">
        <v>558</v>
      </c>
      <c r="R3160" s="8" t="s">
        <v>260</v>
      </c>
      <c r="S3160" t="str">
        <f t="shared" si="454"/>
        <v>PA</v>
      </c>
    </row>
    <row r="3161" spans="1:19" x14ac:dyDescent="0.3">
      <c r="A3161" t="s">
        <v>8</v>
      </c>
      <c r="B3161">
        <v>2016210008</v>
      </c>
      <c r="C3161" t="s">
        <v>187</v>
      </c>
      <c r="E3161" t="s">
        <v>253</v>
      </c>
      <c r="F3161" t="s">
        <v>254</v>
      </c>
      <c r="G3161">
        <v>2</v>
      </c>
      <c r="H3161" t="s">
        <v>438</v>
      </c>
      <c r="I3161" s="4">
        <f t="shared" si="455"/>
        <v>3</v>
      </c>
      <c r="J3161">
        <f t="shared" si="456"/>
        <v>6</v>
      </c>
      <c r="K3161">
        <v>38</v>
      </c>
      <c r="L3161">
        <v>16</v>
      </c>
      <c r="M3161">
        <v>2.38</v>
      </c>
      <c r="N3161">
        <v>3.01</v>
      </c>
      <c r="O3161">
        <v>0</v>
      </c>
      <c r="P3161">
        <v>4</v>
      </c>
      <c r="Q3161" t="s">
        <v>565</v>
      </c>
      <c r="R3161" s="8" t="s">
        <v>260</v>
      </c>
      <c r="S3161" t="str">
        <f t="shared" si="454"/>
        <v>PA</v>
      </c>
    </row>
    <row r="3162" spans="1:19" x14ac:dyDescent="0.3">
      <c r="A3162" t="s">
        <v>8</v>
      </c>
      <c r="B3162">
        <v>2016210008</v>
      </c>
      <c r="C3162" t="s">
        <v>187</v>
      </c>
      <c r="E3162" t="s">
        <v>355</v>
      </c>
      <c r="F3162" t="s">
        <v>274</v>
      </c>
      <c r="G3162">
        <v>2</v>
      </c>
      <c r="H3162" t="s">
        <v>438</v>
      </c>
      <c r="I3162" s="4">
        <f t="shared" si="455"/>
        <v>3</v>
      </c>
      <c r="J3162">
        <f t="shared" si="456"/>
        <v>6</v>
      </c>
      <c r="K3162">
        <v>38</v>
      </c>
      <c r="L3162">
        <v>16</v>
      </c>
      <c r="M3162">
        <v>2.38</v>
      </c>
      <c r="N3162">
        <v>3.01</v>
      </c>
      <c r="O3162">
        <v>0</v>
      </c>
      <c r="P3162">
        <v>4</v>
      </c>
      <c r="Q3162" t="s">
        <v>565</v>
      </c>
      <c r="R3162" s="8" t="s">
        <v>260</v>
      </c>
      <c r="S3162" t="str">
        <f t="shared" si="454"/>
        <v>PA</v>
      </c>
    </row>
    <row r="3163" spans="1:19" x14ac:dyDescent="0.3">
      <c r="A3163" t="s">
        <v>8</v>
      </c>
      <c r="B3163">
        <v>2016210008</v>
      </c>
      <c r="C3163" t="s">
        <v>187</v>
      </c>
      <c r="E3163" t="s">
        <v>279</v>
      </c>
      <c r="F3163" t="s">
        <v>280</v>
      </c>
      <c r="G3163">
        <v>2</v>
      </c>
      <c r="H3163" t="s">
        <v>438</v>
      </c>
      <c r="I3163" s="4">
        <f t="shared" si="455"/>
        <v>3</v>
      </c>
      <c r="J3163">
        <f t="shared" si="456"/>
        <v>6</v>
      </c>
      <c r="K3163">
        <v>36</v>
      </c>
      <c r="L3163">
        <v>18</v>
      </c>
      <c r="M3163" s="2">
        <v>2</v>
      </c>
      <c r="N3163">
        <v>3.01</v>
      </c>
      <c r="O3163">
        <v>0</v>
      </c>
      <c r="P3163">
        <v>2</v>
      </c>
      <c r="Q3163" t="s">
        <v>588</v>
      </c>
      <c r="R3163" s="8" t="s">
        <v>260</v>
      </c>
      <c r="S3163" t="str">
        <f t="shared" si="454"/>
        <v>PA</v>
      </c>
    </row>
    <row r="3164" spans="1:19" x14ac:dyDescent="0.3">
      <c r="A3164" t="s">
        <v>8</v>
      </c>
      <c r="B3164">
        <v>2016210008</v>
      </c>
      <c r="C3164" t="s">
        <v>187</v>
      </c>
      <c r="E3164" t="s">
        <v>222</v>
      </c>
      <c r="F3164" t="s">
        <v>223</v>
      </c>
      <c r="G3164">
        <v>2</v>
      </c>
      <c r="H3164" t="s">
        <v>438</v>
      </c>
      <c r="I3164" s="4">
        <f t="shared" si="455"/>
        <v>3</v>
      </c>
      <c r="J3164">
        <f t="shared" si="456"/>
        <v>6</v>
      </c>
      <c r="K3164">
        <v>38</v>
      </c>
      <c r="L3164">
        <v>12</v>
      </c>
      <c r="M3164" s="2">
        <v>3.17</v>
      </c>
      <c r="N3164">
        <v>3.01</v>
      </c>
      <c r="O3164">
        <v>0</v>
      </c>
      <c r="P3164">
        <v>8</v>
      </c>
      <c r="Q3164" s="4" t="str">
        <f>IF(P3164=1,"2016/2017-Ganjil",IF(P3164=2,"2016/2017-Genap",IF(P3164=3,"2017/2018-Ganjil",IF(P3164=4,"2017/2018-Genap",IF(P3164=5,"2018/2019-Ganjil",IF(P3164=6,"2018/2019-Genap",IF(P3164=7,"2019/2020-Ganjil",IF(P3164=8,"2019/2020-Genap",IF(P3164=9,"2020/2021-Ganjil",IF(P3164=10,"2020/2021-Genap",IF(P3164=11,"2021/2022-Ganjil",IF(P3164=12,"2021/2022-Genap",IF(P3164=13,"2022/2023-Ganjil","2022/2023-Genap")))))))))))))</f>
        <v>2019/2020-Genap</v>
      </c>
      <c r="R3164" s="8" t="s">
        <v>260</v>
      </c>
      <c r="S3164" t="str">
        <f t="shared" si="454"/>
        <v>PA</v>
      </c>
    </row>
    <row r="3165" spans="1:19" x14ac:dyDescent="0.3">
      <c r="A3165" t="s">
        <v>8</v>
      </c>
      <c r="B3165">
        <v>2016210008</v>
      </c>
      <c r="C3165" t="s">
        <v>187</v>
      </c>
      <c r="E3165" t="s">
        <v>182</v>
      </c>
      <c r="F3165" t="s">
        <v>171</v>
      </c>
      <c r="G3165">
        <v>2</v>
      </c>
      <c r="H3165" t="s">
        <v>438</v>
      </c>
      <c r="I3165" s="4">
        <f t="shared" si="455"/>
        <v>3</v>
      </c>
      <c r="J3165">
        <f t="shared" si="456"/>
        <v>6</v>
      </c>
      <c r="K3165">
        <v>30</v>
      </c>
      <c r="L3165">
        <v>14</v>
      </c>
      <c r="M3165">
        <v>2.14</v>
      </c>
      <c r="N3165">
        <v>3.01</v>
      </c>
      <c r="O3165">
        <v>0</v>
      </c>
      <c r="P3165">
        <v>5</v>
      </c>
      <c r="Q3165" t="s">
        <v>566</v>
      </c>
      <c r="R3165" s="8" t="s">
        <v>260</v>
      </c>
      <c r="S3165" t="str">
        <f t="shared" si="454"/>
        <v>PA</v>
      </c>
    </row>
    <row r="3166" spans="1:19" x14ac:dyDescent="0.3">
      <c r="A3166" t="s">
        <v>8</v>
      </c>
      <c r="B3166">
        <v>2016210008</v>
      </c>
      <c r="C3166" t="s">
        <v>187</v>
      </c>
      <c r="E3166" t="s">
        <v>93</v>
      </c>
      <c r="F3166" t="s">
        <v>94</v>
      </c>
      <c r="G3166">
        <v>4</v>
      </c>
      <c r="H3166" t="s">
        <v>438</v>
      </c>
      <c r="I3166" s="4">
        <f t="shared" si="455"/>
        <v>3</v>
      </c>
      <c r="J3166">
        <f t="shared" si="456"/>
        <v>12</v>
      </c>
      <c r="K3166">
        <v>34</v>
      </c>
      <c r="L3166">
        <v>18</v>
      </c>
      <c r="M3166">
        <v>1.89</v>
      </c>
      <c r="N3166">
        <v>3.01</v>
      </c>
      <c r="O3166">
        <v>0</v>
      </c>
      <c r="P3166">
        <v>3</v>
      </c>
      <c r="Q3166" t="s">
        <v>563</v>
      </c>
      <c r="R3166" s="8" t="s">
        <v>260</v>
      </c>
      <c r="S3166" t="str">
        <f t="shared" si="454"/>
        <v>PA</v>
      </c>
    </row>
    <row r="3167" spans="1:19" x14ac:dyDescent="0.3">
      <c r="A3167" t="s">
        <v>8</v>
      </c>
      <c r="B3167">
        <v>2016210008</v>
      </c>
      <c r="C3167" t="s">
        <v>187</v>
      </c>
      <c r="E3167" t="s">
        <v>295</v>
      </c>
      <c r="F3167" t="s">
        <v>296</v>
      </c>
      <c r="G3167">
        <v>2</v>
      </c>
      <c r="H3167" t="s">
        <v>438</v>
      </c>
      <c r="I3167" s="4">
        <f t="shared" si="455"/>
        <v>3</v>
      </c>
      <c r="J3167">
        <f t="shared" si="456"/>
        <v>6</v>
      </c>
      <c r="K3167">
        <v>34</v>
      </c>
      <c r="L3167">
        <v>18</v>
      </c>
      <c r="M3167">
        <v>1.89</v>
      </c>
      <c r="N3167">
        <v>3.01</v>
      </c>
      <c r="O3167">
        <v>0</v>
      </c>
      <c r="P3167">
        <v>3</v>
      </c>
      <c r="Q3167" t="s">
        <v>563</v>
      </c>
      <c r="R3167" s="8" t="s">
        <v>260</v>
      </c>
      <c r="S3167" t="str">
        <f t="shared" si="454"/>
        <v>PA</v>
      </c>
    </row>
    <row r="3168" spans="1:19" x14ac:dyDescent="0.3">
      <c r="A3168" t="s">
        <v>8</v>
      </c>
      <c r="B3168">
        <v>2016210008</v>
      </c>
      <c r="C3168" t="s">
        <v>187</v>
      </c>
      <c r="E3168" t="s">
        <v>19</v>
      </c>
      <c r="F3168" t="s">
        <v>20</v>
      </c>
      <c r="G3168">
        <v>6</v>
      </c>
      <c r="H3168" t="s">
        <v>438</v>
      </c>
      <c r="I3168" s="4">
        <f t="shared" si="455"/>
        <v>3</v>
      </c>
      <c r="J3168">
        <f t="shared" si="456"/>
        <v>18</v>
      </c>
      <c r="K3168">
        <v>24</v>
      </c>
      <c r="L3168">
        <v>8</v>
      </c>
      <c r="M3168" s="2">
        <v>3</v>
      </c>
      <c r="N3168">
        <v>3.01</v>
      </c>
      <c r="O3168">
        <v>0</v>
      </c>
      <c r="P3168">
        <v>11</v>
      </c>
      <c r="Q3168" t="s">
        <v>573</v>
      </c>
      <c r="R3168" t="s">
        <v>596</v>
      </c>
      <c r="S3168" t="str">
        <f t="shared" si="454"/>
        <v>PA</v>
      </c>
    </row>
    <row r="3169" spans="1:19" x14ac:dyDescent="0.3">
      <c r="A3169" t="s">
        <v>8</v>
      </c>
      <c r="B3169">
        <v>2016210008</v>
      </c>
      <c r="C3169" t="s">
        <v>187</v>
      </c>
      <c r="E3169" t="s">
        <v>163</v>
      </c>
      <c r="F3169" t="s">
        <v>164</v>
      </c>
      <c r="G3169">
        <v>2</v>
      </c>
      <c r="H3169" t="s">
        <v>438</v>
      </c>
      <c r="I3169" s="4">
        <f t="shared" si="455"/>
        <v>3</v>
      </c>
      <c r="J3169">
        <f t="shared" si="456"/>
        <v>6</v>
      </c>
      <c r="K3169">
        <v>54</v>
      </c>
      <c r="L3169">
        <v>20</v>
      </c>
      <c r="M3169" s="2">
        <v>2.7</v>
      </c>
      <c r="N3169">
        <v>3.01</v>
      </c>
      <c r="O3169">
        <v>0</v>
      </c>
      <c r="P3169">
        <v>1</v>
      </c>
      <c r="Q3169" t="s">
        <v>558</v>
      </c>
      <c r="R3169" s="8" t="s">
        <v>260</v>
      </c>
      <c r="S3169" t="str">
        <f t="shared" si="454"/>
        <v>PA</v>
      </c>
    </row>
    <row r="3170" spans="1:19" x14ac:dyDescent="0.3">
      <c r="A3170" t="s">
        <v>8</v>
      </c>
      <c r="B3170">
        <v>2016210008</v>
      </c>
      <c r="C3170" t="s">
        <v>187</v>
      </c>
      <c r="E3170" t="s">
        <v>246</v>
      </c>
      <c r="F3170" t="s">
        <v>247</v>
      </c>
      <c r="G3170">
        <v>4</v>
      </c>
      <c r="H3170" t="s">
        <v>524</v>
      </c>
      <c r="I3170" s="4">
        <f t="shared" si="455"/>
        <v>2</v>
      </c>
      <c r="J3170">
        <f t="shared" si="456"/>
        <v>8</v>
      </c>
      <c r="K3170">
        <v>38</v>
      </c>
      <c r="L3170">
        <v>16</v>
      </c>
      <c r="M3170">
        <v>2.38</v>
      </c>
      <c r="N3170">
        <v>3.01</v>
      </c>
      <c r="O3170">
        <v>0</v>
      </c>
      <c r="P3170">
        <v>4</v>
      </c>
      <c r="Q3170" t="s">
        <v>565</v>
      </c>
      <c r="R3170" s="8" t="s">
        <v>260</v>
      </c>
      <c r="S3170" t="str">
        <f t="shared" si="454"/>
        <v>PA</v>
      </c>
    </row>
    <row r="3171" spans="1:19" x14ac:dyDescent="0.3">
      <c r="A3171" t="s">
        <v>8</v>
      </c>
      <c r="B3171">
        <v>2016210008</v>
      </c>
      <c r="C3171" t="s">
        <v>187</v>
      </c>
      <c r="E3171" t="s">
        <v>219</v>
      </c>
      <c r="F3171" t="s">
        <v>220</v>
      </c>
      <c r="G3171">
        <v>2</v>
      </c>
      <c r="H3171" t="s">
        <v>524</v>
      </c>
      <c r="I3171" s="4">
        <f t="shared" si="455"/>
        <v>2</v>
      </c>
      <c r="J3171">
        <f t="shared" si="456"/>
        <v>4</v>
      </c>
      <c r="K3171">
        <v>54</v>
      </c>
      <c r="L3171">
        <v>22</v>
      </c>
      <c r="M3171">
        <v>2.4500000000000002</v>
      </c>
      <c r="N3171">
        <v>3.01</v>
      </c>
      <c r="O3171">
        <v>0</v>
      </c>
      <c r="P3171">
        <v>9</v>
      </c>
      <c r="Q3171" t="s">
        <v>570</v>
      </c>
      <c r="R3171" s="8" t="s">
        <v>260</v>
      </c>
      <c r="S3171" t="str">
        <f t="shared" si="454"/>
        <v>PA</v>
      </c>
    </row>
    <row r="3172" spans="1:19" x14ac:dyDescent="0.3">
      <c r="A3172" t="s">
        <v>8</v>
      </c>
      <c r="B3172">
        <v>2016210008</v>
      </c>
      <c r="C3172" t="s">
        <v>187</v>
      </c>
      <c r="E3172" t="s">
        <v>213</v>
      </c>
      <c r="F3172" t="s">
        <v>214</v>
      </c>
      <c r="G3172">
        <v>4</v>
      </c>
      <c r="H3172" t="s">
        <v>524</v>
      </c>
      <c r="I3172" s="4">
        <f t="shared" si="455"/>
        <v>2</v>
      </c>
      <c r="J3172">
        <f t="shared" si="456"/>
        <v>8</v>
      </c>
      <c r="K3172">
        <v>30</v>
      </c>
      <c r="L3172">
        <v>14</v>
      </c>
      <c r="M3172">
        <v>2.14</v>
      </c>
      <c r="N3172">
        <v>3.01</v>
      </c>
      <c r="O3172">
        <v>0</v>
      </c>
      <c r="P3172">
        <v>5</v>
      </c>
      <c r="Q3172" t="s">
        <v>566</v>
      </c>
      <c r="R3172" s="8" t="s">
        <v>260</v>
      </c>
      <c r="S3172" t="str">
        <f t="shared" si="454"/>
        <v>PA</v>
      </c>
    </row>
    <row r="3173" spans="1:19" x14ac:dyDescent="0.3">
      <c r="A3173" t="s">
        <v>8</v>
      </c>
      <c r="B3173">
        <v>2016210008</v>
      </c>
      <c r="C3173" t="s">
        <v>187</v>
      </c>
      <c r="E3173" t="s">
        <v>112</v>
      </c>
      <c r="F3173" t="s">
        <v>113</v>
      </c>
      <c r="G3173">
        <v>4</v>
      </c>
      <c r="H3173" t="s">
        <v>524</v>
      </c>
      <c r="I3173" s="4">
        <f t="shared" si="455"/>
        <v>2</v>
      </c>
      <c r="J3173">
        <f t="shared" si="456"/>
        <v>8</v>
      </c>
      <c r="K3173">
        <v>34</v>
      </c>
      <c r="L3173">
        <v>18</v>
      </c>
      <c r="M3173">
        <v>1.89</v>
      </c>
      <c r="N3173">
        <v>3.01</v>
      </c>
      <c r="O3173">
        <v>0</v>
      </c>
      <c r="P3173">
        <v>3</v>
      </c>
      <c r="Q3173" t="s">
        <v>563</v>
      </c>
      <c r="R3173" s="8" t="s">
        <v>260</v>
      </c>
      <c r="S3173" t="str">
        <f t="shared" si="454"/>
        <v>PA</v>
      </c>
    </row>
    <row r="3174" spans="1:19" x14ac:dyDescent="0.3">
      <c r="A3174" t="s">
        <v>8</v>
      </c>
      <c r="B3174">
        <v>2016210008</v>
      </c>
      <c r="C3174" t="s">
        <v>187</v>
      </c>
      <c r="E3174" t="s">
        <v>449</v>
      </c>
      <c r="F3174" t="s">
        <v>460</v>
      </c>
      <c r="G3174">
        <v>4</v>
      </c>
      <c r="H3174" t="s">
        <v>524</v>
      </c>
      <c r="I3174" s="4">
        <f t="shared" si="455"/>
        <v>2</v>
      </c>
      <c r="J3174">
        <f t="shared" si="456"/>
        <v>8</v>
      </c>
      <c r="K3174">
        <v>38</v>
      </c>
      <c r="L3174">
        <v>16</v>
      </c>
      <c r="M3174">
        <v>2.38</v>
      </c>
      <c r="N3174">
        <v>3.01</v>
      </c>
      <c r="O3174">
        <v>0</v>
      </c>
      <c r="P3174">
        <v>4</v>
      </c>
      <c r="Q3174" t="s">
        <v>565</v>
      </c>
      <c r="R3174" s="8" t="s">
        <v>260</v>
      </c>
      <c r="S3174" t="str">
        <f t="shared" si="454"/>
        <v>PA</v>
      </c>
    </row>
    <row r="3175" spans="1:19" x14ac:dyDescent="0.3">
      <c r="A3175" t="s">
        <v>8</v>
      </c>
      <c r="B3175">
        <v>2016210008</v>
      </c>
      <c r="C3175" t="s">
        <v>187</v>
      </c>
      <c r="E3175" t="s">
        <v>115</v>
      </c>
      <c r="F3175" t="s">
        <v>116</v>
      </c>
      <c r="G3175">
        <v>4</v>
      </c>
      <c r="H3175" t="s">
        <v>524</v>
      </c>
      <c r="I3175" s="4">
        <f t="shared" si="455"/>
        <v>2</v>
      </c>
      <c r="J3175">
        <f t="shared" si="456"/>
        <v>8</v>
      </c>
      <c r="K3175">
        <v>36</v>
      </c>
      <c r="L3175">
        <v>18</v>
      </c>
      <c r="M3175" s="2">
        <v>2</v>
      </c>
      <c r="N3175">
        <v>3.01</v>
      </c>
      <c r="O3175">
        <v>0</v>
      </c>
      <c r="P3175">
        <v>2</v>
      </c>
      <c r="Q3175" t="s">
        <v>588</v>
      </c>
      <c r="R3175" s="8" t="s">
        <v>260</v>
      </c>
      <c r="S3175" t="str">
        <f t="shared" si="454"/>
        <v>PA</v>
      </c>
    </row>
    <row r="3176" spans="1:19" x14ac:dyDescent="0.3">
      <c r="A3176" t="s">
        <v>8</v>
      </c>
      <c r="B3176">
        <v>2016210008</v>
      </c>
      <c r="C3176" t="s">
        <v>187</v>
      </c>
      <c r="E3176" t="s">
        <v>393</v>
      </c>
      <c r="F3176" t="s">
        <v>492</v>
      </c>
      <c r="G3176">
        <v>2</v>
      </c>
      <c r="H3176" t="s">
        <v>524</v>
      </c>
      <c r="I3176" s="4">
        <f t="shared" si="455"/>
        <v>2</v>
      </c>
      <c r="J3176">
        <f t="shared" si="456"/>
        <v>4</v>
      </c>
      <c r="K3176">
        <v>22</v>
      </c>
      <c r="L3176">
        <v>8</v>
      </c>
      <c r="M3176">
        <v>2.75</v>
      </c>
      <c r="N3176">
        <v>3.01</v>
      </c>
      <c r="O3176">
        <v>0</v>
      </c>
      <c r="P3176">
        <v>7</v>
      </c>
      <c r="Q3176" t="s">
        <v>568</v>
      </c>
      <c r="R3176" s="8" t="s">
        <v>260</v>
      </c>
      <c r="S3176" t="str">
        <f t="shared" si="454"/>
        <v>PA</v>
      </c>
    </row>
    <row r="3177" spans="1:19" x14ac:dyDescent="0.3">
      <c r="A3177" t="s">
        <v>8</v>
      </c>
      <c r="B3177">
        <v>2016210008</v>
      </c>
      <c r="C3177" t="s">
        <v>187</v>
      </c>
      <c r="E3177" t="s">
        <v>391</v>
      </c>
      <c r="F3177" t="s">
        <v>392</v>
      </c>
      <c r="G3177">
        <v>2</v>
      </c>
      <c r="H3177" t="s">
        <v>524</v>
      </c>
      <c r="I3177" s="4">
        <f t="shared" si="455"/>
        <v>2</v>
      </c>
      <c r="J3177">
        <f t="shared" si="456"/>
        <v>4</v>
      </c>
      <c r="K3177">
        <v>30</v>
      </c>
      <c r="L3177">
        <v>14</v>
      </c>
      <c r="M3177">
        <v>2.14</v>
      </c>
      <c r="N3177">
        <v>3.01</v>
      </c>
      <c r="O3177">
        <v>0</v>
      </c>
      <c r="P3177">
        <v>5</v>
      </c>
      <c r="Q3177" t="s">
        <v>566</v>
      </c>
      <c r="R3177" s="8" t="s">
        <v>260</v>
      </c>
      <c r="S3177" t="str">
        <f t="shared" si="454"/>
        <v>PA</v>
      </c>
    </row>
    <row r="3178" spans="1:19" x14ac:dyDescent="0.3">
      <c r="A3178" t="s">
        <v>8</v>
      </c>
      <c r="B3178">
        <v>2016210008</v>
      </c>
      <c r="C3178" t="s">
        <v>187</v>
      </c>
      <c r="E3178" t="s">
        <v>110</v>
      </c>
      <c r="F3178" t="s">
        <v>111</v>
      </c>
      <c r="G3178">
        <v>4</v>
      </c>
      <c r="H3178" t="s">
        <v>524</v>
      </c>
      <c r="I3178" s="4">
        <f t="shared" si="455"/>
        <v>2</v>
      </c>
      <c r="J3178">
        <f t="shared" si="456"/>
        <v>8</v>
      </c>
      <c r="K3178">
        <v>54</v>
      </c>
      <c r="L3178">
        <v>20</v>
      </c>
      <c r="M3178" s="2">
        <v>2.7</v>
      </c>
      <c r="N3178">
        <v>3.01</v>
      </c>
      <c r="O3178">
        <v>0</v>
      </c>
      <c r="P3178">
        <v>1</v>
      </c>
      <c r="Q3178" t="s">
        <v>558</v>
      </c>
      <c r="R3178" s="8" t="s">
        <v>260</v>
      </c>
      <c r="S3178" t="str">
        <f t="shared" si="454"/>
        <v>PA</v>
      </c>
    </row>
    <row r="3179" spans="1:19" x14ac:dyDescent="0.3">
      <c r="A3179" t="s">
        <v>8</v>
      </c>
      <c r="B3179">
        <v>2016210008</v>
      </c>
      <c r="C3179" t="s">
        <v>187</v>
      </c>
      <c r="E3179" t="s">
        <v>110</v>
      </c>
      <c r="F3179" t="s">
        <v>111</v>
      </c>
      <c r="G3179">
        <v>4</v>
      </c>
      <c r="H3179" t="s">
        <v>260</v>
      </c>
      <c r="I3179" s="4">
        <f t="shared" si="455"/>
        <v>4</v>
      </c>
      <c r="J3179">
        <f t="shared" si="456"/>
        <v>16</v>
      </c>
      <c r="K3179">
        <v>54</v>
      </c>
      <c r="L3179">
        <v>22</v>
      </c>
      <c r="M3179">
        <v>2.4500000000000002</v>
      </c>
      <c r="N3179">
        <v>3.01</v>
      </c>
      <c r="O3179">
        <v>1</v>
      </c>
      <c r="P3179">
        <v>9</v>
      </c>
      <c r="Q3179" t="s">
        <v>570</v>
      </c>
      <c r="R3179" s="8" t="s">
        <v>260</v>
      </c>
      <c r="S3179" t="str">
        <f t="shared" si="454"/>
        <v>PA</v>
      </c>
    </row>
    <row r="3180" spans="1:19" x14ac:dyDescent="0.3">
      <c r="A3180" t="s">
        <v>8</v>
      </c>
      <c r="B3180">
        <v>2016210008</v>
      </c>
      <c r="C3180" t="s">
        <v>187</v>
      </c>
      <c r="E3180" t="s">
        <v>395</v>
      </c>
      <c r="F3180" t="s">
        <v>396</v>
      </c>
      <c r="G3180">
        <v>2</v>
      </c>
      <c r="H3180" t="s">
        <v>524</v>
      </c>
      <c r="I3180" s="4">
        <f t="shared" si="455"/>
        <v>2</v>
      </c>
      <c r="J3180">
        <f t="shared" si="456"/>
        <v>4</v>
      </c>
      <c r="K3180">
        <v>54</v>
      </c>
      <c r="L3180">
        <v>20</v>
      </c>
      <c r="M3180" s="2">
        <v>2.7</v>
      </c>
      <c r="N3180">
        <v>3.01</v>
      </c>
      <c r="O3180">
        <v>0</v>
      </c>
      <c r="P3180">
        <v>1</v>
      </c>
      <c r="Q3180" t="s">
        <v>558</v>
      </c>
      <c r="R3180" s="8" t="s">
        <v>260</v>
      </c>
      <c r="S3180" t="str">
        <f t="shared" si="454"/>
        <v>PA</v>
      </c>
    </row>
    <row r="3181" spans="1:19" x14ac:dyDescent="0.3">
      <c r="A3181" t="s">
        <v>8</v>
      </c>
      <c r="B3181">
        <v>2016210008</v>
      </c>
      <c r="C3181" t="s">
        <v>187</v>
      </c>
      <c r="E3181" t="s">
        <v>216</v>
      </c>
      <c r="F3181" t="s">
        <v>217</v>
      </c>
      <c r="G3181">
        <v>2</v>
      </c>
      <c r="H3181" t="s">
        <v>535</v>
      </c>
      <c r="I3181" s="4">
        <f t="shared" si="455"/>
        <v>1</v>
      </c>
      <c r="J3181">
        <f t="shared" si="456"/>
        <v>2</v>
      </c>
      <c r="K3181">
        <v>38</v>
      </c>
      <c r="L3181">
        <v>16</v>
      </c>
      <c r="M3181">
        <v>2.38</v>
      </c>
      <c r="N3181">
        <v>3.01</v>
      </c>
      <c r="O3181">
        <v>0</v>
      </c>
      <c r="P3181">
        <v>4</v>
      </c>
      <c r="Q3181" t="s">
        <v>565</v>
      </c>
      <c r="R3181" s="8" t="s">
        <v>260</v>
      </c>
      <c r="S3181" t="str">
        <f t="shared" si="454"/>
        <v>FA</v>
      </c>
    </row>
    <row r="3182" spans="1:19" x14ac:dyDescent="0.3">
      <c r="A3182" t="s">
        <v>8</v>
      </c>
      <c r="B3182">
        <v>2016210008</v>
      </c>
      <c r="C3182" t="s">
        <v>187</v>
      </c>
      <c r="E3182" t="s">
        <v>216</v>
      </c>
      <c r="F3182" t="s">
        <v>217</v>
      </c>
      <c r="G3182">
        <v>2</v>
      </c>
      <c r="H3182" t="s">
        <v>438</v>
      </c>
      <c r="I3182" s="4">
        <f t="shared" si="455"/>
        <v>3</v>
      </c>
      <c r="J3182">
        <f t="shared" si="456"/>
        <v>6</v>
      </c>
      <c r="K3182">
        <v>88</v>
      </c>
      <c r="L3182">
        <v>26</v>
      </c>
      <c r="M3182">
        <v>3.38</v>
      </c>
      <c r="N3182">
        <v>3.01</v>
      </c>
      <c r="O3182">
        <v>1</v>
      </c>
      <c r="P3182">
        <v>10</v>
      </c>
      <c r="Q3182" t="s">
        <v>578</v>
      </c>
      <c r="R3182" s="8" t="s">
        <v>260</v>
      </c>
      <c r="S3182" t="str">
        <f t="shared" si="454"/>
        <v>PA</v>
      </c>
    </row>
    <row r="3183" spans="1:19" x14ac:dyDescent="0.3">
      <c r="A3183" t="s">
        <v>8</v>
      </c>
      <c r="B3183">
        <v>2016210008</v>
      </c>
      <c r="C3183" t="s">
        <v>187</v>
      </c>
      <c r="E3183" t="s">
        <v>176</v>
      </c>
      <c r="F3183" t="s">
        <v>177</v>
      </c>
      <c r="G3183">
        <v>4</v>
      </c>
      <c r="H3183" t="s">
        <v>535</v>
      </c>
      <c r="I3183" s="4">
        <f t="shared" si="455"/>
        <v>1</v>
      </c>
      <c r="J3183">
        <f t="shared" si="456"/>
        <v>4</v>
      </c>
      <c r="K3183">
        <v>30</v>
      </c>
      <c r="L3183">
        <v>14</v>
      </c>
      <c r="M3183">
        <v>2.14</v>
      </c>
      <c r="N3183">
        <v>3.01</v>
      </c>
      <c r="O3183">
        <v>0</v>
      </c>
      <c r="P3183">
        <v>5</v>
      </c>
      <c r="Q3183" t="s">
        <v>566</v>
      </c>
      <c r="R3183" s="8" t="s">
        <v>260</v>
      </c>
      <c r="S3183" t="str">
        <f t="shared" si="454"/>
        <v>FA</v>
      </c>
    </row>
    <row r="3184" spans="1:19" x14ac:dyDescent="0.3">
      <c r="A3184" t="s">
        <v>8</v>
      </c>
      <c r="B3184">
        <v>2016210008</v>
      </c>
      <c r="C3184" t="s">
        <v>187</v>
      </c>
      <c r="E3184" t="s">
        <v>157</v>
      </c>
      <c r="F3184" t="s">
        <v>158</v>
      </c>
      <c r="G3184">
        <v>2</v>
      </c>
      <c r="H3184" t="s">
        <v>535</v>
      </c>
      <c r="I3184" s="4">
        <f t="shared" si="455"/>
        <v>1</v>
      </c>
      <c r="J3184">
        <f t="shared" si="456"/>
        <v>2</v>
      </c>
      <c r="K3184">
        <v>34</v>
      </c>
      <c r="L3184">
        <v>18</v>
      </c>
      <c r="M3184">
        <v>1.89</v>
      </c>
      <c r="N3184">
        <v>3.01</v>
      </c>
      <c r="O3184">
        <v>0</v>
      </c>
      <c r="P3184">
        <v>3</v>
      </c>
      <c r="Q3184" t="s">
        <v>563</v>
      </c>
      <c r="R3184" s="8" t="s">
        <v>260</v>
      </c>
      <c r="S3184" t="str">
        <f t="shared" si="454"/>
        <v>FA</v>
      </c>
    </row>
    <row r="3185" spans="1:19" x14ac:dyDescent="0.3">
      <c r="A3185" t="s">
        <v>8</v>
      </c>
      <c r="B3185">
        <v>2016210008</v>
      </c>
      <c r="C3185" t="s">
        <v>187</v>
      </c>
      <c r="E3185" t="s">
        <v>105</v>
      </c>
      <c r="F3185" t="s">
        <v>106</v>
      </c>
      <c r="G3185">
        <v>2</v>
      </c>
      <c r="H3185" t="s">
        <v>535</v>
      </c>
      <c r="I3185" s="4">
        <f t="shared" si="455"/>
        <v>1</v>
      </c>
      <c r="J3185">
        <f t="shared" si="456"/>
        <v>2</v>
      </c>
      <c r="K3185">
        <v>54</v>
      </c>
      <c r="L3185">
        <v>22</v>
      </c>
      <c r="M3185">
        <v>2.4500000000000002</v>
      </c>
      <c r="N3185">
        <v>3.01</v>
      </c>
      <c r="O3185">
        <v>0</v>
      </c>
      <c r="P3185">
        <v>9</v>
      </c>
      <c r="Q3185" t="s">
        <v>570</v>
      </c>
      <c r="R3185" s="8" t="s">
        <v>260</v>
      </c>
      <c r="S3185" t="str">
        <f t="shared" si="454"/>
        <v>FA</v>
      </c>
    </row>
    <row r="3186" spans="1:19" x14ac:dyDescent="0.3">
      <c r="A3186" t="s">
        <v>8</v>
      </c>
      <c r="B3186">
        <v>2016210008</v>
      </c>
      <c r="C3186" t="s">
        <v>187</v>
      </c>
      <c r="E3186" t="s">
        <v>176</v>
      </c>
      <c r="F3186" t="s">
        <v>177</v>
      </c>
      <c r="G3186">
        <v>4</v>
      </c>
      <c r="H3186" t="s">
        <v>260</v>
      </c>
      <c r="I3186" s="4">
        <f t="shared" si="455"/>
        <v>4</v>
      </c>
      <c r="J3186">
        <f t="shared" si="456"/>
        <v>16</v>
      </c>
      <c r="K3186">
        <v>88</v>
      </c>
      <c r="L3186">
        <v>26</v>
      </c>
      <c r="M3186">
        <v>3.38</v>
      </c>
      <c r="N3186">
        <v>3.01</v>
      </c>
      <c r="O3186">
        <v>1</v>
      </c>
      <c r="P3186">
        <v>10</v>
      </c>
      <c r="Q3186" t="s">
        <v>578</v>
      </c>
      <c r="R3186" s="8" t="s">
        <v>260</v>
      </c>
      <c r="S3186" t="str">
        <f t="shared" si="454"/>
        <v>PA</v>
      </c>
    </row>
    <row r="3187" spans="1:19" x14ac:dyDescent="0.3">
      <c r="A3187" t="s">
        <v>8</v>
      </c>
      <c r="B3187">
        <v>2016210008</v>
      </c>
      <c r="C3187" t="s">
        <v>187</v>
      </c>
      <c r="E3187" t="s">
        <v>157</v>
      </c>
      <c r="F3187" t="s">
        <v>158</v>
      </c>
      <c r="G3187">
        <v>2</v>
      </c>
      <c r="H3187" t="s">
        <v>438</v>
      </c>
      <c r="I3187" s="4">
        <f t="shared" si="455"/>
        <v>3</v>
      </c>
      <c r="J3187">
        <f t="shared" si="456"/>
        <v>6</v>
      </c>
      <c r="K3187">
        <v>88</v>
      </c>
      <c r="L3187">
        <v>26</v>
      </c>
      <c r="M3187">
        <v>3.38</v>
      </c>
      <c r="N3187">
        <v>3.01</v>
      </c>
      <c r="O3187">
        <v>1</v>
      </c>
      <c r="P3187">
        <v>10</v>
      </c>
      <c r="Q3187" t="s">
        <v>578</v>
      </c>
      <c r="R3187" s="8" t="s">
        <v>260</v>
      </c>
      <c r="S3187" t="str">
        <f t="shared" si="454"/>
        <v>PA</v>
      </c>
    </row>
    <row r="3188" spans="1:19" x14ac:dyDescent="0.3">
      <c r="A3188" t="s">
        <v>8</v>
      </c>
      <c r="B3188">
        <v>2016210008</v>
      </c>
      <c r="C3188" t="s">
        <v>187</v>
      </c>
      <c r="E3188" t="s">
        <v>105</v>
      </c>
      <c r="F3188" t="s">
        <v>106</v>
      </c>
      <c r="G3188">
        <v>2</v>
      </c>
      <c r="H3188" t="s">
        <v>260</v>
      </c>
      <c r="I3188" s="4">
        <f t="shared" si="455"/>
        <v>4</v>
      </c>
      <c r="J3188">
        <f t="shared" si="456"/>
        <v>8</v>
      </c>
      <c r="K3188">
        <v>88</v>
      </c>
      <c r="L3188">
        <v>26</v>
      </c>
      <c r="M3188">
        <v>3.38</v>
      </c>
      <c r="N3188">
        <v>3.01</v>
      </c>
      <c r="O3188">
        <v>1</v>
      </c>
      <c r="P3188">
        <v>10</v>
      </c>
      <c r="Q3188" t="s">
        <v>578</v>
      </c>
      <c r="R3188" s="8" t="s">
        <v>260</v>
      </c>
      <c r="S3188" t="str">
        <f t="shared" si="454"/>
        <v>PA</v>
      </c>
    </row>
    <row r="3189" spans="1:19" x14ac:dyDescent="0.3">
      <c r="A3189" t="s">
        <v>8</v>
      </c>
      <c r="B3189">
        <v>2016210008</v>
      </c>
      <c r="C3189" t="s">
        <v>187</v>
      </c>
      <c r="E3189" t="s">
        <v>77</v>
      </c>
      <c r="F3189" t="s">
        <v>78</v>
      </c>
      <c r="G3189">
        <v>2</v>
      </c>
      <c r="H3189" t="s">
        <v>438</v>
      </c>
      <c r="I3189" s="4">
        <f t="shared" si="455"/>
        <v>3</v>
      </c>
      <c r="J3189">
        <f t="shared" si="456"/>
        <v>6</v>
      </c>
      <c r="K3189">
        <v>24</v>
      </c>
      <c r="L3189">
        <v>8</v>
      </c>
      <c r="M3189" s="2">
        <v>3</v>
      </c>
      <c r="N3189">
        <v>3.01</v>
      </c>
      <c r="O3189">
        <v>2</v>
      </c>
      <c r="P3189">
        <v>11</v>
      </c>
      <c r="Q3189" s="4" t="str">
        <f>IF(P3189=1,"2016/2017-Ganjil",IF(P3189=2,"2016/2017-Genap",IF(P3189=3,"2017/2018-Ganjil",IF(P3189=4,"2017/2018-Genap",IF(P3189=5,"2018/2019-Ganjil",IF(P3189=6,"2018/2019-Genap",IF(P3189=7,"2019/2020-Ganjil",IF(P3189=8,"2019/2020-Genap",IF(P3189=9,"2020/2021-Ganjil",IF(P3189=10,"2020/2021-Genap",IF(P3189=11,"2021/2022-Ganjil",IF(P3189=12,"2021/2022-Genap",IF(P3189=13,"2022/2023-Ganjil","2022/2023-Genap")))))))))))))</f>
        <v>2021/2022-Ganjil</v>
      </c>
      <c r="R3189" t="s">
        <v>596</v>
      </c>
      <c r="S3189" t="str">
        <f t="shared" si="454"/>
        <v>PA</v>
      </c>
    </row>
    <row r="3190" spans="1:19" x14ac:dyDescent="0.3">
      <c r="A3190" t="s">
        <v>8</v>
      </c>
      <c r="B3190">
        <v>2016210008</v>
      </c>
      <c r="C3190" t="s">
        <v>187</v>
      </c>
      <c r="E3190" t="s">
        <v>77</v>
      </c>
      <c r="F3190" t="s">
        <v>78</v>
      </c>
      <c r="G3190">
        <v>2</v>
      </c>
      <c r="H3190" t="s">
        <v>539</v>
      </c>
      <c r="I3190" s="4">
        <f t="shared" si="455"/>
        <v>0</v>
      </c>
      <c r="J3190">
        <f t="shared" si="456"/>
        <v>0</v>
      </c>
      <c r="K3190">
        <v>54</v>
      </c>
      <c r="L3190">
        <v>22</v>
      </c>
      <c r="M3190">
        <v>2.4500000000000002</v>
      </c>
      <c r="N3190">
        <v>3.01</v>
      </c>
      <c r="O3190">
        <v>1</v>
      </c>
      <c r="P3190">
        <v>9</v>
      </c>
      <c r="Q3190" t="s">
        <v>570</v>
      </c>
      <c r="R3190" s="8" t="s">
        <v>260</v>
      </c>
      <c r="S3190" t="str">
        <f t="shared" si="454"/>
        <v>FA</v>
      </c>
    </row>
    <row r="3191" spans="1:19" x14ac:dyDescent="0.3">
      <c r="A3191" t="s">
        <v>8</v>
      </c>
      <c r="B3191">
        <v>2016210008</v>
      </c>
      <c r="C3191" t="s">
        <v>187</v>
      </c>
      <c r="E3191" t="s">
        <v>77</v>
      </c>
      <c r="F3191" t="s">
        <v>78</v>
      </c>
      <c r="G3191">
        <v>2</v>
      </c>
      <c r="H3191" t="s">
        <v>535</v>
      </c>
      <c r="I3191" s="4">
        <f t="shared" si="455"/>
        <v>1</v>
      </c>
      <c r="J3191">
        <f t="shared" si="456"/>
        <v>2</v>
      </c>
      <c r="K3191">
        <v>54</v>
      </c>
      <c r="L3191">
        <v>20</v>
      </c>
      <c r="M3191" s="2">
        <v>2.7</v>
      </c>
      <c r="N3191">
        <v>3.01</v>
      </c>
      <c r="O3191">
        <v>0</v>
      </c>
      <c r="P3191">
        <v>1</v>
      </c>
      <c r="Q3191" s="4" t="str">
        <f>IF(P3191=1,"2016/2017-Ganjil",IF(P3191=2,"2016/2017-Genap",IF(P3191=3,"2017/2018-Ganjil",IF(P3191=4,"2017/2018-Genap",IF(P3191=5,"2018/2019-Ganjil",IF(P3191=6,"2018/2019-Genap",IF(P3191=7,"2019/2020-Ganjil",IF(P3191=8,"2019/2020-Genap",IF(P3191=9,"2020/2021-Ganjil",IF(P3191=10,"2020/2021-Genap",IF(P3191=11,"2021/2022-Ganjil",IF(P3191=12,"2021/2022-Genap",IF(P3191=13,"2022/2023-Ganjil","2022/2023-Genap")))))))))))))</f>
        <v>2016/2017-Ganjil</v>
      </c>
      <c r="R3191" s="8" t="s">
        <v>260</v>
      </c>
      <c r="S3191" t="str">
        <f t="shared" si="454"/>
        <v>FA</v>
      </c>
    </row>
    <row r="3192" spans="1:19" x14ac:dyDescent="0.3">
      <c r="A3192" t="s">
        <v>8</v>
      </c>
      <c r="B3192">
        <v>2016210008</v>
      </c>
      <c r="C3192" t="s">
        <v>187</v>
      </c>
      <c r="E3192" t="s">
        <v>107</v>
      </c>
      <c r="F3192" t="s">
        <v>108</v>
      </c>
      <c r="G3192">
        <v>2</v>
      </c>
      <c r="H3192" t="s">
        <v>535</v>
      </c>
      <c r="I3192" s="4">
        <f t="shared" si="455"/>
        <v>1</v>
      </c>
      <c r="J3192">
        <f t="shared" si="456"/>
        <v>2</v>
      </c>
      <c r="K3192">
        <v>18</v>
      </c>
      <c r="L3192">
        <v>6</v>
      </c>
      <c r="M3192" s="2">
        <v>3</v>
      </c>
      <c r="N3192">
        <v>3.01</v>
      </c>
      <c r="O3192">
        <v>0</v>
      </c>
      <c r="P3192">
        <v>6</v>
      </c>
      <c r="Q3192" s="4" t="str">
        <f>IF(P3192=1,"2016/2017-Ganjil",IF(P3192=2,"2016/2017-Genap",IF(P3192=3,"2017/2018-Ganjil",IF(P3192=4,"2017/2018-Genap",IF(P3192=5,"2018/2019-Ganjil",IF(P3192=6,"2018/2019-Genap",IF(P3192=7,"2019/2020-Ganjil",IF(P3192=8,"2019/2020-Genap",IF(P3192=9,"2020/2021-Ganjil",IF(P3192=10,"2020/2021-Genap",IF(P3192=11,"2021/2022-Ganjil",IF(P3192=12,"2021/2022-Genap",IF(P3192=13,"2022/2023-Ganjil","2022/2023-Genap")))))))))))))</f>
        <v>2018/2019-Genap</v>
      </c>
      <c r="R3192" s="8" t="s">
        <v>260</v>
      </c>
      <c r="S3192" t="str">
        <f t="shared" si="454"/>
        <v>FA</v>
      </c>
    </row>
    <row r="3193" spans="1:19" x14ac:dyDescent="0.3">
      <c r="A3193" t="s">
        <v>8</v>
      </c>
      <c r="B3193">
        <v>2016210008</v>
      </c>
      <c r="C3193" t="s">
        <v>187</v>
      </c>
      <c r="E3193" t="s">
        <v>44</v>
      </c>
      <c r="F3193" t="s">
        <v>45</v>
      </c>
      <c r="G3193">
        <v>2</v>
      </c>
      <c r="H3193" t="s">
        <v>535</v>
      </c>
      <c r="I3193" s="4">
        <f t="shared" si="455"/>
        <v>1</v>
      </c>
      <c r="J3193">
        <f t="shared" si="456"/>
        <v>2</v>
      </c>
      <c r="K3193">
        <v>36</v>
      </c>
      <c r="L3193">
        <v>18</v>
      </c>
      <c r="M3193" s="2">
        <v>2</v>
      </c>
      <c r="N3193">
        <v>3.01</v>
      </c>
      <c r="O3193">
        <v>0</v>
      </c>
      <c r="P3193">
        <v>2</v>
      </c>
      <c r="Q3193" s="4" t="str">
        <f>IF(P3193=1,"2016/2017-Ganjil",IF(P3193=2,"2016/2017-Genap",IF(P3193=3,"2017/2018-Ganjil",IF(P3193=4,"2017/2018-Genap",IF(P3193=5,"2018/2019-Ganjil",IF(P3193=6,"2018/2019-Genap",IF(P3193=7,"2019/2020-Ganjil",IF(P3193=8,"2019/2020-Genap",IF(P3193=9,"2020/2021-Ganjil",IF(P3193=10,"2020/2021-Genap",IF(P3193=11,"2021/2022-Ganjil",IF(P3193=12,"2021/2022-Genap",IF(P3193=13,"2022/2023-Ganjil","2022/2023-Genap")))))))))))))</f>
        <v>2016/2017-Genap</v>
      </c>
      <c r="R3193" s="8" t="s">
        <v>260</v>
      </c>
      <c r="S3193" t="str">
        <f t="shared" si="454"/>
        <v>FA</v>
      </c>
    </row>
    <row r="3194" spans="1:19" x14ac:dyDescent="0.3">
      <c r="A3194" t="s">
        <v>8</v>
      </c>
      <c r="B3194">
        <v>2016210008</v>
      </c>
      <c r="C3194" t="s">
        <v>187</v>
      </c>
      <c r="E3194" t="s">
        <v>125</v>
      </c>
      <c r="F3194" t="s">
        <v>126</v>
      </c>
      <c r="G3194">
        <v>4</v>
      </c>
      <c r="H3194" t="s">
        <v>539</v>
      </c>
      <c r="I3194" s="4">
        <f t="shared" si="455"/>
        <v>0</v>
      </c>
      <c r="J3194">
        <f t="shared" si="456"/>
        <v>0</v>
      </c>
      <c r="K3194">
        <v>36</v>
      </c>
      <c r="L3194">
        <v>18</v>
      </c>
      <c r="M3194" s="2">
        <v>2</v>
      </c>
      <c r="N3194">
        <v>3.01</v>
      </c>
      <c r="O3194">
        <v>0</v>
      </c>
      <c r="P3194">
        <v>2</v>
      </c>
      <c r="Q3194" t="s">
        <v>588</v>
      </c>
      <c r="R3194" s="8" t="s">
        <v>260</v>
      </c>
      <c r="S3194" t="str">
        <f t="shared" si="454"/>
        <v>FA</v>
      </c>
    </row>
    <row r="3195" spans="1:19" x14ac:dyDescent="0.3">
      <c r="A3195" t="s">
        <v>8</v>
      </c>
      <c r="B3195">
        <v>2016210008</v>
      </c>
      <c r="C3195" t="s">
        <v>187</v>
      </c>
      <c r="E3195" t="s">
        <v>401</v>
      </c>
      <c r="F3195" t="s">
        <v>258</v>
      </c>
      <c r="G3195">
        <v>4</v>
      </c>
      <c r="H3195" t="s">
        <v>539</v>
      </c>
      <c r="I3195" s="4">
        <f t="shared" si="455"/>
        <v>0</v>
      </c>
      <c r="J3195">
        <f t="shared" si="456"/>
        <v>0</v>
      </c>
      <c r="K3195">
        <v>34</v>
      </c>
      <c r="L3195">
        <v>18</v>
      </c>
      <c r="M3195">
        <v>1.89</v>
      </c>
      <c r="N3195">
        <v>3.01</v>
      </c>
      <c r="O3195">
        <v>0</v>
      </c>
      <c r="P3195">
        <v>3</v>
      </c>
      <c r="Q3195" s="4" t="str">
        <f>IF(P3195=1,"2016/2017-Ganjil",IF(P3195=2,"2016/2017-Genap",IF(P3195=3,"2017/2018-Ganjil",IF(P3195=4,"2017/2018-Genap",IF(P3195=5,"2018/2019-Ganjil",IF(P3195=6,"2018/2019-Genap",IF(P3195=7,"2019/2020-Ganjil",IF(P3195=8,"2019/2020-Genap",IF(P3195=9,"2020/2021-Ganjil",IF(P3195=10,"2020/2021-Genap",IF(P3195=11,"2021/2022-Ganjil",IF(P3195=12,"2021/2022-Genap",IF(P3195=13,"2022/2023-Ganjil","2022/2023-Genap")))))))))))))</f>
        <v>2017/2018-Ganjil</v>
      </c>
      <c r="R3195" s="8" t="s">
        <v>260</v>
      </c>
      <c r="S3195" t="str">
        <f t="shared" si="454"/>
        <v>FA</v>
      </c>
    </row>
    <row r="3196" spans="1:19" x14ac:dyDescent="0.3">
      <c r="A3196" t="s">
        <v>8</v>
      </c>
      <c r="B3196">
        <v>2016210008</v>
      </c>
      <c r="C3196" t="s">
        <v>187</v>
      </c>
      <c r="E3196" t="s">
        <v>80</v>
      </c>
      <c r="F3196" t="s">
        <v>81</v>
      </c>
      <c r="G3196">
        <v>4</v>
      </c>
      <c r="H3196" t="s">
        <v>539</v>
      </c>
      <c r="I3196" s="4">
        <f t="shared" si="455"/>
        <v>0</v>
      </c>
      <c r="J3196">
        <f t="shared" si="456"/>
        <v>0</v>
      </c>
      <c r="K3196">
        <v>28</v>
      </c>
      <c r="L3196">
        <v>12</v>
      </c>
      <c r="M3196">
        <v>2.33</v>
      </c>
      <c r="N3196">
        <v>3.01</v>
      </c>
      <c r="O3196">
        <v>0</v>
      </c>
      <c r="P3196">
        <v>10</v>
      </c>
      <c r="Q3196" s="4" t="str">
        <f>IF(P3196=1,"2016/2017-Ganjil",IF(P3196=2,"2016/2017-Genap",IF(P3196=3,"2017/2018-Ganjil",IF(P3196=4,"2017/2018-Genap",IF(P3196=5,"2018/2019-Ganjil",IF(P3196=6,"2018/2019-Genap",IF(P3196=7,"2019/2020-Ganjil",IF(P3196=8,"2019/2020-Genap",IF(P3196=9,"2020/2021-Ganjil",IF(P3196=10,"2020/2021-Genap",IF(P3196=11,"2021/2022-Ganjil",IF(P3196=12,"2021/2022-Genap",IF(P3196=13,"2022/2023-Ganjil","2022/2023-Genap")))))))))))))</f>
        <v>2020/2021-Genap</v>
      </c>
      <c r="R3196" s="8" t="s">
        <v>260</v>
      </c>
      <c r="S3196" t="str">
        <f t="shared" si="454"/>
        <v>FA</v>
      </c>
    </row>
    <row r="3197" spans="1:19" x14ac:dyDescent="0.3">
      <c r="A3197" t="s">
        <v>8</v>
      </c>
      <c r="B3197">
        <v>2016210008</v>
      </c>
      <c r="C3197" t="s">
        <v>187</v>
      </c>
      <c r="E3197" t="s">
        <v>107</v>
      </c>
      <c r="F3197" t="s">
        <v>108</v>
      </c>
      <c r="G3197">
        <v>2</v>
      </c>
      <c r="H3197" t="s">
        <v>438</v>
      </c>
      <c r="I3197" s="4">
        <f t="shared" si="455"/>
        <v>3</v>
      </c>
      <c r="J3197">
        <f t="shared" si="456"/>
        <v>6</v>
      </c>
      <c r="K3197">
        <v>88</v>
      </c>
      <c r="L3197">
        <v>26</v>
      </c>
      <c r="M3197">
        <v>3.38</v>
      </c>
      <c r="N3197">
        <v>3.01</v>
      </c>
      <c r="O3197">
        <v>1</v>
      </c>
      <c r="P3197">
        <v>10</v>
      </c>
      <c r="Q3197" t="s">
        <v>578</v>
      </c>
      <c r="R3197" s="8" t="s">
        <v>260</v>
      </c>
      <c r="S3197" t="str">
        <f t="shared" si="454"/>
        <v>PA</v>
      </c>
    </row>
    <row r="3198" spans="1:19" x14ac:dyDescent="0.3">
      <c r="A3198" t="s">
        <v>8</v>
      </c>
      <c r="B3198">
        <v>2016210008</v>
      </c>
      <c r="C3198" t="s">
        <v>187</v>
      </c>
      <c r="E3198" t="s">
        <v>44</v>
      </c>
      <c r="F3198" t="s">
        <v>45</v>
      </c>
      <c r="G3198">
        <v>2</v>
      </c>
      <c r="H3198" t="s">
        <v>438</v>
      </c>
      <c r="I3198" s="4">
        <f t="shared" si="455"/>
        <v>3</v>
      </c>
      <c r="J3198">
        <f t="shared" si="456"/>
        <v>6</v>
      </c>
      <c r="K3198">
        <v>88</v>
      </c>
      <c r="L3198">
        <v>26</v>
      </c>
      <c r="M3198">
        <v>3.38</v>
      </c>
      <c r="N3198">
        <v>3.01</v>
      </c>
      <c r="O3198">
        <v>1</v>
      </c>
      <c r="P3198">
        <v>10</v>
      </c>
      <c r="Q3198" t="s">
        <v>578</v>
      </c>
      <c r="R3198" s="8" t="s">
        <v>260</v>
      </c>
      <c r="S3198" t="str">
        <f t="shared" si="454"/>
        <v>PA</v>
      </c>
    </row>
    <row r="3199" spans="1:19" x14ac:dyDescent="0.3">
      <c r="A3199" t="s">
        <v>8</v>
      </c>
      <c r="B3199">
        <v>2016210008</v>
      </c>
      <c r="C3199" t="s">
        <v>187</v>
      </c>
      <c r="E3199" t="s">
        <v>125</v>
      </c>
      <c r="F3199" t="s">
        <v>126</v>
      </c>
      <c r="G3199">
        <v>4</v>
      </c>
      <c r="H3199" t="s">
        <v>260</v>
      </c>
      <c r="I3199" s="4">
        <f t="shared" si="455"/>
        <v>4</v>
      </c>
      <c r="J3199">
        <f t="shared" si="456"/>
        <v>16</v>
      </c>
      <c r="K3199">
        <v>88</v>
      </c>
      <c r="L3199">
        <v>26</v>
      </c>
      <c r="M3199">
        <v>3.38</v>
      </c>
      <c r="N3199">
        <v>3.01</v>
      </c>
      <c r="O3199">
        <v>1</v>
      </c>
      <c r="P3199">
        <v>10</v>
      </c>
      <c r="Q3199" t="s">
        <v>578</v>
      </c>
      <c r="R3199" s="8" t="s">
        <v>260</v>
      </c>
      <c r="S3199" t="str">
        <f t="shared" si="454"/>
        <v>PA</v>
      </c>
    </row>
    <row r="3200" spans="1:19" x14ac:dyDescent="0.3">
      <c r="A3200" t="s">
        <v>8</v>
      </c>
      <c r="B3200">
        <v>2016210008</v>
      </c>
      <c r="C3200" t="s">
        <v>187</v>
      </c>
      <c r="E3200" t="s">
        <v>401</v>
      </c>
      <c r="F3200" t="s">
        <v>258</v>
      </c>
      <c r="G3200">
        <v>4</v>
      </c>
      <c r="H3200" t="s">
        <v>438</v>
      </c>
      <c r="I3200" s="4">
        <f t="shared" si="455"/>
        <v>3</v>
      </c>
      <c r="J3200">
        <f t="shared" si="456"/>
        <v>12</v>
      </c>
      <c r="K3200">
        <v>88</v>
      </c>
      <c r="L3200">
        <v>26</v>
      </c>
      <c r="M3200">
        <v>3.38</v>
      </c>
      <c r="N3200">
        <v>3.01</v>
      </c>
      <c r="O3200">
        <v>1</v>
      </c>
      <c r="P3200">
        <v>10</v>
      </c>
      <c r="Q3200" t="s">
        <v>578</v>
      </c>
      <c r="R3200" s="8" t="s">
        <v>260</v>
      </c>
      <c r="S3200" t="str">
        <f t="shared" si="454"/>
        <v>PA</v>
      </c>
    </row>
    <row r="3201" spans="1:19" x14ac:dyDescent="0.3">
      <c r="A3201" t="s">
        <v>8</v>
      </c>
      <c r="B3201">
        <v>2016210008</v>
      </c>
      <c r="C3201" t="s">
        <v>187</v>
      </c>
      <c r="E3201" t="s">
        <v>80</v>
      </c>
      <c r="F3201" t="s">
        <v>81</v>
      </c>
      <c r="G3201">
        <v>4</v>
      </c>
      <c r="H3201" t="s">
        <v>438</v>
      </c>
      <c r="I3201" s="4">
        <f t="shared" si="455"/>
        <v>3</v>
      </c>
      <c r="J3201">
        <f t="shared" si="456"/>
        <v>12</v>
      </c>
      <c r="K3201">
        <v>88</v>
      </c>
      <c r="L3201">
        <v>26</v>
      </c>
      <c r="M3201">
        <v>3.38</v>
      </c>
      <c r="N3201">
        <v>3.01</v>
      </c>
      <c r="O3201">
        <v>1</v>
      </c>
      <c r="P3201">
        <v>10</v>
      </c>
      <c r="Q3201" t="s">
        <v>578</v>
      </c>
      <c r="R3201" s="8" t="s">
        <v>260</v>
      </c>
      <c r="S3201" t="str">
        <f t="shared" si="454"/>
        <v>PA</v>
      </c>
    </row>
    <row r="3202" spans="1:19" x14ac:dyDescent="0.3">
      <c r="A3202" t="s">
        <v>8</v>
      </c>
      <c r="B3202">
        <v>2016210009</v>
      </c>
      <c r="C3202" t="s">
        <v>135</v>
      </c>
      <c r="E3202" t="s">
        <v>136</v>
      </c>
      <c r="F3202" t="s">
        <v>137</v>
      </c>
      <c r="G3202">
        <v>4</v>
      </c>
      <c r="I3202" s="4"/>
      <c r="J3202">
        <f t="shared" si="450"/>
        <v>0</v>
      </c>
      <c r="K3202">
        <v>14</v>
      </c>
      <c r="L3202">
        <v>12</v>
      </c>
      <c r="M3202">
        <v>1.17</v>
      </c>
      <c r="N3202">
        <v>2.86</v>
      </c>
      <c r="O3202">
        <v>0</v>
      </c>
      <c r="P3202">
        <v>6</v>
      </c>
      <c r="Q3202" t="s">
        <v>567</v>
      </c>
      <c r="R3202" s="8" t="s">
        <v>260</v>
      </c>
      <c r="S3202" t="s">
        <v>595</v>
      </c>
    </row>
    <row r="3203" spans="1:19" x14ac:dyDescent="0.3">
      <c r="A3203" t="s">
        <v>8</v>
      </c>
      <c r="B3203">
        <v>2016210009</v>
      </c>
      <c r="C3203" t="s">
        <v>135</v>
      </c>
      <c r="E3203" t="s">
        <v>136</v>
      </c>
      <c r="F3203" t="s">
        <v>137</v>
      </c>
      <c r="G3203">
        <v>4</v>
      </c>
      <c r="I3203" s="4"/>
      <c r="J3203">
        <f t="shared" si="450"/>
        <v>0</v>
      </c>
      <c r="K3203">
        <v>18</v>
      </c>
      <c r="L3203">
        <v>12</v>
      </c>
      <c r="M3203" s="2">
        <v>1.5</v>
      </c>
      <c r="N3203">
        <v>2.86</v>
      </c>
      <c r="O3203">
        <v>1</v>
      </c>
      <c r="P3203">
        <v>8</v>
      </c>
      <c r="Q3203" t="s">
        <v>569</v>
      </c>
      <c r="R3203" s="8" t="s">
        <v>260</v>
      </c>
      <c r="S3203" t="s">
        <v>595</v>
      </c>
    </row>
    <row r="3204" spans="1:19" x14ac:dyDescent="0.3">
      <c r="A3204" t="s">
        <v>8</v>
      </c>
      <c r="B3204">
        <v>2016210009</v>
      </c>
      <c r="C3204" t="s">
        <v>135</v>
      </c>
      <c r="E3204" t="s">
        <v>136</v>
      </c>
      <c r="F3204" t="s">
        <v>137</v>
      </c>
      <c r="G3204">
        <v>4</v>
      </c>
      <c r="H3204" t="s">
        <v>438</v>
      </c>
      <c r="I3204" s="4">
        <f t="shared" si="451"/>
        <v>3</v>
      </c>
      <c r="J3204">
        <f t="shared" si="450"/>
        <v>12</v>
      </c>
      <c r="K3204">
        <v>34</v>
      </c>
      <c r="L3204">
        <v>12</v>
      </c>
      <c r="M3204" s="2">
        <v>2.83</v>
      </c>
      <c r="N3204">
        <v>2.86</v>
      </c>
      <c r="O3204">
        <v>2</v>
      </c>
      <c r="P3204">
        <v>10</v>
      </c>
      <c r="Q3204" t="s">
        <v>560</v>
      </c>
      <c r="R3204" s="8" t="s">
        <v>260</v>
      </c>
      <c r="S3204" t="str">
        <f>IF(OR(H3204="A",H3204="B",H3204="C"),"PA","FA")</f>
        <v>PA</v>
      </c>
    </row>
    <row r="3205" spans="1:19" x14ac:dyDescent="0.3">
      <c r="A3205" t="s">
        <v>8</v>
      </c>
      <c r="B3205">
        <v>2016210009</v>
      </c>
      <c r="C3205" t="s">
        <v>135</v>
      </c>
      <c r="E3205" t="s">
        <v>157</v>
      </c>
      <c r="F3205" t="s">
        <v>158</v>
      </c>
      <c r="G3205">
        <v>2</v>
      </c>
      <c r="I3205" s="4"/>
      <c r="J3205">
        <f t="shared" ref="J3205:J3215" si="457">G3205*I3205</f>
        <v>0</v>
      </c>
      <c r="K3205">
        <v>30</v>
      </c>
      <c r="L3205">
        <v>10</v>
      </c>
      <c r="M3205" s="2">
        <v>3</v>
      </c>
      <c r="N3205">
        <v>2.86</v>
      </c>
      <c r="O3205">
        <v>0</v>
      </c>
      <c r="P3205">
        <v>7</v>
      </c>
      <c r="Q3205" t="s">
        <v>568</v>
      </c>
      <c r="R3205" s="8" t="s">
        <v>260</v>
      </c>
      <c r="S3205" t="s">
        <v>595</v>
      </c>
    </row>
    <row r="3206" spans="1:19" x14ac:dyDescent="0.3">
      <c r="A3206" t="s">
        <v>8</v>
      </c>
      <c r="B3206">
        <v>2016210009</v>
      </c>
      <c r="C3206" t="s">
        <v>135</v>
      </c>
      <c r="E3206" t="s">
        <v>157</v>
      </c>
      <c r="F3206" t="s">
        <v>158</v>
      </c>
      <c r="G3206">
        <v>2</v>
      </c>
      <c r="I3206" s="4"/>
      <c r="J3206">
        <f t="shared" si="457"/>
        <v>0</v>
      </c>
      <c r="K3206">
        <v>8</v>
      </c>
      <c r="L3206">
        <v>6</v>
      </c>
      <c r="M3206" s="2">
        <v>1.33</v>
      </c>
      <c r="N3206">
        <v>2.86</v>
      </c>
      <c r="O3206">
        <v>1</v>
      </c>
      <c r="P3206">
        <v>9</v>
      </c>
      <c r="Q3206" t="s">
        <v>570</v>
      </c>
      <c r="R3206" s="8" t="s">
        <v>260</v>
      </c>
      <c r="S3206" t="s">
        <v>595</v>
      </c>
    </row>
    <row r="3207" spans="1:19" x14ac:dyDescent="0.3">
      <c r="A3207" t="s">
        <v>8</v>
      </c>
      <c r="B3207">
        <v>2016210009</v>
      </c>
      <c r="C3207" t="s">
        <v>135</v>
      </c>
      <c r="E3207" t="s">
        <v>157</v>
      </c>
      <c r="F3207" t="s">
        <v>158</v>
      </c>
      <c r="G3207">
        <v>2</v>
      </c>
      <c r="H3207" t="s">
        <v>438</v>
      </c>
      <c r="I3207" s="4">
        <f t="shared" ref="I3207:I3215" si="458">IF(H3207="A",4,IF(H3207="B",3,IF(H3207="C",2,IF(H3207="D",1,0))))</f>
        <v>3</v>
      </c>
      <c r="J3207">
        <f t="shared" si="457"/>
        <v>6</v>
      </c>
      <c r="K3207">
        <v>58</v>
      </c>
      <c r="L3207">
        <v>20</v>
      </c>
      <c r="M3207" s="2">
        <v>2.9</v>
      </c>
      <c r="N3207">
        <v>2.86</v>
      </c>
      <c r="O3207">
        <v>2</v>
      </c>
      <c r="P3207">
        <v>11</v>
      </c>
      <c r="Q3207" t="s">
        <v>573</v>
      </c>
      <c r="R3207" t="s">
        <v>596</v>
      </c>
      <c r="S3207" t="str">
        <f>IF(OR(H3207="A",H3207="B",H3207="C"),"PA","FA")</f>
        <v>PA</v>
      </c>
    </row>
    <row r="3208" spans="1:19" x14ac:dyDescent="0.3">
      <c r="A3208" t="s">
        <v>8</v>
      </c>
      <c r="B3208">
        <v>2016210009</v>
      </c>
      <c r="C3208" t="s">
        <v>135</v>
      </c>
      <c r="E3208" t="s">
        <v>112</v>
      </c>
      <c r="F3208" t="s">
        <v>113</v>
      </c>
      <c r="G3208">
        <v>4</v>
      </c>
      <c r="I3208" s="4"/>
      <c r="J3208">
        <f t="shared" si="457"/>
        <v>0</v>
      </c>
      <c r="K3208">
        <v>38</v>
      </c>
      <c r="L3208">
        <v>14</v>
      </c>
      <c r="M3208">
        <v>2.71</v>
      </c>
      <c r="N3208">
        <v>2.86</v>
      </c>
      <c r="O3208">
        <v>0</v>
      </c>
      <c r="P3208">
        <v>3</v>
      </c>
      <c r="Q3208" t="s">
        <v>563</v>
      </c>
      <c r="R3208" s="8" t="s">
        <v>260</v>
      </c>
      <c r="S3208" t="s">
        <v>595</v>
      </c>
    </row>
    <row r="3209" spans="1:19" x14ac:dyDescent="0.3">
      <c r="A3209" t="s">
        <v>8</v>
      </c>
      <c r="B3209">
        <v>2016210009</v>
      </c>
      <c r="C3209" t="s">
        <v>135</v>
      </c>
      <c r="E3209" t="s">
        <v>112</v>
      </c>
      <c r="F3209" t="s">
        <v>113</v>
      </c>
      <c r="G3209">
        <v>4</v>
      </c>
      <c r="H3209" t="s">
        <v>260</v>
      </c>
      <c r="I3209" s="4">
        <f t="shared" si="458"/>
        <v>4</v>
      </c>
      <c r="J3209">
        <f t="shared" si="457"/>
        <v>16</v>
      </c>
      <c r="K3209">
        <v>58</v>
      </c>
      <c r="L3209">
        <v>20</v>
      </c>
      <c r="M3209" s="2">
        <v>2.9</v>
      </c>
      <c r="N3209">
        <v>2.86</v>
      </c>
      <c r="O3209">
        <v>1</v>
      </c>
      <c r="P3209">
        <v>11</v>
      </c>
      <c r="Q3209" t="s">
        <v>573</v>
      </c>
      <c r="R3209" t="s">
        <v>596</v>
      </c>
      <c r="S3209" t="str">
        <f>IF(OR(H3209="A",H3209="B",H3209="C"),"PA","FA")</f>
        <v>PA</v>
      </c>
    </row>
    <row r="3210" spans="1:19" x14ac:dyDescent="0.3">
      <c r="A3210" t="s">
        <v>8</v>
      </c>
      <c r="B3210">
        <v>2016210009</v>
      </c>
      <c r="C3210" t="s">
        <v>135</v>
      </c>
      <c r="E3210" t="s">
        <v>107</v>
      </c>
      <c r="F3210" t="s">
        <v>108</v>
      </c>
      <c r="G3210">
        <v>2</v>
      </c>
      <c r="I3210" s="4"/>
      <c r="J3210">
        <f t="shared" si="457"/>
        <v>0</v>
      </c>
      <c r="K3210">
        <v>14</v>
      </c>
      <c r="L3210">
        <v>12</v>
      </c>
      <c r="M3210">
        <v>1.17</v>
      </c>
      <c r="N3210">
        <v>2.86</v>
      </c>
      <c r="O3210">
        <v>0</v>
      </c>
      <c r="P3210">
        <v>6</v>
      </c>
      <c r="Q3210" t="s">
        <v>567</v>
      </c>
      <c r="R3210" s="8" t="s">
        <v>260</v>
      </c>
      <c r="S3210" t="s">
        <v>595</v>
      </c>
    </row>
    <row r="3211" spans="1:19" x14ac:dyDescent="0.3">
      <c r="A3211" t="s">
        <v>8</v>
      </c>
      <c r="B3211">
        <v>2016210009</v>
      </c>
      <c r="C3211" t="s">
        <v>135</v>
      </c>
      <c r="E3211" t="s">
        <v>107</v>
      </c>
      <c r="F3211" t="s">
        <v>108</v>
      </c>
      <c r="G3211">
        <v>2</v>
      </c>
      <c r="H3211" t="s">
        <v>438</v>
      </c>
      <c r="I3211" s="4">
        <f t="shared" si="458"/>
        <v>3</v>
      </c>
      <c r="J3211">
        <f t="shared" si="457"/>
        <v>6</v>
      </c>
      <c r="K3211">
        <v>18</v>
      </c>
      <c r="L3211">
        <v>12</v>
      </c>
      <c r="M3211" s="2">
        <v>1.5</v>
      </c>
      <c r="N3211">
        <v>2.86</v>
      </c>
      <c r="O3211">
        <v>1</v>
      </c>
      <c r="P3211">
        <v>8</v>
      </c>
      <c r="Q3211" t="s">
        <v>569</v>
      </c>
      <c r="R3211" s="8" t="s">
        <v>260</v>
      </c>
      <c r="S3211" t="str">
        <f t="shared" ref="S3211:S3212" si="459">IF(OR(H3211="A",H3211="B",H3211="C"),"PA","FA")</f>
        <v>PA</v>
      </c>
    </row>
    <row r="3212" spans="1:19" x14ac:dyDescent="0.3">
      <c r="A3212" t="s">
        <v>8</v>
      </c>
      <c r="B3212">
        <v>2016210009</v>
      </c>
      <c r="C3212" t="s">
        <v>135</v>
      </c>
      <c r="E3212" t="s">
        <v>232</v>
      </c>
      <c r="F3212" t="s">
        <v>245</v>
      </c>
      <c r="G3212">
        <v>2</v>
      </c>
      <c r="H3212" t="s">
        <v>438</v>
      </c>
      <c r="I3212" s="4">
        <f t="shared" ref="I3212" si="460">IF(H3212="A",4,IF(H3212="B",3,IF(H3212="C",2,IF(H3212="D",1,0))))</f>
        <v>3</v>
      </c>
      <c r="J3212">
        <f t="shared" ref="J3212" si="461">G3212*I3212</f>
        <v>6</v>
      </c>
      <c r="K3212">
        <v>34</v>
      </c>
      <c r="L3212">
        <v>12</v>
      </c>
      <c r="M3212" s="2">
        <v>2.83</v>
      </c>
      <c r="N3212">
        <v>2.86</v>
      </c>
      <c r="O3212">
        <v>1</v>
      </c>
      <c r="P3212">
        <v>10</v>
      </c>
      <c r="Q3212" s="4" t="str">
        <f>IF(P3212=1,"2016/2017-Ganjil",IF(P3212=2,"2016/2017-Genap",IF(P3212=3,"2017/2018-Ganjil",IF(P3212=4,"2017/2018-Genap",IF(P3212=5,"2018/2019-Ganjil",IF(P3212=6,"2018/2019-Genap",IF(P3212=7,"2019/2020-Ganjil",IF(P3212=8,"2019/2020-Genap",IF(P3212=9,"2020/2021-Ganjil",IF(P3212=10,"2020/2021-Genap",IF(P3212=11,"2021/2022-Ganjil",IF(P3212=12,"2021/2022-Genap",IF(P3212=13,"2022/2023-Ganjil","2022/2023-Genap")))))))))))))</f>
        <v>2020/2021-Genap</v>
      </c>
      <c r="R3212" s="8" t="s">
        <v>260</v>
      </c>
      <c r="S3212" t="str">
        <f t="shared" si="459"/>
        <v>PA</v>
      </c>
    </row>
    <row r="3213" spans="1:19" x14ac:dyDescent="0.3">
      <c r="A3213" t="s">
        <v>8</v>
      </c>
      <c r="B3213">
        <v>2016210009</v>
      </c>
      <c r="C3213" t="s">
        <v>135</v>
      </c>
      <c r="E3213" t="s">
        <v>232</v>
      </c>
      <c r="F3213" t="s">
        <v>245</v>
      </c>
      <c r="G3213">
        <v>2</v>
      </c>
      <c r="I3213" s="4"/>
      <c r="J3213">
        <f t="shared" si="457"/>
        <v>0</v>
      </c>
      <c r="K3213">
        <v>18</v>
      </c>
      <c r="L3213">
        <v>12</v>
      </c>
      <c r="M3213" s="2">
        <v>1.5</v>
      </c>
      <c r="N3213">
        <v>2.86</v>
      </c>
      <c r="O3213">
        <v>0</v>
      </c>
      <c r="P3213">
        <v>8</v>
      </c>
      <c r="Q3213" s="4" t="str">
        <f>IF(P3213=1,"2016/2017-Ganjil",IF(P3213=2,"2016/2017-Genap",IF(P3213=3,"2017/2018-Ganjil",IF(P3213=4,"2017/2018-Genap",IF(P3213=5,"2018/2019-Ganjil",IF(P3213=6,"2018/2019-Genap",IF(P3213=7,"2019/2020-Ganjil",IF(P3213=8,"2019/2020-Genap",IF(P3213=9,"2020/2021-Ganjil",IF(P3213=10,"2020/2021-Genap",IF(P3213=11,"2021/2022-Ganjil",IF(P3213=12,"2021/2022-Genap",IF(P3213=13,"2022/2023-Ganjil","2022/2023-Genap")))))))))))))</f>
        <v>2019/2020-Genap</v>
      </c>
      <c r="R3213" s="8" t="s">
        <v>260</v>
      </c>
      <c r="S3213" t="s">
        <v>595</v>
      </c>
    </row>
    <row r="3214" spans="1:19" x14ac:dyDescent="0.3">
      <c r="A3214" t="s">
        <v>8</v>
      </c>
      <c r="B3214">
        <v>2016210009</v>
      </c>
      <c r="C3214" t="s">
        <v>135</v>
      </c>
      <c r="E3214" t="s">
        <v>105</v>
      </c>
      <c r="F3214" t="s">
        <v>106</v>
      </c>
      <c r="G3214">
        <v>2</v>
      </c>
      <c r="I3214" s="4"/>
      <c r="J3214">
        <f t="shared" si="457"/>
        <v>0</v>
      </c>
      <c r="K3214">
        <v>8</v>
      </c>
      <c r="L3214">
        <v>6</v>
      </c>
      <c r="M3214" s="2">
        <v>1.33</v>
      </c>
      <c r="N3214">
        <v>2.86</v>
      </c>
      <c r="O3214">
        <v>0</v>
      </c>
      <c r="P3214">
        <v>9</v>
      </c>
      <c r="Q3214" t="s">
        <v>570</v>
      </c>
      <c r="R3214" s="8" t="s">
        <v>260</v>
      </c>
      <c r="S3214" t="s">
        <v>595</v>
      </c>
    </row>
    <row r="3215" spans="1:19" x14ac:dyDescent="0.3">
      <c r="A3215" t="s">
        <v>8</v>
      </c>
      <c r="B3215">
        <v>2016210009</v>
      </c>
      <c r="C3215" t="s">
        <v>135</v>
      </c>
      <c r="E3215" t="s">
        <v>105</v>
      </c>
      <c r="F3215" t="s">
        <v>106</v>
      </c>
      <c r="G3215">
        <v>2</v>
      </c>
      <c r="H3215" t="s">
        <v>438</v>
      </c>
      <c r="I3215" s="4">
        <f t="shared" si="458"/>
        <v>3</v>
      </c>
      <c r="J3215">
        <f t="shared" si="457"/>
        <v>6</v>
      </c>
      <c r="K3215">
        <v>58</v>
      </c>
      <c r="L3215">
        <v>20</v>
      </c>
      <c r="M3215" s="2">
        <v>2.9</v>
      </c>
      <c r="N3215">
        <v>2.86</v>
      </c>
      <c r="O3215">
        <v>1</v>
      </c>
      <c r="P3215">
        <v>11</v>
      </c>
      <c r="Q3215" t="s">
        <v>573</v>
      </c>
      <c r="R3215" t="s">
        <v>596</v>
      </c>
      <c r="S3215" t="str">
        <f t="shared" ref="S3215:S3274" si="462">IF(OR(H3215="A",H3215="B",H3215="C"),"PA","FA")</f>
        <v>PA</v>
      </c>
    </row>
    <row r="3216" spans="1:19" x14ac:dyDescent="0.3">
      <c r="A3216" t="s">
        <v>8</v>
      </c>
      <c r="B3216">
        <v>2016210009</v>
      </c>
      <c r="C3216" t="s">
        <v>135</v>
      </c>
      <c r="E3216" t="s">
        <v>242</v>
      </c>
      <c r="F3216" t="s">
        <v>166</v>
      </c>
      <c r="G3216">
        <v>2</v>
      </c>
      <c r="H3216" t="s">
        <v>260</v>
      </c>
      <c r="I3216" s="4">
        <f t="shared" ref="I3216:I3274" si="463">IF(H3216="A",4,IF(H3216="B",3,IF(H3216="C",2,IF(H3216="D",1,0))))</f>
        <v>4</v>
      </c>
      <c r="J3216">
        <f t="shared" ref="J3216:J3274" si="464">G3216*I3216</f>
        <v>8</v>
      </c>
      <c r="K3216">
        <v>38</v>
      </c>
      <c r="L3216">
        <v>18</v>
      </c>
      <c r="M3216">
        <v>2.11</v>
      </c>
      <c r="N3216">
        <v>2.86</v>
      </c>
      <c r="O3216">
        <v>0</v>
      </c>
      <c r="P3216">
        <v>4</v>
      </c>
      <c r="Q3216" t="s">
        <v>565</v>
      </c>
      <c r="R3216" s="8" t="s">
        <v>260</v>
      </c>
      <c r="S3216" t="str">
        <f t="shared" si="462"/>
        <v>PA</v>
      </c>
    </row>
    <row r="3217" spans="1:19" x14ac:dyDescent="0.3">
      <c r="A3217" t="s">
        <v>8</v>
      </c>
      <c r="B3217">
        <v>2016210009</v>
      </c>
      <c r="C3217" t="s">
        <v>135</v>
      </c>
      <c r="E3217" t="s">
        <v>202</v>
      </c>
      <c r="F3217" t="s">
        <v>203</v>
      </c>
      <c r="G3217">
        <v>4</v>
      </c>
      <c r="H3217" t="s">
        <v>260</v>
      </c>
      <c r="I3217" s="4">
        <f t="shared" si="463"/>
        <v>4</v>
      </c>
      <c r="J3217">
        <f t="shared" si="464"/>
        <v>16</v>
      </c>
      <c r="K3217">
        <v>60</v>
      </c>
      <c r="L3217">
        <v>20</v>
      </c>
      <c r="M3217" s="2">
        <v>3</v>
      </c>
      <c r="N3217">
        <v>2.86</v>
      </c>
      <c r="O3217">
        <v>0</v>
      </c>
      <c r="P3217">
        <v>1</v>
      </c>
      <c r="Q3217" t="s">
        <v>558</v>
      </c>
      <c r="R3217" s="8" t="s">
        <v>260</v>
      </c>
      <c r="S3217" t="str">
        <f t="shared" si="462"/>
        <v>PA</v>
      </c>
    </row>
    <row r="3218" spans="1:19" x14ac:dyDescent="0.3">
      <c r="A3218" t="s">
        <v>8</v>
      </c>
      <c r="B3218">
        <v>2016210009</v>
      </c>
      <c r="C3218" t="s">
        <v>135</v>
      </c>
      <c r="E3218" t="s">
        <v>93</v>
      </c>
      <c r="F3218" t="s">
        <v>94</v>
      </c>
      <c r="G3218">
        <v>4</v>
      </c>
      <c r="H3218" t="s">
        <v>260</v>
      </c>
      <c r="I3218" s="4">
        <f t="shared" si="463"/>
        <v>4</v>
      </c>
      <c r="J3218">
        <f t="shared" si="464"/>
        <v>16</v>
      </c>
      <c r="K3218">
        <v>38</v>
      </c>
      <c r="L3218">
        <v>14</v>
      </c>
      <c r="M3218">
        <v>2.71</v>
      </c>
      <c r="N3218">
        <v>2.86</v>
      </c>
      <c r="O3218">
        <v>0</v>
      </c>
      <c r="P3218">
        <v>3</v>
      </c>
      <c r="Q3218" t="s">
        <v>563</v>
      </c>
      <c r="R3218" s="8" t="s">
        <v>260</v>
      </c>
      <c r="S3218" t="str">
        <f t="shared" si="462"/>
        <v>PA</v>
      </c>
    </row>
    <row r="3219" spans="1:19" x14ac:dyDescent="0.3">
      <c r="A3219" t="s">
        <v>8</v>
      </c>
      <c r="B3219">
        <v>2016210009</v>
      </c>
      <c r="C3219" t="s">
        <v>135</v>
      </c>
      <c r="E3219" t="s">
        <v>362</v>
      </c>
      <c r="F3219" t="s">
        <v>363</v>
      </c>
      <c r="G3219">
        <v>2</v>
      </c>
      <c r="H3219" t="s">
        <v>260</v>
      </c>
      <c r="I3219" s="4">
        <f t="shared" si="463"/>
        <v>4</v>
      </c>
      <c r="J3219">
        <f t="shared" si="464"/>
        <v>8</v>
      </c>
      <c r="K3219">
        <v>36</v>
      </c>
      <c r="L3219">
        <v>18</v>
      </c>
      <c r="M3219" s="2">
        <v>2</v>
      </c>
      <c r="N3219">
        <v>2.86</v>
      </c>
      <c r="O3219">
        <v>0</v>
      </c>
      <c r="P3219">
        <v>5</v>
      </c>
      <c r="Q3219" t="s">
        <v>566</v>
      </c>
      <c r="R3219" s="8" t="s">
        <v>260</v>
      </c>
      <c r="S3219" t="str">
        <f t="shared" si="462"/>
        <v>PA</v>
      </c>
    </row>
    <row r="3220" spans="1:19" x14ac:dyDescent="0.3">
      <c r="A3220" t="s">
        <v>8</v>
      </c>
      <c r="B3220">
        <v>2016210009</v>
      </c>
      <c r="C3220" t="s">
        <v>135</v>
      </c>
      <c r="E3220" t="s">
        <v>77</v>
      </c>
      <c r="F3220" t="s">
        <v>78</v>
      </c>
      <c r="G3220">
        <v>2</v>
      </c>
      <c r="H3220" t="s">
        <v>260</v>
      </c>
      <c r="I3220" s="4">
        <f t="shared" si="463"/>
        <v>4</v>
      </c>
      <c r="J3220">
        <f t="shared" si="464"/>
        <v>8</v>
      </c>
      <c r="K3220">
        <v>60</v>
      </c>
      <c r="L3220">
        <v>20</v>
      </c>
      <c r="M3220" s="2">
        <v>3</v>
      </c>
      <c r="N3220">
        <v>2.86</v>
      </c>
      <c r="O3220">
        <v>0</v>
      </c>
      <c r="P3220">
        <v>1</v>
      </c>
      <c r="Q3220" t="s">
        <v>558</v>
      </c>
      <c r="R3220" s="8" t="s">
        <v>260</v>
      </c>
      <c r="S3220" t="str">
        <f t="shared" si="462"/>
        <v>PA</v>
      </c>
    </row>
    <row r="3221" spans="1:19" x14ac:dyDescent="0.3">
      <c r="A3221" t="s">
        <v>8</v>
      </c>
      <c r="B3221">
        <v>2016210009</v>
      </c>
      <c r="C3221" t="s">
        <v>135</v>
      </c>
      <c r="E3221" t="s">
        <v>253</v>
      </c>
      <c r="F3221" t="s">
        <v>254</v>
      </c>
      <c r="G3221">
        <v>2</v>
      </c>
      <c r="H3221" t="s">
        <v>438</v>
      </c>
      <c r="I3221" s="4">
        <f t="shared" si="463"/>
        <v>3</v>
      </c>
      <c r="J3221">
        <f t="shared" si="464"/>
        <v>6</v>
      </c>
      <c r="K3221">
        <v>38</v>
      </c>
      <c r="L3221">
        <v>18</v>
      </c>
      <c r="M3221">
        <v>2.11</v>
      </c>
      <c r="N3221">
        <v>2.86</v>
      </c>
      <c r="O3221">
        <v>0</v>
      </c>
      <c r="P3221">
        <v>4</v>
      </c>
      <c r="Q3221" t="s">
        <v>565</v>
      </c>
      <c r="R3221" s="8" t="s">
        <v>260</v>
      </c>
      <c r="S3221" t="str">
        <f t="shared" si="462"/>
        <v>PA</v>
      </c>
    </row>
    <row r="3222" spans="1:19" x14ac:dyDescent="0.3">
      <c r="A3222" t="s">
        <v>8</v>
      </c>
      <c r="B3222">
        <v>2016210009</v>
      </c>
      <c r="C3222" t="s">
        <v>135</v>
      </c>
      <c r="E3222" t="s">
        <v>131</v>
      </c>
      <c r="F3222" t="s">
        <v>132</v>
      </c>
      <c r="G3222">
        <v>2</v>
      </c>
      <c r="H3222" t="s">
        <v>438</v>
      </c>
      <c r="I3222" s="4">
        <f t="shared" si="463"/>
        <v>3</v>
      </c>
      <c r="J3222">
        <f t="shared" si="464"/>
        <v>6</v>
      </c>
      <c r="K3222">
        <v>60</v>
      </c>
      <c r="L3222">
        <v>20</v>
      </c>
      <c r="M3222" s="2">
        <v>3</v>
      </c>
      <c r="N3222">
        <v>2.86</v>
      </c>
      <c r="O3222">
        <v>0</v>
      </c>
      <c r="P3222">
        <v>1</v>
      </c>
      <c r="Q3222" t="s">
        <v>558</v>
      </c>
      <c r="R3222" s="8" t="s">
        <v>260</v>
      </c>
      <c r="S3222" t="str">
        <f t="shared" si="462"/>
        <v>PA</v>
      </c>
    </row>
    <row r="3223" spans="1:19" x14ac:dyDescent="0.3">
      <c r="A3223" t="s">
        <v>8</v>
      </c>
      <c r="B3223">
        <v>2016210009</v>
      </c>
      <c r="C3223" t="s">
        <v>135</v>
      </c>
      <c r="E3223" t="s">
        <v>295</v>
      </c>
      <c r="F3223" t="s">
        <v>296</v>
      </c>
      <c r="G3223">
        <v>2</v>
      </c>
      <c r="H3223" t="s">
        <v>438</v>
      </c>
      <c r="I3223" s="4">
        <f t="shared" si="463"/>
        <v>3</v>
      </c>
      <c r="J3223">
        <f t="shared" si="464"/>
        <v>6</v>
      </c>
      <c r="K3223">
        <v>58</v>
      </c>
      <c r="L3223">
        <v>20</v>
      </c>
      <c r="M3223" s="2">
        <v>2.9</v>
      </c>
      <c r="N3223">
        <v>2.86</v>
      </c>
      <c r="O3223">
        <v>0</v>
      </c>
      <c r="P3223">
        <v>11</v>
      </c>
      <c r="Q3223" t="s">
        <v>573</v>
      </c>
      <c r="R3223" t="s">
        <v>596</v>
      </c>
      <c r="S3223" t="str">
        <f t="shared" si="462"/>
        <v>PA</v>
      </c>
    </row>
    <row r="3224" spans="1:19" x14ac:dyDescent="0.3">
      <c r="A3224" t="s">
        <v>8</v>
      </c>
      <c r="B3224">
        <v>2016210009</v>
      </c>
      <c r="C3224" t="s">
        <v>135</v>
      </c>
      <c r="E3224" t="s">
        <v>216</v>
      </c>
      <c r="F3224" t="s">
        <v>217</v>
      </c>
      <c r="G3224">
        <v>2</v>
      </c>
      <c r="H3224" t="s">
        <v>438</v>
      </c>
      <c r="I3224" s="4">
        <f t="shared" si="463"/>
        <v>3</v>
      </c>
      <c r="J3224">
        <f t="shared" si="464"/>
        <v>6</v>
      </c>
      <c r="K3224">
        <v>38</v>
      </c>
      <c r="L3224">
        <v>18</v>
      </c>
      <c r="M3224">
        <v>2.11</v>
      </c>
      <c r="N3224">
        <v>2.86</v>
      </c>
      <c r="O3224">
        <v>0</v>
      </c>
      <c r="P3224">
        <v>4</v>
      </c>
      <c r="Q3224" t="s">
        <v>565</v>
      </c>
      <c r="R3224" s="8" t="s">
        <v>260</v>
      </c>
      <c r="S3224" t="str">
        <f t="shared" si="462"/>
        <v>PA</v>
      </c>
    </row>
    <row r="3225" spans="1:19" x14ac:dyDescent="0.3">
      <c r="A3225" t="s">
        <v>8</v>
      </c>
      <c r="B3225">
        <v>2016210009</v>
      </c>
      <c r="C3225" t="s">
        <v>135</v>
      </c>
      <c r="E3225" t="s">
        <v>117</v>
      </c>
      <c r="F3225" t="s">
        <v>118</v>
      </c>
      <c r="G3225">
        <v>2</v>
      </c>
      <c r="H3225" t="s">
        <v>438</v>
      </c>
      <c r="I3225" s="4">
        <f t="shared" si="463"/>
        <v>3</v>
      </c>
      <c r="J3225">
        <f t="shared" si="464"/>
        <v>6</v>
      </c>
      <c r="K3225">
        <v>38</v>
      </c>
      <c r="L3225">
        <v>18</v>
      </c>
      <c r="M3225" s="2">
        <v>2.11</v>
      </c>
      <c r="N3225">
        <v>2.86</v>
      </c>
      <c r="O3225">
        <v>0</v>
      </c>
      <c r="P3225">
        <v>2</v>
      </c>
      <c r="Q3225" t="s">
        <v>559</v>
      </c>
      <c r="R3225" s="8" t="s">
        <v>260</v>
      </c>
      <c r="S3225" t="str">
        <f t="shared" si="462"/>
        <v>PA</v>
      </c>
    </row>
    <row r="3226" spans="1:19" x14ac:dyDescent="0.3">
      <c r="A3226" t="s">
        <v>8</v>
      </c>
      <c r="B3226">
        <v>2016210009</v>
      </c>
      <c r="C3226" t="s">
        <v>135</v>
      </c>
      <c r="E3226" t="s">
        <v>87</v>
      </c>
      <c r="F3226" t="s">
        <v>88</v>
      </c>
      <c r="G3226">
        <v>2</v>
      </c>
      <c r="H3226" t="s">
        <v>438</v>
      </c>
      <c r="I3226" s="4">
        <f t="shared" si="463"/>
        <v>3</v>
      </c>
      <c r="J3226">
        <f t="shared" si="464"/>
        <v>6</v>
      </c>
      <c r="K3226">
        <v>38</v>
      </c>
      <c r="L3226">
        <v>18</v>
      </c>
      <c r="M3226">
        <v>2.11</v>
      </c>
      <c r="N3226">
        <v>2.86</v>
      </c>
      <c r="O3226">
        <v>0</v>
      </c>
      <c r="P3226">
        <v>4</v>
      </c>
      <c r="Q3226" t="s">
        <v>565</v>
      </c>
      <c r="R3226" s="8" t="s">
        <v>260</v>
      </c>
      <c r="S3226" t="str">
        <f t="shared" si="462"/>
        <v>PA</v>
      </c>
    </row>
    <row r="3227" spans="1:19" x14ac:dyDescent="0.3">
      <c r="A3227" t="s">
        <v>8</v>
      </c>
      <c r="B3227">
        <v>2016210009</v>
      </c>
      <c r="C3227" t="s">
        <v>135</v>
      </c>
      <c r="E3227" t="s">
        <v>193</v>
      </c>
      <c r="F3227" t="s">
        <v>194</v>
      </c>
      <c r="G3227">
        <v>4</v>
      </c>
      <c r="H3227" t="s">
        <v>438</v>
      </c>
      <c r="I3227" s="4">
        <f t="shared" si="463"/>
        <v>3</v>
      </c>
      <c r="J3227">
        <f t="shared" si="464"/>
        <v>12</v>
      </c>
      <c r="K3227">
        <v>30</v>
      </c>
      <c r="L3227">
        <v>10</v>
      </c>
      <c r="M3227" s="2">
        <v>3</v>
      </c>
      <c r="N3227">
        <v>2.86</v>
      </c>
      <c r="O3227">
        <v>0</v>
      </c>
      <c r="P3227">
        <v>7</v>
      </c>
      <c r="Q3227" t="s">
        <v>568</v>
      </c>
      <c r="R3227" s="8" t="s">
        <v>260</v>
      </c>
      <c r="S3227" t="str">
        <f t="shared" si="462"/>
        <v>PA</v>
      </c>
    </row>
    <row r="3228" spans="1:19" x14ac:dyDescent="0.3">
      <c r="A3228" t="s">
        <v>8</v>
      </c>
      <c r="B3228">
        <v>2016210009</v>
      </c>
      <c r="C3228" t="s">
        <v>135</v>
      </c>
      <c r="E3228" t="s">
        <v>22</v>
      </c>
      <c r="F3228" t="s">
        <v>23</v>
      </c>
      <c r="G3228">
        <v>2</v>
      </c>
      <c r="H3228" t="s">
        <v>438</v>
      </c>
      <c r="I3228" s="4">
        <f t="shared" si="463"/>
        <v>3</v>
      </c>
      <c r="J3228">
        <f t="shared" si="464"/>
        <v>6</v>
      </c>
      <c r="K3228">
        <v>38</v>
      </c>
      <c r="L3228">
        <v>18</v>
      </c>
      <c r="M3228" s="2">
        <v>2.11</v>
      </c>
      <c r="N3228">
        <v>2.86</v>
      </c>
      <c r="O3228">
        <v>0</v>
      </c>
      <c r="P3228">
        <v>2</v>
      </c>
      <c r="Q3228" t="s">
        <v>559</v>
      </c>
      <c r="R3228" s="8" t="s">
        <v>260</v>
      </c>
      <c r="S3228" t="str">
        <f t="shared" si="462"/>
        <v>PA</v>
      </c>
    </row>
    <row r="3229" spans="1:19" x14ac:dyDescent="0.3">
      <c r="A3229" t="s">
        <v>8</v>
      </c>
      <c r="B3229">
        <v>2016210009</v>
      </c>
      <c r="C3229" t="s">
        <v>135</v>
      </c>
      <c r="E3229" t="s">
        <v>352</v>
      </c>
      <c r="F3229" t="s">
        <v>353</v>
      </c>
      <c r="G3229">
        <v>2</v>
      </c>
      <c r="H3229" t="s">
        <v>438</v>
      </c>
      <c r="I3229" s="4">
        <f t="shared" si="463"/>
        <v>3</v>
      </c>
      <c r="J3229">
        <f t="shared" si="464"/>
        <v>6</v>
      </c>
      <c r="K3229">
        <v>36</v>
      </c>
      <c r="L3229">
        <v>18</v>
      </c>
      <c r="M3229" s="2">
        <v>2</v>
      </c>
      <c r="N3229">
        <v>2.86</v>
      </c>
      <c r="O3229">
        <v>0</v>
      </c>
      <c r="P3229">
        <v>5</v>
      </c>
      <c r="Q3229" t="s">
        <v>566</v>
      </c>
      <c r="R3229" s="8" t="s">
        <v>260</v>
      </c>
      <c r="S3229" t="str">
        <f t="shared" si="462"/>
        <v>PA</v>
      </c>
    </row>
    <row r="3230" spans="1:19" x14ac:dyDescent="0.3">
      <c r="A3230" t="s">
        <v>8</v>
      </c>
      <c r="B3230">
        <v>2016210009</v>
      </c>
      <c r="C3230" t="s">
        <v>135</v>
      </c>
      <c r="E3230" t="s">
        <v>115</v>
      </c>
      <c r="F3230" t="s">
        <v>116</v>
      </c>
      <c r="G3230">
        <v>4</v>
      </c>
      <c r="H3230" t="s">
        <v>438</v>
      </c>
      <c r="I3230" s="4">
        <f t="shared" si="463"/>
        <v>3</v>
      </c>
      <c r="J3230">
        <f t="shared" si="464"/>
        <v>12</v>
      </c>
      <c r="K3230">
        <v>38</v>
      </c>
      <c r="L3230">
        <v>18</v>
      </c>
      <c r="M3230" s="2">
        <v>2.11</v>
      </c>
      <c r="N3230">
        <v>2.86</v>
      </c>
      <c r="O3230">
        <v>0</v>
      </c>
      <c r="P3230">
        <v>2</v>
      </c>
      <c r="Q3230" t="s">
        <v>559</v>
      </c>
      <c r="R3230" s="8" t="s">
        <v>260</v>
      </c>
      <c r="S3230" t="str">
        <f t="shared" si="462"/>
        <v>PA</v>
      </c>
    </row>
    <row r="3231" spans="1:19" x14ac:dyDescent="0.3">
      <c r="A3231" t="s">
        <v>8</v>
      </c>
      <c r="B3231">
        <v>2016210009</v>
      </c>
      <c r="C3231" t="s">
        <v>135</v>
      </c>
      <c r="E3231" t="s">
        <v>17</v>
      </c>
      <c r="F3231" t="s">
        <v>11</v>
      </c>
      <c r="G3231">
        <v>2</v>
      </c>
      <c r="H3231" t="s">
        <v>438</v>
      </c>
      <c r="I3231" s="4">
        <f t="shared" si="463"/>
        <v>3</v>
      </c>
      <c r="J3231">
        <f t="shared" si="464"/>
        <v>6</v>
      </c>
      <c r="K3231">
        <v>34</v>
      </c>
      <c r="L3231">
        <v>12</v>
      </c>
      <c r="M3231" s="2">
        <v>2.83</v>
      </c>
      <c r="N3231">
        <v>2.86</v>
      </c>
      <c r="O3231">
        <v>0</v>
      </c>
      <c r="P3231">
        <v>10</v>
      </c>
      <c r="Q3231" t="s">
        <v>560</v>
      </c>
      <c r="R3231" s="8" t="s">
        <v>260</v>
      </c>
      <c r="S3231" t="str">
        <f t="shared" si="462"/>
        <v>PA</v>
      </c>
    </row>
    <row r="3232" spans="1:19" x14ac:dyDescent="0.3">
      <c r="A3232" t="s">
        <v>8</v>
      </c>
      <c r="B3232">
        <v>2016210009</v>
      </c>
      <c r="C3232" t="s">
        <v>135</v>
      </c>
      <c r="E3232" t="s">
        <v>465</v>
      </c>
      <c r="F3232" t="s">
        <v>198</v>
      </c>
      <c r="G3232">
        <v>2</v>
      </c>
      <c r="H3232" t="s">
        <v>438</v>
      </c>
      <c r="I3232" s="4">
        <f t="shared" si="463"/>
        <v>3</v>
      </c>
      <c r="J3232">
        <f t="shared" si="464"/>
        <v>6</v>
      </c>
      <c r="K3232">
        <v>34</v>
      </c>
      <c r="L3232">
        <v>12</v>
      </c>
      <c r="M3232" s="2">
        <v>2.83</v>
      </c>
      <c r="N3232">
        <v>2.86</v>
      </c>
      <c r="O3232">
        <v>0</v>
      </c>
      <c r="P3232">
        <v>10</v>
      </c>
      <c r="Q3232" t="s">
        <v>560</v>
      </c>
      <c r="R3232" s="8" t="s">
        <v>260</v>
      </c>
      <c r="S3232" t="str">
        <f t="shared" si="462"/>
        <v>PA</v>
      </c>
    </row>
    <row r="3233" spans="1:19" x14ac:dyDescent="0.3">
      <c r="A3233" t="s">
        <v>8</v>
      </c>
      <c r="B3233">
        <v>2016210009</v>
      </c>
      <c r="C3233" t="s">
        <v>135</v>
      </c>
      <c r="E3233" t="s">
        <v>597</v>
      </c>
      <c r="F3233" t="s">
        <v>275</v>
      </c>
      <c r="G3233">
        <v>2</v>
      </c>
      <c r="H3233" t="s">
        <v>438</v>
      </c>
      <c r="I3233" s="4">
        <f t="shared" si="463"/>
        <v>3</v>
      </c>
      <c r="J3233">
        <f t="shared" si="464"/>
        <v>6</v>
      </c>
      <c r="K3233">
        <v>14</v>
      </c>
      <c r="L3233">
        <v>12</v>
      </c>
      <c r="M3233">
        <v>1.17</v>
      </c>
      <c r="N3233">
        <v>2.86</v>
      </c>
      <c r="O3233">
        <v>0</v>
      </c>
      <c r="P3233">
        <v>6</v>
      </c>
      <c r="Q3233" t="s">
        <v>567</v>
      </c>
      <c r="R3233" s="8" t="s">
        <v>260</v>
      </c>
      <c r="S3233" t="str">
        <f t="shared" si="462"/>
        <v>PA</v>
      </c>
    </row>
    <row r="3234" spans="1:19" x14ac:dyDescent="0.3">
      <c r="A3234" t="s">
        <v>8</v>
      </c>
      <c r="B3234">
        <v>2016210009</v>
      </c>
      <c r="C3234" t="s">
        <v>135</v>
      </c>
      <c r="E3234" t="s">
        <v>163</v>
      </c>
      <c r="F3234" t="s">
        <v>164</v>
      </c>
      <c r="G3234">
        <v>2</v>
      </c>
      <c r="H3234" t="s">
        <v>438</v>
      </c>
      <c r="I3234" s="4">
        <f t="shared" si="463"/>
        <v>3</v>
      </c>
      <c r="J3234">
        <f t="shared" si="464"/>
        <v>6</v>
      </c>
      <c r="K3234">
        <v>60</v>
      </c>
      <c r="L3234">
        <v>20</v>
      </c>
      <c r="M3234" s="2">
        <v>3</v>
      </c>
      <c r="N3234">
        <v>2.86</v>
      </c>
      <c r="O3234">
        <v>0</v>
      </c>
      <c r="P3234">
        <v>1</v>
      </c>
      <c r="Q3234" t="s">
        <v>558</v>
      </c>
      <c r="R3234" s="8" t="s">
        <v>260</v>
      </c>
      <c r="S3234" t="str">
        <f t="shared" si="462"/>
        <v>PA</v>
      </c>
    </row>
    <row r="3235" spans="1:19" x14ac:dyDescent="0.3">
      <c r="A3235" t="s">
        <v>8</v>
      </c>
      <c r="B3235">
        <v>2016210009</v>
      </c>
      <c r="C3235" t="s">
        <v>135</v>
      </c>
      <c r="E3235" t="s">
        <v>176</v>
      </c>
      <c r="F3235" t="s">
        <v>177</v>
      </c>
      <c r="G3235">
        <v>4</v>
      </c>
      <c r="H3235" t="s">
        <v>438</v>
      </c>
      <c r="I3235" s="4">
        <f t="shared" si="463"/>
        <v>3</v>
      </c>
      <c r="J3235">
        <f t="shared" si="464"/>
        <v>12</v>
      </c>
      <c r="K3235">
        <v>58</v>
      </c>
      <c r="L3235">
        <v>20</v>
      </c>
      <c r="M3235" s="2">
        <v>2.9</v>
      </c>
      <c r="N3235">
        <v>2.86</v>
      </c>
      <c r="O3235">
        <v>0</v>
      </c>
      <c r="P3235">
        <v>11</v>
      </c>
      <c r="Q3235" t="s">
        <v>573</v>
      </c>
      <c r="R3235" t="s">
        <v>596</v>
      </c>
      <c r="S3235" t="str">
        <f t="shared" si="462"/>
        <v>PA</v>
      </c>
    </row>
    <row r="3236" spans="1:19" x14ac:dyDescent="0.3">
      <c r="A3236" t="s">
        <v>8</v>
      </c>
      <c r="B3236">
        <v>2016210009</v>
      </c>
      <c r="C3236" t="s">
        <v>135</v>
      </c>
      <c r="E3236" t="s">
        <v>407</v>
      </c>
      <c r="F3236" t="s">
        <v>312</v>
      </c>
      <c r="G3236">
        <v>2</v>
      </c>
      <c r="H3236" t="s">
        <v>438</v>
      </c>
      <c r="I3236" s="4">
        <f t="shared" si="463"/>
        <v>3</v>
      </c>
      <c r="J3236">
        <f t="shared" si="464"/>
        <v>6</v>
      </c>
      <c r="K3236">
        <v>30</v>
      </c>
      <c r="L3236">
        <v>10</v>
      </c>
      <c r="M3236" s="2">
        <v>3</v>
      </c>
      <c r="N3236">
        <v>2.86</v>
      </c>
      <c r="O3236">
        <v>0</v>
      </c>
      <c r="P3236">
        <v>7</v>
      </c>
      <c r="Q3236" t="s">
        <v>568</v>
      </c>
      <c r="R3236" s="8" t="s">
        <v>260</v>
      </c>
      <c r="S3236" t="str">
        <f t="shared" si="462"/>
        <v>PA</v>
      </c>
    </row>
    <row r="3237" spans="1:19" x14ac:dyDescent="0.3">
      <c r="A3237" t="s">
        <v>8</v>
      </c>
      <c r="B3237">
        <v>2016210009</v>
      </c>
      <c r="C3237" t="s">
        <v>135</v>
      </c>
      <c r="E3237" t="s">
        <v>147</v>
      </c>
      <c r="F3237" t="s">
        <v>148</v>
      </c>
      <c r="G3237">
        <v>4</v>
      </c>
      <c r="H3237" t="s">
        <v>438</v>
      </c>
      <c r="I3237" s="4">
        <f t="shared" si="463"/>
        <v>3</v>
      </c>
      <c r="J3237">
        <f t="shared" si="464"/>
        <v>12</v>
      </c>
      <c r="K3237">
        <v>60</v>
      </c>
      <c r="L3237">
        <v>20</v>
      </c>
      <c r="M3237" s="2">
        <v>3</v>
      </c>
      <c r="N3237">
        <v>2.86</v>
      </c>
      <c r="O3237">
        <v>0</v>
      </c>
      <c r="P3237">
        <v>1</v>
      </c>
      <c r="Q3237" t="s">
        <v>558</v>
      </c>
      <c r="R3237" s="8" t="s">
        <v>260</v>
      </c>
      <c r="S3237" t="str">
        <f t="shared" si="462"/>
        <v>PA</v>
      </c>
    </row>
    <row r="3238" spans="1:19" x14ac:dyDescent="0.3">
      <c r="A3238" t="s">
        <v>8</v>
      </c>
      <c r="B3238">
        <v>2016210009</v>
      </c>
      <c r="C3238" t="s">
        <v>135</v>
      </c>
      <c r="E3238" t="s">
        <v>185</v>
      </c>
      <c r="F3238" t="s">
        <v>186</v>
      </c>
      <c r="G3238">
        <v>4</v>
      </c>
      <c r="H3238" t="s">
        <v>438</v>
      </c>
      <c r="I3238" s="4">
        <f t="shared" si="463"/>
        <v>3</v>
      </c>
      <c r="J3238">
        <f t="shared" si="464"/>
        <v>12</v>
      </c>
      <c r="K3238">
        <v>30</v>
      </c>
      <c r="L3238">
        <v>10</v>
      </c>
      <c r="M3238" s="2">
        <v>3</v>
      </c>
      <c r="N3238">
        <v>2.86</v>
      </c>
      <c r="O3238">
        <v>0</v>
      </c>
      <c r="P3238">
        <v>7</v>
      </c>
      <c r="Q3238" t="s">
        <v>568</v>
      </c>
      <c r="R3238" s="8" t="s">
        <v>260</v>
      </c>
      <c r="S3238" t="str">
        <f t="shared" si="462"/>
        <v>PA</v>
      </c>
    </row>
    <row r="3239" spans="1:19" x14ac:dyDescent="0.3">
      <c r="A3239" t="s">
        <v>8</v>
      </c>
      <c r="B3239">
        <v>2016210009</v>
      </c>
      <c r="C3239" t="s">
        <v>135</v>
      </c>
      <c r="E3239" t="s">
        <v>391</v>
      </c>
      <c r="F3239" t="s">
        <v>392</v>
      </c>
      <c r="G3239">
        <v>2</v>
      </c>
      <c r="H3239" t="s">
        <v>438</v>
      </c>
      <c r="I3239" s="4">
        <f t="shared" si="463"/>
        <v>3</v>
      </c>
      <c r="J3239">
        <f t="shared" si="464"/>
        <v>6</v>
      </c>
      <c r="K3239">
        <v>36</v>
      </c>
      <c r="L3239">
        <v>18</v>
      </c>
      <c r="M3239" s="2">
        <v>2</v>
      </c>
      <c r="N3239">
        <v>2.86</v>
      </c>
      <c r="O3239">
        <v>0</v>
      </c>
      <c r="P3239">
        <v>5</v>
      </c>
      <c r="Q3239" t="s">
        <v>566</v>
      </c>
      <c r="R3239" s="8" t="s">
        <v>260</v>
      </c>
      <c r="S3239" t="str">
        <f t="shared" si="462"/>
        <v>PA</v>
      </c>
    </row>
    <row r="3240" spans="1:19" x14ac:dyDescent="0.3">
      <c r="A3240" t="s">
        <v>8</v>
      </c>
      <c r="B3240">
        <v>2016210009</v>
      </c>
      <c r="C3240" t="s">
        <v>135</v>
      </c>
      <c r="E3240" t="s">
        <v>279</v>
      </c>
      <c r="F3240" t="s">
        <v>280</v>
      </c>
      <c r="G3240">
        <v>2</v>
      </c>
      <c r="H3240" t="s">
        <v>438</v>
      </c>
      <c r="I3240" s="4">
        <f t="shared" si="463"/>
        <v>3</v>
      </c>
      <c r="J3240">
        <f t="shared" si="464"/>
        <v>6</v>
      </c>
      <c r="K3240">
        <v>38</v>
      </c>
      <c r="L3240">
        <v>18</v>
      </c>
      <c r="M3240" s="2">
        <v>2.11</v>
      </c>
      <c r="N3240">
        <v>2.86</v>
      </c>
      <c r="O3240">
        <v>0</v>
      </c>
      <c r="P3240">
        <v>2</v>
      </c>
      <c r="Q3240" t="s">
        <v>559</v>
      </c>
      <c r="R3240" s="8" t="s">
        <v>260</v>
      </c>
      <c r="S3240" t="str">
        <f t="shared" si="462"/>
        <v>PA</v>
      </c>
    </row>
    <row r="3241" spans="1:19" x14ac:dyDescent="0.3">
      <c r="A3241" t="s">
        <v>8</v>
      </c>
      <c r="B3241">
        <v>2016210009</v>
      </c>
      <c r="C3241" t="s">
        <v>135</v>
      </c>
      <c r="E3241" t="s">
        <v>227</v>
      </c>
      <c r="F3241" t="s">
        <v>228</v>
      </c>
      <c r="G3241">
        <v>2</v>
      </c>
      <c r="H3241" t="s">
        <v>438</v>
      </c>
      <c r="I3241" s="4">
        <f t="shared" si="463"/>
        <v>3</v>
      </c>
      <c r="J3241">
        <f t="shared" si="464"/>
        <v>6</v>
      </c>
      <c r="K3241">
        <v>38</v>
      </c>
      <c r="L3241">
        <v>14</v>
      </c>
      <c r="M3241">
        <v>2.71</v>
      </c>
      <c r="N3241">
        <v>2.86</v>
      </c>
      <c r="O3241">
        <v>0</v>
      </c>
      <c r="P3241">
        <v>3</v>
      </c>
      <c r="Q3241" t="s">
        <v>563</v>
      </c>
      <c r="R3241" s="8" t="s">
        <v>260</v>
      </c>
      <c r="S3241" t="str">
        <f t="shared" si="462"/>
        <v>PA</v>
      </c>
    </row>
    <row r="3242" spans="1:19" x14ac:dyDescent="0.3">
      <c r="A3242" t="s">
        <v>8</v>
      </c>
      <c r="B3242">
        <v>2016210009</v>
      </c>
      <c r="C3242" t="s">
        <v>135</v>
      </c>
      <c r="E3242" t="s">
        <v>439</v>
      </c>
      <c r="F3242" t="s">
        <v>504</v>
      </c>
      <c r="G3242">
        <v>2</v>
      </c>
      <c r="H3242" t="s">
        <v>524</v>
      </c>
      <c r="I3242" s="4">
        <f t="shared" si="463"/>
        <v>2</v>
      </c>
      <c r="J3242">
        <f t="shared" si="464"/>
        <v>4</v>
      </c>
      <c r="K3242">
        <v>34</v>
      </c>
      <c r="L3242">
        <v>12</v>
      </c>
      <c r="M3242" s="2">
        <v>2.83</v>
      </c>
      <c r="N3242">
        <v>2.86</v>
      </c>
      <c r="O3242">
        <v>0</v>
      </c>
      <c r="P3242">
        <v>10</v>
      </c>
      <c r="Q3242" t="s">
        <v>560</v>
      </c>
      <c r="R3242" s="8" t="s">
        <v>260</v>
      </c>
      <c r="S3242" t="str">
        <f t="shared" si="462"/>
        <v>PA</v>
      </c>
    </row>
    <row r="3243" spans="1:19" x14ac:dyDescent="0.3">
      <c r="A3243" t="s">
        <v>8</v>
      </c>
      <c r="B3243">
        <v>2016210009</v>
      </c>
      <c r="C3243" t="s">
        <v>135</v>
      </c>
      <c r="E3243" t="s">
        <v>19</v>
      </c>
      <c r="F3243" t="s">
        <v>20</v>
      </c>
      <c r="G3243">
        <v>6</v>
      </c>
      <c r="H3243" t="s">
        <v>524</v>
      </c>
      <c r="I3243" s="4">
        <f t="shared" si="463"/>
        <v>2</v>
      </c>
      <c r="J3243">
        <f t="shared" si="464"/>
        <v>12</v>
      </c>
      <c r="K3243">
        <v>58</v>
      </c>
      <c r="L3243">
        <v>20</v>
      </c>
      <c r="M3243" s="2">
        <v>2.9</v>
      </c>
      <c r="N3243">
        <v>2.86</v>
      </c>
      <c r="O3243">
        <v>0</v>
      </c>
      <c r="P3243">
        <v>11</v>
      </c>
      <c r="Q3243" t="s">
        <v>573</v>
      </c>
      <c r="R3243" t="s">
        <v>596</v>
      </c>
      <c r="S3243" t="str">
        <f t="shared" si="462"/>
        <v>PA</v>
      </c>
    </row>
    <row r="3244" spans="1:19" x14ac:dyDescent="0.3">
      <c r="A3244" t="s">
        <v>8</v>
      </c>
      <c r="B3244">
        <v>2016210009</v>
      </c>
      <c r="C3244" t="s">
        <v>135</v>
      </c>
      <c r="E3244" t="s">
        <v>213</v>
      </c>
      <c r="F3244" t="s">
        <v>214</v>
      </c>
      <c r="G3244">
        <v>4</v>
      </c>
      <c r="H3244" t="s">
        <v>524</v>
      </c>
      <c r="I3244" s="4">
        <f t="shared" si="463"/>
        <v>2</v>
      </c>
      <c r="J3244">
        <f t="shared" si="464"/>
        <v>8</v>
      </c>
      <c r="K3244">
        <v>36</v>
      </c>
      <c r="L3244">
        <v>18</v>
      </c>
      <c r="M3244" s="2">
        <v>2</v>
      </c>
      <c r="N3244">
        <v>2.86</v>
      </c>
      <c r="O3244">
        <v>0</v>
      </c>
      <c r="P3244">
        <v>5</v>
      </c>
      <c r="Q3244" t="s">
        <v>566</v>
      </c>
      <c r="R3244" s="8" t="s">
        <v>260</v>
      </c>
      <c r="S3244" t="str">
        <f t="shared" si="462"/>
        <v>PA</v>
      </c>
    </row>
    <row r="3245" spans="1:19" x14ac:dyDescent="0.3">
      <c r="A3245" t="s">
        <v>8</v>
      </c>
      <c r="B3245">
        <v>2016210009</v>
      </c>
      <c r="C3245" t="s">
        <v>135</v>
      </c>
      <c r="E3245" t="s">
        <v>246</v>
      </c>
      <c r="F3245" t="s">
        <v>247</v>
      </c>
      <c r="G3245">
        <v>4</v>
      </c>
      <c r="H3245" t="s">
        <v>524</v>
      </c>
      <c r="I3245" s="4">
        <f t="shared" si="463"/>
        <v>2</v>
      </c>
      <c r="J3245">
        <f t="shared" si="464"/>
        <v>8</v>
      </c>
      <c r="K3245">
        <v>18</v>
      </c>
      <c r="L3245">
        <v>12</v>
      </c>
      <c r="M3245" s="2">
        <v>1.5</v>
      </c>
      <c r="N3245">
        <v>2.86</v>
      </c>
      <c r="O3245">
        <v>0</v>
      </c>
      <c r="P3245">
        <v>8</v>
      </c>
      <c r="Q3245" t="s">
        <v>569</v>
      </c>
      <c r="R3245" s="8" t="s">
        <v>260</v>
      </c>
      <c r="S3245" t="str">
        <f t="shared" si="462"/>
        <v>PA</v>
      </c>
    </row>
    <row r="3246" spans="1:19" x14ac:dyDescent="0.3">
      <c r="A3246" t="s">
        <v>8</v>
      </c>
      <c r="B3246">
        <v>2016210009</v>
      </c>
      <c r="C3246" t="s">
        <v>135</v>
      </c>
      <c r="E3246" t="s">
        <v>219</v>
      </c>
      <c r="F3246" t="s">
        <v>220</v>
      </c>
      <c r="G3246">
        <v>2</v>
      </c>
      <c r="H3246" t="s">
        <v>524</v>
      </c>
      <c r="I3246" s="4">
        <f t="shared" si="463"/>
        <v>2</v>
      </c>
      <c r="J3246">
        <f t="shared" si="464"/>
        <v>4</v>
      </c>
      <c r="K3246">
        <v>8</v>
      </c>
      <c r="L3246">
        <v>6</v>
      </c>
      <c r="M3246" s="2">
        <v>1.33</v>
      </c>
      <c r="N3246">
        <v>2.86</v>
      </c>
      <c r="O3246">
        <v>0</v>
      </c>
      <c r="P3246">
        <v>9</v>
      </c>
      <c r="Q3246" t="s">
        <v>570</v>
      </c>
      <c r="R3246" s="8" t="s">
        <v>260</v>
      </c>
      <c r="S3246" t="str">
        <f t="shared" si="462"/>
        <v>PA</v>
      </c>
    </row>
    <row r="3247" spans="1:19" x14ac:dyDescent="0.3">
      <c r="A3247" t="s">
        <v>8</v>
      </c>
      <c r="B3247">
        <v>2016210009</v>
      </c>
      <c r="C3247" t="s">
        <v>135</v>
      </c>
      <c r="E3247" t="s">
        <v>110</v>
      </c>
      <c r="F3247" t="s">
        <v>111</v>
      </c>
      <c r="G3247">
        <v>4</v>
      </c>
      <c r="H3247" t="s">
        <v>524</v>
      </c>
      <c r="I3247" s="4">
        <f t="shared" si="463"/>
        <v>2</v>
      </c>
      <c r="J3247">
        <f t="shared" si="464"/>
        <v>8</v>
      </c>
      <c r="K3247">
        <v>60</v>
      </c>
      <c r="L3247">
        <v>20</v>
      </c>
      <c r="M3247" s="2">
        <v>3</v>
      </c>
      <c r="N3247">
        <v>2.86</v>
      </c>
      <c r="O3247">
        <v>0</v>
      </c>
      <c r="P3247">
        <v>1</v>
      </c>
      <c r="Q3247" t="s">
        <v>558</v>
      </c>
      <c r="R3247" s="8" t="s">
        <v>260</v>
      </c>
      <c r="S3247" t="str">
        <f t="shared" si="462"/>
        <v>PA</v>
      </c>
    </row>
    <row r="3248" spans="1:19" x14ac:dyDescent="0.3">
      <c r="A3248" t="s">
        <v>8</v>
      </c>
      <c r="B3248">
        <v>2016210009</v>
      </c>
      <c r="C3248" t="s">
        <v>135</v>
      </c>
      <c r="E3248" t="s">
        <v>395</v>
      </c>
      <c r="F3248" t="s">
        <v>396</v>
      </c>
      <c r="G3248">
        <v>2</v>
      </c>
      <c r="H3248" t="s">
        <v>524</v>
      </c>
      <c r="I3248" s="4">
        <f t="shared" si="463"/>
        <v>2</v>
      </c>
      <c r="J3248">
        <f t="shared" si="464"/>
        <v>4</v>
      </c>
      <c r="K3248">
        <v>60</v>
      </c>
      <c r="L3248">
        <v>20</v>
      </c>
      <c r="M3248" s="2">
        <v>3</v>
      </c>
      <c r="N3248">
        <v>2.86</v>
      </c>
      <c r="O3248">
        <v>0</v>
      </c>
      <c r="P3248">
        <v>1</v>
      </c>
      <c r="Q3248" t="s">
        <v>558</v>
      </c>
      <c r="R3248" s="8" t="s">
        <v>260</v>
      </c>
      <c r="S3248" t="str">
        <f t="shared" si="462"/>
        <v>PA</v>
      </c>
    </row>
    <row r="3249" spans="1:19" x14ac:dyDescent="0.3">
      <c r="A3249" t="s">
        <v>8</v>
      </c>
      <c r="B3249">
        <v>2016210009</v>
      </c>
      <c r="C3249" t="s">
        <v>135</v>
      </c>
      <c r="E3249" t="s">
        <v>449</v>
      </c>
      <c r="F3249" t="s">
        <v>460</v>
      </c>
      <c r="G3249">
        <v>4</v>
      </c>
      <c r="H3249" t="s">
        <v>524</v>
      </c>
      <c r="I3249" s="4">
        <f t="shared" si="463"/>
        <v>2</v>
      </c>
      <c r="J3249">
        <f t="shared" si="464"/>
        <v>8</v>
      </c>
      <c r="K3249">
        <v>38</v>
      </c>
      <c r="L3249">
        <v>18</v>
      </c>
      <c r="M3249">
        <v>2.11</v>
      </c>
      <c r="N3249">
        <v>2.86</v>
      </c>
      <c r="O3249">
        <v>0</v>
      </c>
      <c r="P3249">
        <v>4</v>
      </c>
      <c r="Q3249" t="s">
        <v>565</v>
      </c>
      <c r="R3249" s="8" t="s">
        <v>260</v>
      </c>
      <c r="S3249" t="str">
        <f t="shared" si="462"/>
        <v>PA</v>
      </c>
    </row>
    <row r="3250" spans="1:19" x14ac:dyDescent="0.3">
      <c r="A3250" t="s">
        <v>8</v>
      </c>
      <c r="B3250">
        <v>2016210009</v>
      </c>
      <c r="C3250" t="s">
        <v>135</v>
      </c>
      <c r="E3250" t="s">
        <v>250</v>
      </c>
      <c r="F3250" t="s">
        <v>429</v>
      </c>
      <c r="G3250">
        <v>2</v>
      </c>
      <c r="H3250" t="s">
        <v>524</v>
      </c>
      <c r="I3250" s="4">
        <f t="shared" si="463"/>
        <v>2</v>
      </c>
      <c r="J3250">
        <f t="shared" si="464"/>
        <v>4</v>
      </c>
      <c r="K3250">
        <v>18</v>
      </c>
      <c r="L3250">
        <v>12</v>
      </c>
      <c r="M3250" s="2">
        <v>1.5</v>
      </c>
      <c r="N3250">
        <v>2.86</v>
      </c>
      <c r="O3250">
        <v>0</v>
      </c>
      <c r="P3250">
        <v>8</v>
      </c>
      <c r="Q3250" t="s">
        <v>569</v>
      </c>
      <c r="R3250" s="8" t="s">
        <v>260</v>
      </c>
      <c r="S3250" t="str">
        <f t="shared" si="462"/>
        <v>PA</v>
      </c>
    </row>
    <row r="3251" spans="1:19" x14ac:dyDescent="0.3">
      <c r="A3251" t="s">
        <v>8</v>
      </c>
      <c r="B3251">
        <v>2016210009</v>
      </c>
      <c r="C3251" t="s">
        <v>135</v>
      </c>
      <c r="E3251" t="s">
        <v>188</v>
      </c>
      <c r="F3251" t="s">
        <v>189</v>
      </c>
      <c r="G3251">
        <v>4</v>
      </c>
      <c r="H3251" t="s">
        <v>524</v>
      </c>
      <c r="I3251" s="4">
        <f t="shared" si="463"/>
        <v>2</v>
      </c>
      <c r="J3251">
        <f t="shared" si="464"/>
        <v>8</v>
      </c>
      <c r="K3251">
        <v>36</v>
      </c>
      <c r="L3251">
        <v>18</v>
      </c>
      <c r="M3251" s="2">
        <v>2</v>
      </c>
      <c r="N3251">
        <v>2.86</v>
      </c>
      <c r="O3251">
        <v>0</v>
      </c>
      <c r="P3251">
        <v>5</v>
      </c>
      <c r="Q3251" t="s">
        <v>566</v>
      </c>
      <c r="R3251" s="8" t="s">
        <v>260</v>
      </c>
      <c r="S3251" t="str">
        <f t="shared" si="462"/>
        <v>PA</v>
      </c>
    </row>
    <row r="3252" spans="1:19" x14ac:dyDescent="0.3">
      <c r="A3252" t="s">
        <v>8</v>
      </c>
      <c r="B3252">
        <v>2016210009</v>
      </c>
      <c r="C3252" t="s">
        <v>135</v>
      </c>
      <c r="E3252" t="s">
        <v>238</v>
      </c>
      <c r="F3252" t="s">
        <v>239</v>
      </c>
      <c r="G3252">
        <v>4</v>
      </c>
      <c r="H3252" t="s">
        <v>524</v>
      </c>
      <c r="I3252" s="4">
        <f t="shared" si="463"/>
        <v>2</v>
      </c>
      <c r="J3252">
        <f t="shared" si="464"/>
        <v>8</v>
      </c>
      <c r="K3252">
        <v>14</v>
      </c>
      <c r="L3252">
        <v>12</v>
      </c>
      <c r="M3252">
        <v>1.17</v>
      </c>
      <c r="N3252">
        <v>2.86</v>
      </c>
      <c r="O3252">
        <v>0</v>
      </c>
      <c r="P3252">
        <v>6</v>
      </c>
      <c r="Q3252" t="s">
        <v>567</v>
      </c>
      <c r="R3252" s="8" t="s">
        <v>260</v>
      </c>
      <c r="S3252" t="str">
        <f t="shared" si="462"/>
        <v>PA</v>
      </c>
    </row>
    <row r="3253" spans="1:19" x14ac:dyDescent="0.3">
      <c r="A3253" t="s">
        <v>8</v>
      </c>
      <c r="B3253">
        <v>2016210009</v>
      </c>
      <c r="C3253" t="s">
        <v>135</v>
      </c>
      <c r="E3253" t="s">
        <v>125</v>
      </c>
      <c r="F3253" t="s">
        <v>126</v>
      </c>
      <c r="G3253">
        <v>4</v>
      </c>
      <c r="H3253" t="s">
        <v>535</v>
      </c>
      <c r="I3253" s="4">
        <f t="shared" si="463"/>
        <v>1</v>
      </c>
      <c r="J3253">
        <f t="shared" si="464"/>
        <v>4</v>
      </c>
      <c r="K3253">
        <v>38</v>
      </c>
      <c r="L3253">
        <v>18</v>
      </c>
      <c r="M3253" s="2">
        <v>2.11</v>
      </c>
      <c r="N3253">
        <v>2.86</v>
      </c>
      <c r="O3253">
        <v>0</v>
      </c>
      <c r="P3253">
        <v>2</v>
      </c>
      <c r="Q3253" t="s">
        <v>559</v>
      </c>
      <c r="R3253" s="8" t="s">
        <v>260</v>
      </c>
      <c r="S3253" t="str">
        <f t="shared" si="462"/>
        <v>FA</v>
      </c>
    </row>
    <row r="3254" spans="1:19" x14ac:dyDescent="0.3">
      <c r="A3254" t="s">
        <v>8</v>
      </c>
      <c r="B3254">
        <v>2016210009</v>
      </c>
      <c r="C3254" t="s">
        <v>135</v>
      </c>
      <c r="E3254" t="s">
        <v>125</v>
      </c>
      <c r="F3254" t="s">
        <v>126</v>
      </c>
      <c r="G3254">
        <v>4</v>
      </c>
      <c r="H3254" t="s">
        <v>524</v>
      </c>
      <c r="I3254" s="4">
        <f t="shared" si="463"/>
        <v>2</v>
      </c>
      <c r="J3254">
        <f t="shared" si="464"/>
        <v>8</v>
      </c>
      <c r="K3254">
        <v>94</v>
      </c>
      <c r="L3254">
        <v>32</v>
      </c>
      <c r="M3254" s="2">
        <v>2.94</v>
      </c>
      <c r="N3254">
        <v>2.86</v>
      </c>
      <c r="O3254">
        <v>1</v>
      </c>
      <c r="P3254">
        <v>10</v>
      </c>
      <c r="Q3254" t="s">
        <v>578</v>
      </c>
      <c r="R3254" s="8" t="s">
        <v>260</v>
      </c>
      <c r="S3254" t="str">
        <f t="shared" si="462"/>
        <v>PA</v>
      </c>
    </row>
    <row r="3255" spans="1:19" x14ac:dyDescent="0.3">
      <c r="A3255" t="s">
        <v>8</v>
      </c>
      <c r="B3255">
        <v>2016210009</v>
      </c>
      <c r="C3255" t="s">
        <v>135</v>
      </c>
      <c r="E3255" t="s">
        <v>180</v>
      </c>
      <c r="F3255" t="s">
        <v>181</v>
      </c>
      <c r="G3255">
        <v>4</v>
      </c>
      <c r="H3255" t="s">
        <v>535</v>
      </c>
      <c r="I3255" s="4">
        <f t="shared" si="463"/>
        <v>1</v>
      </c>
      <c r="J3255">
        <f t="shared" si="464"/>
        <v>4</v>
      </c>
      <c r="K3255">
        <v>38</v>
      </c>
      <c r="L3255">
        <v>18</v>
      </c>
      <c r="M3255">
        <v>2.11</v>
      </c>
      <c r="N3255">
        <v>2.86</v>
      </c>
      <c r="O3255">
        <v>0</v>
      </c>
      <c r="P3255">
        <v>4</v>
      </c>
      <c r="Q3255" t="s">
        <v>565</v>
      </c>
      <c r="R3255" s="8" t="s">
        <v>260</v>
      </c>
      <c r="S3255" t="str">
        <f t="shared" si="462"/>
        <v>FA</v>
      </c>
    </row>
    <row r="3256" spans="1:19" x14ac:dyDescent="0.3">
      <c r="A3256" t="s">
        <v>8</v>
      </c>
      <c r="B3256">
        <v>2016210009</v>
      </c>
      <c r="C3256" t="s">
        <v>135</v>
      </c>
      <c r="E3256" t="s">
        <v>180</v>
      </c>
      <c r="F3256" t="s">
        <v>181</v>
      </c>
      <c r="G3256">
        <v>4</v>
      </c>
      <c r="H3256" t="s">
        <v>438</v>
      </c>
      <c r="I3256" s="4">
        <f t="shared" si="463"/>
        <v>3</v>
      </c>
      <c r="J3256">
        <f t="shared" si="464"/>
        <v>12</v>
      </c>
      <c r="K3256">
        <v>94</v>
      </c>
      <c r="L3256">
        <v>32</v>
      </c>
      <c r="M3256" s="2">
        <v>2.94</v>
      </c>
      <c r="N3256">
        <v>2.86</v>
      </c>
      <c r="O3256">
        <v>1</v>
      </c>
      <c r="P3256">
        <v>10</v>
      </c>
      <c r="Q3256" t="s">
        <v>578</v>
      </c>
      <c r="R3256" s="8" t="s">
        <v>260</v>
      </c>
      <c r="S3256" t="str">
        <f t="shared" si="462"/>
        <v>PA</v>
      </c>
    </row>
    <row r="3257" spans="1:19" x14ac:dyDescent="0.3">
      <c r="A3257" t="s">
        <v>8</v>
      </c>
      <c r="B3257">
        <v>2016210009</v>
      </c>
      <c r="C3257" t="s">
        <v>135</v>
      </c>
      <c r="E3257" t="s">
        <v>44</v>
      </c>
      <c r="F3257" t="s">
        <v>45</v>
      </c>
      <c r="G3257">
        <v>2</v>
      </c>
      <c r="H3257" t="s">
        <v>535</v>
      </c>
      <c r="I3257" s="4">
        <f t="shared" si="463"/>
        <v>1</v>
      </c>
      <c r="J3257">
        <f t="shared" si="464"/>
        <v>2</v>
      </c>
      <c r="K3257">
        <v>38</v>
      </c>
      <c r="L3257">
        <v>18</v>
      </c>
      <c r="M3257" s="2">
        <v>2.11</v>
      </c>
      <c r="N3257">
        <v>2.86</v>
      </c>
      <c r="O3257">
        <v>0</v>
      </c>
      <c r="P3257">
        <v>2</v>
      </c>
      <c r="Q3257" t="s">
        <v>559</v>
      </c>
      <c r="R3257" s="8" t="s">
        <v>260</v>
      </c>
      <c r="S3257" t="str">
        <f t="shared" si="462"/>
        <v>FA</v>
      </c>
    </row>
    <row r="3258" spans="1:19" x14ac:dyDescent="0.3">
      <c r="A3258" t="s">
        <v>8</v>
      </c>
      <c r="B3258">
        <v>2016210009</v>
      </c>
      <c r="C3258" t="s">
        <v>135</v>
      </c>
      <c r="E3258" t="s">
        <v>44</v>
      </c>
      <c r="F3258" t="s">
        <v>45</v>
      </c>
      <c r="G3258">
        <v>2</v>
      </c>
      <c r="H3258" t="s">
        <v>438</v>
      </c>
      <c r="I3258" s="4">
        <f t="shared" si="463"/>
        <v>3</v>
      </c>
      <c r="J3258">
        <f t="shared" si="464"/>
        <v>6</v>
      </c>
      <c r="K3258">
        <v>94</v>
      </c>
      <c r="L3258">
        <v>32</v>
      </c>
      <c r="M3258" s="2">
        <v>2.94</v>
      </c>
      <c r="N3258">
        <v>2.86</v>
      </c>
      <c r="O3258">
        <v>1</v>
      </c>
      <c r="P3258">
        <v>10</v>
      </c>
      <c r="Q3258" t="s">
        <v>578</v>
      </c>
      <c r="R3258" s="8" t="s">
        <v>260</v>
      </c>
      <c r="S3258" t="str">
        <f t="shared" si="462"/>
        <v>PA</v>
      </c>
    </row>
    <row r="3259" spans="1:19" x14ac:dyDescent="0.3">
      <c r="A3259" t="s">
        <v>8</v>
      </c>
      <c r="B3259">
        <v>2016210009</v>
      </c>
      <c r="C3259" t="s">
        <v>135</v>
      </c>
      <c r="E3259" t="s">
        <v>266</v>
      </c>
      <c r="F3259" t="s">
        <v>91</v>
      </c>
      <c r="G3259">
        <v>2</v>
      </c>
      <c r="H3259" t="s">
        <v>535</v>
      </c>
      <c r="I3259" s="4">
        <f t="shared" si="463"/>
        <v>1</v>
      </c>
      <c r="J3259">
        <f t="shared" si="464"/>
        <v>2</v>
      </c>
      <c r="K3259">
        <v>38</v>
      </c>
      <c r="L3259">
        <v>18</v>
      </c>
      <c r="M3259" s="2">
        <v>2.11</v>
      </c>
      <c r="N3259">
        <v>2.86</v>
      </c>
      <c r="O3259">
        <v>0</v>
      </c>
      <c r="P3259">
        <v>2</v>
      </c>
      <c r="Q3259" t="s">
        <v>559</v>
      </c>
      <c r="R3259" s="8" t="s">
        <v>260</v>
      </c>
      <c r="S3259" t="str">
        <f t="shared" si="462"/>
        <v>FA</v>
      </c>
    </row>
    <row r="3260" spans="1:19" x14ac:dyDescent="0.3">
      <c r="A3260" t="s">
        <v>8</v>
      </c>
      <c r="B3260">
        <v>2016210009</v>
      </c>
      <c r="C3260" t="s">
        <v>135</v>
      </c>
      <c r="E3260" t="s">
        <v>266</v>
      </c>
      <c r="F3260" t="s">
        <v>91</v>
      </c>
      <c r="G3260">
        <v>2</v>
      </c>
      <c r="H3260" t="s">
        <v>260</v>
      </c>
      <c r="I3260" s="4">
        <f t="shared" si="463"/>
        <v>4</v>
      </c>
      <c r="J3260">
        <f t="shared" si="464"/>
        <v>8</v>
      </c>
      <c r="K3260">
        <v>94</v>
      </c>
      <c r="L3260">
        <v>32</v>
      </c>
      <c r="M3260" s="2">
        <v>2.94</v>
      </c>
      <c r="N3260">
        <v>2.86</v>
      </c>
      <c r="O3260">
        <v>1</v>
      </c>
      <c r="P3260">
        <v>10</v>
      </c>
      <c r="Q3260" t="s">
        <v>578</v>
      </c>
      <c r="R3260" s="8" t="s">
        <v>260</v>
      </c>
      <c r="S3260" t="str">
        <f t="shared" si="462"/>
        <v>PA</v>
      </c>
    </row>
    <row r="3261" spans="1:19" x14ac:dyDescent="0.3">
      <c r="A3261" t="s">
        <v>8</v>
      </c>
      <c r="B3261">
        <v>2016210009</v>
      </c>
      <c r="C3261" t="s">
        <v>135</v>
      </c>
      <c r="E3261" t="s">
        <v>119</v>
      </c>
      <c r="F3261" t="s">
        <v>120</v>
      </c>
      <c r="G3261">
        <v>2</v>
      </c>
      <c r="H3261" t="s">
        <v>539</v>
      </c>
      <c r="I3261" s="4">
        <f t="shared" si="463"/>
        <v>0</v>
      </c>
      <c r="J3261">
        <f t="shared" si="464"/>
        <v>0</v>
      </c>
      <c r="K3261">
        <v>14</v>
      </c>
      <c r="L3261">
        <v>12</v>
      </c>
      <c r="M3261">
        <v>1.17</v>
      </c>
      <c r="N3261">
        <v>2.86</v>
      </c>
      <c r="O3261">
        <v>0</v>
      </c>
      <c r="P3261">
        <v>6</v>
      </c>
      <c r="Q3261" t="s">
        <v>567</v>
      </c>
      <c r="R3261" s="8" t="s">
        <v>260</v>
      </c>
      <c r="S3261" t="str">
        <f t="shared" si="462"/>
        <v>FA</v>
      </c>
    </row>
    <row r="3262" spans="1:19" x14ac:dyDescent="0.3">
      <c r="A3262" t="s">
        <v>8</v>
      </c>
      <c r="B3262">
        <v>2016210009</v>
      </c>
      <c r="C3262" t="s">
        <v>135</v>
      </c>
      <c r="E3262" t="s">
        <v>119</v>
      </c>
      <c r="F3262" t="s">
        <v>120</v>
      </c>
      <c r="G3262">
        <v>2</v>
      </c>
      <c r="H3262" t="s">
        <v>524</v>
      </c>
      <c r="I3262" s="4">
        <f t="shared" si="463"/>
        <v>2</v>
      </c>
      <c r="J3262">
        <f t="shared" si="464"/>
        <v>4</v>
      </c>
      <c r="K3262">
        <v>94</v>
      </c>
      <c r="L3262">
        <v>32</v>
      </c>
      <c r="M3262" s="2">
        <v>2.94</v>
      </c>
      <c r="N3262">
        <v>2.86</v>
      </c>
      <c r="O3262">
        <v>1</v>
      </c>
      <c r="P3262">
        <v>10</v>
      </c>
      <c r="Q3262" t="s">
        <v>578</v>
      </c>
      <c r="R3262" s="8" t="s">
        <v>260</v>
      </c>
      <c r="S3262" t="str">
        <f t="shared" si="462"/>
        <v>PA</v>
      </c>
    </row>
    <row r="3263" spans="1:19" x14ac:dyDescent="0.3">
      <c r="A3263" t="s">
        <v>8</v>
      </c>
      <c r="B3263">
        <v>2016210009</v>
      </c>
      <c r="C3263" t="s">
        <v>135</v>
      </c>
      <c r="E3263" t="s">
        <v>222</v>
      </c>
      <c r="F3263" t="s">
        <v>223</v>
      </c>
      <c r="G3263">
        <v>2</v>
      </c>
      <c r="H3263" t="s">
        <v>539</v>
      </c>
      <c r="I3263" s="4">
        <f t="shared" si="463"/>
        <v>0</v>
      </c>
      <c r="J3263">
        <f t="shared" si="464"/>
        <v>0</v>
      </c>
      <c r="K3263">
        <v>18</v>
      </c>
      <c r="L3263">
        <v>12</v>
      </c>
      <c r="M3263" s="2">
        <v>1.5</v>
      </c>
      <c r="N3263">
        <v>2.86</v>
      </c>
      <c r="O3263">
        <v>0</v>
      </c>
      <c r="P3263">
        <v>8</v>
      </c>
      <c r="Q3263" t="s">
        <v>569</v>
      </c>
      <c r="R3263" s="8" t="s">
        <v>260</v>
      </c>
      <c r="S3263" t="str">
        <f t="shared" si="462"/>
        <v>FA</v>
      </c>
    </row>
    <row r="3264" spans="1:19" x14ac:dyDescent="0.3">
      <c r="A3264" t="s">
        <v>8</v>
      </c>
      <c r="B3264">
        <v>2016210009</v>
      </c>
      <c r="C3264" t="s">
        <v>135</v>
      </c>
      <c r="E3264" t="s">
        <v>222</v>
      </c>
      <c r="F3264" t="s">
        <v>223</v>
      </c>
      <c r="G3264">
        <v>2</v>
      </c>
      <c r="H3264" t="s">
        <v>438</v>
      </c>
      <c r="I3264" s="4">
        <f t="shared" si="463"/>
        <v>3</v>
      </c>
      <c r="J3264">
        <f t="shared" si="464"/>
        <v>6</v>
      </c>
      <c r="K3264">
        <v>94</v>
      </c>
      <c r="L3264">
        <v>32</v>
      </c>
      <c r="M3264" s="2">
        <v>2.94</v>
      </c>
      <c r="N3264">
        <v>2.86</v>
      </c>
      <c r="O3264">
        <v>1</v>
      </c>
      <c r="P3264">
        <v>10</v>
      </c>
      <c r="Q3264" t="s">
        <v>578</v>
      </c>
      <c r="R3264" s="8" t="s">
        <v>260</v>
      </c>
      <c r="S3264" t="str">
        <f t="shared" si="462"/>
        <v>PA</v>
      </c>
    </row>
    <row r="3265" spans="1:19" x14ac:dyDescent="0.3">
      <c r="A3265" t="s">
        <v>8</v>
      </c>
      <c r="B3265">
        <v>2016210009</v>
      </c>
      <c r="C3265" t="s">
        <v>135</v>
      </c>
      <c r="E3265" t="s">
        <v>318</v>
      </c>
      <c r="F3265" t="s">
        <v>319</v>
      </c>
      <c r="G3265">
        <v>2</v>
      </c>
      <c r="H3265" t="s">
        <v>539</v>
      </c>
      <c r="I3265" s="4">
        <f t="shared" si="463"/>
        <v>0</v>
      </c>
      <c r="J3265">
        <f t="shared" si="464"/>
        <v>0</v>
      </c>
      <c r="K3265">
        <v>36</v>
      </c>
      <c r="L3265">
        <v>18</v>
      </c>
      <c r="M3265" s="2">
        <v>2</v>
      </c>
      <c r="N3265">
        <v>2.86</v>
      </c>
      <c r="O3265">
        <v>0</v>
      </c>
      <c r="P3265">
        <v>5</v>
      </c>
      <c r="Q3265" t="s">
        <v>566</v>
      </c>
      <c r="R3265" s="8" t="s">
        <v>260</v>
      </c>
      <c r="S3265" t="str">
        <f t="shared" si="462"/>
        <v>FA</v>
      </c>
    </row>
    <row r="3266" spans="1:19" x14ac:dyDescent="0.3">
      <c r="A3266" t="s">
        <v>8</v>
      </c>
      <c r="B3266">
        <v>2016210009</v>
      </c>
      <c r="C3266" t="s">
        <v>135</v>
      </c>
      <c r="E3266" t="s">
        <v>318</v>
      </c>
      <c r="F3266" t="s">
        <v>319</v>
      </c>
      <c r="G3266">
        <v>2</v>
      </c>
      <c r="H3266" t="s">
        <v>524</v>
      </c>
      <c r="I3266" s="4">
        <f t="shared" si="463"/>
        <v>2</v>
      </c>
      <c r="J3266">
        <f t="shared" si="464"/>
        <v>4</v>
      </c>
      <c r="K3266">
        <v>94</v>
      </c>
      <c r="L3266">
        <v>32</v>
      </c>
      <c r="M3266" s="2">
        <v>2.94</v>
      </c>
      <c r="N3266">
        <v>2.86</v>
      </c>
      <c r="O3266">
        <v>1</v>
      </c>
      <c r="P3266">
        <v>10</v>
      </c>
      <c r="Q3266" t="s">
        <v>578</v>
      </c>
      <c r="R3266" s="8" t="s">
        <v>260</v>
      </c>
      <c r="S3266" t="str">
        <f t="shared" si="462"/>
        <v>PA</v>
      </c>
    </row>
    <row r="3267" spans="1:19" x14ac:dyDescent="0.3">
      <c r="A3267" t="s">
        <v>8</v>
      </c>
      <c r="B3267">
        <v>2016210009</v>
      </c>
      <c r="C3267" t="s">
        <v>135</v>
      </c>
      <c r="E3267" t="s">
        <v>401</v>
      </c>
      <c r="F3267" t="s">
        <v>258</v>
      </c>
      <c r="G3267">
        <v>4</v>
      </c>
      <c r="H3267" t="s">
        <v>539</v>
      </c>
      <c r="I3267" s="4">
        <f t="shared" si="463"/>
        <v>0</v>
      </c>
      <c r="J3267">
        <f t="shared" si="464"/>
        <v>0</v>
      </c>
      <c r="K3267">
        <v>38</v>
      </c>
      <c r="L3267">
        <v>14</v>
      </c>
      <c r="M3267">
        <v>2.71</v>
      </c>
      <c r="N3267">
        <v>2.86</v>
      </c>
      <c r="O3267">
        <v>0</v>
      </c>
      <c r="P3267">
        <v>3</v>
      </c>
      <c r="Q3267" t="s">
        <v>563</v>
      </c>
      <c r="R3267" s="8" t="s">
        <v>260</v>
      </c>
      <c r="S3267" t="str">
        <f t="shared" si="462"/>
        <v>FA</v>
      </c>
    </row>
    <row r="3268" spans="1:19" x14ac:dyDescent="0.3">
      <c r="A3268" t="s">
        <v>8</v>
      </c>
      <c r="B3268">
        <v>2016210009</v>
      </c>
      <c r="C3268" t="s">
        <v>135</v>
      </c>
      <c r="E3268" t="s">
        <v>401</v>
      </c>
      <c r="F3268" t="s">
        <v>258</v>
      </c>
      <c r="G3268">
        <v>4</v>
      </c>
      <c r="H3268" t="s">
        <v>535</v>
      </c>
      <c r="I3268" s="4">
        <f t="shared" si="463"/>
        <v>1</v>
      </c>
      <c r="J3268">
        <f t="shared" si="464"/>
        <v>4</v>
      </c>
      <c r="K3268">
        <v>8</v>
      </c>
      <c r="L3268">
        <v>6</v>
      </c>
      <c r="M3268" s="2">
        <v>1.33</v>
      </c>
      <c r="N3268">
        <v>2.86</v>
      </c>
      <c r="O3268">
        <v>1</v>
      </c>
      <c r="P3268">
        <v>9</v>
      </c>
      <c r="Q3268" t="s">
        <v>570</v>
      </c>
      <c r="R3268" s="8" t="s">
        <v>260</v>
      </c>
      <c r="S3268" t="str">
        <f t="shared" si="462"/>
        <v>FA</v>
      </c>
    </row>
    <row r="3269" spans="1:19" x14ac:dyDescent="0.3">
      <c r="A3269" t="s">
        <v>8</v>
      </c>
      <c r="B3269">
        <v>2016210009</v>
      </c>
      <c r="C3269" t="s">
        <v>135</v>
      </c>
      <c r="E3269" t="s">
        <v>401</v>
      </c>
      <c r="F3269" t="s">
        <v>258</v>
      </c>
      <c r="G3269">
        <v>4</v>
      </c>
      <c r="H3269" t="s">
        <v>438</v>
      </c>
      <c r="I3269" s="4">
        <f t="shared" si="463"/>
        <v>3</v>
      </c>
      <c r="J3269">
        <f t="shared" si="464"/>
        <v>12</v>
      </c>
      <c r="K3269">
        <v>94</v>
      </c>
      <c r="L3269">
        <v>32</v>
      </c>
      <c r="M3269" s="2">
        <v>2.94</v>
      </c>
      <c r="N3269">
        <v>2.86</v>
      </c>
      <c r="O3269">
        <v>2</v>
      </c>
      <c r="P3269">
        <v>10</v>
      </c>
      <c r="Q3269" t="s">
        <v>578</v>
      </c>
      <c r="R3269" s="8" t="s">
        <v>260</v>
      </c>
      <c r="S3269" t="str">
        <f t="shared" si="462"/>
        <v>PA</v>
      </c>
    </row>
    <row r="3270" spans="1:19" x14ac:dyDescent="0.3">
      <c r="A3270" t="s">
        <v>8</v>
      </c>
      <c r="B3270">
        <v>2016210009</v>
      </c>
      <c r="C3270" t="s">
        <v>135</v>
      </c>
      <c r="E3270" t="s">
        <v>80</v>
      </c>
      <c r="F3270" t="s">
        <v>81</v>
      </c>
      <c r="G3270">
        <v>4</v>
      </c>
      <c r="H3270" t="s">
        <v>539</v>
      </c>
      <c r="I3270" s="4">
        <f t="shared" si="463"/>
        <v>0</v>
      </c>
      <c r="J3270">
        <f t="shared" si="464"/>
        <v>0</v>
      </c>
      <c r="K3270">
        <v>14</v>
      </c>
      <c r="L3270">
        <v>12</v>
      </c>
      <c r="M3270">
        <v>1.17</v>
      </c>
      <c r="N3270">
        <v>2.86</v>
      </c>
      <c r="O3270">
        <v>0</v>
      </c>
      <c r="P3270">
        <v>6</v>
      </c>
      <c r="Q3270" t="s">
        <v>567</v>
      </c>
      <c r="R3270" s="8" t="s">
        <v>260</v>
      </c>
      <c r="S3270" t="str">
        <f t="shared" si="462"/>
        <v>FA</v>
      </c>
    </row>
    <row r="3271" spans="1:19" x14ac:dyDescent="0.3">
      <c r="A3271" t="s">
        <v>8</v>
      </c>
      <c r="B3271">
        <v>2016210009</v>
      </c>
      <c r="C3271" t="s">
        <v>135</v>
      </c>
      <c r="E3271" t="s">
        <v>80</v>
      </c>
      <c r="F3271" t="s">
        <v>81</v>
      </c>
      <c r="G3271">
        <v>4</v>
      </c>
      <c r="H3271" t="s">
        <v>260</v>
      </c>
      <c r="I3271" s="4">
        <f t="shared" si="463"/>
        <v>4</v>
      </c>
      <c r="J3271">
        <f t="shared" si="464"/>
        <v>16</v>
      </c>
      <c r="K3271">
        <v>94</v>
      </c>
      <c r="L3271">
        <v>32</v>
      </c>
      <c r="M3271" s="2">
        <v>2.94</v>
      </c>
      <c r="N3271">
        <v>2.86</v>
      </c>
      <c r="O3271">
        <v>1</v>
      </c>
      <c r="P3271">
        <v>10</v>
      </c>
      <c r="Q3271" t="s">
        <v>578</v>
      </c>
      <c r="R3271" s="8" t="s">
        <v>260</v>
      </c>
      <c r="S3271" t="str">
        <f t="shared" si="462"/>
        <v>PA</v>
      </c>
    </row>
    <row r="3272" spans="1:19" x14ac:dyDescent="0.3">
      <c r="A3272" t="s">
        <v>8</v>
      </c>
      <c r="B3272">
        <v>2016210009</v>
      </c>
      <c r="C3272" t="s">
        <v>135</v>
      </c>
      <c r="E3272" t="s">
        <v>369</v>
      </c>
      <c r="F3272" t="s">
        <v>307</v>
      </c>
      <c r="G3272">
        <v>2</v>
      </c>
      <c r="H3272" t="s">
        <v>539</v>
      </c>
      <c r="I3272" s="4">
        <f t="shared" si="463"/>
        <v>0</v>
      </c>
      <c r="J3272">
        <f t="shared" si="464"/>
        <v>0</v>
      </c>
      <c r="K3272">
        <v>38</v>
      </c>
      <c r="L3272">
        <v>18</v>
      </c>
      <c r="M3272">
        <v>2.11</v>
      </c>
      <c r="N3272">
        <v>2.86</v>
      </c>
      <c r="O3272">
        <v>0</v>
      </c>
      <c r="P3272">
        <v>4</v>
      </c>
      <c r="Q3272" t="s">
        <v>565</v>
      </c>
      <c r="R3272" s="8" t="s">
        <v>260</v>
      </c>
      <c r="S3272" t="str">
        <f t="shared" si="462"/>
        <v>FA</v>
      </c>
    </row>
    <row r="3273" spans="1:19" x14ac:dyDescent="0.3">
      <c r="A3273" t="s">
        <v>8</v>
      </c>
      <c r="B3273">
        <v>2016210009</v>
      </c>
      <c r="C3273" t="s">
        <v>135</v>
      </c>
      <c r="E3273" t="s">
        <v>369</v>
      </c>
      <c r="F3273" t="s">
        <v>307</v>
      </c>
      <c r="G3273">
        <v>2</v>
      </c>
      <c r="H3273" t="s">
        <v>524</v>
      </c>
      <c r="I3273" s="4">
        <f t="shared" si="463"/>
        <v>2</v>
      </c>
      <c r="J3273">
        <f t="shared" si="464"/>
        <v>4</v>
      </c>
      <c r="K3273">
        <v>94</v>
      </c>
      <c r="L3273">
        <v>32</v>
      </c>
      <c r="M3273" s="2">
        <v>2.94</v>
      </c>
      <c r="N3273">
        <v>2.86</v>
      </c>
      <c r="O3273">
        <v>1</v>
      </c>
      <c r="P3273">
        <v>10</v>
      </c>
      <c r="Q3273" t="s">
        <v>578</v>
      </c>
      <c r="R3273" s="8" t="s">
        <v>260</v>
      </c>
      <c r="S3273" t="str">
        <f t="shared" si="462"/>
        <v>PA</v>
      </c>
    </row>
    <row r="3274" spans="1:19" x14ac:dyDescent="0.3">
      <c r="A3274" t="s">
        <v>8</v>
      </c>
      <c r="B3274">
        <v>2016210009</v>
      </c>
      <c r="C3274" t="s">
        <v>135</v>
      </c>
      <c r="E3274" t="s">
        <v>182</v>
      </c>
      <c r="F3274" t="s">
        <v>171</v>
      </c>
      <c r="G3274">
        <v>2</v>
      </c>
      <c r="H3274" t="s">
        <v>539</v>
      </c>
      <c r="I3274" s="4">
        <f t="shared" si="463"/>
        <v>0</v>
      </c>
      <c r="J3274">
        <f t="shared" si="464"/>
        <v>0</v>
      </c>
      <c r="K3274">
        <v>36</v>
      </c>
      <c r="L3274">
        <v>18</v>
      </c>
      <c r="M3274" s="2">
        <v>2</v>
      </c>
      <c r="N3274">
        <v>2.86</v>
      </c>
      <c r="O3274">
        <v>0</v>
      </c>
      <c r="P3274">
        <v>5</v>
      </c>
      <c r="Q3274" t="s">
        <v>566</v>
      </c>
      <c r="R3274" s="8" t="s">
        <v>260</v>
      </c>
      <c r="S3274" t="str">
        <f t="shared" si="462"/>
        <v>FA</v>
      </c>
    </row>
    <row r="3275" spans="1:19" x14ac:dyDescent="0.3">
      <c r="A3275" t="s">
        <v>8</v>
      </c>
      <c r="B3275">
        <v>2016210009</v>
      </c>
      <c r="C3275" t="s">
        <v>135</v>
      </c>
      <c r="E3275" t="s">
        <v>182</v>
      </c>
      <c r="F3275" t="s">
        <v>171</v>
      </c>
      <c r="G3275">
        <v>2</v>
      </c>
      <c r="I3275" s="4"/>
      <c r="J3275">
        <f t="shared" ref="J3275:J3276" si="465">G3275*I3275</f>
        <v>0</v>
      </c>
      <c r="K3275">
        <v>8</v>
      </c>
      <c r="L3275">
        <v>6</v>
      </c>
      <c r="M3275" s="2">
        <v>1.33</v>
      </c>
      <c r="N3275">
        <v>2.86</v>
      </c>
      <c r="O3275">
        <v>1</v>
      </c>
      <c r="P3275">
        <v>9</v>
      </c>
      <c r="Q3275" t="s">
        <v>570</v>
      </c>
      <c r="R3275" s="8" t="s">
        <v>260</v>
      </c>
      <c r="S3275" t="s">
        <v>595</v>
      </c>
    </row>
    <row r="3276" spans="1:19" x14ac:dyDescent="0.3">
      <c r="A3276" t="s">
        <v>8</v>
      </c>
      <c r="B3276">
        <v>2016210009</v>
      </c>
      <c r="C3276" t="s">
        <v>135</v>
      </c>
      <c r="E3276" t="s">
        <v>355</v>
      </c>
      <c r="F3276" t="s">
        <v>274</v>
      </c>
      <c r="G3276">
        <v>2</v>
      </c>
      <c r="H3276" t="s">
        <v>539</v>
      </c>
      <c r="I3276" s="4">
        <f t="shared" ref="I3276" si="466">IF(H3276="A",4,IF(H3276="B",3,IF(H3276="C",2,IF(H3276="D",1,0))))</f>
        <v>0</v>
      </c>
      <c r="J3276">
        <f t="shared" si="465"/>
        <v>0</v>
      </c>
      <c r="K3276">
        <v>18</v>
      </c>
      <c r="L3276">
        <v>12</v>
      </c>
      <c r="M3276" s="2">
        <v>1.5</v>
      </c>
      <c r="N3276">
        <v>2.86</v>
      </c>
      <c r="O3276">
        <v>0</v>
      </c>
      <c r="P3276">
        <v>8</v>
      </c>
      <c r="Q3276" t="s">
        <v>569</v>
      </c>
      <c r="R3276" s="8" t="s">
        <v>260</v>
      </c>
      <c r="S3276" t="str">
        <f t="shared" ref="S3276:S3279" si="467">IF(OR(H3276="A",H3276="B",H3276="C"),"PA","FA")</f>
        <v>FA</v>
      </c>
    </row>
    <row r="3277" spans="1:19" x14ac:dyDescent="0.3">
      <c r="A3277" t="s">
        <v>8</v>
      </c>
      <c r="B3277">
        <v>2016210009</v>
      </c>
      <c r="C3277" t="s">
        <v>135</v>
      </c>
      <c r="E3277" t="s">
        <v>182</v>
      </c>
      <c r="F3277" t="s">
        <v>171</v>
      </c>
      <c r="G3277">
        <v>2</v>
      </c>
      <c r="H3277" t="s">
        <v>260</v>
      </c>
      <c r="I3277" s="4">
        <f t="shared" ref="I3277:I3284" si="468">IF(H3277="A",4,IF(H3277="B",3,IF(H3277="C",2,IF(H3277="D",1,0))))</f>
        <v>4</v>
      </c>
      <c r="J3277">
        <f t="shared" ref="J3277:J3284" si="469">G3277*I3277</f>
        <v>8</v>
      </c>
      <c r="K3277">
        <v>94</v>
      </c>
      <c r="L3277">
        <v>32</v>
      </c>
      <c r="M3277" s="2">
        <v>2.94</v>
      </c>
      <c r="N3277">
        <v>2.86</v>
      </c>
      <c r="O3277">
        <v>2</v>
      </c>
      <c r="P3277">
        <v>10</v>
      </c>
      <c r="Q3277" t="s">
        <v>578</v>
      </c>
      <c r="R3277" s="8" t="s">
        <v>260</v>
      </c>
      <c r="S3277" t="str">
        <f t="shared" si="467"/>
        <v>PA</v>
      </c>
    </row>
    <row r="3278" spans="1:19" x14ac:dyDescent="0.3">
      <c r="A3278" t="s">
        <v>8</v>
      </c>
      <c r="B3278">
        <v>2016210009</v>
      </c>
      <c r="C3278" t="s">
        <v>135</v>
      </c>
      <c r="E3278" t="s">
        <v>355</v>
      </c>
      <c r="F3278" t="s">
        <v>274</v>
      </c>
      <c r="G3278">
        <v>2</v>
      </c>
      <c r="H3278" t="s">
        <v>438</v>
      </c>
      <c r="I3278" s="4">
        <f t="shared" si="468"/>
        <v>3</v>
      </c>
      <c r="J3278">
        <f t="shared" si="469"/>
        <v>6</v>
      </c>
      <c r="K3278">
        <v>94</v>
      </c>
      <c r="L3278">
        <v>32</v>
      </c>
      <c r="M3278" s="2">
        <v>2.94</v>
      </c>
      <c r="N3278">
        <v>2.86</v>
      </c>
      <c r="O3278">
        <v>1</v>
      </c>
      <c r="P3278">
        <v>10</v>
      </c>
      <c r="Q3278" t="s">
        <v>578</v>
      </c>
      <c r="R3278" s="8" t="s">
        <v>260</v>
      </c>
      <c r="S3278" t="str">
        <f t="shared" si="467"/>
        <v>PA</v>
      </c>
    </row>
    <row r="3279" spans="1:19" x14ac:dyDescent="0.3">
      <c r="A3279" t="s">
        <v>8</v>
      </c>
      <c r="B3279">
        <v>2016210010</v>
      </c>
      <c r="C3279" t="s">
        <v>66</v>
      </c>
      <c r="E3279" t="s">
        <v>10</v>
      </c>
      <c r="F3279" t="s">
        <v>11</v>
      </c>
      <c r="G3279">
        <v>2</v>
      </c>
      <c r="H3279" t="s">
        <v>524</v>
      </c>
      <c r="I3279" s="4">
        <f t="shared" si="468"/>
        <v>2</v>
      </c>
      <c r="J3279">
        <f t="shared" si="469"/>
        <v>4</v>
      </c>
      <c r="K3279">
        <v>58</v>
      </c>
      <c r="L3279">
        <v>22</v>
      </c>
      <c r="M3279">
        <v>2.64</v>
      </c>
      <c r="N3279">
        <v>2.97</v>
      </c>
      <c r="O3279">
        <v>0</v>
      </c>
      <c r="P3279">
        <v>6</v>
      </c>
      <c r="Q3279" t="s">
        <v>567</v>
      </c>
      <c r="R3279" s="8" t="s">
        <v>260</v>
      </c>
      <c r="S3279" t="str">
        <f t="shared" si="467"/>
        <v>PA</v>
      </c>
    </row>
    <row r="3280" spans="1:19" x14ac:dyDescent="0.3">
      <c r="A3280" t="s">
        <v>8</v>
      </c>
      <c r="B3280">
        <v>2016210010</v>
      </c>
      <c r="C3280" t="s">
        <v>66</v>
      </c>
      <c r="E3280" t="s">
        <v>19</v>
      </c>
      <c r="F3280" t="s">
        <v>20</v>
      </c>
      <c r="G3280">
        <v>6</v>
      </c>
      <c r="I3280" s="4"/>
      <c r="J3280">
        <f t="shared" si="469"/>
        <v>0</v>
      </c>
      <c r="K3280">
        <v>0</v>
      </c>
      <c r="L3280">
        <v>0</v>
      </c>
      <c r="M3280" t="s">
        <v>574</v>
      </c>
      <c r="N3280">
        <v>2.97</v>
      </c>
      <c r="O3280">
        <v>0</v>
      </c>
      <c r="P3280">
        <v>9</v>
      </c>
      <c r="Q3280" t="s">
        <v>570</v>
      </c>
      <c r="R3280" s="8" t="s">
        <v>260</v>
      </c>
      <c r="S3280" t="s">
        <v>595</v>
      </c>
    </row>
    <row r="3281" spans="1:19" x14ac:dyDescent="0.3">
      <c r="A3281" t="s">
        <v>8</v>
      </c>
      <c r="B3281">
        <v>2016210010</v>
      </c>
      <c r="C3281" t="s">
        <v>66</v>
      </c>
      <c r="E3281" t="s">
        <v>19</v>
      </c>
      <c r="F3281" t="s">
        <v>20</v>
      </c>
      <c r="G3281">
        <v>6</v>
      </c>
      <c r="H3281" t="s">
        <v>438</v>
      </c>
      <c r="I3281" s="4">
        <f t="shared" si="468"/>
        <v>3</v>
      </c>
      <c r="J3281">
        <f t="shared" si="469"/>
        <v>18</v>
      </c>
      <c r="K3281">
        <v>18</v>
      </c>
      <c r="L3281">
        <v>6</v>
      </c>
      <c r="M3281" s="2">
        <v>3</v>
      </c>
      <c r="N3281">
        <v>2.97</v>
      </c>
      <c r="O3281">
        <v>1</v>
      </c>
      <c r="P3281">
        <v>10</v>
      </c>
      <c r="Q3281" t="s">
        <v>560</v>
      </c>
      <c r="R3281" t="s">
        <v>596</v>
      </c>
      <c r="S3281" t="str">
        <f t="shared" ref="S3281:S3282" si="470">IF(OR(H3281="A",H3281="B",H3281="C"),"PA","FA")</f>
        <v>PA</v>
      </c>
    </row>
    <row r="3282" spans="1:19" x14ac:dyDescent="0.3">
      <c r="A3282" t="s">
        <v>8</v>
      </c>
      <c r="B3282">
        <v>2016210010</v>
      </c>
      <c r="C3282" t="s">
        <v>66</v>
      </c>
      <c r="E3282" t="s">
        <v>17</v>
      </c>
      <c r="F3282" t="s">
        <v>11</v>
      </c>
      <c r="G3282">
        <v>2</v>
      </c>
      <c r="H3282" t="s">
        <v>524</v>
      </c>
      <c r="I3282" s="4">
        <f t="shared" si="468"/>
        <v>2</v>
      </c>
      <c r="J3282">
        <f t="shared" si="469"/>
        <v>4</v>
      </c>
      <c r="K3282">
        <v>22</v>
      </c>
      <c r="L3282">
        <v>8</v>
      </c>
      <c r="M3282">
        <v>2.75</v>
      </c>
      <c r="N3282">
        <v>2.97</v>
      </c>
      <c r="O3282">
        <v>2</v>
      </c>
      <c r="P3282">
        <v>8</v>
      </c>
      <c r="Q3282" t="s">
        <v>569</v>
      </c>
      <c r="R3282" s="8" t="s">
        <v>260</v>
      </c>
      <c r="S3282" t="str">
        <f t="shared" si="470"/>
        <v>PA</v>
      </c>
    </row>
    <row r="3283" spans="1:19" x14ac:dyDescent="0.3">
      <c r="A3283" t="s">
        <v>8</v>
      </c>
      <c r="B3283">
        <v>2016210010</v>
      </c>
      <c r="C3283" t="s">
        <v>66</v>
      </c>
      <c r="E3283" t="s">
        <v>17</v>
      </c>
      <c r="F3283" t="s">
        <v>11</v>
      </c>
      <c r="G3283">
        <v>2</v>
      </c>
      <c r="I3283" s="4"/>
      <c r="J3283">
        <f t="shared" si="469"/>
        <v>0</v>
      </c>
      <c r="K3283">
        <v>24</v>
      </c>
      <c r="L3283">
        <v>8</v>
      </c>
      <c r="M3283" s="2">
        <v>3</v>
      </c>
      <c r="N3283">
        <v>2.97</v>
      </c>
      <c r="O3283">
        <v>1</v>
      </c>
      <c r="P3283">
        <v>7</v>
      </c>
      <c r="Q3283" t="s">
        <v>568</v>
      </c>
      <c r="R3283" s="8" t="s">
        <v>260</v>
      </c>
      <c r="S3283" t="s">
        <v>595</v>
      </c>
    </row>
    <row r="3284" spans="1:19" x14ac:dyDescent="0.3">
      <c r="A3284" t="s">
        <v>8</v>
      </c>
      <c r="B3284">
        <v>2016210010</v>
      </c>
      <c r="C3284" t="s">
        <v>66</v>
      </c>
      <c r="E3284" t="s">
        <v>356</v>
      </c>
      <c r="F3284" t="s">
        <v>166</v>
      </c>
      <c r="G3284">
        <v>2</v>
      </c>
      <c r="H3284" t="s">
        <v>260</v>
      </c>
      <c r="I3284" s="4">
        <f t="shared" si="468"/>
        <v>4</v>
      </c>
      <c r="J3284">
        <f t="shared" si="469"/>
        <v>8</v>
      </c>
      <c r="K3284">
        <v>22</v>
      </c>
      <c r="L3284">
        <v>8</v>
      </c>
      <c r="M3284">
        <v>2.75</v>
      </c>
      <c r="N3284">
        <v>2.97</v>
      </c>
      <c r="O3284">
        <v>0</v>
      </c>
      <c r="P3284">
        <v>8</v>
      </c>
      <c r="Q3284" t="s">
        <v>569</v>
      </c>
      <c r="R3284" s="8" t="s">
        <v>260</v>
      </c>
      <c r="S3284" t="str">
        <f t="shared" ref="S3284:S3336" si="471">IF(OR(H3284="A",H3284="B",H3284="C"),"PA","FA")</f>
        <v>PA</v>
      </c>
    </row>
    <row r="3285" spans="1:19" x14ac:dyDescent="0.3">
      <c r="A3285" t="s">
        <v>8</v>
      </c>
      <c r="B3285">
        <v>2016210010</v>
      </c>
      <c r="C3285" t="s">
        <v>66</v>
      </c>
      <c r="E3285" t="s">
        <v>77</v>
      </c>
      <c r="F3285" t="s">
        <v>78</v>
      </c>
      <c r="G3285">
        <v>2</v>
      </c>
      <c r="H3285" t="s">
        <v>260</v>
      </c>
      <c r="I3285" s="4">
        <f t="shared" ref="I3285:I3336" si="472">IF(H3285="A",4,IF(H3285="B",3,IF(H3285="C",2,IF(H3285="D",1,0))))</f>
        <v>4</v>
      </c>
      <c r="J3285">
        <f t="shared" ref="J3285:J3336" si="473">G3285*I3285</f>
        <v>8</v>
      </c>
      <c r="K3285">
        <v>60</v>
      </c>
      <c r="L3285">
        <v>20</v>
      </c>
      <c r="M3285" s="2">
        <v>3</v>
      </c>
      <c r="N3285">
        <v>2.97</v>
      </c>
      <c r="O3285">
        <v>0</v>
      </c>
      <c r="P3285">
        <v>1</v>
      </c>
      <c r="Q3285" t="s">
        <v>558</v>
      </c>
      <c r="R3285" s="8" t="s">
        <v>260</v>
      </c>
      <c r="S3285" t="str">
        <f t="shared" si="471"/>
        <v>PA</v>
      </c>
    </row>
    <row r="3286" spans="1:19" x14ac:dyDescent="0.3">
      <c r="A3286" t="s">
        <v>8</v>
      </c>
      <c r="B3286">
        <v>2016210010</v>
      </c>
      <c r="C3286" t="s">
        <v>66</v>
      </c>
      <c r="E3286" t="s">
        <v>318</v>
      </c>
      <c r="F3286" t="s">
        <v>319</v>
      </c>
      <c r="G3286">
        <v>2</v>
      </c>
      <c r="H3286" t="s">
        <v>260</v>
      </c>
      <c r="I3286" s="4">
        <f t="shared" si="472"/>
        <v>4</v>
      </c>
      <c r="J3286">
        <f t="shared" si="473"/>
        <v>8</v>
      </c>
      <c r="K3286">
        <v>72</v>
      </c>
      <c r="L3286">
        <v>24</v>
      </c>
      <c r="M3286" s="2">
        <v>3</v>
      </c>
      <c r="N3286">
        <v>2.97</v>
      </c>
      <c r="O3286">
        <v>0</v>
      </c>
      <c r="P3286">
        <v>5</v>
      </c>
      <c r="Q3286" t="s">
        <v>566</v>
      </c>
      <c r="R3286" s="8" t="s">
        <v>260</v>
      </c>
      <c r="S3286" t="str">
        <f t="shared" si="471"/>
        <v>PA</v>
      </c>
    </row>
    <row r="3287" spans="1:19" x14ac:dyDescent="0.3">
      <c r="A3287" t="s">
        <v>8</v>
      </c>
      <c r="B3287">
        <v>2016210010</v>
      </c>
      <c r="C3287" t="s">
        <v>66</v>
      </c>
      <c r="E3287" t="s">
        <v>202</v>
      </c>
      <c r="F3287" t="s">
        <v>203</v>
      </c>
      <c r="G3287">
        <v>4</v>
      </c>
      <c r="H3287" t="s">
        <v>260</v>
      </c>
      <c r="I3287" s="4">
        <f t="shared" si="472"/>
        <v>4</v>
      </c>
      <c r="J3287">
        <f t="shared" si="473"/>
        <v>16</v>
      </c>
      <c r="K3287">
        <v>60</v>
      </c>
      <c r="L3287">
        <v>20</v>
      </c>
      <c r="M3287" s="2">
        <v>3</v>
      </c>
      <c r="N3287">
        <v>2.97</v>
      </c>
      <c r="O3287">
        <v>0</v>
      </c>
      <c r="P3287">
        <v>1</v>
      </c>
      <c r="Q3287" t="s">
        <v>558</v>
      </c>
      <c r="R3287" s="8" t="s">
        <v>260</v>
      </c>
      <c r="S3287" t="str">
        <f t="shared" si="471"/>
        <v>PA</v>
      </c>
    </row>
    <row r="3288" spans="1:19" x14ac:dyDescent="0.3">
      <c r="A3288" t="s">
        <v>8</v>
      </c>
      <c r="B3288">
        <v>2016210010</v>
      </c>
      <c r="C3288" t="s">
        <v>66</v>
      </c>
      <c r="E3288" t="s">
        <v>182</v>
      </c>
      <c r="F3288" t="s">
        <v>171</v>
      </c>
      <c r="G3288">
        <v>2</v>
      </c>
      <c r="H3288" t="s">
        <v>260</v>
      </c>
      <c r="I3288" s="4">
        <f t="shared" si="472"/>
        <v>4</v>
      </c>
      <c r="J3288">
        <f t="shared" si="473"/>
        <v>8</v>
      </c>
      <c r="K3288">
        <v>72</v>
      </c>
      <c r="L3288">
        <v>24</v>
      </c>
      <c r="M3288" s="2">
        <v>3</v>
      </c>
      <c r="N3288">
        <v>2.97</v>
      </c>
      <c r="O3288">
        <v>0</v>
      </c>
      <c r="P3288">
        <v>5</v>
      </c>
      <c r="Q3288" t="s">
        <v>566</v>
      </c>
      <c r="R3288" s="8" t="s">
        <v>260</v>
      </c>
      <c r="S3288" t="str">
        <f t="shared" si="471"/>
        <v>PA</v>
      </c>
    </row>
    <row r="3289" spans="1:19" x14ac:dyDescent="0.3">
      <c r="A3289" t="s">
        <v>8</v>
      </c>
      <c r="B3289">
        <v>2016210010</v>
      </c>
      <c r="C3289" t="s">
        <v>66</v>
      </c>
      <c r="E3289" t="s">
        <v>597</v>
      </c>
      <c r="F3289" t="s">
        <v>275</v>
      </c>
      <c r="G3289">
        <v>2</v>
      </c>
      <c r="H3289" t="s">
        <v>260</v>
      </c>
      <c r="I3289" s="4">
        <f t="shared" si="472"/>
        <v>4</v>
      </c>
      <c r="J3289">
        <f t="shared" si="473"/>
        <v>8</v>
      </c>
      <c r="K3289">
        <v>58</v>
      </c>
      <c r="L3289">
        <v>22</v>
      </c>
      <c r="M3289">
        <v>2.64</v>
      </c>
      <c r="N3289">
        <v>2.97</v>
      </c>
      <c r="O3289">
        <v>0</v>
      </c>
      <c r="P3289">
        <v>6</v>
      </c>
      <c r="Q3289" t="s">
        <v>567</v>
      </c>
      <c r="R3289" s="8" t="s">
        <v>260</v>
      </c>
      <c r="S3289" t="str">
        <f t="shared" si="471"/>
        <v>PA</v>
      </c>
    </row>
    <row r="3290" spans="1:19" x14ac:dyDescent="0.3">
      <c r="A3290" t="s">
        <v>8</v>
      </c>
      <c r="B3290">
        <v>2016210010</v>
      </c>
      <c r="C3290" t="s">
        <v>66</v>
      </c>
      <c r="E3290" t="s">
        <v>266</v>
      </c>
      <c r="F3290" t="s">
        <v>91</v>
      </c>
      <c r="G3290">
        <v>2</v>
      </c>
      <c r="H3290" t="s">
        <v>260</v>
      </c>
      <c r="I3290" s="4">
        <f t="shared" si="472"/>
        <v>4</v>
      </c>
      <c r="J3290">
        <f t="shared" si="473"/>
        <v>8</v>
      </c>
      <c r="K3290">
        <v>44</v>
      </c>
      <c r="L3290">
        <v>18</v>
      </c>
      <c r="M3290" s="2">
        <v>2.44</v>
      </c>
      <c r="N3290">
        <v>2.97</v>
      </c>
      <c r="O3290">
        <v>0</v>
      </c>
      <c r="P3290">
        <v>2</v>
      </c>
      <c r="Q3290" t="s">
        <v>559</v>
      </c>
      <c r="R3290" s="8" t="s">
        <v>260</v>
      </c>
      <c r="S3290" t="str">
        <f t="shared" si="471"/>
        <v>PA</v>
      </c>
    </row>
    <row r="3291" spans="1:19" x14ac:dyDescent="0.3">
      <c r="A3291" t="s">
        <v>8</v>
      </c>
      <c r="B3291">
        <v>2016210010</v>
      </c>
      <c r="C3291" t="s">
        <v>66</v>
      </c>
      <c r="E3291" t="s">
        <v>369</v>
      </c>
      <c r="F3291" t="s">
        <v>307</v>
      </c>
      <c r="G3291">
        <v>2</v>
      </c>
      <c r="H3291" t="s">
        <v>260</v>
      </c>
      <c r="I3291" s="4">
        <f t="shared" si="472"/>
        <v>4</v>
      </c>
      <c r="J3291">
        <f t="shared" si="473"/>
        <v>8</v>
      </c>
      <c r="K3291">
        <v>56</v>
      </c>
      <c r="L3291">
        <v>18</v>
      </c>
      <c r="M3291">
        <v>3.11</v>
      </c>
      <c r="N3291">
        <v>2.97</v>
      </c>
      <c r="O3291">
        <v>0</v>
      </c>
      <c r="P3291">
        <v>4</v>
      </c>
      <c r="Q3291" t="s">
        <v>565</v>
      </c>
      <c r="R3291" s="8" t="s">
        <v>260</v>
      </c>
      <c r="S3291" t="str">
        <f t="shared" si="471"/>
        <v>PA</v>
      </c>
    </row>
    <row r="3292" spans="1:19" x14ac:dyDescent="0.3">
      <c r="A3292" t="s">
        <v>8</v>
      </c>
      <c r="B3292">
        <v>2016210010</v>
      </c>
      <c r="C3292" t="s">
        <v>66</v>
      </c>
      <c r="E3292" t="s">
        <v>188</v>
      </c>
      <c r="F3292" t="s">
        <v>189</v>
      </c>
      <c r="G3292">
        <v>4</v>
      </c>
      <c r="H3292" t="s">
        <v>438</v>
      </c>
      <c r="I3292" s="4">
        <f t="shared" si="472"/>
        <v>3</v>
      </c>
      <c r="J3292">
        <f t="shared" si="473"/>
        <v>12</v>
      </c>
      <c r="K3292">
        <v>72</v>
      </c>
      <c r="L3292">
        <v>24</v>
      </c>
      <c r="M3292" s="2">
        <v>3</v>
      </c>
      <c r="N3292">
        <v>2.97</v>
      </c>
      <c r="O3292">
        <v>0</v>
      </c>
      <c r="P3292">
        <v>5</v>
      </c>
      <c r="Q3292" t="s">
        <v>566</v>
      </c>
      <c r="R3292" s="8" t="s">
        <v>260</v>
      </c>
      <c r="S3292" t="str">
        <f t="shared" si="471"/>
        <v>PA</v>
      </c>
    </row>
    <row r="3293" spans="1:19" x14ac:dyDescent="0.3">
      <c r="A3293" t="s">
        <v>8</v>
      </c>
      <c r="B3293">
        <v>2016210010</v>
      </c>
      <c r="C3293" t="s">
        <v>66</v>
      </c>
      <c r="E3293" t="s">
        <v>107</v>
      </c>
      <c r="F3293" t="s">
        <v>108</v>
      </c>
      <c r="G3293">
        <v>2</v>
      </c>
      <c r="H3293" t="s">
        <v>438</v>
      </c>
      <c r="I3293" s="4">
        <f t="shared" si="472"/>
        <v>3</v>
      </c>
      <c r="J3293">
        <f t="shared" si="473"/>
        <v>6</v>
      </c>
      <c r="K3293">
        <v>58</v>
      </c>
      <c r="L3293">
        <v>22</v>
      </c>
      <c r="M3293">
        <v>2.64</v>
      </c>
      <c r="N3293">
        <v>2.97</v>
      </c>
      <c r="O3293">
        <v>0</v>
      </c>
      <c r="P3293">
        <v>6</v>
      </c>
      <c r="Q3293" t="s">
        <v>567</v>
      </c>
      <c r="R3293" s="8" t="s">
        <v>260</v>
      </c>
      <c r="S3293" t="str">
        <f t="shared" si="471"/>
        <v>PA</v>
      </c>
    </row>
    <row r="3294" spans="1:19" x14ac:dyDescent="0.3">
      <c r="A3294" t="s">
        <v>8</v>
      </c>
      <c r="B3294">
        <v>2016210010</v>
      </c>
      <c r="C3294" t="s">
        <v>66</v>
      </c>
      <c r="E3294" t="s">
        <v>391</v>
      </c>
      <c r="F3294" t="s">
        <v>392</v>
      </c>
      <c r="G3294">
        <v>2</v>
      </c>
      <c r="H3294" t="s">
        <v>438</v>
      </c>
      <c r="I3294" s="4">
        <f t="shared" si="472"/>
        <v>3</v>
      </c>
      <c r="J3294">
        <f t="shared" si="473"/>
        <v>6</v>
      </c>
      <c r="K3294">
        <v>72</v>
      </c>
      <c r="L3294">
        <v>24</v>
      </c>
      <c r="M3294" s="2">
        <v>3</v>
      </c>
      <c r="N3294">
        <v>2.97</v>
      </c>
      <c r="O3294">
        <v>0</v>
      </c>
      <c r="P3294">
        <v>5</v>
      </c>
      <c r="Q3294" t="s">
        <v>566</v>
      </c>
      <c r="R3294" s="8" t="s">
        <v>260</v>
      </c>
      <c r="S3294" t="str">
        <f t="shared" si="471"/>
        <v>PA</v>
      </c>
    </row>
    <row r="3295" spans="1:19" x14ac:dyDescent="0.3">
      <c r="A3295" t="s">
        <v>8</v>
      </c>
      <c r="B3295">
        <v>2016210010</v>
      </c>
      <c r="C3295" t="s">
        <v>66</v>
      </c>
      <c r="E3295" t="s">
        <v>93</v>
      </c>
      <c r="F3295" t="s">
        <v>94</v>
      </c>
      <c r="G3295">
        <v>4</v>
      </c>
      <c r="H3295" t="s">
        <v>438</v>
      </c>
      <c r="I3295" s="4">
        <f t="shared" si="472"/>
        <v>3</v>
      </c>
      <c r="J3295">
        <f t="shared" si="473"/>
        <v>12</v>
      </c>
      <c r="K3295">
        <v>48</v>
      </c>
      <c r="L3295">
        <v>20</v>
      </c>
      <c r="M3295" s="2">
        <v>2.4</v>
      </c>
      <c r="N3295">
        <v>2.97</v>
      </c>
      <c r="O3295">
        <v>0</v>
      </c>
      <c r="P3295">
        <v>3</v>
      </c>
      <c r="Q3295" t="s">
        <v>563</v>
      </c>
      <c r="R3295" s="8" t="s">
        <v>260</v>
      </c>
      <c r="S3295" t="str">
        <f t="shared" si="471"/>
        <v>PA</v>
      </c>
    </row>
    <row r="3296" spans="1:19" x14ac:dyDescent="0.3">
      <c r="A3296" t="s">
        <v>8</v>
      </c>
      <c r="B3296">
        <v>2016210010</v>
      </c>
      <c r="C3296" t="s">
        <v>66</v>
      </c>
      <c r="E3296" t="s">
        <v>193</v>
      </c>
      <c r="F3296" t="s">
        <v>194</v>
      </c>
      <c r="G3296">
        <v>4</v>
      </c>
      <c r="H3296" t="s">
        <v>438</v>
      </c>
      <c r="I3296" s="4">
        <f t="shared" si="472"/>
        <v>3</v>
      </c>
      <c r="J3296">
        <f t="shared" si="473"/>
        <v>12</v>
      </c>
      <c r="K3296">
        <v>24</v>
      </c>
      <c r="L3296">
        <v>8</v>
      </c>
      <c r="M3296" s="2">
        <v>3</v>
      </c>
      <c r="N3296">
        <v>2.97</v>
      </c>
      <c r="O3296">
        <v>0</v>
      </c>
      <c r="P3296">
        <v>7</v>
      </c>
      <c r="Q3296" t="s">
        <v>568</v>
      </c>
      <c r="R3296" s="8" t="s">
        <v>260</v>
      </c>
      <c r="S3296" t="str">
        <f t="shared" si="471"/>
        <v>PA</v>
      </c>
    </row>
    <row r="3297" spans="1:19" x14ac:dyDescent="0.3">
      <c r="A3297" t="s">
        <v>8</v>
      </c>
      <c r="B3297">
        <v>2016210010</v>
      </c>
      <c r="C3297" t="s">
        <v>66</v>
      </c>
      <c r="E3297" t="s">
        <v>352</v>
      </c>
      <c r="F3297" t="s">
        <v>353</v>
      </c>
      <c r="G3297">
        <v>2</v>
      </c>
      <c r="H3297" t="s">
        <v>438</v>
      </c>
      <c r="I3297" s="4">
        <f t="shared" si="472"/>
        <v>3</v>
      </c>
      <c r="J3297">
        <f t="shared" si="473"/>
        <v>6</v>
      </c>
      <c r="K3297">
        <v>72</v>
      </c>
      <c r="L3297">
        <v>24</v>
      </c>
      <c r="M3297" s="2">
        <v>3</v>
      </c>
      <c r="N3297">
        <v>2.97</v>
      </c>
      <c r="O3297">
        <v>0</v>
      </c>
      <c r="P3297">
        <v>5</v>
      </c>
      <c r="Q3297" t="s">
        <v>566</v>
      </c>
      <c r="R3297" s="8" t="s">
        <v>260</v>
      </c>
      <c r="S3297" t="str">
        <f t="shared" si="471"/>
        <v>PA</v>
      </c>
    </row>
    <row r="3298" spans="1:19" x14ac:dyDescent="0.3">
      <c r="A3298" t="s">
        <v>8</v>
      </c>
      <c r="B3298">
        <v>2016210010</v>
      </c>
      <c r="C3298" t="s">
        <v>66</v>
      </c>
      <c r="E3298" t="s">
        <v>227</v>
      </c>
      <c r="F3298" t="s">
        <v>228</v>
      </c>
      <c r="G3298">
        <v>2</v>
      </c>
      <c r="H3298" t="s">
        <v>438</v>
      </c>
      <c r="I3298" s="4">
        <f t="shared" si="472"/>
        <v>3</v>
      </c>
      <c r="J3298">
        <f t="shared" si="473"/>
        <v>6</v>
      </c>
      <c r="K3298">
        <v>48</v>
      </c>
      <c r="L3298">
        <v>20</v>
      </c>
      <c r="M3298">
        <v>2.4</v>
      </c>
      <c r="N3298">
        <v>2.97</v>
      </c>
      <c r="O3298">
        <v>0</v>
      </c>
      <c r="P3298">
        <v>3</v>
      </c>
      <c r="Q3298" t="s">
        <v>563</v>
      </c>
      <c r="R3298" s="8" t="s">
        <v>260</v>
      </c>
      <c r="S3298" t="str">
        <f t="shared" si="471"/>
        <v>PA</v>
      </c>
    </row>
    <row r="3299" spans="1:19" x14ac:dyDescent="0.3">
      <c r="A3299" t="s">
        <v>8</v>
      </c>
      <c r="B3299">
        <v>2016210010</v>
      </c>
      <c r="C3299" t="s">
        <v>66</v>
      </c>
      <c r="E3299" t="s">
        <v>407</v>
      </c>
      <c r="F3299" t="s">
        <v>312</v>
      </c>
      <c r="G3299">
        <v>2</v>
      </c>
      <c r="H3299" t="s">
        <v>438</v>
      </c>
      <c r="I3299" s="4">
        <f t="shared" si="472"/>
        <v>3</v>
      </c>
      <c r="J3299">
        <f t="shared" si="473"/>
        <v>6</v>
      </c>
      <c r="K3299">
        <v>72</v>
      </c>
      <c r="L3299">
        <v>24</v>
      </c>
      <c r="M3299" s="2">
        <v>3</v>
      </c>
      <c r="N3299">
        <v>2.97</v>
      </c>
      <c r="O3299">
        <v>0</v>
      </c>
      <c r="P3299">
        <v>5</v>
      </c>
      <c r="Q3299" t="s">
        <v>566</v>
      </c>
      <c r="R3299" s="8" t="s">
        <v>260</v>
      </c>
      <c r="S3299" t="str">
        <f t="shared" si="471"/>
        <v>PA</v>
      </c>
    </row>
    <row r="3300" spans="1:19" x14ac:dyDescent="0.3">
      <c r="A3300" t="s">
        <v>8</v>
      </c>
      <c r="B3300">
        <v>2016210010</v>
      </c>
      <c r="C3300" t="s">
        <v>66</v>
      </c>
      <c r="E3300" t="s">
        <v>157</v>
      </c>
      <c r="F3300" t="s">
        <v>158</v>
      </c>
      <c r="G3300">
        <v>2</v>
      </c>
      <c r="H3300" t="s">
        <v>438</v>
      </c>
      <c r="I3300" s="4">
        <f t="shared" si="472"/>
        <v>3</v>
      </c>
      <c r="J3300">
        <f t="shared" si="473"/>
        <v>6</v>
      </c>
      <c r="K3300">
        <v>48</v>
      </c>
      <c r="L3300">
        <v>20</v>
      </c>
      <c r="M3300" s="2">
        <v>2.4</v>
      </c>
      <c r="N3300">
        <v>2.97</v>
      </c>
      <c r="O3300">
        <v>0</v>
      </c>
      <c r="P3300">
        <v>3</v>
      </c>
      <c r="Q3300" t="s">
        <v>563</v>
      </c>
      <c r="R3300" s="8" t="s">
        <v>260</v>
      </c>
      <c r="S3300" t="str">
        <f t="shared" si="471"/>
        <v>PA</v>
      </c>
    </row>
    <row r="3301" spans="1:19" x14ac:dyDescent="0.3">
      <c r="A3301" t="s">
        <v>8</v>
      </c>
      <c r="B3301">
        <v>2016210010</v>
      </c>
      <c r="C3301" t="s">
        <v>66</v>
      </c>
      <c r="E3301" t="s">
        <v>131</v>
      </c>
      <c r="F3301" t="s">
        <v>132</v>
      </c>
      <c r="G3301">
        <v>2</v>
      </c>
      <c r="H3301" t="s">
        <v>438</v>
      </c>
      <c r="I3301" s="4">
        <f t="shared" si="472"/>
        <v>3</v>
      </c>
      <c r="J3301">
        <f t="shared" si="473"/>
        <v>6</v>
      </c>
      <c r="K3301">
        <v>60</v>
      </c>
      <c r="L3301">
        <v>20</v>
      </c>
      <c r="M3301" s="2">
        <v>3</v>
      </c>
      <c r="N3301">
        <v>2.97</v>
      </c>
      <c r="O3301">
        <v>0</v>
      </c>
      <c r="P3301">
        <v>1</v>
      </c>
      <c r="Q3301" t="s">
        <v>558</v>
      </c>
      <c r="R3301" s="8" t="s">
        <v>260</v>
      </c>
      <c r="S3301" t="str">
        <f t="shared" si="471"/>
        <v>PA</v>
      </c>
    </row>
    <row r="3302" spans="1:19" x14ac:dyDescent="0.3">
      <c r="A3302" t="s">
        <v>8</v>
      </c>
      <c r="B3302">
        <v>2016210010</v>
      </c>
      <c r="C3302" t="s">
        <v>66</v>
      </c>
      <c r="E3302" t="s">
        <v>80</v>
      </c>
      <c r="F3302" t="s">
        <v>81</v>
      </c>
      <c r="G3302">
        <v>4</v>
      </c>
      <c r="H3302" t="s">
        <v>438</v>
      </c>
      <c r="I3302" s="4">
        <f t="shared" si="472"/>
        <v>3</v>
      </c>
      <c r="J3302">
        <f t="shared" si="473"/>
        <v>12</v>
      </c>
      <c r="K3302">
        <v>58</v>
      </c>
      <c r="L3302">
        <v>22</v>
      </c>
      <c r="M3302">
        <v>2.64</v>
      </c>
      <c r="N3302">
        <v>2.97</v>
      </c>
      <c r="O3302">
        <v>0</v>
      </c>
      <c r="P3302">
        <v>6</v>
      </c>
      <c r="Q3302" t="s">
        <v>567</v>
      </c>
      <c r="R3302" s="8" t="s">
        <v>260</v>
      </c>
      <c r="S3302" t="str">
        <f t="shared" si="471"/>
        <v>PA</v>
      </c>
    </row>
    <row r="3303" spans="1:19" x14ac:dyDescent="0.3">
      <c r="A3303" t="s">
        <v>8</v>
      </c>
      <c r="B3303">
        <v>2016210010</v>
      </c>
      <c r="C3303" t="s">
        <v>66</v>
      </c>
      <c r="E3303" t="s">
        <v>253</v>
      </c>
      <c r="F3303" t="s">
        <v>254</v>
      </c>
      <c r="G3303">
        <v>2</v>
      </c>
      <c r="H3303" t="s">
        <v>438</v>
      </c>
      <c r="I3303" s="4">
        <f t="shared" si="472"/>
        <v>3</v>
      </c>
      <c r="J3303">
        <f t="shared" si="473"/>
        <v>6</v>
      </c>
      <c r="K3303">
        <v>56</v>
      </c>
      <c r="L3303">
        <v>18</v>
      </c>
      <c r="M3303">
        <v>3.11</v>
      </c>
      <c r="N3303">
        <v>2.97</v>
      </c>
      <c r="O3303">
        <v>0</v>
      </c>
      <c r="P3303">
        <v>4</v>
      </c>
      <c r="Q3303" t="s">
        <v>565</v>
      </c>
      <c r="R3303" s="8" t="s">
        <v>260</v>
      </c>
      <c r="S3303" t="str">
        <f t="shared" si="471"/>
        <v>PA</v>
      </c>
    </row>
    <row r="3304" spans="1:19" x14ac:dyDescent="0.3">
      <c r="A3304" t="s">
        <v>8</v>
      </c>
      <c r="B3304">
        <v>2016210010</v>
      </c>
      <c r="C3304" t="s">
        <v>66</v>
      </c>
      <c r="E3304" t="s">
        <v>115</v>
      </c>
      <c r="F3304" t="s">
        <v>116</v>
      </c>
      <c r="G3304">
        <v>4</v>
      </c>
      <c r="H3304" t="s">
        <v>438</v>
      </c>
      <c r="I3304" s="4">
        <f t="shared" si="472"/>
        <v>3</v>
      </c>
      <c r="J3304">
        <f t="shared" si="473"/>
        <v>12</v>
      </c>
      <c r="K3304">
        <v>44</v>
      </c>
      <c r="L3304">
        <v>18</v>
      </c>
      <c r="M3304" s="2">
        <v>2.44</v>
      </c>
      <c r="N3304">
        <v>2.97</v>
      </c>
      <c r="O3304">
        <v>0</v>
      </c>
      <c r="P3304">
        <v>2</v>
      </c>
      <c r="Q3304" t="s">
        <v>559</v>
      </c>
      <c r="R3304" s="8" t="s">
        <v>260</v>
      </c>
      <c r="S3304" t="str">
        <f t="shared" si="471"/>
        <v>PA</v>
      </c>
    </row>
    <row r="3305" spans="1:19" x14ac:dyDescent="0.3">
      <c r="A3305" t="s">
        <v>8</v>
      </c>
      <c r="B3305">
        <v>2016210010</v>
      </c>
      <c r="C3305" t="s">
        <v>66</v>
      </c>
      <c r="E3305" t="s">
        <v>355</v>
      </c>
      <c r="F3305" t="s">
        <v>274</v>
      </c>
      <c r="G3305">
        <v>2</v>
      </c>
      <c r="H3305" t="s">
        <v>438</v>
      </c>
      <c r="I3305" s="4">
        <f t="shared" si="472"/>
        <v>3</v>
      </c>
      <c r="J3305">
        <f t="shared" si="473"/>
        <v>6</v>
      </c>
      <c r="K3305">
        <v>56</v>
      </c>
      <c r="L3305">
        <v>18</v>
      </c>
      <c r="M3305">
        <v>3.11</v>
      </c>
      <c r="N3305">
        <v>2.97</v>
      </c>
      <c r="O3305">
        <v>0</v>
      </c>
      <c r="P3305">
        <v>4</v>
      </c>
      <c r="Q3305" t="s">
        <v>565</v>
      </c>
      <c r="R3305" s="8" t="s">
        <v>260</v>
      </c>
      <c r="S3305" t="str">
        <f t="shared" si="471"/>
        <v>PA</v>
      </c>
    </row>
    <row r="3306" spans="1:19" x14ac:dyDescent="0.3">
      <c r="A3306" t="s">
        <v>8</v>
      </c>
      <c r="B3306">
        <v>2016210010</v>
      </c>
      <c r="C3306" t="s">
        <v>66</v>
      </c>
      <c r="E3306" t="s">
        <v>279</v>
      </c>
      <c r="F3306" t="s">
        <v>280</v>
      </c>
      <c r="G3306">
        <v>2</v>
      </c>
      <c r="H3306" t="s">
        <v>438</v>
      </c>
      <c r="I3306" s="4">
        <f t="shared" si="472"/>
        <v>3</v>
      </c>
      <c r="J3306">
        <f t="shared" si="473"/>
        <v>6</v>
      </c>
      <c r="K3306">
        <v>44</v>
      </c>
      <c r="L3306">
        <v>18</v>
      </c>
      <c r="M3306" s="2">
        <v>2.44</v>
      </c>
      <c r="N3306">
        <v>2.97</v>
      </c>
      <c r="O3306">
        <v>0</v>
      </c>
      <c r="P3306">
        <v>2</v>
      </c>
      <c r="Q3306" t="s">
        <v>559</v>
      </c>
      <c r="R3306" s="8" t="s">
        <v>260</v>
      </c>
      <c r="S3306" t="str">
        <f t="shared" si="471"/>
        <v>PA</v>
      </c>
    </row>
    <row r="3307" spans="1:19" x14ac:dyDescent="0.3">
      <c r="A3307" t="s">
        <v>8</v>
      </c>
      <c r="B3307">
        <v>2016210010</v>
      </c>
      <c r="C3307" t="s">
        <v>66</v>
      </c>
      <c r="E3307" t="s">
        <v>449</v>
      </c>
      <c r="F3307" t="s">
        <v>460</v>
      </c>
      <c r="G3307">
        <v>4</v>
      </c>
      <c r="H3307" t="s">
        <v>438</v>
      </c>
      <c r="I3307" s="4">
        <f t="shared" si="472"/>
        <v>3</v>
      </c>
      <c r="J3307">
        <f t="shared" si="473"/>
        <v>12</v>
      </c>
      <c r="K3307">
        <v>56</v>
      </c>
      <c r="L3307">
        <v>18</v>
      </c>
      <c r="M3307">
        <v>3.11</v>
      </c>
      <c r="N3307">
        <v>2.97</v>
      </c>
      <c r="O3307">
        <v>0</v>
      </c>
      <c r="P3307">
        <v>4</v>
      </c>
      <c r="Q3307" t="s">
        <v>565</v>
      </c>
      <c r="R3307" s="8" t="s">
        <v>260</v>
      </c>
      <c r="S3307" t="str">
        <f t="shared" si="471"/>
        <v>PA</v>
      </c>
    </row>
    <row r="3308" spans="1:19" x14ac:dyDescent="0.3">
      <c r="A3308" t="s">
        <v>8</v>
      </c>
      <c r="B3308">
        <v>2016210010</v>
      </c>
      <c r="C3308" t="s">
        <v>66</v>
      </c>
      <c r="E3308" t="s">
        <v>117</v>
      </c>
      <c r="F3308" t="s">
        <v>118</v>
      </c>
      <c r="G3308">
        <v>2</v>
      </c>
      <c r="H3308" t="s">
        <v>438</v>
      </c>
      <c r="I3308" s="4">
        <f t="shared" si="472"/>
        <v>3</v>
      </c>
      <c r="J3308">
        <f t="shared" si="473"/>
        <v>6</v>
      </c>
      <c r="K3308">
        <v>44</v>
      </c>
      <c r="L3308">
        <v>18</v>
      </c>
      <c r="M3308" s="2">
        <v>2.44</v>
      </c>
      <c r="N3308">
        <v>2.97</v>
      </c>
      <c r="O3308">
        <v>0</v>
      </c>
      <c r="P3308">
        <v>2</v>
      </c>
      <c r="Q3308" t="s">
        <v>559</v>
      </c>
      <c r="R3308" s="8" t="s">
        <v>260</v>
      </c>
      <c r="S3308" t="str">
        <f t="shared" si="471"/>
        <v>PA</v>
      </c>
    </row>
    <row r="3309" spans="1:19" x14ac:dyDescent="0.3">
      <c r="A3309" t="s">
        <v>8</v>
      </c>
      <c r="B3309">
        <v>2016210010</v>
      </c>
      <c r="C3309" t="s">
        <v>66</v>
      </c>
      <c r="E3309" t="s">
        <v>213</v>
      </c>
      <c r="F3309" t="s">
        <v>214</v>
      </c>
      <c r="G3309">
        <v>4</v>
      </c>
      <c r="H3309" t="s">
        <v>438</v>
      </c>
      <c r="I3309" s="4">
        <f t="shared" si="472"/>
        <v>3</v>
      </c>
      <c r="J3309">
        <f t="shared" si="473"/>
        <v>12</v>
      </c>
      <c r="K3309">
        <v>72</v>
      </c>
      <c r="L3309">
        <v>24</v>
      </c>
      <c r="M3309" s="2">
        <v>3</v>
      </c>
      <c r="N3309">
        <v>2.97</v>
      </c>
      <c r="O3309">
        <v>0</v>
      </c>
      <c r="P3309">
        <v>5</v>
      </c>
      <c r="Q3309" t="s">
        <v>566</v>
      </c>
      <c r="R3309" s="8" t="s">
        <v>260</v>
      </c>
      <c r="S3309" t="str">
        <f t="shared" si="471"/>
        <v>PA</v>
      </c>
    </row>
    <row r="3310" spans="1:19" x14ac:dyDescent="0.3">
      <c r="A3310" t="s">
        <v>8</v>
      </c>
      <c r="B3310">
        <v>2016210010</v>
      </c>
      <c r="C3310" t="s">
        <v>66</v>
      </c>
      <c r="E3310" t="s">
        <v>22</v>
      </c>
      <c r="F3310" t="s">
        <v>23</v>
      </c>
      <c r="G3310">
        <v>2</v>
      </c>
      <c r="H3310" t="s">
        <v>438</v>
      </c>
      <c r="I3310" s="4">
        <f t="shared" si="472"/>
        <v>3</v>
      </c>
      <c r="J3310">
        <f t="shared" si="473"/>
        <v>6</v>
      </c>
      <c r="K3310">
        <v>44</v>
      </c>
      <c r="L3310">
        <v>18</v>
      </c>
      <c r="M3310" s="2">
        <v>2.44</v>
      </c>
      <c r="N3310">
        <v>2.97</v>
      </c>
      <c r="O3310">
        <v>0</v>
      </c>
      <c r="P3310">
        <v>2</v>
      </c>
      <c r="Q3310" t="s">
        <v>559</v>
      </c>
      <c r="R3310" s="8" t="s">
        <v>260</v>
      </c>
      <c r="S3310" t="str">
        <f t="shared" si="471"/>
        <v>PA</v>
      </c>
    </row>
    <row r="3311" spans="1:19" x14ac:dyDescent="0.3">
      <c r="A3311" t="s">
        <v>8</v>
      </c>
      <c r="B3311">
        <v>2016210010</v>
      </c>
      <c r="C3311" t="s">
        <v>66</v>
      </c>
      <c r="E3311" t="s">
        <v>185</v>
      </c>
      <c r="F3311" t="s">
        <v>186</v>
      </c>
      <c r="G3311">
        <v>4</v>
      </c>
      <c r="H3311" t="s">
        <v>438</v>
      </c>
      <c r="I3311" s="4">
        <f t="shared" si="472"/>
        <v>3</v>
      </c>
      <c r="J3311">
        <f t="shared" si="473"/>
        <v>12</v>
      </c>
      <c r="K3311">
        <v>24</v>
      </c>
      <c r="L3311">
        <v>8</v>
      </c>
      <c r="M3311" s="2">
        <v>3</v>
      </c>
      <c r="N3311">
        <v>2.97</v>
      </c>
      <c r="O3311">
        <v>0</v>
      </c>
      <c r="P3311">
        <v>7</v>
      </c>
      <c r="Q3311" t="s">
        <v>568</v>
      </c>
      <c r="R3311" s="8" t="s">
        <v>260</v>
      </c>
      <c r="S3311" t="str">
        <f t="shared" si="471"/>
        <v>PA</v>
      </c>
    </row>
    <row r="3312" spans="1:19" x14ac:dyDescent="0.3">
      <c r="A3312" t="s">
        <v>8</v>
      </c>
      <c r="B3312">
        <v>2016210010</v>
      </c>
      <c r="C3312" t="s">
        <v>66</v>
      </c>
      <c r="E3312" t="s">
        <v>295</v>
      </c>
      <c r="F3312" t="s">
        <v>296</v>
      </c>
      <c r="G3312">
        <v>2</v>
      </c>
      <c r="H3312" t="s">
        <v>438</v>
      </c>
      <c r="I3312" s="4">
        <f t="shared" si="472"/>
        <v>3</v>
      </c>
      <c r="J3312">
        <f t="shared" si="473"/>
        <v>6</v>
      </c>
      <c r="K3312">
        <v>48</v>
      </c>
      <c r="L3312">
        <v>20</v>
      </c>
      <c r="M3312" s="2">
        <v>2.4</v>
      </c>
      <c r="N3312">
        <v>2.97</v>
      </c>
      <c r="O3312">
        <v>0</v>
      </c>
      <c r="P3312">
        <v>3</v>
      </c>
      <c r="Q3312" t="s">
        <v>563</v>
      </c>
      <c r="R3312" s="8" t="s">
        <v>260</v>
      </c>
      <c r="S3312" t="str">
        <f t="shared" si="471"/>
        <v>PA</v>
      </c>
    </row>
    <row r="3313" spans="1:19" x14ac:dyDescent="0.3">
      <c r="A3313" t="s">
        <v>8</v>
      </c>
      <c r="B3313">
        <v>2016210010</v>
      </c>
      <c r="C3313" t="s">
        <v>66</v>
      </c>
      <c r="E3313" t="s">
        <v>216</v>
      </c>
      <c r="F3313" t="s">
        <v>217</v>
      </c>
      <c r="G3313">
        <v>2</v>
      </c>
      <c r="H3313" t="s">
        <v>438</v>
      </c>
      <c r="I3313" s="4">
        <f t="shared" si="472"/>
        <v>3</v>
      </c>
      <c r="J3313">
        <f t="shared" si="473"/>
        <v>6</v>
      </c>
      <c r="K3313">
        <v>22</v>
      </c>
      <c r="L3313">
        <v>8</v>
      </c>
      <c r="M3313">
        <v>2.75</v>
      </c>
      <c r="N3313">
        <v>2.97</v>
      </c>
      <c r="O3313">
        <v>0</v>
      </c>
      <c r="P3313">
        <v>8</v>
      </c>
      <c r="Q3313" t="s">
        <v>569</v>
      </c>
      <c r="R3313" s="8" t="s">
        <v>260</v>
      </c>
      <c r="S3313" t="str">
        <f t="shared" si="471"/>
        <v>PA</v>
      </c>
    </row>
    <row r="3314" spans="1:19" x14ac:dyDescent="0.3">
      <c r="A3314" t="s">
        <v>8</v>
      </c>
      <c r="B3314">
        <v>2016210010</v>
      </c>
      <c r="C3314" t="s">
        <v>66</v>
      </c>
      <c r="E3314" t="s">
        <v>393</v>
      </c>
      <c r="F3314" t="s">
        <v>436</v>
      </c>
      <c r="G3314">
        <v>2</v>
      </c>
      <c r="H3314" t="s">
        <v>438</v>
      </c>
      <c r="I3314" s="4">
        <f t="shared" si="472"/>
        <v>3</v>
      </c>
      <c r="J3314">
        <f t="shared" si="473"/>
        <v>6</v>
      </c>
      <c r="K3314">
        <v>72</v>
      </c>
      <c r="L3314">
        <v>24</v>
      </c>
      <c r="M3314" s="2">
        <v>3</v>
      </c>
      <c r="N3314">
        <v>2.97</v>
      </c>
      <c r="O3314">
        <v>0</v>
      </c>
      <c r="P3314">
        <v>5</v>
      </c>
      <c r="Q3314" t="s">
        <v>566</v>
      </c>
      <c r="R3314" s="8" t="s">
        <v>260</v>
      </c>
      <c r="S3314" t="str">
        <f t="shared" si="471"/>
        <v>PA</v>
      </c>
    </row>
    <row r="3315" spans="1:19" x14ac:dyDescent="0.3">
      <c r="A3315" t="s">
        <v>8</v>
      </c>
      <c r="B3315">
        <v>2016210010</v>
      </c>
      <c r="C3315" t="s">
        <v>66</v>
      </c>
      <c r="E3315" t="s">
        <v>105</v>
      </c>
      <c r="F3315" t="s">
        <v>106</v>
      </c>
      <c r="G3315">
        <v>2</v>
      </c>
      <c r="H3315" t="s">
        <v>438</v>
      </c>
      <c r="I3315" s="4">
        <f t="shared" si="472"/>
        <v>3</v>
      </c>
      <c r="J3315">
        <f t="shared" si="473"/>
        <v>6</v>
      </c>
      <c r="K3315">
        <v>48</v>
      </c>
      <c r="L3315">
        <v>20</v>
      </c>
      <c r="M3315" s="2">
        <v>2.4</v>
      </c>
      <c r="N3315">
        <v>2.97</v>
      </c>
      <c r="O3315">
        <v>0</v>
      </c>
      <c r="P3315">
        <v>3</v>
      </c>
      <c r="Q3315" t="s">
        <v>563</v>
      </c>
      <c r="R3315" s="8" t="s">
        <v>260</v>
      </c>
      <c r="S3315" t="str">
        <f t="shared" si="471"/>
        <v>PA</v>
      </c>
    </row>
    <row r="3316" spans="1:19" x14ac:dyDescent="0.3">
      <c r="A3316" t="s">
        <v>8</v>
      </c>
      <c r="B3316">
        <v>2016210010</v>
      </c>
      <c r="C3316" t="s">
        <v>66</v>
      </c>
      <c r="E3316" t="s">
        <v>163</v>
      </c>
      <c r="F3316" t="s">
        <v>164</v>
      </c>
      <c r="G3316">
        <v>2</v>
      </c>
      <c r="H3316" t="s">
        <v>438</v>
      </c>
      <c r="I3316" s="4">
        <f t="shared" si="472"/>
        <v>3</v>
      </c>
      <c r="J3316">
        <f t="shared" si="473"/>
        <v>6</v>
      </c>
      <c r="K3316">
        <v>60</v>
      </c>
      <c r="L3316">
        <v>20</v>
      </c>
      <c r="M3316" s="2">
        <v>3</v>
      </c>
      <c r="N3316">
        <v>2.97</v>
      </c>
      <c r="O3316">
        <v>0</v>
      </c>
      <c r="P3316">
        <v>1</v>
      </c>
      <c r="Q3316" t="s">
        <v>558</v>
      </c>
      <c r="R3316" s="8" t="s">
        <v>260</v>
      </c>
      <c r="S3316" t="str">
        <f t="shared" si="471"/>
        <v>PA</v>
      </c>
    </row>
    <row r="3317" spans="1:19" x14ac:dyDescent="0.3">
      <c r="A3317" t="s">
        <v>8</v>
      </c>
      <c r="B3317">
        <v>2016210010</v>
      </c>
      <c r="C3317" t="s">
        <v>66</v>
      </c>
      <c r="E3317" t="s">
        <v>180</v>
      </c>
      <c r="F3317" t="s">
        <v>181</v>
      </c>
      <c r="G3317">
        <v>4</v>
      </c>
      <c r="H3317" t="s">
        <v>438</v>
      </c>
      <c r="I3317" s="4">
        <f t="shared" si="472"/>
        <v>3</v>
      </c>
      <c r="J3317">
        <f t="shared" si="473"/>
        <v>12</v>
      </c>
      <c r="K3317">
        <v>56</v>
      </c>
      <c r="L3317">
        <v>18</v>
      </c>
      <c r="M3317">
        <v>3.11</v>
      </c>
      <c r="N3317">
        <v>2.97</v>
      </c>
      <c r="O3317">
        <v>0</v>
      </c>
      <c r="P3317">
        <v>4</v>
      </c>
      <c r="Q3317" t="s">
        <v>565</v>
      </c>
      <c r="R3317" s="8" t="s">
        <v>260</v>
      </c>
      <c r="S3317" t="str">
        <f t="shared" si="471"/>
        <v>PA</v>
      </c>
    </row>
    <row r="3318" spans="1:19" x14ac:dyDescent="0.3">
      <c r="A3318" t="s">
        <v>8</v>
      </c>
      <c r="B3318">
        <v>2016210010</v>
      </c>
      <c r="C3318" t="s">
        <v>66</v>
      </c>
      <c r="E3318" t="s">
        <v>147</v>
      </c>
      <c r="F3318" t="s">
        <v>148</v>
      </c>
      <c r="G3318">
        <v>4</v>
      </c>
      <c r="H3318" t="s">
        <v>438</v>
      </c>
      <c r="I3318" s="4">
        <f t="shared" si="472"/>
        <v>3</v>
      </c>
      <c r="J3318">
        <f t="shared" si="473"/>
        <v>12</v>
      </c>
      <c r="K3318">
        <v>60</v>
      </c>
      <c r="L3318">
        <v>20</v>
      </c>
      <c r="M3318" s="2">
        <v>3</v>
      </c>
      <c r="N3318">
        <v>2.97</v>
      </c>
      <c r="O3318">
        <v>0</v>
      </c>
      <c r="P3318">
        <v>1</v>
      </c>
      <c r="Q3318" t="s">
        <v>558</v>
      </c>
      <c r="R3318" s="8" t="s">
        <v>260</v>
      </c>
      <c r="S3318" t="str">
        <f t="shared" si="471"/>
        <v>PA</v>
      </c>
    </row>
    <row r="3319" spans="1:19" x14ac:dyDescent="0.3">
      <c r="A3319" t="s">
        <v>8</v>
      </c>
      <c r="B3319">
        <v>2016210010</v>
      </c>
      <c r="C3319" t="s">
        <v>66</v>
      </c>
      <c r="E3319" t="s">
        <v>246</v>
      </c>
      <c r="F3319" t="s">
        <v>247</v>
      </c>
      <c r="G3319">
        <v>4</v>
      </c>
      <c r="H3319" t="s">
        <v>438</v>
      </c>
      <c r="I3319" s="4">
        <f t="shared" si="472"/>
        <v>3</v>
      </c>
      <c r="J3319">
        <f t="shared" si="473"/>
        <v>12</v>
      </c>
      <c r="K3319">
        <v>56</v>
      </c>
      <c r="L3319">
        <v>18</v>
      </c>
      <c r="M3319">
        <v>3.11</v>
      </c>
      <c r="N3319">
        <v>2.97</v>
      </c>
      <c r="O3319">
        <v>0</v>
      </c>
      <c r="P3319">
        <v>4</v>
      </c>
      <c r="Q3319" t="s">
        <v>565</v>
      </c>
      <c r="R3319" s="8" t="s">
        <v>260</v>
      </c>
      <c r="S3319" t="str">
        <f t="shared" si="471"/>
        <v>PA</v>
      </c>
    </row>
    <row r="3320" spans="1:19" x14ac:dyDescent="0.3">
      <c r="A3320" t="s">
        <v>8</v>
      </c>
      <c r="B3320">
        <v>2016210010</v>
      </c>
      <c r="C3320" t="s">
        <v>66</v>
      </c>
      <c r="E3320" t="s">
        <v>87</v>
      </c>
      <c r="F3320" t="s">
        <v>88</v>
      </c>
      <c r="G3320">
        <v>2</v>
      </c>
      <c r="H3320" t="s">
        <v>438</v>
      </c>
      <c r="I3320" s="4">
        <f t="shared" si="472"/>
        <v>3</v>
      </c>
      <c r="J3320">
        <f t="shared" si="473"/>
        <v>6</v>
      </c>
      <c r="K3320">
        <v>58</v>
      </c>
      <c r="L3320">
        <v>22</v>
      </c>
      <c r="M3320">
        <v>2.64</v>
      </c>
      <c r="N3320">
        <v>2.97</v>
      </c>
      <c r="O3320">
        <v>0</v>
      </c>
      <c r="P3320">
        <v>6</v>
      </c>
      <c r="Q3320" t="s">
        <v>567</v>
      </c>
      <c r="R3320" s="8" t="s">
        <v>260</v>
      </c>
      <c r="S3320" t="str">
        <f t="shared" si="471"/>
        <v>PA</v>
      </c>
    </row>
    <row r="3321" spans="1:19" x14ac:dyDescent="0.3">
      <c r="A3321" t="s">
        <v>8</v>
      </c>
      <c r="B3321">
        <v>2016210010</v>
      </c>
      <c r="C3321" t="s">
        <v>66</v>
      </c>
      <c r="E3321" t="s">
        <v>238</v>
      </c>
      <c r="F3321" t="s">
        <v>239</v>
      </c>
      <c r="G3321">
        <v>4</v>
      </c>
      <c r="H3321" t="s">
        <v>438</v>
      </c>
      <c r="I3321" s="4">
        <f t="shared" si="472"/>
        <v>3</v>
      </c>
      <c r="J3321">
        <f t="shared" si="473"/>
        <v>12</v>
      </c>
      <c r="K3321">
        <v>58</v>
      </c>
      <c r="L3321">
        <v>22</v>
      </c>
      <c r="M3321">
        <v>2.64</v>
      </c>
      <c r="N3321">
        <v>2.97</v>
      </c>
      <c r="O3321">
        <v>0</v>
      </c>
      <c r="P3321">
        <v>6</v>
      </c>
      <c r="Q3321" t="s">
        <v>567</v>
      </c>
      <c r="R3321" s="8" t="s">
        <v>260</v>
      </c>
      <c r="S3321" t="str">
        <f t="shared" si="471"/>
        <v>PA</v>
      </c>
    </row>
    <row r="3322" spans="1:19" x14ac:dyDescent="0.3">
      <c r="A3322" t="s">
        <v>8</v>
      </c>
      <c r="B3322">
        <v>2016210010</v>
      </c>
      <c r="C3322" t="s">
        <v>66</v>
      </c>
      <c r="E3322" t="s">
        <v>439</v>
      </c>
      <c r="F3322" t="s">
        <v>504</v>
      </c>
      <c r="G3322">
        <v>2</v>
      </c>
      <c r="H3322" t="s">
        <v>524</v>
      </c>
      <c r="I3322" s="4">
        <f t="shared" si="472"/>
        <v>2</v>
      </c>
      <c r="J3322">
        <f t="shared" si="473"/>
        <v>4</v>
      </c>
      <c r="K3322">
        <v>22</v>
      </c>
      <c r="L3322">
        <v>8</v>
      </c>
      <c r="M3322">
        <v>2.75</v>
      </c>
      <c r="N3322">
        <v>2.97</v>
      </c>
      <c r="O3322">
        <v>0</v>
      </c>
      <c r="P3322">
        <v>8</v>
      </c>
      <c r="Q3322" t="s">
        <v>569</v>
      </c>
      <c r="R3322" s="8" t="s">
        <v>260</v>
      </c>
      <c r="S3322" t="str">
        <f t="shared" si="471"/>
        <v>PA</v>
      </c>
    </row>
    <row r="3323" spans="1:19" x14ac:dyDescent="0.3">
      <c r="A3323" t="s">
        <v>8</v>
      </c>
      <c r="B3323">
        <v>2016210010</v>
      </c>
      <c r="C3323" t="s">
        <v>66</v>
      </c>
      <c r="E3323" t="s">
        <v>119</v>
      </c>
      <c r="F3323" t="s">
        <v>120</v>
      </c>
      <c r="G3323">
        <v>2</v>
      </c>
      <c r="H3323" t="s">
        <v>524</v>
      </c>
      <c r="I3323" s="4">
        <f t="shared" si="472"/>
        <v>2</v>
      </c>
      <c r="J3323">
        <f t="shared" si="473"/>
        <v>4</v>
      </c>
      <c r="K3323">
        <v>58</v>
      </c>
      <c r="L3323">
        <v>22</v>
      </c>
      <c r="M3323">
        <v>2.64</v>
      </c>
      <c r="N3323">
        <v>2.97</v>
      </c>
      <c r="O3323">
        <v>0</v>
      </c>
      <c r="P3323">
        <v>6</v>
      </c>
      <c r="Q3323" t="s">
        <v>567</v>
      </c>
      <c r="R3323" s="8" t="s">
        <v>260</v>
      </c>
      <c r="S3323" t="str">
        <f t="shared" si="471"/>
        <v>PA</v>
      </c>
    </row>
    <row r="3324" spans="1:19" x14ac:dyDescent="0.3">
      <c r="A3324" t="s">
        <v>8</v>
      </c>
      <c r="B3324">
        <v>2016210010</v>
      </c>
      <c r="C3324" t="s">
        <v>66</v>
      </c>
      <c r="E3324" t="s">
        <v>136</v>
      </c>
      <c r="F3324" t="s">
        <v>137</v>
      </c>
      <c r="G3324">
        <v>4</v>
      </c>
      <c r="H3324" t="s">
        <v>524</v>
      </c>
      <c r="I3324" s="4">
        <f t="shared" si="472"/>
        <v>2</v>
      </c>
      <c r="J3324">
        <f t="shared" si="473"/>
        <v>8</v>
      </c>
      <c r="K3324">
        <v>58</v>
      </c>
      <c r="L3324">
        <v>22</v>
      </c>
      <c r="M3324">
        <v>2.64</v>
      </c>
      <c r="N3324">
        <v>2.97</v>
      </c>
      <c r="O3324">
        <v>0</v>
      </c>
      <c r="P3324">
        <v>6</v>
      </c>
      <c r="Q3324" t="s">
        <v>567</v>
      </c>
      <c r="R3324" s="8" t="s">
        <v>260</v>
      </c>
      <c r="S3324" t="str">
        <f t="shared" si="471"/>
        <v>PA</v>
      </c>
    </row>
    <row r="3325" spans="1:19" x14ac:dyDescent="0.3">
      <c r="A3325" t="s">
        <v>8</v>
      </c>
      <c r="B3325">
        <v>2016210010</v>
      </c>
      <c r="C3325" t="s">
        <v>66</v>
      </c>
      <c r="E3325" t="s">
        <v>112</v>
      </c>
      <c r="F3325" t="s">
        <v>113</v>
      </c>
      <c r="G3325">
        <v>4</v>
      </c>
      <c r="H3325" t="s">
        <v>524</v>
      </c>
      <c r="I3325" s="4">
        <f t="shared" si="472"/>
        <v>2</v>
      </c>
      <c r="J3325">
        <f t="shared" si="473"/>
        <v>8</v>
      </c>
      <c r="K3325">
        <v>48</v>
      </c>
      <c r="L3325">
        <v>20</v>
      </c>
      <c r="M3325" s="2">
        <v>2.4</v>
      </c>
      <c r="N3325">
        <v>2.97</v>
      </c>
      <c r="O3325">
        <v>0</v>
      </c>
      <c r="P3325">
        <v>3</v>
      </c>
      <c r="Q3325" t="s">
        <v>563</v>
      </c>
      <c r="R3325" s="8" t="s">
        <v>260</v>
      </c>
      <c r="S3325" t="str">
        <f t="shared" si="471"/>
        <v>PA</v>
      </c>
    </row>
    <row r="3326" spans="1:19" x14ac:dyDescent="0.3">
      <c r="A3326" t="s">
        <v>8</v>
      </c>
      <c r="B3326">
        <v>2016210010</v>
      </c>
      <c r="C3326" t="s">
        <v>66</v>
      </c>
      <c r="E3326" t="s">
        <v>110</v>
      </c>
      <c r="F3326" t="s">
        <v>111</v>
      </c>
      <c r="G3326">
        <v>4</v>
      </c>
      <c r="H3326" t="s">
        <v>524</v>
      </c>
      <c r="I3326" s="4">
        <f t="shared" si="472"/>
        <v>2</v>
      </c>
      <c r="J3326">
        <f t="shared" si="473"/>
        <v>8</v>
      </c>
      <c r="K3326">
        <v>60</v>
      </c>
      <c r="L3326">
        <v>20</v>
      </c>
      <c r="M3326" s="2">
        <v>3</v>
      </c>
      <c r="N3326">
        <v>2.97</v>
      </c>
      <c r="O3326">
        <v>0</v>
      </c>
      <c r="P3326">
        <v>1</v>
      </c>
      <c r="Q3326" t="s">
        <v>558</v>
      </c>
      <c r="R3326" s="8" t="s">
        <v>260</v>
      </c>
      <c r="S3326" t="str">
        <f t="shared" si="471"/>
        <v>PA</v>
      </c>
    </row>
    <row r="3327" spans="1:19" x14ac:dyDescent="0.3">
      <c r="A3327" t="s">
        <v>8</v>
      </c>
      <c r="B3327">
        <v>2016210010</v>
      </c>
      <c r="C3327" t="s">
        <v>66</v>
      </c>
      <c r="E3327" t="s">
        <v>176</v>
      </c>
      <c r="F3327" t="s">
        <v>177</v>
      </c>
      <c r="G3327">
        <v>4</v>
      </c>
      <c r="H3327" t="s">
        <v>524</v>
      </c>
      <c r="I3327" s="4">
        <f t="shared" si="472"/>
        <v>2</v>
      </c>
      <c r="J3327">
        <f t="shared" si="473"/>
        <v>8</v>
      </c>
      <c r="K3327">
        <v>72</v>
      </c>
      <c r="L3327">
        <v>24</v>
      </c>
      <c r="M3327" s="2">
        <v>3</v>
      </c>
      <c r="N3327">
        <v>2.97</v>
      </c>
      <c r="O3327">
        <v>0</v>
      </c>
      <c r="P3327">
        <v>5</v>
      </c>
      <c r="Q3327" t="s">
        <v>566</v>
      </c>
      <c r="R3327" s="8" t="s">
        <v>260</v>
      </c>
      <c r="S3327" t="str">
        <f t="shared" si="471"/>
        <v>PA</v>
      </c>
    </row>
    <row r="3328" spans="1:19" x14ac:dyDescent="0.3">
      <c r="A3328" t="s">
        <v>8</v>
      </c>
      <c r="B3328">
        <v>2016210010</v>
      </c>
      <c r="C3328" t="s">
        <v>66</v>
      </c>
      <c r="E3328" t="s">
        <v>395</v>
      </c>
      <c r="F3328" t="s">
        <v>396</v>
      </c>
      <c r="G3328">
        <v>2</v>
      </c>
      <c r="H3328" t="s">
        <v>524</v>
      </c>
      <c r="I3328" s="4">
        <f t="shared" si="472"/>
        <v>2</v>
      </c>
      <c r="J3328">
        <f t="shared" si="473"/>
        <v>4</v>
      </c>
      <c r="K3328">
        <v>60</v>
      </c>
      <c r="L3328">
        <v>20</v>
      </c>
      <c r="M3328" s="2">
        <v>3</v>
      </c>
      <c r="N3328">
        <v>2.97</v>
      </c>
      <c r="O3328">
        <v>0</v>
      </c>
      <c r="P3328">
        <v>1</v>
      </c>
      <c r="Q3328" t="s">
        <v>558</v>
      </c>
      <c r="R3328" s="8" t="s">
        <v>260</v>
      </c>
      <c r="S3328" t="str">
        <f t="shared" si="471"/>
        <v>PA</v>
      </c>
    </row>
    <row r="3329" spans="1:19" x14ac:dyDescent="0.3">
      <c r="A3329" t="s">
        <v>8</v>
      </c>
      <c r="B3329">
        <v>2016210010</v>
      </c>
      <c r="C3329" t="s">
        <v>66</v>
      </c>
      <c r="E3329" t="s">
        <v>44</v>
      </c>
      <c r="F3329" t="s">
        <v>45</v>
      </c>
      <c r="G3329">
        <v>2</v>
      </c>
      <c r="H3329" t="s">
        <v>535</v>
      </c>
      <c r="I3329" s="4">
        <f t="shared" si="472"/>
        <v>1</v>
      </c>
      <c r="J3329">
        <f t="shared" si="473"/>
        <v>2</v>
      </c>
      <c r="K3329">
        <v>44</v>
      </c>
      <c r="L3329">
        <v>18</v>
      </c>
      <c r="M3329" s="2">
        <v>2.44</v>
      </c>
      <c r="N3329">
        <v>2.97</v>
      </c>
      <c r="O3329">
        <v>0</v>
      </c>
      <c r="P3329">
        <v>2</v>
      </c>
      <c r="Q3329" t="s">
        <v>559</v>
      </c>
      <c r="R3329" s="8" t="s">
        <v>260</v>
      </c>
      <c r="S3329" t="str">
        <f t="shared" si="471"/>
        <v>FA</v>
      </c>
    </row>
    <row r="3330" spans="1:19" x14ac:dyDescent="0.3">
      <c r="A3330" t="s">
        <v>8</v>
      </c>
      <c r="B3330">
        <v>2016210010</v>
      </c>
      <c r="C3330" t="s">
        <v>66</v>
      </c>
      <c r="E3330" t="s">
        <v>401</v>
      </c>
      <c r="F3330" t="s">
        <v>258</v>
      </c>
      <c r="G3330">
        <v>4</v>
      </c>
      <c r="H3330" t="s">
        <v>535</v>
      </c>
      <c r="I3330" s="4">
        <f t="shared" si="472"/>
        <v>1</v>
      </c>
      <c r="J3330">
        <f t="shared" si="473"/>
        <v>4</v>
      </c>
      <c r="K3330">
        <v>48</v>
      </c>
      <c r="L3330">
        <v>20</v>
      </c>
      <c r="M3330" s="2">
        <v>2.4</v>
      </c>
      <c r="N3330">
        <v>2.97</v>
      </c>
      <c r="O3330">
        <v>0</v>
      </c>
      <c r="P3330">
        <v>3</v>
      </c>
      <c r="Q3330" t="s">
        <v>563</v>
      </c>
      <c r="R3330" s="8" t="s">
        <v>260</v>
      </c>
      <c r="S3330" t="str">
        <f t="shared" si="471"/>
        <v>FA</v>
      </c>
    </row>
    <row r="3331" spans="1:19" x14ac:dyDescent="0.3">
      <c r="A3331" t="s">
        <v>8</v>
      </c>
      <c r="B3331">
        <v>2016210010</v>
      </c>
      <c r="C3331" t="s">
        <v>66</v>
      </c>
      <c r="E3331" t="s">
        <v>232</v>
      </c>
      <c r="F3331" t="s">
        <v>233</v>
      </c>
      <c r="G3331">
        <v>2</v>
      </c>
      <c r="H3331" t="s">
        <v>535</v>
      </c>
      <c r="I3331" s="4">
        <f t="shared" si="472"/>
        <v>1</v>
      </c>
      <c r="J3331">
        <f t="shared" si="473"/>
        <v>2</v>
      </c>
      <c r="K3331">
        <v>58</v>
      </c>
      <c r="L3331">
        <v>22</v>
      </c>
      <c r="M3331">
        <v>2.64</v>
      </c>
      <c r="N3331">
        <v>2.97</v>
      </c>
      <c r="O3331">
        <v>0</v>
      </c>
      <c r="P3331">
        <v>6</v>
      </c>
      <c r="Q3331" t="s">
        <v>567</v>
      </c>
      <c r="R3331" s="8" t="s">
        <v>260</v>
      </c>
      <c r="S3331" t="str">
        <f t="shared" si="471"/>
        <v>FA</v>
      </c>
    </row>
    <row r="3332" spans="1:19" x14ac:dyDescent="0.3">
      <c r="A3332" t="s">
        <v>8</v>
      </c>
      <c r="B3332">
        <v>2016210010</v>
      </c>
      <c r="C3332" t="s">
        <v>66</v>
      </c>
      <c r="E3332" t="s">
        <v>125</v>
      </c>
      <c r="F3332" t="s">
        <v>126</v>
      </c>
      <c r="G3332">
        <v>4</v>
      </c>
      <c r="H3332" t="s">
        <v>535</v>
      </c>
      <c r="I3332" s="4">
        <f t="shared" si="472"/>
        <v>1</v>
      </c>
      <c r="J3332">
        <f t="shared" si="473"/>
        <v>4</v>
      </c>
      <c r="K3332">
        <v>44</v>
      </c>
      <c r="L3332">
        <v>18</v>
      </c>
      <c r="M3332" s="2">
        <v>2.44</v>
      </c>
      <c r="N3332">
        <v>2.97</v>
      </c>
      <c r="O3332">
        <v>0</v>
      </c>
      <c r="P3332">
        <v>2</v>
      </c>
      <c r="Q3332" t="s">
        <v>559</v>
      </c>
      <c r="R3332" s="8" t="s">
        <v>260</v>
      </c>
      <c r="S3332" t="str">
        <f t="shared" si="471"/>
        <v>FA</v>
      </c>
    </row>
    <row r="3333" spans="1:19" x14ac:dyDescent="0.3">
      <c r="A3333" t="s">
        <v>8</v>
      </c>
      <c r="B3333">
        <v>2016210010</v>
      </c>
      <c r="C3333" t="s">
        <v>66</v>
      </c>
      <c r="E3333" t="s">
        <v>44</v>
      </c>
      <c r="F3333" t="s">
        <v>45</v>
      </c>
      <c r="G3333">
        <v>2</v>
      </c>
      <c r="H3333" t="s">
        <v>260</v>
      </c>
      <c r="I3333" s="4">
        <f t="shared" si="472"/>
        <v>4</v>
      </c>
      <c r="J3333">
        <f t="shared" si="473"/>
        <v>8</v>
      </c>
      <c r="K3333">
        <v>38</v>
      </c>
      <c r="L3333">
        <v>12</v>
      </c>
      <c r="M3333" s="2">
        <v>3.17</v>
      </c>
      <c r="N3333">
        <v>2.97</v>
      </c>
      <c r="O3333">
        <v>1</v>
      </c>
      <c r="P3333">
        <v>8</v>
      </c>
      <c r="Q3333" t="s">
        <v>571</v>
      </c>
      <c r="R3333" s="8" t="s">
        <v>260</v>
      </c>
      <c r="S3333" t="str">
        <f t="shared" si="471"/>
        <v>PA</v>
      </c>
    </row>
    <row r="3334" spans="1:19" x14ac:dyDescent="0.3">
      <c r="A3334" t="s">
        <v>8</v>
      </c>
      <c r="B3334">
        <v>2016210010</v>
      </c>
      <c r="C3334" t="s">
        <v>66</v>
      </c>
      <c r="E3334" t="s">
        <v>401</v>
      </c>
      <c r="F3334" t="s">
        <v>258</v>
      </c>
      <c r="G3334">
        <v>4</v>
      </c>
      <c r="H3334" t="s">
        <v>438</v>
      </c>
      <c r="I3334" s="4">
        <f t="shared" si="472"/>
        <v>3</v>
      </c>
      <c r="J3334">
        <f t="shared" si="473"/>
        <v>12</v>
      </c>
      <c r="K3334">
        <v>38</v>
      </c>
      <c r="L3334">
        <v>12</v>
      </c>
      <c r="M3334" s="2">
        <v>3.17</v>
      </c>
      <c r="N3334">
        <v>2.97</v>
      </c>
      <c r="O3334">
        <v>1</v>
      </c>
      <c r="P3334">
        <v>8</v>
      </c>
      <c r="Q3334" t="s">
        <v>571</v>
      </c>
      <c r="R3334" s="8" t="s">
        <v>260</v>
      </c>
      <c r="S3334" t="str">
        <f t="shared" si="471"/>
        <v>PA</v>
      </c>
    </row>
    <row r="3335" spans="1:19" x14ac:dyDescent="0.3">
      <c r="A3335" t="s">
        <v>8</v>
      </c>
      <c r="B3335">
        <v>2016210010</v>
      </c>
      <c r="C3335" t="s">
        <v>66</v>
      </c>
      <c r="E3335" t="s">
        <v>232</v>
      </c>
      <c r="F3335" t="s">
        <v>233</v>
      </c>
      <c r="G3335">
        <v>2</v>
      </c>
      <c r="H3335" t="s">
        <v>438</v>
      </c>
      <c r="I3335" s="4">
        <f t="shared" si="472"/>
        <v>3</v>
      </c>
      <c r="J3335">
        <f t="shared" si="473"/>
        <v>6</v>
      </c>
      <c r="K3335">
        <v>38</v>
      </c>
      <c r="L3335">
        <v>12</v>
      </c>
      <c r="M3335" s="2">
        <v>3.17</v>
      </c>
      <c r="N3335">
        <v>2.97</v>
      </c>
      <c r="O3335">
        <v>1</v>
      </c>
      <c r="P3335">
        <v>8</v>
      </c>
      <c r="Q3335" t="s">
        <v>571</v>
      </c>
      <c r="R3335" s="8" t="s">
        <v>260</v>
      </c>
      <c r="S3335" t="str">
        <f t="shared" si="471"/>
        <v>PA</v>
      </c>
    </row>
    <row r="3336" spans="1:19" x14ac:dyDescent="0.3">
      <c r="A3336" t="s">
        <v>8</v>
      </c>
      <c r="B3336">
        <v>2016210010</v>
      </c>
      <c r="C3336" t="s">
        <v>66</v>
      </c>
      <c r="E3336" t="s">
        <v>125</v>
      </c>
      <c r="F3336" t="s">
        <v>126</v>
      </c>
      <c r="G3336">
        <v>4</v>
      </c>
      <c r="H3336" t="s">
        <v>438</v>
      </c>
      <c r="I3336" s="4">
        <f t="shared" si="472"/>
        <v>3</v>
      </c>
      <c r="J3336">
        <f t="shared" si="473"/>
        <v>12</v>
      </c>
      <c r="K3336">
        <v>38</v>
      </c>
      <c r="L3336">
        <v>12</v>
      </c>
      <c r="M3336" s="2">
        <v>3.17</v>
      </c>
      <c r="N3336">
        <v>2.97</v>
      </c>
      <c r="O3336">
        <v>1</v>
      </c>
      <c r="P3336">
        <v>8</v>
      </c>
      <c r="Q3336" t="s">
        <v>571</v>
      </c>
      <c r="R3336" s="8" t="s">
        <v>260</v>
      </c>
      <c r="S3336" t="str">
        <f t="shared" si="471"/>
        <v>PA</v>
      </c>
    </row>
    <row r="3337" spans="1:19" x14ac:dyDescent="0.3">
      <c r="A3337" t="s">
        <v>8</v>
      </c>
      <c r="B3337">
        <v>2016210011</v>
      </c>
      <c r="C3337" t="s">
        <v>70</v>
      </c>
      <c r="E3337" t="s">
        <v>19</v>
      </c>
      <c r="F3337" t="s">
        <v>20</v>
      </c>
      <c r="G3337">
        <v>6</v>
      </c>
      <c r="I3337" s="4"/>
      <c r="J3337">
        <f t="shared" ref="J3337:J3338" si="474">G3337*I3337</f>
        <v>0</v>
      </c>
      <c r="K3337">
        <v>6</v>
      </c>
      <c r="L3337">
        <v>2</v>
      </c>
      <c r="M3337" s="2">
        <v>3</v>
      </c>
      <c r="N3337">
        <v>2.85</v>
      </c>
      <c r="O3337">
        <v>0</v>
      </c>
      <c r="P3337">
        <v>9</v>
      </c>
      <c r="Q3337" t="s">
        <v>570</v>
      </c>
      <c r="R3337" s="8" t="s">
        <v>260</v>
      </c>
      <c r="S3337" t="s">
        <v>595</v>
      </c>
    </row>
    <row r="3338" spans="1:19" x14ac:dyDescent="0.3">
      <c r="A3338" t="s">
        <v>8</v>
      </c>
      <c r="B3338">
        <v>2016210011</v>
      </c>
      <c r="C3338" t="s">
        <v>70</v>
      </c>
      <c r="E3338" t="s">
        <v>19</v>
      </c>
      <c r="F3338" t="s">
        <v>20</v>
      </c>
      <c r="G3338">
        <v>6</v>
      </c>
      <c r="H3338" t="s">
        <v>438</v>
      </c>
      <c r="I3338" s="4">
        <f t="shared" ref="I3338" si="475">IF(H3338="A",4,IF(H3338="B",3,IF(H3338="C",2,IF(H3338="D",1,0))))</f>
        <v>3</v>
      </c>
      <c r="J3338">
        <f t="shared" si="474"/>
        <v>18</v>
      </c>
      <c r="K3338">
        <v>18</v>
      </c>
      <c r="L3338">
        <v>6</v>
      </c>
      <c r="M3338" s="2">
        <v>3</v>
      </c>
      <c r="N3338">
        <v>2.85</v>
      </c>
      <c r="O3338">
        <v>1</v>
      </c>
      <c r="P3338">
        <v>10</v>
      </c>
      <c r="Q3338" t="s">
        <v>560</v>
      </c>
      <c r="R3338" t="s">
        <v>596</v>
      </c>
      <c r="S3338" t="str">
        <f t="shared" ref="S3338:S3393" si="476">IF(OR(H3338="A",H3338="B",H3338="C"),"PA","FA")</f>
        <v>PA</v>
      </c>
    </row>
    <row r="3339" spans="1:19" x14ac:dyDescent="0.3">
      <c r="A3339" t="s">
        <v>8</v>
      </c>
      <c r="B3339">
        <v>2016210011</v>
      </c>
      <c r="C3339" t="s">
        <v>70</v>
      </c>
      <c r="E3339" t="s">
        <v>87</v>
      </c>
      <c r="F3339" t="s">
        <v>88</v>
      </c>
      <c r="G3339">
        <v>2</v>
      </c>
      <c r="H3339" t="s">
        <v>260</v>
      </c>
      <c r="I3339" s="4">
        <f t="shared" ref="I3339:I3393" si="477">IF(H3339="A",4,IF(H3339="B",3,IF(H3339="C",2,IF(H3339="D",1,0))))</f>
        <v>4</v>
      </c>
      <c r="J3339">
        <f t="shared" ref="J3339:J3393" si="478">G3339*I3339</f>
        <v>8</v>
      </c>
      <c r="K3339">
        <v>64</v>
      </c>
      <c r="L3339">
        <v>22</v>
      </c>
      <c r="M3339">
        <v>2.91</v>
      </c>
      <c r="N3339">
        <v>2.85</v>
      </c>
      <c r="O3339">
        <v>0</v>
      </c>
      <c r="P3339">
        <v>6</v>
      </c>
      <c r="Q3339" t="s">
        <v>567</v>
      </c>
      <c r="R3339" s="8" t="s">
        <v>260</v>
      </c>
      <c r="S3339" t="str">
        <f t="shared" si="476"/>
        <v>PA</v>
      </c>
    </row>
    <row r="3340" spans="1:19" x14ac:dyDescent="0.3">
      <c r="A3340" t="s">
        <v>8</v>
      </c>
      <c r="B3340">
        <v>2016210011</v>
      </c>
      <c r="C3340" t="s">
        <v>70</v>
      </c>
      <c r="E3340" t="s">
        <v>597</v>
      </c>
      <c r="F3340" t="s">
        <v>275</v>
      </c>
      <c r="G3340">
        <v>2</v>
      </c>
      <c r="H3340" t="s">
        <v>260</v>
      </c>
      <c r="I3340" s="4">
        <f t="shared" si="477"/>
        <v>4</v>
      </c>
      <c r="J3340">
        <f t="shared" si="478"/>
        <v>8</v>
      </c>
      <c r="K3340">
        <v>64</v>
      </c>
      <c r="L3340">
        <v>22</v>
      </c>
      <c r="M3340">
        <v>2.91</v>
      </c>
      <c r="N3340">
        <v>2.85</v>
      </c>
      <c r="O3340">
        <v>0</v>
      </c>
      <c r="P3340">
        <v>6</v>
      </c>
      <c r="Q3340" t="s">
        <v>567</v>
      </c>
      <c r="R3340" s="8" t="s">
        <v>260</v>
      </c>
      <c r="S3340" t="str">
        <f t="shared" si="476"/>
        <v>PA</v>
      </c>
    </row>
    <row r="3341" spans="1:19" x14ac:dyDescent="0.3">
      <c r="A3341" t="s">
        <v>8</v>
      </c>
      <c r="B3341">
        <v>2016210011</v>
      </c>
      <c r="C3341" t="s">
        <v>70</v>
      </c>
      <c r="E3341" t="s">
        <v>369</v>
      </c>
      <c r="F3341" t="s">
        <v>307</v>
      </c>
      <c r="G3341">
        <v>2</v>
      </c>
      <c r="H3341" t="s">
        <v>260</v>
      </c>
      <c r="I3341" s="4">
        <f t="shared" si="477"/>
        <v>4</v>
      </c>
      <c r="J3341">
        <f t="shared" si="478"/>
        <v>8</v>
      </c>
      <c r="K3341">
        <v>64</v>
      </c>
      <c r="L3341">
        <v>22</v>
      </c>
      <c r="M3341">
        <v>2.91</v>
      </c>
      <c r="N3341">
        <v>2.85</v>
      </c>
      <c r="O3341">
        <v>0</v>
      </c>
      <c r="P3341">
        <v>6</v>
      </c>
      <c r="Q3341" t="s">
        <v>567</v>
      </c>
      <c r="R3341" s="8" t="s">
        <v>260</v>
      </c>
      <c r="S3341" t="str">
        <f t="shared" si="476"/>
        <v>PA</v>
      </c>
    </row>
    <row r="3342" spans="1:19" x14ac:dyDescent="0.3">
      <c r="A3342" t="s">
        <v>8</v>
      </c>
      <c r="B3342">
        <v>2016210011</v>
      </c>
      <c r="C3342" t="s">
        <v>70</v>
      </c>
      <c r="E3342" t="s">
        <v>77</v>
      </c>
      <c r="F3342" t="s">
        <v>78</v>
      </c>
      <c r="G3342">
        <v>2</v>
      </c>
      <c r="H3342" t="s">
        <v>260</v>
      </c>
      <c r="I3342" s="4">
        <f t="shared" si="477"/>
        <v>4</v>
      </c>
      <c r="J3342">
        <f t="shared" si="478"/>
        <v>8</v>
      </c>
      <c r="K3342">
        <v>56</v>
      </c>
      <c r="L3342">
        <v>20</v>
      </c>
      <c r="M3342" s="2">
        <v>2.8</v>
      </c>
      <c r="N3342">
        <v>2.85</v>
      </c>
      <c r="O3342">
        <v>0</v>
      </c>
      <c r="P3342">
        <v>1</v>
      </c>
      <c r="Q3342" t="s">
        <v>558</v>
      </c>
      <c r="R3342" s="8" t="s">
        <v>260</v>
      </c>
      <c r="S3342" t="str">
        <f t="shared" si="476"/>
        <v>PA</v>
      </c>
    </row>
    <row r="3343" spans="1:19" x14ac:dyDescent="0.3">
      <c r="A3343" t="s">
        <v>8</v>
      </c>
      <c r="B3343">
        <v>2016210011</v>
      </c>
      <c r="C3343" t="s">
        <v>70</v>
      </c>
      <c r="E3343" t="s">
        <v>242</v>
      </c>
      <c r="F3343" t="s">
        <v>166</v>
      </c>
      <c r="G3343">
        <v>2</v>
      </c>
      <c r="H3343" t="s">
        <v>260</v>
      </c>
      <c r="I3343" s="4">
        <f t="shared" si="477"/>
        <v>4</v>
      </c>
      <c r="J3343">
        <f t="shared" si="478"/>
        <v>8</v>
      </c>
      <c r="K3343">
        <v>52</v>
      </c>
      <c r="L3343">
        <v>18</v>
      </c>
      <c r="M3343">
        <v>2.89</v>
      </c>
      <c r="N3343">
        <v>2.85</v>
      </c>
      <c r="O3343">
        <v>0</v>
      </c>
      <c r="P3343">
        <v>4</v>
      </c>
      <c r="Q3343" t="s">
        <v>565</v>
      </c>
      <c r="R3343" s="8" t="s">
        <v>260</v>
      </c>
      <c r="S3343" t="str">
        <f t="shared" si="476"/>
        <v>PA</v>
      </c>
    </row>
    <row r="3344" spans="1:19" x14ac:dyDescent="0.3">
      <c r="A3344" t="s">
        <v>8</v>
      </c>
      <c r="B3344">
        <v>2016210011</v>
      </c>
      <c r="C3344" t="s">
        <v>70</v>
      </c>
      <c r="E3344" t="s">
        <v>115</v>
      </c>
      <c r="F3344" t="s">
        <v>116</v>
      </c>
      <c r="G3344">
        <v>4</v>
      </c>
      <c r="H3344" t="s">
        <v>438</v>
      </c>
      <c r="I3344" s="4">
        <f t="shared" si="477"/>
        <v>3</v>
      </c>
      <c r="J3344">
        <f t="shared" si="478"/>
        <v>12</v>
      </c>
      <c r="K3344">
        <v>40</v>
      </c>
      <c r="L3344">
        <v>18</v>
      </c>
      <c r="M3344">
        <v>2.2200000000000002</v>
      </c>
      <c r="N3344">
        <v>2.85</v>
      </c>
      <c r="O3344">
        <v>0</v>
      </c>
      <c r="P3344">
        <v>2</v>
      </c>
      <c r="Q3344" t="s">
        <v>559</v>
      </c>
      <c r="R3344" s="8" t="s">
        <v>260</v>
      </c>
      <c r="S3344" t="str">
        <f t="shared" si="476"/>
        <v>PA</v>
      </c>
    </row>
    <row r="3345" spans="1:19" x14ac:dyDescent="0.3">
      <c r="A3345" t="s">
        <v>8</v>
      </c>
      <c r="B3345">
        <v>2016210011</v>
      </c>
      <c r="C3345" t="s">
        <v>70</v>
      </c>
      <c r="E3345" t="s">
        <v>216</v>
      </c>
      <c r="F3345" t="s">
        <v>217</v>
      </c>
      <c r="G3345">
        <v>2</v>
      </c>
      <c r="H3345" t="s">
        <v>438</v>
      </c>
      <c r="I3345" s="4">
        <f t="shared" si="477"/>
        <v>3</v>
      </c>
      <c r="J3345">
        <f t="shared" si="478"/>
        <v>6</v>
      </c>
      <c r="K3345">
        <v>52</v>
      </c>
      <c r="L3345">
        <v>18</v>
      </c>
      <c r="M3345">
        <v>2.89</v>
      </c>
      <c r="N3345">
        <v>2.85</v>
      </c>
      <c r="O3345">
        <v>0</v>
      </c>
      <c r="P3345">
        <v>4</v>
      </c>
      <c r="Q3345" t="s">
        <v>565</v>
      </c>
      <c r="R3345" s="8" t="s">
        <v>260</v>
      </c>
      <c r="S3345" t="str">
        <f t="shared" si="476"/>
        <v>PA</v>
      </c>
    </row>
    <row r="3346" spans="1:19" x14ac:dyDescent="0.3">
      <c r="A3346" t="s">
        <v>8</v>
      </c>
      <c r="B3346">
        <v>2016210011</v>
      </c>
      <c r="C3346" t="s">
        <v>70</v>
      </c>
      <c r="E3346" t="s">
        <v>107</v>
      </c>
      <c r="F3346" t="s">
        <v>108</v>
      </c>
      <c r="G3346">
        <v>2</v>
      </c>
      <c r="H3346" t="s">
        <v>438</v>
      </c>
      <c r="I3346" s="4">
        <f t="shared" si="477"/>
        <v>3</v>
      </c>
      <c r="J3346">
        <f t="shared" si="478"/>
        <v>6</v>
      </c>
      <c r="K3346">
        <v>64</v>
      </c>
      <c r="L3346">
        <v>22</v>
      </c>
      <c r="M3346">
        <v>2.91</v>
      </c>
      <c r="N3346">
        <v>2.85</v>
      </c>
      <c r="O3346">
        <v>0</v>
      </c>
      <c r="P3346">
        <v>6</v>
      </c>
      <c r="Q3346" t="s">
        <v>567</v>
      </c>
      <c r="R3346" s="8" t="s">
        <v>260</v>
      </c>
      <c r="S3346" t="str">
        <f t="shared" si="476"/>
        <v>PA</v>
      </c>
    </row>
    <row r="3347" spans="1:19" x14ac:dyDescent="0.3">
      <c r="A3347" t="s">
        <v>8</v>
      </c>
      <c r="B3347">
        <v>2016210011</v>
      </c>
      <c r="C3347" t="s">
        <v>70</v>
      </c>
      <c r="E3347" t="s">
        <v>391</v>
      </c>
      <c r="F3347" t="s">
        <v>392</v>
      </c>
      <c r="G3347">
        <v>2</v>
      </c>
      <c r="H3347" t="s">
        <v>438</v>
      </c>
      <c r="I3347" s="4">
        <f t="shared" si="477"/>
        <v>3</v>
      </c>
      <c r="J3347">
        <f t="shared" si="478"/>
        <v>6</v>
      </c>
      <c r="K3347">
        <v>56</v>
      </c>
      <c r="L3347">
        <v>20</v>
      </c>
      <c r="M3347" s="2">
        <v>2.8</v>
      </c>
      <c r="N3347">
        <v>2.85</v>
      </c>
      <c r="O3347">
        <v>0</v>
      </c>
      <c r="P3347">
        <v>5</v>
      </c>
      <c r="Q3347" t="s">
        <v>566</v>
      </c>
      <c r="R3347" s="8" t="s">
        <v>260</v>
      </c>
      <c r="S3347" t="str">
        <f t="shared" si="476"/>
        <v>PA</v>
      </c>
    </row>
    <row r="3348" spans="1:19" x14ac:dyDescent="0.3">
      <c r="A3348" t="s">
        <v>8</v>
      </c>
      <c r="B3348">
        <v>2016210011</v>
      </c>
      <c r="C3348" t="s">
        <v>70</v>
      </c>
      <c r="E3348" t="s">
        <v>279</v>
      </c>
      <c r="F3348" t="s">
        <v>280</v>
      </c>
      <c r="G3348">
        <v>2</v>
      </c>
      <c r="H3348" t="s">
        <v>438</v>
      </c>
      <c r="I3348" s="4">
        <f t="shared" si="477"/>
        <v>3</v>
      </c>
      <c r="J3348">
        <f t="shared" si="478"/>
        <v>6</v>
      </c>
      <c r="K3348">
        <v>40</v>
      </c>
      <c r="L3348">
        <v>18</v>
      </c>
      <c r="M3348">
        <v>2.2200000000000002</v>
      </c>
      <c r="N3348">
        <v>2.85</v>
      </c>
      <c r="O3348">
        <v>0</v>
      </c>
      <c r="P3348">
        <v>2</v>
      </c>
      <c r="Q3348" t="s">
        <v>559</v>
      </c>
      <c r="R3348" s="8" t="s">
        <v>260</v>
      </c>
      <c r="S3348" t="str">
        <f t="shared" si="476"/>
        <v>PA</v>
      </c>
    </row>
    <row r="3349" spans="1:19" x14ac:dyDescent="0.3">
      <c r="A3349" t="s">
        <v>8</v>
      </c>
      <c r="B3349">
        <v>2016210011</v>
      </c>
      <c r="C3349" t="s">
        <v>70</v>
      </c>
      <c r="E3349" t="s">
        <v>407</v>
      </c>
      <c r="F3349" t="s">
        <v>312</v>
      </c>
      <c r="G3349">
        <v>2</v>
      </c>
      <c r="H3349" t="s">
        <v>438</v>
      </c>
      <c r="I3349" s="4">
        <f t="shared" si="477"/>
        <v>3</v>
      </c>
      <c r="J3349">
        <f t="shared" si="478"/>
        <v>6</v>
      </c>
      <c r="K3349">
        <v>42</v>
      </c>
      <c r="L3349">
        <v>14</v>
      </c>
      <c r="M3349" s="2">
        <v>3</v>
      </c>
      <c r="N3349">
        <v>2.85</v>
      </c>
      <c r="O3349">
        <v>0</v>
      </c>
      <c r="P3349">
        <v>7</v>
      </c>
      <c r="Q3349" t="s">
        <v>568</v>
      </c>
      <c r="R3349" s="8" t="s">
        <v>260</v>
      </c>
      <c r="S3349" t="str">
        <f t="shared" si="476"/>
        <v>PA</v>
      </c>
    </row>
    <row r="3350" spans="1:19" x14ac:dyDescent="0.3">
      <c r="A3350" t="s">
        <v>8</v>
      </c>
      <c r="B3350">
        <v>2016210011</v>
      </c>
      <c r="C3350" t="s">
        <v>70</v>
      </c>
      <c r="E3350" t="s">
        <v>352</v>
      </c>
      <c r="F3350" t="s">
        <v>353</v>
      </c>
      <c r="G3350">
        <v>2</v>
      </c>
      <c r="H3350" t="s">
        <v>438</v>
      </c>
      <c r="I3350" s="4">
        <f t="shared" si="477"/>
        <v>3</v>
      </c>
      <c r="J3350">
        <f t="shared" si="478"/>
        <v>6</v>
      </c>
      <c r="K3350">
        <v>56</v>
      </c>
      <c r="L3350">
        <v>20</v>
      </c>
      <c r="M3350" s="2">
        <v>2.8</v>
      </c>
      <c r="N3350">
        <v>2.85</v>
      </c>
      <c r="O3350">
        <v>0</v>
      </c>
      <c r="P3350">
        <v>5</v>
      </c>
      <c r="Q3350" t="s">
        <v>566</v>
      </c>
      <c r="R3350" s="8" t="s">
        <v>260</v>
      </c>
      <c r="S3350" t="str">
        <f t="shared" si="476"/>
        <v>PA</v>
      </c>
    </row>
    <row r="3351" spans="1:19" x14ac:dyDescent="0.3">
      <c r="A3351" t="s">
        <v>8</v>
      </c>
      <c r="B3351">
        <v>2016210011</v>
      </c>
      <c r="C3351" t="s">
        <v>70</v>
      </c>
      <c r="E3351" t="s">
        <v>219</v>
      </c>
      <c r="F3351" t="s">
        <v>473</v>
      </c>
      <c r="G3351">
        <v>2</v>
      </c>
      <c r="H3351" t="s">
        <v>438</v>
      </c>
      <c r="I3351" s="4">
        <f t="shared" si="477"/>
        <v>3</v>
      </c>
      <c r="J3351">
        <f t="shared" si="478"/>
        <v>6</v>
      </c>
      <c r="K3351">
        <v>42</v>
      </c>
      <c r="L3351">
        <v>14</v>
      </c>
      <c r="M3351" s="2">
        <v>3</v>
      </c>
      <c r="N3351">
        <v>2.85</v>
      </c>
      <c r="O3351">
        <v>0</v>
      </c>
      <c r="P3351">
        <v>7</v>
      </c>
      <c r="Q3351" t="s">
        <v>568</v>
      </c>
      <c r="R3351" s="8" t="s">
        <v>260</v>
      </c>
      <c r="S3351" t="str">
        <f t="shared" si="476"/>
        <v>PA</v>
      </c>
    </row>
    <row r="3352" spans="1:19" x14ac:dyDescent="0.3">
      <c r="A3352" t="s">
        <v>8</v>
      </c>
      <c r="B3352">
        <v>2016210011</v>
      </c>
      <c r="C3352" t="s">
        <v>70</v>
      </c>
      <c r="E3352" t="s">
        <v>362</v>
      </c>
      <c r="F3352" t="s">
        <v>363</v>
      </c>
      <c r="G3352">
        <v>2</v>
      </c>
      <c r="H3352" t="s">
        <v>438</v>
      </c>
      <c r="I3352" s="4">
        <f t="shared" si="477"/>
        <v>3</v>
      </c>
      <c r="J3352">
        <f t="shared" si="478"/>
        <v>6</v>
      </c>
      <c r="K3352">
        <v>56</v>
      </c>
      <c r="L3352">
        <v>20</v>
      </c>
      <c r="M3352" s="2">
        <v>2.8</v>
      </c>
      <c r="N3352">
        <v>2.85</v>
      </c>
      <c r="O3352">
        <v>0</v>
      </c>
      <c r="P3352">
        <v>5</v>
      </c>
      <c r="Q3352" t="s">
        <v>566</v>
      </c>
      <c r="R3352" s="8" t="s">
        <v>260</v>
      </c>
      <c r="S3352" t="str">
        <f t="shared" si="476"/>
        <v>PA</v>
      </c>
    </row>
    <row r="3353" spans="1:19" x14ac:dyDescent="0.3">
      <c r="A3353" t="s">
        <v>8</v>
      </c>
      <c r="B3353">
        <v>2016210011</v>
      </c>
      <c r="C3353" t="s">
        <v>70</v>
      </c>
      <c r="E3353" t="s">
        <v>136</v>
      </c>
      <c r="F3353" t="s">
        <v>137</v>
      </c>
      <c r="G3353">
        <v>4</v>
      </c>
      <c r="H3353" t="s">
        <v>438</v>
      </c>
      <c r="I3353" s="4">
        <f t="shared" si="477"/>
        <v>3</v>
      </c>
      <c r="J3353">
        <f t="shared" si="478"/>
        <v>12</v>
      </c>
      <c r="K3353">
        <v>34</v>
      </c>
      <c r="L3353">
        <v>12</v>
      </c>
      <c r="M3353" s="2">
        <v>2.83</v>
      </c>
      <c r="N3353">
        <v>2.85</v>
      </c>
      <c r="O3353">
        <v>0</v>
      </c>
      <c r="P3353">
        <v>8</v>
      </c>
      <c r="Q3353" t="s">
        <v>569</v>
      </c>
      <c r="R3353" s="8" t="s">
        <v>260</v>
      </c>
      <c r="S3353" t="str">
        <f t="shared" si="476"/>
        <v>PA</v>
      </c>
    </row>
    <row r="3354" spans="1:19" x14ac:dyDescent="0.3">
      <c r="A3354" t="s">
        <v>8</v>
      </c>
      <c r="B3354">
        <v>2016210011</v>
      </c>
      <c r="C3354" t="s">
        <v>70</v>
      </c>
      <c r="E3354" t="s">
        <v>176</v>
      </c>
      <c r="F3354" t="s">
        <v>177</v>
      </c>
      <c r="G3354">
        <v>4</v>
      </c>
      <c r="H3354" t="s">
        <v>438</v>
      </c>
      <c r="I3354" s="4">
        <f t="shared" si="477"/>
        <v>3</v>
      </c>
      <c r="J3354">
        <f t="shared" si="478"/>
        <v>12</v>
      </c>
      <c r="K3354">
        <v>56</v>
      </c>
      <c r="L3354">
        <v>20</v>
      </c>
      <c r="M3354" s="2">
        <v>2.8</v>
      </c>
      <c r="N3354">
        <v>2.85</v>
      </c>
      <c r="O3354">
        <v>0</v>
      </c>
      <c r="P3354">
        <v>5</v>
      </c>
      <c r="Q3354" t="s">
        <v>566</v>
      </c>
      <c r="R3354" s="8" t="s">
        <v>260</v>
      </c>
      <c r="S3354" t="str">
        <f t="shared" si="476"/>
        <v>PA</v>
      </c>
    </row>
    <row r="3355" spans="1:19" x14ac:dyDescent="0.3">
      <c r="A3355" t="s">
        <v>8</v>
      </c>
      <c r="B3355">
        <v>2016210011</v>
      </c>
      <c r="C3355" t="s">
        <v>70</v>
      </c>
      <c r="E3355" t="s">
        <v>250</v>
      </c>
      <c r="F3355" t="s">
        <v>429</v>
      </c>
      <c r="G3355">
        <v>2</v>
      </c>
      <c r="H3355" t="s">
        <v>438</v>
      </c>
      <c r="I3355" s="4">
        <f t="shared" si="477"/>
        <v>3</v>
      </c>
      <c r="J3355">
        <f t="shared" si="478"/>
        <v>6</v>
      </c>
      <c r="K3355">
        <v>34</v>
      </c>
      <c r="L3355">
        <v>12</v>
      </c>
      <c r="M3355" s="2">
        <v>2.83</v>
      </c>
      <c r="N3355">
        <v>2.85</v>
      </c>
      <c r="O3355">
        <v>0</v>
      </c>
      <c r="P3355">
        <v>8</v>
      </c>
      <c r="Q3355" t="s">
        <v>569</v>
      </c>
      <c r="R3355" s="8" t="s">
        <v>260</v>
      </c>
      <c r="S3355" t="str">
        <f t="shared" si="476"/>
        <v>PA</v>
      </c>
    </row>
    <row r="3356" spans="1:19" x14ac:dyDescent="0.3">
      <c r="A3356" t="s">
        <v>8</v>
      </c>
      <c r="B3356">
        <v>2016210011</v>
      </c>
      <c r="C3356" t="s">
        <v>70</v>
      </c>
      <c r="E3356" t="s">
        <v>238</v>
      </c>
      <c r="F3356" t="s">
        <v>239</v>
      </c>
      <c r="G3356">
        <v>4</v>
      </c>
      <c r="H3356" t="s">
        <v>438</v>
      </c>
      <c r="I3356" s="4">
        <f t="shared" si="477"/>
        <v>3</v>
      </c>
      <c r="J3356">
        <f t="shared" si="478"/>
        <v>12</v>
      </c>
      <c r="K3356">
        <v>64</v>
      </c>
      <c r="L3356">
        <v>22</v>
      </c>
      <c r="M3356">
        <v>2.91</v>
      </c>
      <c r="N3356">
        <v>2.85</v>
      </c>
      <c r="O3356">
        <v>0</v>
      </c>
      <c r="P3356">
        <v>6</v>
      </c>
      <c r="Q3356" t="s">
        <v>567</v>
      </c>
      <c r="R3356" s="8" t="s">
        <v>260</v>
      </c>
      <c r="S3356" t="str">
        <f t="shared" si="476"/>
        <v>PA</v>
      </c>
    </row>
    <row r="3357" spans="1:19" x14ac:dyDescent="0.3">
      <c r="A3357" t="s">
        <v>8</v>
      </c>
      <c r="B3357">
        <v>2016210011</v>
      </c>
      <c r="C3357" t="s">
        <v>70</v>
      </c>
      <c r="E3357" t="s">
        <v>105</v>
      </c>
      <c r="F3357" t="s">
        <v>106</v>
      </c>
      <c r="G3357">
        <v>2</v>
      </c>
      <c r="H3357" t="s">
        <v>438</v>
      </c>
      <c r="I3357" s="4">
        <f t="shared" si="477"/>
        <v>3</v>
      </c>
      <c r="J3357">
        <f t="shared" si="478"/>
        <v>6</v>
      </c>
      <c r="K3357">
        <v>6</v>
      </c>
      <c r="L3357">
        <v>2</v>
      </c>
      <c r="M3357" s="2">
        <v>3</v>
      </c>
      <c r="N3357">
        <v>2.85</v>
      </c>
      <c r="O3357">
        <v>0</v>
      </c>
      <c r="P3357">
        <v>9</v>
      </c>
      <c r="Q3357" t="s">
        <v>570</v>
      </c>
      <c r="R3357" s="8" t="s">
        <v>260</v>
      </c>
      <c r="S3357" t="str">
        <f t="shared" si="476"/>
        <v>PA</v>
      </c>
    </row>
    <row r="3358" spans="1:19" x14ac:dyDescent="0.3">
      <c r="A3358" t="s">
        <v>8</v>
      </c>
      <c r="B3358">
        <v>2016210011</v>
      </c>
      <c r="C3358" t="s">
        <v>70</v>
      </c>
      <c r="E3358" t="s">
        <v>163</v>
      </c>
      <c r="F3358" t="s">
        <v>164</v>
      </c>
      <c r="G3358">
        <v>2</v>
      </c>
      <c r="H3358" t="s">
        <v>438</v>
      </c>
      <c r="I3358" s="4">
        <f t="shared" si="477"/>
        <v>3</v>
      </c>
      <c r="J3358">
        <f t="shared" si="478"/>
        <v>6</v>
      </c>
      <c r="K3358">
        <v>56</v>
      </c>
      <c r="L3358">
        <v>20</v>
      </c>
      <c r="M3358" s="2">
        <v>2.8</v>
      </c>
      <c r="N3358">
        <v>2.85</v>
      </c>
      <c r="O3358">
        <v>0</v>
      </c>
      <c r="P3358">
        <v>1</v>
      </c>
      <c r="Q3358" t="s">
        <v>558</v>
      </c>
      <c r="R3358" s="8" t="s">
        <v>260</v>
      </c>
      <c r="S3358" t="str">
        <f t="shared" si="476"/>
        <v>PA</v>
      </c>
    </row>
    <row r="3359" spans="1:19" x14ac:dyDescent="0.3">
      <c r="A3359" t="s">
        <v>8</v>
      </c>
      <c r="B3359">
        <v>2016210011</v>
      </c>
      <c r="C3359" t="s">
        <v>70</v>
      </c>
      <c r="E3359" t="s">
        <v>147</v>
      </c>
      <c r="F3359" t="s">
        <v>148</v>
      </c>
      <c r="G3359">
        <v>4</v>
      </c>
      <c r="H3359" t="s">
        <v>438</v>
      </c>
      <c r="I3359" s="4">
        <f t="shared" si="477"/>
        <v>3</v>
      </c>
      <c r="J3359">
        <f t="shared" si="478"/>
        <v>12</v>
      </c>
      <c r="K3359">
        <v>56</v>
      </c>
      <c r="L3359">
        <v>20</v>
      </c>
      <c r="M3359" s="2">
        <v>2.8</v>
      </c>
      <c r="N3359">
        <v>2.85</v>
      </c>
      <c r="O3359">
        <v>0</v>
      </c>
      <c r="P3359">
        <v>1</v>
      </c>
      <c r="Q3359" t="s">
        <v>558</v>
      </c>
      <c r="R3359" s="8" t="s">
        <v>260</v>
      </c>
      <c r="S3359" t="str">
        <f t="shared" si="476"/>
        <v>PA</v>
      </c>
    </row>
    <row r="3360" spans="1:19" x14ac:dyDescent="0.3">
      <c r="A3360" t="s">
        <v>8</v>
      </c>
      <c r="B3360">
        <v>2016210011</v>
      </c>
      <c r="C3360" t="s">
        <v>70</v>
      </c>
      <c r="E3360" t="s">
        <v>246</v>
      </c>
      <c r="F3360" t="s">
        <v>247</v>
      </c>
      <c r="G3360">
        <v>4</v>
      </c>
      <c r="H3360" t="s">
        <v>438</v>
      </c>
      <c r="I3360" s="4">
        <f t="shared" si="477"/>
        <v>3</v>
      </c>
      <c r="J3360">
        <f t="shared" si="478"/>
        <v>12</v>
      </c>
      <c r="K3360">
        <v>52</v>
      </c>
      <c r="L3360">
        <v>18</v>
      </c>
      <c r="M3360">
        <v>2.89</v>
      </c>
      <c r="N3360">
        <v>2.85</v>
      </c>
      <c r="O3360">
        <v>0</v>
      </c>
      <c r="P3360">
        <v>4</v>
      </c>
      <c r="Q3360" t="s">
        <v>565</v>
      </c>
      <c r="R3360" s="8" t="s">
        <v>260</v>
      </c>
      <c r="S3360" t="str">
        <f t="shared" si="476"/>
        <v>PA</v>
      </c>
    </row>
    <row r="3361" spans="1:19" x14ac:dyDescent="0.3">
      <c r="A3361" t="s">
        <v>8</v>
      </c>
      <c r="B3361">
        <v>2016210011</v>
      </c>
      <c r="C3361" t="s">
        <v>70</v>
      </c>
      <c r="E3361" t="s">
        <v>117</v>
      </c>
      <c r="F3361" t="s">
        <v>118</v>
      </c>
      <c r="G3361">
        <v>2</v>
      </c>
      <c r="H3361" t="s">
        <v>438</v>
      </c>
      <c r="I3361" s="4">
        <f t="shared" si="477"/>
        <v>3</v>
      </c>
      <c r="J3361">
        <f t="shared" si="478"/>
        <v>6</v>
      </c>
      <c r="K3361">
        <v>40</v>
      </c>
      <c r="L3361">
        <v>18</v>
      </c>
      <c r="M3361">
        <v>2.2200000000000002</v>
      </c>
      <c r="N3361">
        <v>2.85</v>
      </c>
      <c r="O3361">
        <v>0</v>
      </c>
      <c r="P3361">
        <v>2</v>
      </c>
      <c r="Q3361" t="s">
        <v>559</v>
      </c>
      <c r="R3361" s="8" t="s">
        <v>260</v>
      </c>
      <c r="S3361" t="str">
        <f t="shared" si="476"/>
        <v>PA</v>
      </c>
    </row>
    <row r="3362" spans="1:19" x14ac:dyDescent="0.3">
      <c r="A3362" t="s">
        <v>8</v>
      </c>
      <c r="B3362">
        <v>2016210011</v>
      </c>
      <c r="C3362" t="s">
        <v>70</v>
      </c>
      <c r="E3362" t="s">
        <v>253</v>
      </c>
      <c r="F3362" t="s">
        <v>254</v>
      </c>
      <c r="G3362">
        <v>2</v>
      </c>
      <c r="H3362" t="s">
        <v>438</v>
      </c>
      <c r="I3362" s="4">
        <f t="shared" si="477"/>
        <v>3</v>
      </c>
      <c r="J3362">
        <f t="shared" si="478"/>
        <v>6</v>
      </c>
      <c r="K3362">
        <v>52</v>
      </c>
      <c r="L3362">
        <v>18</v>
      </c>
      <c r="M3362">
        <v>2.89</v>
      </c>
      <c r="N3362">
        <v>2.85</v>
      </c>
      <c r="O3362">
        <v>0</v>
      </c>
      <c r="P3362">
        <v>4</v>
      </c>
      <c r="Q3362" t="s">
        <v>565</v>
      </c>
      <c r="R3362" s="8" t="s">
        <v>260</v>
      </c>
      <c r="S3362" t="str">
        <f t="shared" si="476"/>
        <v>PA</v>
      </c>
    </row>
    <row r="3363" spans="1:19" x14ac:dyDescent="0.3">
      <c r="A3363" t="s">
        <v>8</v>
      </c>
      <c r="B3363">
        <v>2016210011</v>
      </c>
      <c r="C3363" t="s">
        <v>70</v>
      </c>
      <c r="E3363" t="s">
        <v>185</v>
      </c>
      <c r="F3363" t="s">
        <v>186</v>
      </c>
      <c r="G3363">
        <v>4</v>
      </c>
      <c r="H3363" t="s">
        <v>438</v>
      </c>
      <c r="I3363" s="4">
        <f t="shared" si="477"/>
        <v>3</v>
      </c>
      <c r="J3363">
        <f t="shared" si="478"/>
        <v>12</v>
      </c>
      <c r="K3363">
        <v>42</v>
      </c>
      <c r="L3363">
        <v>14</v>
      </c>
      <c r="M3363" s="2">
        <v>3</v>
      </c>
      <c r="N3363">
        <v>2.85</v>
      </c>
      <c r="O3363">
        <v>0</v>
      </c>
      <c r="P3363">
        <v>7</v>
      </c>
      <c r="Q3363" t="s">
        <v>568</v>
      </c>
      <c r="R3363" s="8" t="s">
        <v>260</v>
      </c>
      <c r="S3363" t="str">
        <f t="shared" si="476"/>
        <v>PA</v>
      </c>
    </row>
    <row r="3364" spans="1:19" x14ac:dyDescent="0.3">
      <c r="A3364" t="s">
        <v>8</v>
      </c>
      <c r="B3364">
        <v>2016210011</v>
      </c>
      <c r="C3364" t="s">
        <v>70</v>
      </c>
      <c r="E3364" t="s">
        <v>22</v>
      </c>
      <c r="F3364" t="s">
        <v>23</v>
      </c>
      <c r="G3364">
        <v>2</v>
      </c>
      <c r="H3364" t="s">
        <v>438</v>
      </c>
      <c r="I3364" s="4">
        <f t="shared" si="477"/>
        <v>3</v>
      </c>
      <c r="J3364">
        <f t="shared" si="478"/>
        <v>6</v>
      </c>
      <c r="K3364">
        <v>40</v>
      </c>
      <c r="L3364">
        <v>18</v>
      </c>
      <c r="M3364">
        <v>2.2200000000000002</v>
      </c>
      <c r="N3364">
        <v>2.85</v>
      </c>
      <c r="O3364">
        <v>0</v>
      </c>
      <c r="P3364">
        <v>2</v>
      </c>
      <c r="Q3364" t="s">
        <v>559</v>
      </c>
      <c r="R3364" s="8" t="s">
        <v>260</v>
      </c>
      <c r="S3364" t="str">
        <f t="shared" si="476"/>
        <v>PA</v>
      </c>
    </row>
    <row r="3365" spans="1:19" x14ac:dyDescent="0.3">
      <c r="A3365" t="s">
        <v>8</v>
      </c>
      <c r="B3365">
        <v>2016210011</v>
      </c>
      <c r="C3365" t="s">
        <v>70</v>
      </c>
      <c r="E3365" t="s">
        <v>193</v>
      </c>
      <c r="F3365" t="s">
        <v>194</v>
      </c>
      <c r="G3365">
        <v>4</v>
      </c>
      <c r="H3365" t="s">
        <v>438</v>
      </c>
      <c r="I3365" s="4">
        <f t="shared" si="477"/>
        <v>3</v>
      </c>
      <c r="J3365">
        <f t="shared" si="478"/>
        <v>12</v>
      </c>
      <c r="K3365">
        <v>42</v>
      </c>
      <c r="L3365">
        <v>14</v>
      </c>
      <c r="M3365" s="2">
        <v>3</v>
      </c>
      <c r="N3365">
        <v>2.85</v>
      </c>
      <c r="O3365">
        <v>0</v>
      </c>
      <c r="P3365">
        <v>7</v>
      </c>
      <c r="Q3365" t="s">
        <v>568</v>
      </c>
      <c r="R3365" s="8" t="s">
        <v>260</v>
      </c>
      <c r="S3365" t="str">
        <f t="shared" si="476"/>
        <v>PA</v>
      </c>
    </row>
    <row r="3366" spans="1:19" x14ac:dyDescent="0.3">
      <c r="A3366" t="s">
        <v>8</v>
      </c>
      <c r="B3366">
        <v>2016210011</v>
      </c>
      <c r="C3366" t="s">
        <v>70</v>
      </c>
      <c r="E3366" t="s">
        <v>213</v>
      </c>
      <c r="F3366" t="s">
        <v>214</v>
      </c>
      <c r="G3366">
        <v>4</v>
      </c>
      <c r="H3366" t="s">
        <v>438</v>
      </c>
      <c r="I3366" s="4">
        <f t="shared" si="477"/>
        <v>3</v>
      </c>
      <c r="J3366">
        <f t="shared" si="478"/>
        <v>12</v>
      </c>
      <c r="K3366">
        <v>56</v>
      </c>
      <c r="L3366">
        <v>20</v>
      </c>
      <c r="M3366" s="2">
        <v>2.8</v>
      </c>
      <c r="N3366">
        <v>2.85</v>
      </c>
      <c r="O3366">
        <v>0</v>
      </c>
      <c r="P3366">
        <v>5</v>
      </c>
      <c r="Q3366" t="s">
        <v>566</v>
      </c>
      <c r="R3366" s="8" t="s">
        <v>260</v>
      </c>
      <c r="S3366" t="str">
        <f t="shared" si="476"/>
        <v>PA</v>
      </c>
    </row>
    <row r="3367" spans="1:19" x14ac:dyDescent="0.3">
      <c r="A3367" t="s">
        <v>8</v>
      </c>
      <c r="B3367">
        <v>2016210011</v>
      </c>
      <c r="C3367" t="s">
        <v>70</v>
      </c>
      <c r="E3367" t="s">
        <v>93</v>
      </c>
      <c r="F3367" t="s">
        <v>94</v>
      </c>
      <c r="G3367">
        <v>4</v>
      </c>
      <c r="H3367" t="s">
        <v>438</v>
      </c>
      <c r="I3367" s="4">
        <f t="shared" si="477"/>
        <v>3</v>
      </c>
      <c r="J3367">
        <f t="shared" si="478"/>
        <v>12</v>
      </c>
      <c r="K3367">
        <v>40</v>
      </c>
      <c r="L3367">
        <v>18</v>
      </c>
      <c r="M3367">
        <v>2.2200000000000002</v>
      </c>
      <c r="N3367">
        <v>2.85</v>
      </c>
      <c r="O3367">
        <v>0</v>
      </c>
      <c r="P3367">
        <v>3</v>
      </c>
      <c r="Q3367" t="s">
        <v>563</v>
      </c>
      <c r="R3367" s="8" t="s">
        <v>260</v>
      </c>
      <c r="S3367" t="str">
        <f t="shared" si="476"/>
        <v>PA</v>
      </c>
    </row>
    <row r="3368" spans="1:19" x14ac:dyDescent="0.3">
      <c r="A3368" t="s">
        <v>8</v>
      </c>
      <c r="B3368">
        <v>2016210011</v>
      </c>
      <c r="C3368" t="s">
        <v>70</v>
      </c>
      <c r="E3368" t="s">
        <v>393</v>
      </c>
      <c r="F3368" t="s">
        <v>492</v>
      </c>
      <c r="G3368">
        <v>2</v>
      </c>
      <c r="H3368" t="s">
        <v>438</v>
      </c>
      <c r="I3368" s="4">
        <f t="shared" si="477"/>
        <v>3</v>
      </c>
      <c r="J3368">
        <f t="shared" si="478"/>
        <v>6</v>
      </c>
      <c r="K3368">
        <v>42</v>
      </c>
      <c r="L3368">
        <v>14</v>
      </c>
      <c r="M3368" s="2">
        <v>3</v>
      </c>
      <c r="N3368">
        <v>2.85</v>
      </c>
      <c r="O3368">
        <v>0</v>
      </c>
      <c r="P3368">
        <v>7</v>
      </c>
      <c r="Q3368" t="s">
        <v>568</v>
      </c>
      <c r="R3368" s="8" t="s">
        <v>260</v>
      </c>
      <c r="S3368" t="str">
        <f t="shared" si="476"/>
        <v>PA</v>
      </c>
    </row>
    <row r="3369" spans="1:19" x14ac:dyDescent="0.3">
      <c r="A3369" t="s">
        <v>8</v>
      </c>
      <c r="B3369">
        <v>2016210011</v>
      </c>
      <c r="C3369" t="s">
        <v>70</v>
      </c>
      <c r="E3369" t="s">
        <v>182</v>
      </c>
      <c r="F3369" t="s">
        <v>171</v>
      </c>
      <c r="G3369">
        <v>2</v>
      </c>
      <c r="H3369" t="s">
        <v>438</v>
      </c>
      <c r="I3369" s="4">
        <f t="shared" si="477"/>
        <v>3</v>
      </c>
      <c r="J3369">
        <f t="shared" si="478"/>
        <v>6</v>
      </c>
      <c r="K3369">
        <v>56</v>
      </c>
      <c r="L3369">
        <v>20</v>
      </c>
      <c r="M3369" s="2">
        <v>2.8</v>
      </c>
      <c r="N3369">
        <v>2.85</v>
      </c>
      <c r="O3369">
        <v>0</v>
      </c>
      <c r="P3369">
        <v>5</v>
      </c>
      <c r="Q3369" t="s">
        <v>566</v>
      </c>
      <c r="R3369" s="8" t="s">
        <v>260</v>
      </c>
      <c r="S3369" t="str">
        <f t="shared" si="476"/>
        <v>PA</v>
      </c>
    </row>
    <row r="3370" spans="1:19" x14ac:dyDescent="0.3">
      <c r="A3370" t="s">
        <v>8</v>
      </c>
      <c r="B3370">
        <v>2016210011</v>
      </c>
      <c r="C3370" t="s">
        <v>70</v>
      </c>
      <c r="E3370" t="s">
        <v>295</v>
      </c>
      <c r="F3370" t="s">
        <v>296</v>
      </c>
      <c r="G3370">
        <v>2</v>
      </c>
      <c r="H3370" t="s">
        <v>438</v>
      </c>
      <c r="I3370" s="4">
        <f t="shared" si="477"/>
        <v>3</v>
      </c>
      <c r="J3370">
        <f t="shared" si="478"/>
        <v>6</v>
      </c>
      <c r="K3370">
        <v>40</v>
      </c>
      <c r="L3370">
        <v>18</v>
      </c>
      <c r="M3370">
        <v>2.2200000000000002</v>
      </c>
      <c r="N3370">
        <v>2.85</v>
      </c>
      <c r="O3370">
        <v>0</v>
      </c>
      <c r="P3370">
        <v>3</v>
      </c>
      <c r="Q3370" t="s">
        <v>563</v>
      </c>
      <c r="R3370" s="8" t="s">
        <v>260</v>
      </c>
      <c r="S3370" t="str">
        <f t="shared" si="476"/>
        <v>PA</v>
      </c>
    </row>
    <row r="3371" spans="1:19" x14ac:dyDescent="0.3">
      <c r="A3371" t="s">
        <v>8</v>
      </c>
      <c r="B3371">
        <v>2016210011</v>
      </c>
      <c r="C3371" t="s">
        <v>70</v>
      </c>
      <c r="E3371" t="s">
        <v>157</v>
      </c>
      <c r="F3371" t="s">
        <v>158</v>
      </c>
      <c r="G3371">
        <v>2</v>
      </c>
      <c r="H3371" t="s">
        <v>438</v>
      </c>
      <c r="I3371" s="4">
        <f t="shared" si="477"/>
        <v>3</v>
      </c>
      <c r="J3371">
        <f t="shared" si="478"/>
        <v>6</v>
      </c>
      <c r="K3371">
        <v>40</v>
      </c>
      <c r="L3371">
        <v>18</v>
      </c>
      <c r="M3371">
        <v>2.2200000000000002</v>
      </c>
      <c r="N3371">
        <v>2.85</v>
      </c>
      <c r="O3371">
        <v>0</v>
      </c>
      <c r="P3371">
        <v>3</v>
      </c>
      <c r="Q3371" t="s">
        <v>563</v>
      </c>
      <c r="R3371" s="8" t="s">
        <v>260</v>
      </c>
      <c r="S3371" t="str">
        <f t="shared" si="476"/>
        <v>PA</v>
      </c>
    </row>
    <row r="3372" spans="1:19" x14ac:dyDescent="0.3">
      <c r="A3372" t="s">
        <v>8</v>
      </c>
      <c r="B3372">
        <v>2016210011</v>
      </c>
      <c r="C3372" t="s">
        <v>70</v>
      </c>
      <c r="E3372" t="s">
        <v>202</v>
      </c>
      <c r="F3372" t="s">
        <v>203</v>
      </c>
      <c r="G3372">
        <v>4</v>
      </c>
      <c r="H3372" t="s">
        <v>438</v>
      </c>
      <c r="I3372" s="4">
        <f t="shared" si="477"/>
        <v>3</v>
      </c>
      <c r="J3372">
        <f t="shared" si="478"/>
        <v>12</v>
      </c>
      <c r="K3372">
        <v>56</v>
      </c>
      <c r="L3372">
        <v>20</v>
      </c>
      <c r="M3372" s="2">
        <v>2.8</v>
      </c>
      <c r="N3372">
        <v>2.85</v>
      </c>
      <c r="O3372">
        <v>0</v>
      </c>
      <c r="P3372">
        <v>1</v>
      </c>
      <c r="Q3372" t="s">
        <v>558</v>
      </c>
      <c r="R3372" s="8" t="s">
        <v>260</v>
      </c>
      <c r="S3372" t="str">
        <f t="shared" si="476"/>
        <v>PA</v>
      </c>
    </row>
    <row r="3373" spans="1:19" x14ac:dyDescent="0.3">
      <c r="A3373" t="s">
        <v>8</v>
      </c>
      <c r="B3373">
        <v>2016210011</v>
      </c>
      <c r="C3373" t="s">
        <v>70</v>
      </c>
      <c r="E3373" t="s">
        <v>80</v>
      </c>
      <c r="F3373" t="s">
        <v>81</v>
      </c>
      <c r="G3373">
        <v>4</v>
      </c>
      <c r="H3373" t="s">
        <v>438</v>
      </c>
      <c r="I3373" s="4">
        <f t="shared" si="477"/>
        <v>3</v>
      </c>
      <c r="J3373">
        <f t="shared" si="478"/>
        <v>12</v>
      </c>
      <c r="K3373">
        <v>64</v>
      </c>
      <c r="L3373">
        <v>22</v>
      </c>
      <c r="M3373">
        <v>2.91</v>
      </c>
      <c r="N3373">
        <v>2.85</v>
      </c>
      <c r="O3373">
        <v>0</v>
      </c>
      <c r="P3373">
        <v>6</v>
      </c>
      <c r="Q3373" t="s">
        <v>567</v>
      </c>
      <c r="R3373" s="8" t="s">
        <v>260</v>
      </c>
      <c r="S3373" t="str">
        <f t="shared" si="476"/>
        <v>PA</v>
      </c>
    </row>
    <row r="3374" spans="1:19" x14ac:dyDescent="0.3">
      <c r="A3374" t="s">
        <v>8</v>
      </c>
      <c r="B3374">
        <v>2016210011</v>
      </c>
      <c r="C3374" t="s">
        <v>70</v>
      </c>
      <c r="E3374" t="s">
        <v>131</v>
      </c>
      <c r="F3374" t="s">
        <v>132</v>
      </c>
      <c r="G3374">
        <v>2</v>
      </c>
      <c r="H3374" t="s">
        <v>438</v>
      </c>
      <c r="I3374" s="4">
        <f t="shared" si="477"/>
        <v>3</v>
      </c>
      <c r="J3374">
        <f t="shared" si="478"/>
        <v>6</v>
      </c>
      <c r="K3374">
        <v>56</v>
      </c>
      <c r="L3374">
        <v>20</v>
      </c>
      <c r="M3374" s="2">
        <v>2.8</v>
      </c>
      <c r="N3374">
        <v>2.85</v>
      </c>
      <c r="O3374">
        <v>0</v>
      </c>
      <c r="P3374">
        <v>1</v>
      </c>
      <c r="Q3374" t="s">
        <v>558</v>
      </c>
      <c r="R3374" s="8" t="s">
        <v>260</v>
      </c>
      <c r="S3374" t="str">
        <f t="shared" si="476"/>
        <v>PA</v>
      </c>
    </row>
    <row r="3375" spans="1:19" x14ac:dyDescent="0.3">
      <c r="A3375" t="s">
        <v>8</v>
      </c>
      <c r="B3375">
        <v>2016210011</v>
      </c>
      <c r="C3375" t="s">
        <v>70</v>
      </c>
      <c r="E3375" t="s">
        <v>180</v>
      </c>
      <c r="F3375" t="s">
        <v>181</v>
      </c>
      <c r="G3375">
        <v>4</v>
      </c>
      <c r="H3375" t="s">
        <v>438</v>
      </c>
      <c r="I3375" s="4">
        <f t="shared" si="477"/>
        <v>3</v>
      </c>
      <c r="J3375">
        <f t="shared" si="478"/>
        <v>12</v>
      </c>
      <c r="K3375">
        <v>52</v>
      </c>
      <c r="L3375">
        <v>18</v>
      </c>
      <c r="M3375">
        <v>2.89</v>
      </c>
      <c r="N3375">
        <v>2.85</v>
      </c>
      <c r="O3375">
        <v>0</v>
      </c>
      <c r="P3375">
        <v>4</v>
      </c>
      <c r="Q3375" t="s">
        <v>565</v>
      </c>
      <c r="R3375" s="8" t="s">
        <v>260</v>
      </c>
      <c r="S3375" t="str">
        <f t="shared" si="476"/>
        <v>PA</v>
      </c>
    </row>
    <row r="3376" spans="1:19" x14ac:dyDescent="0.3">
      <c r="A3376" t="s">
        <v>8</v>
      </c>
      <c r="B3376">
        <v>2016210011</v>
      </c>
      <c r="C3376" t="s">
        <v>70</v>
      </c>
      <c r="E3376" t="s">
        <v>44</v>
      </c>
      <c r="F3376" t="s">
        <v>45</v>
      </c>
      <c r="G3376">
        <v>2</v>
      </c>
      <c r="H3376" t="s">
        <v>524</v>
      </c>
      <c r="I3376" s="4">
        <f t="shared" si="477"/>
        <v>2</v>
      </c>
      <c r="J3376">
        <f t="shared" si="478"/>
        <v>4</v>
      </c>
      <c r="K3376">
        <v>40</v>
      </c>
      <c r="L3376">
        <v>18</v>
      </c>
      <c r="M3376">
        <v>2.2200000000000002</v>
      </c>
      <c r="N3376">
        <v>2.85</v>
      </c>
      <c r="O3376">
        <v>0</v>
      </c>
      <c r="P3376">
        <v>2</v>
      </c>
      <c r="Q3376" t="s">
        <v>559</v>
      </c>
      <c r="R3376" s="8" t="s">
        <v>260</v>
      </c>
      <c r="S3376" t="str">
        <f t="shared" si="476"/>
        <v>PA</v>
      </c>
    </row>
    <row r="3377" spans="1:19" x14ac:dyDescent="0.3">
      <c r="A3377" t="s">
        <v>8</v>
      </c>
      <c r="B3377">
        <v>2016210011</v>
      </c>
      <c r="C3377" t="s">
        <v>70</v>
      </c>
      <c r="E3377" t="s">
        <v>110</v>
      </c>
      <c r="F3377" t="s">
        <v>111</v>
      </c>
      <c r="G3377">
        <v>4</v>
      </c>
      <c r="H3377" t="s">
        <v>524</v>
      </c>
      <c r="I3377" s="4">
        <f t="shared" si="477"/>
        <v>2</v>
      </c>
      <c r="J3377">
        <f t="shared" si="478"/>
        <v>8</v>
      </c>
      <c r="K3377">
        <v>56</v>
      </c>
      <c r="L3377">
        <v>20</v>
      </c>
      <c r="M3377" s="2">
        <v>2.8</v>
      </c>
      <c r="N3377">
        <v>2.85</v>
      </c>
      <c r="O3377">
        <v>0</v>
      </c>
      <c r="P3377">
        <v>1</v>
      </c>
      <c r="Q3377" t="s">
        <v>558</v>
      </c>
      <c r="R3377" s="8" t="s">
        <v>260</v>
      </c>
      <c r="S3377" t="str">
        <f t="shared" si="476"/>
        <v>PA</v>
      </c>
    </row>
    <row r="3378" spans="1:19" x14ac:dyDescent="0.3">
      <c r="A3378" t="s">
        <v>8</v>
      </c>
      <c r="B3378">
        <v>2016210011</v>
      </c>
      <c r="C3378" t="s">
        <v>70</v>
      </c>
      <c r="E3378" t="s">
        <v>227</v>
      </c>
      <c r="F3378" t="s">
        <v>228</v>
      </c>
      <c r="G3378">
        <v>2</v>
      </c>
      <c r="H3378" t="s">
        <v>524</v>
      </c>
      <c r="I3378" s="4">
        <f t="shared" si="477"/>
        <v>2</v>
      </c>
      <c r="J3378">
        <f t="shared" si="478"/>
        <v>4</v>
      </c>
      <c r="K3378">
        <v>40</v>
      </c>
      <c r="L3378">
        <v>18</v>
      </c>
      <c r="M3378">
        <v>2.2200000000000002</v>
      </c>
      <c r="N3378">
        <v>2.85</v>
      </c>
      <c r="O3378">
        <v>0</v>
      </c>
      <c r="P3378">
        <v>3</v>
      </c>
      <c r="Q3378" t="s">
        <v>563</v>
      </c>
      <c r="R3378" s="8" t="s">
        <v>260</v>
      </c>
      <c r="S3378" t="str">
        <f t="shared" si="476"/>
        <v>PA</v>
      </c>
    </row>
    <row r="3379" spans="1:19" x14ac:dyDescent="0.3">
      <c r="A3379" t="s">
        <v>8</v>
      </c>
      <c r="B3379">
        <v>2016210011</v>
      </c>
      <c r="C3379" t="s">
        <v>70</v>
      </c>
      <c r="E3379" t="s">
        <v>395</v>
      </c>
      <c r="F3379" t="s">
        <v>396</v>
      </c>
      <c r="G3379">
        <v>2</v>
      </c>
      <c r="H3379" t="s">
        <v>524</v>
      </c>
      <c r="I3379" s="4">
        <f t="shared" si="477"/>
        <v>2</v>
      </c>
      <c r="J3379">
        <f t="shared" si="478"/>
        <v>4</v>
      </c>
      <c r="K3379">
        <v>56</v>
      </c>
      <c r="L3379">
        <v>20</v>
      </c>
      <c r="M3379" s="2">
        <v>2.8</v>
      </c>
      <c r="N3379">
        <v>2.85</v>
      </c>
      <c r="O3379">
        <v>0</v>
      </c>
      <c r="P3379">
        <v>1</v>
      </c>
      <c r="Q3379" t="s">
        <v>558</v>
      </c>
      <c r="R3379" s="8" t="s">
        <v>260</v>
      </c>
      <c r="S3379" t="str">
        <f t="shared" si="476"/>
        <v>PA</v>
      </c>
    </row>
    <row r="3380" spans="1:19" x14ac:dyDescent="0.3">
      <c r="A3380" t="s">
        <v>8</v>
      </c>
      <c r="B3380">
        <v>2016210011</v>
      </c>
      <c r="C3380" t="s">
        <v>70</v>
      </c>
      <c r="E3380" t="s">
        <v>112</v>
      </c>
      <c r="F3380" t="s">
        <v>113</v>
      </c>
      <c r="G3380">
        <v>4</v>
      </c>
      <c r="H3380" t="s">
        <v>524</v>
      </c>
      <c r="I3380" s="4">
        <f t="shared" si="477"/>
        <v>2</v>
      </c>
      <c r="J3380">
        <f t="shared" si="478"/>
        <v>8</v>
      </c>
      <c r="K3380">
        <v>40</v>
      </c>
      <c r="L3380">
        <v>18</v>
      </c>
      <c r="M3380">
        <v>2.2200000000000002</v>
      </c>
      <c r="N3380">
        <v>2.85</v>
      </c>
      <c r="O3380">
        <v>0</v>
      </c>
      <c r="P3380">
        <v>3</v>
      </c>
      <c r="Q3380" t="s">
        <v>563</v>
      </c>
      <c r="R3380" s="8" t="s">
        <v>260</v>
      </c>
      <c r="S3380" t="str">
        <f t="shared" si="476"/>
        <v>PA</v>
      </c>
    </row>
    <row r="3381" spans="1:19" x14ac:dyDescent="0.3">
      <c r="A3381" t="s">
        <v>8</v>
      </c>
      <c r="B3381">
        <v>2016210011</v>
      </c>
      <c r="C3381" t="s">
        <v>70</v>
      </c>
      <c r="E3381" t="s">
        <v>449</v>
      </c>
      <c r="F3381" t="s">
        <v>460</v>
      </c>
      <c r="G3381">
        <v>4</v>
      </c>
      <c r="H3381" t="s">
        <v>524</v>
      </c>
      <c r="I3381" s="4">
        <f t="shared" si="477"/>
        <v>2</v>
      </c>
      <c r="J3381">
        <f t="shared" si="478"/>
        <v>8</v>
      </c>
      <c r="K3381">
        <v>52</v>
      </c>
      <c r="L3381">
        <v>18</v>
      </c>
      <c r="M3381">
        <v>2.89</v>
      </c>
      <c r="N3381">
        <v>2.85</v>
      </c>
      <c r="O3381">
        <v>0</v>
      </c>
      <c r="P3381">
        <v>4</v>
      </c>
      <c r="Q3381" t="s">
        <v>565</v>
      </c>
      <c r="R3381" s="8" t="s">
        <v>260</v>
      </c>
      <c r="S3381" t="str">
        <f t="shared" si="476"/>
        <v>PA</v>
      </c>
    </row>
    <row r="3382" spans="1:19" x14ac:dyDescent="0.3">
      <c r="A3382" t="s">
        <v>8</v>
      </c>
      <c r="B3382">
        <v>2016210011</v>
      </c>
      <c r="C3382" t="s">
        <v>70</v>
      </c>
      <c r="E3382" t="s">
        <v>188</v>
      </c>
      <c r="F3382" t="s">
        <v>189</v>
      </c>
      <c r="G3382">
        <v>4</v>
      </c>
      <c r="H3382" t="s">
        <v>524</v>
      </c>
      <c r="I3382" s="4">
        <f t="shared" si="477"/>
        <v>2</v>
      </c>
      <c r="J3382">
        <f t="shared" si="478"/>
        <v>8</v>
      </c>
      <c r="K3382">
        <v>56</v>
      </c>
      <c r="L3382">
        <v>20</v>
      </c>
      <c r="M3382" s="2">
        <v>2.8</v>
      </c>
      <c r="N3382">
        <v>2.85</v>
      </c>
      <c r="O3382">
        <v>0</v>
      </c>
      <c r="P3382">
        <v>5</v>
      </c>
      <c r="Q3382" t="s">
        <v>566</v>
      </c>
      <c r="R3382" s="8" t="s">
        <v>260</v>
      </c>
      <c r="S3382" t="str">
        <f t="shared" si="476"/>
        <v>PA</v>
      </c>
    </row>
    <row r="3383" spans="1:19" x14ac:dyDescent="0.3">
      <c r="A3383" t="s">
        <v>8</v>
      </c>
      <c r="B3383">
        <v>2016210011</v>
      </c>
      <c r="C3383" t="s">
        <v>70</v>
      </c>
      <c r="E3383" t="s">
        <v>17</v>
      </c>
      <c r="F3383" t="s">
        <v>11</v>
      </c>
      <c r="G3383">
        <v>2</v>
      </c>
      <c r="H3383" t="s">
        <v>524</v>
      </c>
      <c r="I3383" s="4">
        <f t="shared" si="477"/>
        <v>2</v>
      </c>
      <c r="J3383">
        <f t="shared" si="478"/>
        <v>4</v>
      </c>
      <c r="K3383">
        <v>34</v>
      </c>
      <c r="L3383">
        <v>12</v>
      </c>
      <c r="M3383" s="2">
        <v>2.83</v>
      </c>
      <c r="N3383">
        <v>2.85</v>
      </c>
      <c r="O3383">
        <v>0</v>
      </c>
      <c r="P3383">
        <v>8</v>
      </c>
      <c r="Q3383" t="s">
        <v>569</v>
      </c>
      <c r="R3383" s="8" t="s">
        <v>260</v>
      </c>
      <c r="S3383" t="str">
        <f t="shared" si="476"/>
        <v>PA</v>
      </c>
    </row>
    <row r="3384" spans="1:19" x14ac:dyDescent="0.3">
      <c r="A3384" t="s">
        <v>8</v>
      </c>
      <c r="B3384">
        <v>2016210011</v>
      </c>
      <c r="C3384" t="s">
        <v>70</v>
      </c>
      <c r="E3384" t="s">
        <v>355</v>
      </c>
      <c r="F3384" t="s">
        <v>274</v>
      </c>
      <c r="G3384">
        <v>2</v>
      </c>
      <c r="H3384" t="s">
        <v>524</v>
      </c>
      <c r="I3384" s="4">
        <f t="shared" si="477"/>
        <v>2</v>
      </c>
      <c r="J3384">
        <f t="shared" si="478"/>
        <v>4</v>
      </c>
      <c r="K3384">
        <v>64</v>
      </c>
      <c r="L3384">
        <v>22</v>
      </c>
      <c r="M3384">
        <v>2.91</v>
      </c>
      <c r="N3384">
        <v>2.85</v>
      </c>
      <c r="O3384">
        <v>0</v>
      </c>
      <c r="P3384">
        <v>6</v>
      </c>
      <c r="Q3384" t="s">
        <v>567</v>
      </c>
      <c r="R3384" s="8" t="s">
        <v>260</v>
      </c>
      <c r="S3384" t="str">
        <f t="shared" si="476"/>
        <v>PA</v>
      </c>
    </row>
    <row r="3385" spans="1:19" x14ac:dyDescent="0.3">
      <c r="A3385" t="s">
        <v>8</v>
      </c>
      <c r="B3385">
        <v>2016210011</v>
      </c>
      <c r="C3385" t="s">
        <v>70</v>
      </c>
      <c r="E3385" t="s">
        <v>119</v>
      </c>
      <c r="F3385" t="s">
        <v>120</v>
      </c>
      <c r="G3385">
        <v>2</v>
      </c>
      <c r="H3385" t="s">
        <v>524</v>
      </c>
      <c r="I3385" s="4">
        <f t="shared" si="477"/>
        <v>2</v>
      </c>
      <c r="J3385">
        <f t="shared" si="478"/>
        <v>4</v>
      </c>
      <c r="K3385">
        <v>64</v>
      </c>
      <c r="L3385">
        <v>22</v>
      </c>
      <c r="M3385">
        <v>2.91</v>
      </c>
      <c r="N3385">
        <v>2.85</v>
      </c>
      <c r="O3385">
        <v>0</v>
      </c>
      <c r="P3385">
        <v>6</v>
      </c>
      <c r="Q3385" t="s">
        <v>567</v>
      </c>
      <c r="R3385" s="8" t="s">
        <v>260</v>
      </c>
      <c r="S3385" t="str">
        <f t="shared" si="476"/>
        <v>PA</v>
      </c>
    </row>
    <row r="3386" spans="1:19" x14ac:dyDescent="0.3">
      <c r="A3386" t="s">
        <v>8</v>
      </c>
      <c r="B3386">
        <v>2016210011</v>
      </c>
      <c r="C3386" t="s">
        <v>70</v>
      </c>
      <c r="E3386" t="s">
        <v>125</v>
      </c>
      <c r="F3386" t="s">
        <v>126</v>
      </c>
      <c r="G3386">
        <v>4</v>
      </c>
      <c r="H3386" t="s">
        <v>535</v>
      </c>
      <c r="I3386" s="4">
        <f t="shared" si="477"/>
        <v>1</v>
      </c>
      <c r="J3386">
        <f t="shared" si="478"/>
        <v>4</v>
      </c>
      <c r="K3386">
        <v>40</v>
      </c>
      <c r="L3386">
        <v>18</v>
      </c>
      <c r="M3386">
        <v>2.2200000000000002</v>
      </c>
      <c r="N3386">
        <v>2.85</v>
      </c>
      <c r="O3386">
        <v>0</v>
      </c>
      <c r="P3386">
        <v>2</v>
      </c>
      <c r="Q3386" t="s">
        <v>559</v>
      </c>
      <c r="R3386" s="8" t="s">
        <v>260</v>
      </c>
      <c r="S3386" t="str">
        <f t="shared" si="476"/>
        <v>FA</v>
      </c>
    </row>
    <row r="3387" spans="1:19" x14ac:dyDescent="0.3">
      <c r="A3387" t="s">
        <v>8</v>
      </c>
      <c r="B3387">
        <v>2016210011</v>
      </c>
      <c r="C3387" t="s">
        <v>70</v>
      </c>
      <c r="E3387" t="s">
        <v>401</v>
      </c>
      <c r="F3387" t="s">
        <v>258</v>
      </c>
      <c r="G3387">
        <v>4</v>
      </c>
      <c r="H3387" t="s">
        <v>535</v>
      </c>
      <c r="I3387" s="4">
        <f t="shared" si="477"/>
        <v>1</v>
      </c>
      <c r="J3387">
        <f t="shared" si="478"/>
        <v>4</v>
      </c>
      <c r="K3387">
        <v>40</v>
      </c>
      <c r="L3387">
        <v>18</v>
      </c>
      <c r="M3387">
        <v>2.2200000000000002</v>
      </c>
      <c r="N3387">
        <v>2.85</v>
      </c>
      <c r="O3387">
        <v>0</v>
      </c>
      <c r="P3387">
        <v>3</v>
      </c>
      <c r="Q3387" t="s">
        <v>563</v>
      </c>
      <c r="R3387" s="8" t="s">
        <v>260</v>
      </c>
      <c r="S3387" t="str">
        <f t="shared" si="476"/>
        <v>FA</v>
      </c>
    </row>
    <row r="3388" spans="1:19" x14ac:dyDescent="0.3">
      <c r="A3388" t="s">
        <v>8</v>
      </c>
      <c r="B3388">
        <v>2016210011</v>
      </c>
      <c r="C3388" t="s">
        <v>70</v>
      </c>
      <c r="E3388" t="s">
        <v>125</v>
      </c>
      <c r="F3388" t="s">
        <v>126</v>
      </c>
      <c r="G3388">
        <v>4</v>
      </c>
      <c r="H3388" t="s">
        <v>524</v>
      </c>
      <c r="I3388" s="4">
        <f t="shared" si="477"/>
        <v>2</v>
      </c>
      <c r="J3388">
        <f t="shared" si="478"/>
        <v>8</v>
      </c>
      <c r="K3388">
        <v>24</v>
      </c>
      <c r="L3388">
        <v>8</v>
      </c>
      <c r="M3388" s="2">
        <v>3</v>
      </c>
      <c r="N3388">
        <v>2.85</v>
      </c>
      <c r="O3388">
        <v>1</v>
      </c>
      <c r="P3388">
        <v>8</v>
      </c>
      <c r="Q3388" s="4" t="s">
        <v>571</v>
      </c>
      <c r="R3388" s="8" t="s">
        <v>260</v>
      </c>
      <c r="S3388" t="str">
        <f t="shared" si="476"/>
        <v>PA</v>
      </c>
    </row>
    <row r="3389" spans="1:19" x14ac:dyDescent="0.3">
      <c r="A3389" t="s">
        <v>8</v>
      </c>
      <c r="B3389">
        <v>2016210011</v>
      </c>
      <c r="C3389" t="s">
        <v>70</v>
      </c>
      <c r="E3389" t="s">
        <v>401</v>
      </c>
      <c r="F3389" t="s">
        <v>258</v>
      </c>
      <c r="G3389">
        <v>4</v>
      </c>
      <c r="H3389" t="s">
        <v>260</v>
      </c>
      <c r="I3389" s="4">
        <f t="shared" si="477"/>
        <v>4</v>
      </c>
      <c r="J3389">
        <f t="shared" si="478"/>
        <v>16</v>
      </c>
      <c r="K3389">
        <v>24</v>
      </c>
      <c r="L3389">
        <v>8</v>
      </c>
      <c r="M3389" s="2">
        <v>3</v>
      </c>
      <c r="N3389">
        <v>2.85</v>
      </c>
      <c r="O3389">
        <v>1</v>
      </c>
      <c r="P3389">
        <v>8</v>
      </c>
      <c r="Q3389" s="4" t="s">
        <v>571</v>
      </c>
      <c r="R3389" s="8" t="s">
        <v>260</v>
      </c>
      <c r="S3389" t="str">
        <f t="shared" si="476"/>
        <v>PA</v>
      </c>
    </row>
    <row r="3390" spans="1:19" x14ac:dyDescent="0.3">
      <c r="A3390" t="s">
        <v>8</v>
      </c>
      <c r="B3390">
        <v>2016210011</v>
      </c>
      <c r="C3390" t="s">
        <v>70</v>
      </c>
      <c r="E3390" t="s">
        <v>232</v>
      </c>
      <c r="F3390" t="s">
        <v>233</v>
      </c>
      <c r="G3390">
        <v>2</v>
      </c>
      <c r="H3390" t="s">
        <v>535</v>
      </c>
      <c r="I3390" s="4">
        <f t="shared" si="477"/>
        <v>1</v>
      </c>
      <c r="J3390">
        <f t="shared" si="478"/>
        <v>2</v>
      </c>
      <c r="K3390">
        <v>64</v>
      </c>
      <c r="L3390">
        <v>22</v>
      </c>
      <c r="M3390">
        <v>2.91</v>
      </c>
      <c r="N3390">
        <v>2.85</v>
      </c>
      <c r="O3390">
        <v>0</v>
      </c>
      <c r="P3390">
        <v>6</v>
      </c>
      <c r="Q3390" t="s">
        <v>567</v>
      </c>
      <c r="R3390" s="8" t="s">
        <v>260</v>
      </c>
      <c r="S3390" t="str">
        <f t="shared" si="476"/>
        <v>FA</v>
      </c>
    </row>
    <row r="3391" spans="1:19" x14ac:dyDescent="0.3">
      <c r="A3391" t="s">
        <v>8</v>
      </c>
      <c r="B3391">
        <v>2016210011</v>
      </c>
      <c r="C3391" t="s">
        <v>70</v>
      </c>
      <c r="E3391" t="s">
        <v>232</v>
      </c>
      <c r="F3391" t="s">
        <v>233</v>
      </c>
      <c r="G3391">
        <v>2</v>
      </c>
      <c r="H3391" t="s">
        <v>438</v>
      </c>
      <c r="I3391" s="4">
        <f t="shared" si="477"/>
        <v>3</v>
      </c>
      <c r="J3391">
        <f t="shared" si="478"/>
        <v>6</v>
      </c>
      <c r="K3391">
        <v>34</v>
      </c>
      <c r="L3391">
        <v>12</v>
      </c>
      <c r="M3391" s="2">
        <v>2.83</v>
      </c>
      <c r="N3391">
        <v>2.85</v>
      </c>
      <c r="O3391">
        <v>1</v>
      </c>
      <c r="P3391">
        <v>8</v>
      </c>
      <c r="Q3391" t="s">
        <v>569</v>
      </c>
      <c r="R3391" s="8" t="s">
        <v>260</v>
      </c>
      <c r="S3391" t="str">
        <f t="shared" si="476"/>
        <v>PA</v>
      </c>
    </row>
    <row r="3392" spans="1:19" x14ac:dyDescent="0.3">
      <c r="A3392" t="s">
        <v>8</v>
      </c>
      <c r="B3392">
        <v>2016210011</v>
      </c>
      <c r="C3392" t="s">
        <v>70</v>
      </c>
      <c r="E3392" t="s">
        <v>266</v>
      </c>
      <c r="F3392" t="s">
        <v>91</v>
      </c>
      <c r="G3392">
        <v>2</v>
      </c>
      <c r="H3392" t="s">
        <v>535</v>
      </c>
      <c r="I3392" s="4">
        <f t="shared" si="477"/>
        <v>1</v>
      </c>
      <c r="J3392">
        <f t="shared" si="478"/>
        <v>2</v>
      </c>
      <c r="K3392">
        <v>40</v>
      </c>
      <c r="L3392">
        <v>18</v>
      </c>
      <c r="M3392" s="2">
        <v>2.2200000000000002</v>
      </c>
      <c r="N3392">
        <v>2.85</v>
      </c>
      <c r="O3392">
        <v>0</v>
      </c>
      <c r="P3392">
        <v>2</v>
      </c>
      <c r="Q3392" s="4" t="str">
        <f>IF(P3392=1,"2016/2017-Ganjil",IF(P3392=2,"2016/2017-Genap",IF(P3392=3,"2017/2018-Ganjil",IF(P3392=4,"2017/2018-Genap",IF(P3392=5,"2018/2019-Ganjil",IF(P3392=6,"2018/2019-Genap",IF(P3392=7,"2019/2020-Ganjil",IF(P3392=8,"2019/2020-Genap",IF(P3392=9,"2020/2021-Ganjil",IF(P3392=10,"2020/2021-Genap",IF(P3392=11,"2021/2022-Ganjil",IF(P3392=12,"2021/2022-Genap",IF(P3392=13,"2022/2023-Ganjil","2022/2023-Genap")))))))))))))</f>
        <v>2016/2017-Genap</v>
      </c>
      <c r="R3392" s="8" t="s">
        <v>260</v>
      </c>
      <c r="S3392" t="str">
        <f t="shared" si="476"/>
        <v>FA</v>
      </c>
    </row>
    <row r="3393" spans="1:19" x14ac:dyDescent="0.3">
      <c r="A3393" t="s">
        <v>8</v>
      </c>
      <c r="B3393">
        <v>2016210011</v>
      </c>
      <c r="C3393" t="s">
        <v>70</v>
      </c>
      <c r="E3393" t="s">
        <v>266</v>
      </c>
      <c r="F3393" t="s">
        <v>91</v>
      </c>
      <c r="G3393">
        <v>2</v>
      </c>
      <c r="H3393" t="s">
        <v>438</v>
      </c>
      <c r="I3393" s="4">
        <f t="shared" si="477"/>
        <v>3</v>
      </c>
      <c r="J3393">
        <f t="shared" si="478"/>
        <v>6</v>
      </c>
      <c r="K3393">
        <v>34</v>
      </c>
      <c r="L3393">
        <v>12</v>
      </c>
      <c r="M3393" s="2">
        <v>2.83</v>
      </c>
      <c r="N3393">
        <v>2.85</v>
      </c>
      <c r="O3393">
        <v>1</v>
      </c>
      <c r="P3393">
        <v>8</v>
      </c>
      <c r="Q3393" s="4" t="str">
        <f>IF(P3393=1,"2016/2017-Ganjil",IF(P3393=2,"2016/2017-Genap",IF(P3393=3,"2017/2018-Ganjil",IF(P3393=4,"2017/2018-Genap",IF(P3393=5,"2018/2019-Ganjil",IF(P3393=6,"2018/2019-Genap",IF(P3393=7,"2019/2020-Ganjil",IF(P3393=8,"2019/2020-Genap",IF(P3393=9,"2020/2021-Ganjil",IF(P3393=10,"2020/2021-Genap",IF(P3393=11,"2021/2022-Ganjil",IF(P3393=12,"2021/2022-Genap",IF(P3393=13,"2022/2023-Ganjil","2022/2023-Genap")))))))))))))</f>
        <v>2019/2020-Genap</v>
      </c>
      <c r="R3393" s="8" t="s">
        <v>260</v>
      </c>
      <c r="S3393" t="str">
        <f t="shared" si="476"/>
        <v>PA</v>
      </c>
    </row>
    <row r="3394" spans="1:19" x14ac:dyDescent="0.3">
      <c r="A3394" t="s">
        <v>8</v>
      </c>
      <c r="B3394">
        <v>2016210012</v>
      </c>
      <c r="C3394" t="s">
        <v>69</v>
      </c>
      <c r="E3394" t="s">
        <v>22</v>
      </c>
      <c r="F3394" t="s">
        <v>23</v>
      </c>
      <c r="G3394">
        <v>2</v>
      </c>
      <c r="I3394" s="4"/>
      <c r="J3394">
        <f t="shared" ref="J3394:J3429" si="479">G3394*I3394</f>
        <v>0</v>
      </c>
      <c r="K3394">
        <v>18</v>
      </c>
      <c r="L3394">
        <v>12</v>
      </c>
      <c r="M3394" s="2">
        <v>1.5</v>
      </c>
      <c r="N3394">
        <v>2.38</v>
      </c>
      <c r="O3394">
        <v>0</v>
      </c>
      <c r="P3394">
        <v>2</v>
      </c>
      <c r="Q3394" t="s">
        <v>559</v>
      </c>
      <c r="R3394" s="8" t="s">
        <v>260</v>
      </c>
      <c r="S3394" t="s">
        <v>595</v>
      </c>
    </row>
    <row r="3395" spans="1:19" x14ac:dyDescent="0.3">
      <c r="A3395" t="s">
        <v>8</v>
      </c>
      <c r="B3395">
        <v>2016210012</v>
      </c>
      <c r="C3395" t="s">
        <v>69</v>
      </c>
      <c r="E3395" t="s">
        <v>112</v>
      </c>
      <c r="F3395" t="s">
        <v>113</v>
      </c>
      <c r="G3395">
        <v>4</v>
      </c>
      <c r="I3395" s="4"/>
      <c r="J3395">
        <f t="shared" si="479"/>
        <v>0</v>
      </c>
      <c r="K3395">
        <v>26</v>
      </c>
      <c r="L3395">
        <v>14</v>
      </c>
      <c r="M3395">
        <v>1.86</v>
      </c>
      <c r="N3395">
        <v>2.38</v>
      </c>
      <c r="O3395">
        <v>0</v>
      </c>
      <c r="P3395">
        <v>5</v>
      </c>
      <c r="Q3395" t="s">
        <v>566</v>
      </c>
      <c r="R3395" s="8" t="s">
        <v>260</v>
      </c>
      <c r="S3395" t="s">
        <v>595</v>
      </c>
    </row>
    <row r="3396" spans="1:19" x14ac:dyDescent="0.3">
      <c r="A3396" t="s">
        <v>8</v>
      </c>
      <c r="B3396">
        <v>2016210012</v>
      </c>
      <c r="C3396" t="s">
        <v>69</v>
      </c>
      <c r="E3396" t="s">
        <v>182</v>
      </c>
      <c r="F3396" t="s">
        <v>171</v>
      </c>
      <c r="G3396">
        <v>2</v>
      </c>
      <c r="I3396" s="4"/>
      <c r="J3396">
        <f t="shared" si="479"/>
        <v>0</v>
      </c>
      <c r="K3396">
        <v>30</v>
      </c>
      <c r="L3396">
        <v>16</v>
      </c>
      <c r="M3396">
        <v>1.88</v>
      </c>
      <c r="N3396">
        <v>2.38</v>
      </c>
      <c r="O3396">
        <v>0</v>
      </c>
      <c r="P3396">
        <v>7</v>
      </c>
      <c r="Q3396" t="s">
        <v>568</v>
      </c>
      <c r="R3396" t="s">
        <v>535</v>
      </c>
      <c r="S3396" t="s">
        <v>595</v>
      </c>
    </row>
    <row r="3397" spans="1:19" x14ac:dyDescent="0.3">
      <c r="A3397" t="s">
        <v>8</v>
      </c>
      <c r="B3397">
        <v>2016210012</v>
      </c>
      <c r="C3397" t="s">
        <v>69</v>
      </c>
      <c r="E3397" t="s">
        <v>115</v>
      </c>
      <c r="F3397" t="s">
        <v>116</v>
      </c>
      <c r="G3397">
        <v>4</v>
      </c>
      <c r="I3397" s="4"/>
      <c r="J3397">
        <f>G3397*I3397</f>
        <v>0</v>
      </c>
      <c r="K3397">
        <v>18</v>
      </c>
      <c r="L3397">
        <v>12</v>
      </c>
      <c r="M3397" s="2">
        <v>1.5</v>
      </c>
      <c r="N3397">
        <v>2.38</v>
      </c>
      <c r="O3397">
        <v>0</v>
      </c>
      <c r="P3397">
        <v>2</v>
      </c>
      <c r="Q3397" t="s">
        <v>559</v>
      </c>
      <c r="R3397" s="8" t="s">
        <v>260</v>
      </c>
      <c r="S3397" t="s">
        <v>595</v>
      </c>
    </row>
    <row r="3398" spans="1:19" x14ac:dyDescent="0.3">
      <c r="A3398" t="s">
        <v>8</v>
      </c>
      <c r="B3398">
        <v>2016210012</v>
      </c>
      <c r="C3398" t="s">
        <v>69</v>
      </c>
      <c r="E3398" t="s">
        <v>213</v>
      </c>
      <c r="F3398" t="s">
        <v>214</v>
      </c>
      <c r="G3398">
        <v>4</v>
      </c>
      <c r="I3398" s="4"/>
      <c r="J3398">
        <f t="shared" si="479"/>
        <v>0</v>
      </c>
      <c r="K3398">
        <v>30</v>
      </c>
      <c r="L3398">
        <v>16</v>
      </c>
      <c r="M3398">
        <v>1.88</v>
      </c>
      <c r="N3398">
        <v>2.38</v>
      </c>
      <c r="O3398">
        <v>0</v>
      </c>
      <c r="P3398">
        <v>7</v>
      </c>
      <c r="Q3398" t="s">
        <v>568</v>
      </c>
      <c r="R3398" t="s">
        <v>535</v>
      </c>
      <c r="S3398" t="s">
        <v>595</v>
      </c>
    </row>
    <row r="3399" spans="1:19" x14ac:dyDescent="0.3">
      <c r="A3399" t="s">
        <v>8</v>
      </c>
      <c r="B3399">
        <v>2016210012</v>
      </c>
      <c r="C3399" t="s">
        <v>69</v>
      </c>
      <c r="E3399" t="s">
        <v>232</v>
      </c>
      <c r="F3399" t="s">
        <v>245</v>
      </c>
      <c r="G3399">
        <v>2</v>
      </c>
      <c r="I3399" s="4"/>
      <c r="J3399">
        <f t="shared" si="479"/>
        <v>0</v>
      </c>
      <c r="K3399">
        <v>18</v>
      </c>
      <c r="L3399">
        <v>12</v>
      </c>
      <c r="M3399" s="2">
        <v>1.5</v>
      </c>
      <c r="N3399">
        <v>2.38</v>
      </c>
      <c r="O3399">
        <v>0</v>
      </c>
      <c r="P3399">
        <v>2</v>
      </c>
      <c r="Q3399" t="s">
        <v>559</v>
      </c>
      <c r="R3399" s="8" t="s">
        <v>260</v>
      </c>
      <c r="S3399" t="s">
        <v>595</v>
      </c>
    </row>
    <row r="3400" spans="1:19" x14ac:dyDescent="0.3">
      <c r="A3400" t="s">
        <v>8</v>
      </c>
      <c r="B3400">
        <v>2016210012</v>
      </c>
      <c r="C3400" t="s">
        <v>69</v>
      </c>
      <c r="E3400" t="s">
        <v>163</v>
      </c>
      <c r="F3400" t="s">
        <v>164</v>
      </c>
      <c r="G3400">
        <v>2</v>
      </c>
      <c r="H3400" t="s">
        <v>438</v>
      </c>
      <c r="I3400" s="4">
        <f t="shared" ref="I3400:I3429" si="480">IF(H3400="A",4,IF(H3400="B",3,IF(H3400="C",2,IF(H3400="D",1,0))))</f>
        <v>3</v>
      </c>
      <c r="J3400">
        <f t="shared" si="479"/>
        <v>6</v>
      </c>
      <c r="K3400">
        <v>50</v>
      </c>
      <c r="L3400">
        <v>20</v>
      </c>
      <c r="M3400" s="2">
        <v>2.5</v>
      </c>
      <c r="N3400">
        <v>2.38</v>
      </c>
      <c r="O3400">
        <v>0</v>
      </c>
      <c r="P3400">
        <v>1</v>
      </c>
      <c r="Q3400" t="s">
        <v>558</v>
      </c>
      <c r="R3400" s="8" t="s">
        <v>260</v>
      </c>
      <c r="S3400" t="str">
        <f t="shared" ref="S3400:S3426" si="481">IF(OR(H3400="A",H3400="B",H3400="C"),"PA","FA")</f>
        <v>PA</v>
      </c>
    </row>
    <row r="3401" spans="1:19" x14ac:dyDescent="0.3">
      <c r="A3401" t="s">
        <v>8</v>
      </c>
      <c r="B3401">
        <v>2016210012</v>
      </c>
      <c r="C3401" t="s">
        <v>69</v>
      </c>
      <c r="E3401" t="s">
        <v>147</v>
      </c>
      <c r="F3401" t="s">
        <v>148</v>
      </c>
      <c r="G3401">
        <v>4</v>
      </c>
      <c r="H3401" t="s">
        <v>438</v>
      </c>
      <c r="I3401" s="4">
        <f t="shared" ref="I3401:I3421" si="482">IF(H3401="A",4,IF(H3401="B",3,IF(H3401="C",2,IF(H3401="D",1,0))))</f>
        <v>3</v>
      </c>
      <c r="J3401">
        <f t="shared" ref="J3401:J3421" si="483">G3401*I3401</f>
        <v>12</v>
      </c>
      <c r="K3401">
        <v>50</v>
      </c>
      <c r="L3401">
        <v>20</v>
      </c>
      <c r="M3401" s="2">
        <v>2.5</v>
      </c>
      <c r="N3401">
        <v>2.38</v>
      </c>
      <c r="O3401">
        <v>0</v>
      </c>
      <c r="P3401">
        <v>1</v>
      </c>
      <c r="Q3401" t="s">
        <v>558</v>
      </c>
      <c r="R3401" s="8" t="s">
        <v>260</v>
      </c>
      <c r="S3401" t="str">
        <f t="shared" si="481"/>
        <v>PA</v>
      </c>
    </row>
    <row r="3402" spans="1:19" x14ac:dyDescent="0.3">
      <c r="A3402" t="s">
        <v>8</v>
      </c>
      <c r="B3402">
        <v>2016210012</v>
      </c>
      <c r="C3402" t="s">
        <v>69</v>
      </c>
      <c r="E3402" t="s">
        <v>391</v>
      </c>
      <c r="F3402" t="s">
        <v>392</v>
      </c>
      <c r="G3402">
        <v>2</v>
      </c>
      <c r="H3402" t="s">
        <v>438</v>
      </c>
      <c r="I3402" s="4">
        <f t="shared" si="482"/>
        <v>3</v>
      </c>
      <c r="J3402">
        <f t="shared" si="483"/>
        <v>6</v>
      </c>
      <c r="K3402">
        <v>26</v>
      </c>
      <c r="L3402">
        <v>14</v>
      </c>
      <c r="M3402">
        <v>1.86</v>
      </c>
      <c r="N3402">
        <v>2.38</v>
      </c>
      <c r="O3402">
        <v>0</v>
      </c>
      <c r="P3402">
        <v>5</v>
      </c>
      <c r="Q3402" t="s">
        <v>566</v>
      </c>
      <c r="R3402" s="8" t="s">
        <v>260</v>
      </c>
      <c r="S3402" t="str">
        <f t="shared" si="481"/>
        <v>PA</v>
      </c>
    </row>
    <row r="3403" spans="1:19" x14ac:dyDescent="0.3">
      <c r="A3403" t="s">
        <v>8</v>
      </c>
      <c r="B3403">
        <v>2016210012</v>
      </c>
      <c r="C3403" t="s">
        <v>69</v>
      </c>
      <c r="E3403" t="s">
        <v>219</v>
      </c>
      <c r="F3403" t="s">
        <v>473</v>
      </c>
      <c r="G3403">
        <v>2</v>
      </c>
      <c r="H3403" t="s">
        <v>438</v>
      </c>
      <c r="I3403" s="4">
        <f t="shared" si="482"/>
        <v>3</v>
      </c>
      <c r="J3403">
        <f t="shared" si="483"/>
        <v>6</v>
      </c>
      <c r="K3403">
        <v>30</v>
      </c>
      <c r="L3403">
        <v>16</v>
      </c>
      <c r="M3403">
        <v>1.88</v>
      </c>
      <c r="N3403">
        <v>2.38</v>
      </c>
      <c r="O3403">
        <v>0</v>
      </c>
      <c r="P3403">
        <v>7</v>
      </c>
      <c r="Q3403" t="s">
        <v>568</v>
      </c>
      <c r="R3403" t="s">
        <v>535</v>
      </c>
      <c r="S3403" t="str">
        <f t="shared" si="481"/>
        <v>PA</v>
      </c>
    </row>
    <row r="3404" spans="1:19" x14ac:dyDescent="0.3">
      <c r="A3404" t="s">
        <v>8</v>
      </c>
      <c r="B3404">
        <v>2016210012</v>
      </c>
      <c r="C3404" t="s">
        <v>69</v>
      </c>
      <c r="E3404" t="s">
        <v>242</v>
      </c>
      <c r="F3404" t="s">
        <v>166</v>
      </c>
      <c r="G3404">
        <v>2</v>
      </c>
      <c r="H3404" t="s">
        <v>438</v>
      </c>
      <c r="I3404" s="4">
        <f t="shared" si="482"/>
        <v>3</v>
      </c>
      <c r="J3404">
        <f t="shared" si="483"/>
        <v>6</v>
      </c>
      <c r="K3404">
        <v>28</v>
      </c>
      <c r="L3404">
        <v>20</v>
      </c>
      <c r="M3404" s="2">
        <v>1.4</v>
      </c>
      <c r="N3404">
        <v>2.38</v>
      </c>
      <c r="O3404">
        <v>0</v>
      </c>
      <c r="P3404">
        <v>4</v>
      </c>
      <c r="Q3404" t="s">
        <v>565</v>
      </c>
      <c r="R3404" s="8" t="s">
        <v>260</v>
      </c>
      <c r="S3404" t="str">
        <f t="shared" si="481"/>
        <v>PA</v>
      </c>
    </row>
    <row r="3405" spans="1:19" x14ac:dyDescent="0.3">
      <c r="A3405" t="s">
        <v>8</v>
      </c>
      <c r="B3405">
        <v>2016210012</v>
      </c>
      <c r="C3405" t="s">
        <v>69</v>
      </c>
      <c r="E3405" t="s">
        <v>242</v>
      </c>
      <c r="F3405" t="s">
        <v>166</v>
      </c>
      <c r="G3405">
        <v>2</v>
      </c>
      <c r="H3405" t="s">
        <v>260</v>
      </c>
      <c r="I3405" s="4">
        <f t="shared" si="482"/>
        <v>4</v>
      </c>
      <c r="J3405">
        <f t="shared" si="483"/>
        <v>8</v>
      </c>
      <c r="K3405">
        <v>34</v>
      </c>
      <c r="L3405">
        <v>12</v>
      </c>
      <c r="M3405" s="2">
        <v>2.83</v>
      </c>
      <c r="N3405">
        <v>2.38</v>
      </c>
      <c r="O3405">
        <v>1</v>
      </c>
      <c r="P3405">
        <v>6</v>
      </c>
      <c r="Q3405" t="s">
        <v>567</v>
      </c>
      <c r="R3405" s="8" t="s">
        <v>260</v>
      </c>
      <c r="S3405" t="str">
        <f t="shared" si="481"/>
        <v>PA</v>
      </c>
    </row>
    <row r="3406" spans="1:19" x14ac:dyDescent="0.3">
      <c r="A3406" t="s">
        <v>8</v>
      </c>
      <c r="B3406">
        <v>2016210012</v>
      </c>
      <c r="C3406" t="s">
        <v>69</v>
      </c>
      <c r="E3406" t="s">
        <v>117</v>
      </c>
      <c r="F3406" t="s">
        <v>118</v>
      </c>
      <c r="G3406">
        <v>2</v>
      </c>
      <c r="H3406" t="s">
        <v>438</v>
      </c>
      <c r="I3406" s="4">
        <f t="shared" si="482"/>
        <v>3</v>
      </c>
      <c r="J3406">
        <f t="shared" si="483"/>
        <v>6</v>
      </c>
      <c r="K3406">
        <v>18</v>
      </c>
      <c r="L3406">
        <v>12</v>
      </c>
      <c r="M3406" s="2">
        <v>1.5</v>
      </c>
      <c r="N3406">
        <v>2.38</v>
      </c>
      <c r="O3406">
        <v>0</v>
      </c>
      <c r="P3406">
        <v>2</v>
      </c>
      <c r="Q3406" t="s">
        <v>559</v>
      </c>
      <c r="R3406" s="8" t="s">
        <v>260</v>
      </c>
      <c r="S3406" t="str">
        <f t="shared" si="481"/>
        <v>PA</v>
      </c>
    </row>
    <row r="3407" spans="1:19" x14ac:dyDescent="0.3">
      <c r="A3407" t="s">
        <v>8</v>
      </c>
      <c r="B3407">
        <v>2016210012</v>
      </c>
      <c r="C3407" t="s">
        <v>69</v>
      </c>
      <c r="E3407" t="s">
        <v>227</v>
      </c>
      <c r="F3407" t="s">
        <v>228</v>
      </c>
      <c r="G3407">
        <v>2</v>
      </c>
      <c r="H3407" t="s">
        <v>438</v>
      </c>
      <c r="I3407" s="4">
        <f t="shared" si="482"/>
        <v>3</v>
      </c>
      <c r="J3407">
        <f t="shared" si="483"/>
        <v>6</v>
      </c>
      <c r="K3407">
        <v>28</v>
      </c>
      <c r="L3407">
        <v>12</v>
      </c>
      <c r="M3407">
        <v>2.33</v>
      </c>
      <c r="N3407">
        <v>2.38</v>
      </c>
      <c r="O3407">
        <v>0</v>
      </c>
      <c r="P3407">
        <v>3</v>
      </c>
      <c r="Q3407" t="s">
        <v>563</v>
      </c>
      <c r="R3407" s="8" t="s">
        <v>260</v>
      </c>
      <c r="S3407" t="str">
        <f t="shared" si="481"/>
        <v>PA</v>
      </c>
    </row>
    <row r="3408" spans="1:19" x14ac:dyDescent="0.3">
      <c r="A3408" t="s">
        <v>8</v>
      </c>
      <c r="B3408">
        <v>2016210012</v>
      </c>
      <c r="C3408" t="s">
        <v>69</v>
      </c>
      <c r="E3408" t="s">
        <v>202</v>
      </c>
      <c r="F3408" t="s">
        <v>203</v>
      </c>
      <c r="G3408">
        <v>4</v>
      </c>
      <c r="H3408" t="s">
        <v>438</v>
      </c>
      <c r="I3408" s="4">
        <f t="shared" si="482"/>
        <v>3</v>
      </c>
      <c r="J3408">
        <f t="shared" si="483"/>
        <v>12</v>
      </c>
      <c r="K3408">
        <v>50</v>
      </c>
      <c r="L3408">
        <v>20</v>
      </c>
      <c r="M3408" s="2">
        <v>2.5</v>
      </c>
      <c r="N3408">
        <v>2.38</v>
      </c>
      <c r="O3408">
        <v>0</v>
      </c>
      <c r="P3408">
        <v>1</v>
      </c>
      <c r="Q3408" t="s">
        <v>558</v>
      </c>
      <c r="R3408" s="8" t="s">
        <v>260</v>
      </c>
      <c r="S3408" t="str">
        <f t="shared" si="481"/>
        <v>PA</v>
      </c>
    </row>
    <row r="3409" spans="1:19" x14ac:dyDescent="0.3">
      <c r="A3409" t="s">
        <v>8</v>
      </c>
      <c r="B3409">
        <v>2016210012</v>
      </c>
      <c r="C3409" t="s">
        <v>69</v>
      </c>
      <c r="E3409" t="s">
        <v>105</v>
      </c>
      <c r="F3409" t="s">
        <v>106</v>
      </c>
      <c r="G3409">
        <v>2</v>
      </c>
      <c r="H3409" t="s">
        <v>438</v>
      </c>
      <c r="I3409" s="4">
        <f t="shared" si="482"/>
        <v>3</v>
      </c>
      <c r="J3409">
        <f t="shared" si="483"/>
        <v>6</v>
      </c>
      <c r="K3409">
        <v>26</v>
      </c>
      <c r="L3409">
        <v>14</v>
      </c>
      <c r="M3409">
        <v>1.86</v>
      </c>
      <c r="N3409">
        <v>2.38</v>
      </c>
      <c r="O3409">
        <v>0</v>
      </c>
      <c r="P3409">
        <v>5</v>
      </c>
      <c r="Q3409" t="s">
        <v>566</v>
      </c>
      <c r="R3409" s="8" t="s">
        <v>260</v>
      </c>
      <c r="S3409" t="str">
        <f t="shared" si="481"/>
        <v>PA</v>
      </c>
    </row>
    <row r="3410" spans="1:19" x14ac:dyDescent="0.3">
      <c r="A3410" t="s">
        <v>8</v>
      </c>
      <c r="B3410">
        <v>2016210012</v>
      </c>
      <c r="C3410" t="s">
        <v>69</v>
      </c>
      <c r="E3410" t="s">
        <v>131</v>
      </c>
      <c r="F3410" t="s">
        <v>132</v>
      </c>
      <c r="G3410">
        <v>2</v>
      </c>
      <c r="H3410" t="s">
        <v>438</v>
      </c>
      <c r="I3410" s="4">
        <f t="shared" si="482"/>
        <v>3</v>
      </c>
      <c r="J3410">
        <f t="shared" si="483"/>
        <v>6</v>
      </c>
      <c r="K3410">
        <v>50</v>
      </c>
      <c r="L3410">
        <v>20</v>
      </c>
      <c r="M3410" s="2">
        <v>2.5</v>
      </c>
      <c r="N3410">
        <v>2.38</v>
      </c>
      <c r="O3410">
        <v>0</v>
      </c>
      <c r="P3410">
        <v>1</v>
      </c>
      <c r="Q3410" t="s">
        <v>558</v>
      </c>
      <c r="R3410" s="8" t="s">
        <v>260</v>
      </c>
      <c r="S3410" t="str">
        <f t="shared" si="481"/>
        <v>PA</v>
      </c>
    </row>
    <row r="3411" spans="1:19" x14ac:dyDescent="0.3">
      <c r="A3411" t="s">
        <v>8</v>
      </c>
      <c r="B3411">
        <v>2016210012</v>
      </c>
      <c r="C3411" t="s">
        <v>69</v>
      </c>
      <c r="E3411" t="s">
        <v>352</v>
      </c>
      <c r="F3411" t="s">
        <v>353</v>
      </c>
      <c r="G3411">
        <v>2</v>
      </c>
      <c r="H3411" t="s">
        <v>438</v>
      </c>
      <c r="I3411" s="4">
        <f t="shared" si="482"/>
        <v>3</v>
      </c>
      <c r="J3411">
        <f t="shared" si="483"/>
        <v>6</v>
      </c>
      <c r="K3411">
        <v>26</v>
      </c>
      <c r="L3411">
        <v>14</v>
      </c>
      <c r="M3411">
        <v>1.86</v>
      </c>
      <c r="N3411">
        <v>2.38</v>
      </c>
      <c r="O3411">
        <v>0</v>
      </c>
      <c r="P3411">
        <v>5</v>
      </c>
      <c r="Q3411" t="s">
        <v>566</v>
      </c>
      <c r="R3411" s="8" t="s">
        <v>260</v>
      </c>
      <c r="S3411" t="str">
        <f t="shared" si="481"/>
        <v>PA</v>
      </c>
    </row>
    <row r="3412" spans="1:19" x14ac:dyDescent="0.3">
      <c r="A3412" t="s">
        <v>8</v>
      </c>
      <c r="B3412">
        <v>2016210012</v>
      </c>
      <c r="C3412" t="s">
        <v>69</v>
      </c>
      <c r="E3412" t="s">
        <v>279</v>
      </c>
      <c r="F3412" t="s">
        <v>280</v>
      </c>
      <c r="G3412">
        <v>2</v>
      </c>
      <c r="H3412" t="s">
        <v>438</v>
      </c>
      <c r="I3412" s="4">
        <f t="shared" si="482"/>
        <v>3</v>
      </c>
      <c r="J3412">
        <f t="shared" si="483"/>
        <v>6</v>
      </c>
      <c r="K3412">
        <v>18</v>
      </c>
      <c r="L3412">
        <v>12</v>
      </c>
      <c r="M3412" s="2">
        <v>1.5</v>
      </c>
      <c r="N3412">
        <v>2.38</v>
      </c>
      <c r="O3412">
        <v>0</v>
      </c>
      <c r="P3412">
        <v>2</v>
      </c>
      <c r="Q3412" t="s">
        <v>559</v>
      </c>
      <c r="R3412" s="8" t="s">
        <v>260</v>
      </c>
      <c r="S3412" t="str">
        <f t="shared" si="481"/>
        <v>PA</v>
      </c>
    </row>
    <row r="3413" spans="1:19" x14ac:dyDescent="0.3">
      <c r="A3413" t="s">
        <v>8</v>
      </c>
      <c r="B3413">
        <v>2016210012</v>
      </c>
      <c r="C3413" t="s">
        <v>69</v>
      </c>
      <c r="E3413" t="s">
        <v>597</v>
      </c>
      <c r="F3413" t="s">
        <v>275</v>
      </c>
      <c r="G3413">
        <v>2</v>
      </c>
      <c r="H3413" t="s">
        <v>438</v>
      </c>
      <c r="I3413" s="4">
        <f t="shared" si="482"/>
        <v>3</v>
      </c>
      <c r="J3413">
        <f t="shared" si="483"/>
        <v>6</v>
      </c>
      <c r="K3413">
        <v>34</v>
      </c>
      <c r="L3413">
        <v>12</v>
      </c>
      <c r="M3413" s="2">
        <v>2.83</v>
      </c>
      <c r="N3413">
        <v>2.38</v>
      </c>
      <c r="O3413">
        <v>0</v>
      </c>
      <c r="P3413">
        <v>6</v>
      </c>
      <c r="Q3413" t="s">
        <v>567</v>
      </c>
      <c r="R3413" s="8" t="s">
        <v>260</v>
      </c>
      <c r="S3413" t="str">
        <f t="shared" si="481"/>
        <v>PA</v>
      </c>
    </row>
    <row r="3414" spans="1:19" x14ac:dyDescent="0.3">
      <c r="A3414" t="s">
        <v>8</v>
      </c>
      <c r="B3414">
        <v>2016210012</v>
      </c>
      <c r="C3414" t="s">
        <v>69</v>
      </c>
      <c r="E3414" t="s">
        <v>295</v>
      </c>
      <c r="F3414" t="s">
        <v>296</v>
      </c>
      <c r="G3414">
        <v>2</v>
      </c>
      <c r="H3414" t="s">
        <v>438</v>
      </c>
      <c r="I3414" s="4">
        <f t="shared" si="482"/>
        <v>3</v>
      </c>
      <c r="J3414">
        <f t="shared" si="483"/>
        <v>6</v>
      </c>
      <c r="K3414">
        <v>28</v>
      </c>
      <c r="L3414">
        <v>12</v>
      </c>
      <c r="M3414">
        <v>2.33</v>
      </c>
      <c r="N3414">
        <v>2.38</v>
      </c>
      <c r="O3414">
        <v>0</v>
      </c>
      <c r="P3414">
        <v>3</v>
      </c>
      <c r="Q3414" t="s">
        <v>563</v>
      </c>
      <c r="R3414" s="8" t="s">
        <v>260</v>
      </c>
      <c r="S3414" t="str">
        <f t="shared" si="481"/>
        <v>PA</v>
      </c>
    </row>
    <row r="3415" spans="1:19" x14ac:dyDescent="0.3">
      <c r="A3415" t="s">
        <v>8</v>
      </c>
      <c r="B3415">
        <v>2016210012</v>
      </c>
      <c r="C3415" t="s">
        <v>69</v>
      </c>
      <c r="E3415" t="s">
        <v>193</v>
      </c>
      <c r="F3415" t="s">
        <v>194</v>
      </c>
      <c r="G3415">
        <v>4</v>
      </c>
      <c r="H3415" t="s">
        <v>438</v>
      </c>
      <c r="I3415" s="4">
        <f t="shared" si="482"/>
        <v>3</v>
      </c>
      <c r="J3415">
        <f t="shared" si="483"/>
        <v>12</v>
      </c>
      <c r="K3415">
        <v>30</v>
      </c>
      <c r="L3415">
        <v>16</v>
      </c>
      <c r="M3415">
        <v>1.88</v>
      </c>
      <c r="N3415">
        <v>2.38</v>
      </c>
      <c r="O3415">
        <v>0</v>
      </c>
      <c r="P3415">
        <v>7</v>
      </c>
      <c r="Q3415" t="s">
        <v>568</v>
      </c>
      <c r="R3415" t="s">
        <v>535</v>
      </c>
      <c r="S3415" t="str">
        <f t="shared" si="481"/>
        <v>PA</v>
      </c>
    </row>
    <row r="3416" spans="1:19" x14ac:dyDescent="0.3">
      <c r="A3416" t="s">
        <v>8</v>
      </c>
      <c r="B3416">
        <v>2016210012</v>
      </c>
      <c r="C3416" t="s">
        <v>69</v>
      </c>
      <c r="E3416" t="s">
        <v>93</v>
      </c>
      <c r="F3416" t="s">
        <v>94</v>
      </c>
      <c r="G3416">
        <v>4</v>
      </c>
      <c r="H3416" t="s">
        <v>438</v>
      </c>
      <c r="I3416" s="4">
        <f t="shared" si="482"/>
        <v>3</v>
      </c>
      <c r="J3416">
        <f t="shared" si="483"/>
        <v>12</v>
      </c>
      <c r="K3416">
        <v>28</v>
      </c>
      <c r="L3416">
        <v>12</v>
      </c>
      <c r="M3416">
        <v>2.33</v>
      </c>
      <c r="N3416">
        <v>2.38</v>
      </c>
      <c r="O3416">
        <v>0</v>
      </c>
      <c r="P3416">
        <v>3</v>
      </c>
      <c r="Q3416" t="s">
        <v>563</v>
      </c>
      <c r="R3416" s="8" t="s">
        <v>260</v>
      </c>
      <c r="S3416" t="str">
        <f t="shared" si="481"/>
        <v>PA</v>
      </c>
    </row>
    <row r="3417" spans="1:19" x14ac:dyDescent="0.3">
      <c r="A3417" t="s">
        <v>8</v>
      </c>
      <c r="B3417">
        <v>2016210012</v>
      </c>
      <c r="C3417" t="s">
        <v>69</v>
      </c>
      <c r="E3417" t="s">
        <v>185</v>
      </c>
      <c r="F3417" t="s">
        <v>186</v>
      </c>
      <c r="G3417">
        <v>4</v>
      </c>
      <c r="H3417" t="s">
        <v>524</v>
      </c>
      <c r="I3417" s="4">
        <f t="shared" si="482"/>
        <v>2</v>
      </c>
      <c r="J3417">
        <f t="shared" si="483"/>
        <v>8</v>
      </c>
      <c r="K3417">
        <v>30</v>
      </c>
      <c r="L3417">
        <v>16</v>
      </c>
      <c r="M3417">
        <v>1.88</v>
      </c>
      <c r="N3417">
        <v>2.38</v>
      </c>
      <c r="O3417">
        <v>0</v>
      </c>
      <c r="P3417">
        <v>7</v>
      </c>
      <c r="Q3417" t="s">
        <v>568</v>
      </c>
      <c r="R3417" t="s">
        <v>535</v>
      </c>
      <c r="S3417" t="str">
        <f t="shared" si="481"/>
        <v>PA</v>
      </c>
    </row>
    <row r="3418" spans="1:19" x14ac:dyDescent="0.3">
      <c r="A3418" t="s">
        <v>8</v>
      </c>
      <c r="B3418">
        <v>2016210012</v>
      </c>
      <c r="C3418" t="s">
        <v>69</v>
      </c>
      <c r="E3418" t="s">
        <v>246</v>
      </c>
      <c r="F3418" t="s">
        <v>247</v>
      </c>
      <c r="G3418">
        <v>4</v>
      </c>
      <c r="H3418" t="s">
        <v>524</v>
      </c>
      <c r="I3418" s="4">
        <f t="shared" si="482"/>
        <v>2</v>
      </c>
      <c r="J3418">
        <f t="shared" si="483"/>
        <v>8</v>
      </c>
      <c r="K3418">
        <v>28</v>
      </c>
      <c r="L3418">
        <v>20</v>
      </c>
      <c r="M3418" s="2">
        <v>1.4</v>
      </c>
      <c r="N3418">
        <v>2.38</v>
      </c>
      <c r="O3418">
        <v>0</v>
      </c>
      <c r="P3418">
        <v>4</v>
      </c>
      <c r="Q3418" t="s">
        <v>565</v>
      </c>
      <c r="R3418" s="8" t="s">
        <v>260</v>
      </c>
      <c r="S3418" t="str">
        <f t="shared" si="481"/>
        <v>PA</v>
      </c>
    </row>
    <row r="3419" spans="1:19" x14ac:dyDescent="0.3">
      <c r="A3419" t="s">
        <v>8</v>
      </c>
      <c r="B3419">
        <v>2016210012</v>
      </c>
      <c r="C3419" t="s">
        <v>69</v>
      </c>
      <c r="E3419" t="s">
        <v>77</v>
      </c>
      <c r="F3419" t="s">
        <v>78</v>
      </c>
      <c r="G3419">
        <v>2</v>
      </c>
      <c r="H3419" t="s">
        <v>524</v>
      </c>
      <c r="I3419" s="4">
        <f t="shared" si="482"/>
        <v>2</v>
      </c>
      <c r="J3419">
        <f t="shared" si="483"/>
        <v>4</v>
      </c>
      <c r="K3419">
        <v>50</v>
      </c>
      <c r="L3419">
        <v>20</v>
      </c>
      <c r="M3419" s="2">
        <v>2.5</v>
      </c>
      <c r="N3419">
        <v>2.38</v>
      </c>
      <c r="O3419">
        <v>0</v>
      </c>
      <c r="P3419">
        <v>1</v>
      </c>
      <c r="Q3419" t="s">
        <v>558</v>
      </c>
      <c r="R3419" s="8" t="s">
        <v>260</v>
      </c>
      <c r="S3419" t="str">
        <f t="shared" si="481"/>
        <v>PA</v>
      </c>
    </row>
    <row r="3420" spans="1:19" x14ac:dyDescent="0.3">
      <c r="A3420" t="s">
        <v>8</v>
      </c>
      <c r="B3420">
        <v>2016210012</v>
      </c>
      <c r="C3420" t="s">
        <v>69</v>
      </c>
      <c r="E3420" t="s">
        <v>188</v>
      </c>
      <c r="F3420" t="s">
        <v>189</v>
      </c>
      <c r="G3420">
        <v>4</v>
      </c>
      <c r="H3420" t="s">
        <v>524</v>
      </c>
      <c r="I3420" s="4">
        <f t="shared" si="482"/>
        <v>2</v>
      </c>
      <c r="J3420">
        <f t="shared" si="483"/>
        <v>8</v>
      </c>
      <c r="K3420">
        <v>26</v>
      </c>
      <c r="L3420">
        <v>14</v>
      </c>
      <c r="M3420">
        <v>1.86</v>
      </c>
      <c r="N3420">
        <v>2.38</v>
      </c>
      <c r="O3420">
        <v>0</v>
      </c>
      <c r="P3420">
        <v>5</v>
      </c>
      <c r="Q3420" t="s">
        <v>566</v>
      </c>
      <c r="R3420" s="8" t="s">
        <v>260</v>
      </c>
      <c r="S3420" t="str">
        <f t="shared" si="481"/>
        <v>PA</v>
      </c>
    </row>
    <row r="3421" spans="1:19" x14ac:dyDescent="0.3">
      <c r="A3421" t="s">
        <v>8</v>
      </c>
      <c r="B3421">
        <v>2016210012</v>
      </c>
      <c r="C3421" t="s">
        <v>69</v>
      </c>
      <c r="E3421" t="s">
        <v>393</v>
      </c>
      <c r="F3421" t="s">
        <v>492</v>
      </c>
      <c r="G3421">
        <v>2</v>
      </c>
      <c r="H3421" t="s">
        <v>524</v>
      </c>
      <c r="I3421" s="4">
        <f t="shared" si="482"/>
        <v>2</v>
      </c>
      <c r="J3421">
        <f t="shared" si="483"/>
        <v>4</v>
      </c>
      <c r="K3421">
        <v>30</v>
      </c>
      <c r="L3421">
        <v>16</v>
      </c>
      <c r="M3421">
        <v>1.88</v>
      </c>
      <c r="N3421">
        <v>2.38</v>
      </c>
      <c r="O3421">
        <v>0</v>
      </c>
      <c r="P3421">
        <v>7</v>
      </c>
      <c r="Q3421" t="s">
        <v>568</v>
      </c>
      <c r="R3421" t="s">
        <v>535</v>
      </c>
      <c r="S3421" t="str">
        <f t="shared" si="481"/>
        <v>PA</v>
      </c>
    </row>
    <row r="3422" spans="1:19" x14ac:dyDescent="0.3">
      <c r="A3422" t="s">
        <v>8</v>
      </c>
      <c r="B3422">
        <v>2016210012</v>
      </c>
      <c r="C3422" t="s">
        <v>69</v>
      </c>
      <c r="E3422" t="s">
        <v>253</v>
      </c>
      <c r="F3422" t="s">
        <v>254</v>
      </c>
      <c r="G3422">
        <v>2</v>
      </c>
      <c r="H3422" t="s">
        <v>524</v>
      </c>
      <c r="I3422" s="4">
        <f t="shared" ref="I3422:I3426" si="484">IF(H3422="A",4,IF(H3422="B",3,IF(H3422="C",2,IF(H3422="D",1,0))))</f>
        <v>2</v>
      </c>
      <c r="J3422">
        <f t="shared" ref="J3422:J3426" si="485">G3422*I3422</f>
        <v>4</v>
      </c>
      <c r="K3422">
        <v>28</v>
      </c>
      <c r="L3422">
        <v>20</v>
      </c>
      <c r="M3422" s="2">
        <v>1.4</v>
      </c>
      <c r="N3422">
        <v>2.38</v>
      </c>
      <c r="O3422">
        <v>0</v>
      </c>
      <c r="P3422">
        <v>4</v>
      </c>
      <c r="Q3422" t="s">
        <v>565</v>
      </c>
      <c r="R3422" s="8" t="s">
        <v>260</v>
      </c>
      <c r="S3422" t="str">
        <f t="shared" si="481"/>
        <v>PA</v>
      </c>
    </row>
    <row r="3423" spans="1:19" x14ac:dyDescent="0.3">
      <c r="A3423" t="s">
        <v>8</v>
      </c>
      <c r="B3423">
        <v>2016210012</v>
      </c>
      <c r="C3423" t="s">
        <v>69</v>
      </c>
      <c r="E3423" t="s">
        <v>253</v>
      </c>
      <c r="F3423" t="s">
        <v>254</v>
      </c>
      <c r="G3423">
        <v>2</v>
      </c>
      <c r="H3423" t="s">
        <v>524</v>
      </c>
      <c r="I3423" s="4">
        <f t="shared" si="484"/>
        <v>2</v>
      </c>
      <c r="J3423">
        <f t="shared" si="485"/>
        <v>4</v>
      </c>
      <c r="K3423">
        <v>34</v>
      </c>
      <c r="L3423">
        <v>12</v>
      </c>
      <c r="M3423" s="2">
        <v>2.83</v>
      </c>
      <c r="N3423">
        <v>2.38</v>
      </c>
      <c r="O3423">
        <v>1</v>
      </c>
      <c r="P3423">
        <v>6</v>
      </c>
      <c r="Q3423" t="s">
        <v>567</v>
      </c>
      <c r="R3423" s="8" t="s">
        <v>260</v>
      </c>
      <c r="S3423" t="str">
        <f t="shared" si="481"/>
        <v>PA</v>
      </c>
    </row>
    <row r="3424" spans="1:19" x14ac:dyDescent="0.3">
      <c r="A3424" t="s">
        <v>8</v>
      </c>
      <c r="B3424">
        <v>2016210012</v>
      </c>
      <c r="C3424" t="s">
        <v>69</v>
      </c>
      <c r="E3424" t="s">
        <v>110</v>
      </c>
      <c r="F3424" t="s">
        <v>111</v>
      </c>
      <c r="G3424">
        <v>4</v>
      </c>
      <c r="H3424" t="s">
        <v>524</v>
      </c>
      <c r="I3424" s="4">
        <f t="shared" si="484"/>
        <v>2</v>
      </c>
      <c r="J3424">
        <f t="shared" si="485"/>
        <v>8</v>
      </c>
      <c r="K3424">
        <v>50</v>
      </c>
      <c r="L3424">
        <v>20</v>
      </c>
      <c r="M3424" s="2">
        <v>2.5</v>
      </c>
      <c r="N3424">
        <v>2.38</v>
      </c>
      <c r="O3424">
        <v>0</v>
      </c>
      <c r="P3424">
        <v>1</v>
      </c>
      <c r="Q3424" t="s">
        <v>558</v>
      </c>
      <c r="R3424" s="8" t="s">
        <v>260</v>
      </c>
      <c r="S3424" t="str">
        <f t="shared" si="481"/>
        <v>PA</v>
      </c>
    </row>
    <row r="3425" spans="1:19" x14ac:dyDescent="0.3">
      <c r="A3425" t="s">
        <v>8</v>
      </c>
      <c r="B3425">
        <v>2016210012</v>
      </c>
      <c r="C3425" t="s">
        <v>69</v>
      </c>
      <c r="E3425" t="s">
        <v>110</v>
      </c>
      <c r="F3425" t="s">
        <v>111</v>
      </c>
      <c r="G3425">
        <v>4</v>
      </c>
      <c r="H3425" t="s">
        <v>539</v>
      </c>
      <c r="I3425" s="4">
        <f t="shared" si="484"/>
        <v>0</v>
      </c>
      <c r="J3425">
        <f t="shared" si="485"/>
        <v>0</v>
      </c>
      <c r="K3425">
        <v>30</v>
      </c>
      <c r="L3425">
        <v>16</v>
      </c>
      <c r="M3425">
        <v>1.88</v>
      </c>
      <c r="N3425">
        <v>2.38</v>
      </c>
      <c r="O3425">
        <v>1</v>
      </c>
      <c r="P3425">
        <v>7</v>
      </c>
      <c r="Q3425" t="s">
        <v>568</v>
      </c>
      <c r="R3425" t="s">
        <v>535</v>
      </c>
      <c r="S3425" t="str">
        <f t="shared" si="481"/>
        <v>FA</v>
      </c>
    </row>
    <row r="3426" spans="1:19" x14ac:dyDescent="0.3">
      <c r="A3426" t="s">
        <v>8</v>
      </c>
      <c r="B3426">
        <v>2016210012</v>
      </c>
      <c r="C3426" t="s">
        <v>69</v>
      </c>
      <c r="E3426" t="s">
        <v>157</v>
      </c>
      <c r="F3426" t="s">
        <v>158</v>
      </c>
      <c r="G3426">
        <v>2</v>
      </c>
      <c r="H3426" t="s">
        <v>535</v>
      </c>
      <c r="I3426" s="4">
        <f t="shared" si="484"/>
        <v>1</v>
      </c>
      <c r="J3426">
        <f t="shared" si="485"/>
        <v>2</v>
      </c>
      <c r="K3426">
        <v>28</v>
      </c>
      <c r="L3426">
        <v>12</v>
      </c>
      <c r="M3426">
        <v>2.33</v>
      </c>
      <c r="N3426">
        <v>2.38</v>
      </c>
      <c r="O3426">
        <v>0</v>
      </c>
      <c r="P3426">
        <v>3</v>
      </c>
      <c r="Q3426" t="s">
        <v>563</v>
      </c>
      <c r="R3426" s="8" t="s">
        <v>260</v>
      </c>
      <c r="S3426" t="str">
        <f t="shared" si="481"/>
        <v>FA</v>
      </c>
    </row>
    <row r="3427" spans="1:19" x14ac:dyDescent="0.3">
      <c r="A3427" t="s">
        <v>8</v>
      </c>
      <c r="B3427">
        <v>2016210012</v>
      </c>
      <c r="C3427" t="s">
        <v>69</v>
      </c>
      <c r="E3427" t="s">
        <v>157</v>
      </c>
      <c r="F3427" t="s">
        <v>158</v>
      </c>
      <c r="G3427">
        <v>2</v>
      </c>
      <c r="I3427" s="4"/>
      <c r="J3427">
        <f t="shared" si="479"/>
        <v>0</v>
      </c>
      <c r="K3427">
        <v>30</v>
      </c>
      <c r="L3427">
        <v>16</v>
      </c>
      <c r="M3427">
        <v>1.88</v>
      </c>
      <c r="N3427">
        <v>2.38</v>
      </c>
      <c r="O3427">
        <v>1</v>
      </c>
      <c r="P3427">
        <v>7</v>
      </c>
      <c r="Q3427" t="s">
        <v>568</v>
      </c>
      <c r="R3427" t="s">
        <v>535</v>
      </c>
      <c r="S3427" t="s">
        <v>595</v>
      </c>
    </row>
    <row r="3428" spans="1:19" x14ac:dyDescent="0.3">
      <c r="A3428" t="s">
        <v>8</v>
      </c>
      <c r="B3428">
        <v>2016210012</v>
      </c>
      <c r="C3428" t="s">
        <v>69</v>
      </c>
      <c r="E3428" t="s">
        <v>266</v>
      </c>
      <c r="F3428" t="s">
        <v>91</v>
      </c>
      <c r="G3428">
        <v>2</v>
      </c>
      <c r="I3428" s="4"/>
      <c r="J3428">
        <f t="shared" si="479"/>
        <v>0</v>
      </c>
      <c r="K3428">
        <v>28</v>
      </c>
      <c r="L3428">
        <v>20</v>
      </c>
      <c r="M3428" s="2">
        <v>1.4</v>
      </c>
      <c r="N3428">
        <v>2.38</v>
      </c>
      <c r="O3428">
        <v>1</v>
      </c>
      <c r="P3428">
        <v>4</v>
      </c>
      <c r="Q3428" t="s">
        <v>565</v>
      </c>
      <c r="R3428" s="8" t="s">
        <v>260</v>
      </c>
      <c r="S3428" t="s">
        <v>595</v>
      </c>
    </row>
    <row r="3429" spans="1:19" x14ac:dyDescent="0.3">
      <c r="A3429" t="s">
        <v>8</v>
      </c>
      <c r="B3429">
        <v>2016210012</v>
      </c>
      <c r="C3429" t="s">
        <v>69</v>
      </c>
      <c r="E3429" t="s">
        <v>266</v>
      </c>
      <c r="F3429" t="s">
        <v>91</v>
      </c>
      <c r="G3429">
        <v>2</v>
      </c>
      <c r="H3429" t="s">
        <v>535</v>
      </c>
      <c r="I3429" s="4">
        <f t="shared" si="480"/>
        <v>1</v>
      </c>
      <c r="J3429">
        <f t="shared" si="479"/>
        <v>2</v>
      </c>
      <c r="K3429">
        <v>18</v>
      </c>
      <c r="L3429">
        <v>12</v>
      </c>
      <c r="M3429" s="2">
        <v>1.5</v>
      </c>
      <c r="N3429">
        <v>2.38</v>
      </c>
      <c r="O3429">
        <v>0</v>
      </c>
      <c r="P3429">
        <v>2</v>
      </c>
      <c r="Q3429" t="s">
        <v>559</v>
      </c>
      <c r="R3429" s="8" t="s">
        <v>260</v>
      </c>
      <c r="S3429" t="str">
        <f t="shared" ref="S3429:S3445" si="486">IF(OR(H3429="A",H3429="B",H3429="C"),"PA","FA")</f>
        <v>FA</v>
      </c>
    </row>
    <row r="3430" spans="1:19" x14ac:dyDescent="0.3">
      <c r="A3430" t="s">
        <v>8</v>
      </c>
      <c r="B3430">
        <v>2016210012</v>
      </c>
      <c r="C3430" t="s">
        <v>69</v>
      </c>
      <c r="E3430" t="s">
        <v>255</v>
      </c>
      <c r="F3430" t="s">
        <v>429</v>
      </c>
      <c r="G3430">
        <v>2</v>
      </c>
      <c r="H3430" t="s">
        <v>535</v>
      </c>
      <c r="I3430" s="4">
        <f t="shared" ref="I3430:I3445" si="487">IF(H3430="A",4,IF(H3430="B",3,IF(H3430="C",2,IF(H3430="D",1,0))))</f>
        <v>1</v>
      </c>
      <c r="J3430">
        <f t="shared" ref="J3430:J3445" si="488">G3430*I3430</f>
        <v>2</v>
      </c>
      <c r="K3430">
        <v>28</v>
      </c>
      <c r="L3430">
        <v>20</v>
      </c>
      <c r="M3430" s="2">
        <v>1.4</v>
      </c>
      <c r="N3430">
        <v>2.38</v>
      </c>
      <c r="O3430">
        <v>0</v>
      </c>
      <c r="P3430">
        <v>4</v>
      </c>
      <c r="Q3430" t="s">
        <v>565</v>
      </c>
      <c r="R3430" s="8" t="s">
        <v>260</v>
      </c>
      <c r="S3430" t="str">
        <f t="shared" si="486"/>
        <v>FA</v>
      </c>
    </row>
    <row r="3431" spans="1:19" x14ac:dyDescent="0.3">
      <c r="A3431" t="s">
        <v>8</v>
      </c>
      <c r="B3431">
        <v>2016210012</v>
      </c>
      <c r="C3431" t="s">
        <v>69</v>
      </c>
      <c r="E3431" t="s">
        <v>125</v>
      </c>
      <c r="F3431" t="s">
        <v>126</v>
      </c>
      <c r="G3431">
        <v>4</v>
      </c>
      <c r="H3431" t="s">
        <v>535</v>
      </c>
      <c r="I3431" s="4">
        <f t="shared" si="487"/>
        <v>1</v>
      </c>
      <c r="J3431">
        <f t="shared" si="488"/>
        <v>4</v>
      </c>
      <c r="K3431">
        <v>18</v>
      </c>
      <c r="L3431">
        <v>12</v>
      </c>
      <c r="M3431" s="2">
        <v>1.5</v>
      </c>
      <c r="N3431">
        <v>2.38</v>
      </c>
      <c r="O3431">
        <v>0</v>
      </c>
      <c r="P3431">
        <v>2</v>
      </c>
      <c r="Q3431" t="s">
        <v>559</v>
      </c>
      <c r="R3431" s="8" t="s">
        <v>260</v>
      </c>
      <c r="S3431" t="str">
        <f t="shared" si="486"/>
        <v>FA</v>
      </c>
    </row>
    <row r="3432" spans="1:19" x14ac:dyDescent="0.3">
      <c r="A3432" t="s">
        <v>8</v>
      </c>
      <c r="B3432">
        <v>2016210012</v>
      </c>
      <c r="C3432" t="s">
        <v>69</v>
      </c>
      <c r="E3432" t="s">
        <v>125</v>
      </c>
      <c r="F3432" t="s">
        <v>126</v>
      </c>
      <c r="G3432">
        <v>4</v>
      </c>
      <c r="H3432" t="s">
        <v>524</v>
      </c>
      <c r="I3432" s="4">
        <f t="shared" si="487"/>
        <v>2</v>
      </c>
      <c r="J3432">
        <f t="shared" si="488"/>
        <v>8</v>
      </c>
      <c r="K3432">
        <v>18</v>
      </c>
      <c r="L3432">
        <v>8</v>
      </c>
      <c r="M3432" s="2">
        <v>2.25</v>
      </c>
      <c r="N3432">
        <v>2.38</v>
      </c>
      <c r="O3432">
        <v>1</v>
      </c>
      <c r="P3432">
        <v>6</v>
      </c>
      <c r="Q3432" s="4" t="s">
        <v>572</v>
      </c>
      <c r="R3432" s="8" t="s">
        <v>260</v>
      </c>
      <c r="S3432" t="str">
        <f t="shared" si="486"/>
        <v>PA</v>
      </c>
    </row>
    <row r="3433" spans="1:19" x14ac:dyDescent="0.3">
      <c r="A3433" t="s">
        <v>8</v>
      </c>
      <c r="B3433">
        <v>2016210012</v>
      </c>
      <c r="C3433" t="s">
        <v>69</v>
      </c>
      <c r="E3433" t="s">
        <v>216</v>
      </c>
      <c r="F3433" t="s">
        <v>217</v>
      </c>
      <c r="G3433">
        <v>2</v>
      </c>
      <c r="H3433" t="s">
        <v>535</v>
      </c>
      <c r="I3433" s="4">
        <f t="shared" si="487"/>
        <v>1</v>
      </c>
      <c r="J3433">
        <f t="shared" si="488"/>
        <v>2</v>
      </c>
      <c r="K3433">
        <v>28</v>
      </c>
      <c r="L3433">
        <v>20</v>
      </c>
      <c r="M3433" s="2">
        <v>1.4</v>
      </c>
      <c r="N3433">
        <v>2.38</v>
      </c>
      <c r="O3433">
        <v>0</v>
      </c>
      <c r="P3433">
        <v>4</v>
      </c>
      <c r="Q3433" t="s">
        <v>565</v>
      </c>
      <c r="R3433" s="8" t="s">
        <v>260</v>
      </c>
      <c r="S3433" t="str">
        <f t="shared" si="486"/>
        <v>FA</v>
      </c>
    </row>
    <row r="3434" spans="1:19" x14ac:dyDescent="0.3">
      <c r="A3434" t="s">
        <v>8</v>
      </c>
      <c r="B3434">
        <v>2016210012</v>
      </c>
      <c r="C3434" t="s">
        <v>69</v>
      </c>
      <c r="E3434" t="s">
        <v>216</v>
      </c>
      <c r="F3434" t="s">
        <v>217</v>
      </c>
      <c r="G3434">
        <v>2</v>
      </c>
      <c r="H3434" t="s">
        <v>260</v>
      </c>
      <c r="I3434" s="4">
        <f t="shared" si="487"/>
        <v>4</v>
      </c>
      <c r="J3434">
        <f t="shared" si="488"/>
        <v>8</v>
      </c>
      <c r="K3434">
        <v>34</v>
      </c>
      <c r="L3434">
        <v>12</v>
      </c>
      <c r="M3434" s="2">
        <v>2.83</v>
      </c>
      <c r="N3434">
        <v>2.38</v>
      </c>
      <c r="O3434">
        <v>1</v>
      </c>
      <c r="P3434">
        <v>6</v>
      </c>
      <c r="Q3434" t="s">
        <v>567</v>
      </c>
      <c r="R3434" s="8" t="s">
        <v>260</v>
      </c>
      <c r="S3434" t="str">
        <f t="shared" si="486"/>
        <v>PA</v>
      </c>
    </row>
    <row r="3435" spans="1:19" x14ac:dyDescent="0.3">
      <c r="A3435" t="s">
        <v>8</v>
      </c>
      <c r="B3435">
        <v>2016210012</v>
      </c>
      <c r="C3435" t="s">
        <v>69</v>
      </c>
      <c r="E3435" t="s">
        <v>449</v>
      </c>
      <c r="F3435" t="s">
        <v>460</v>
      </c>
      <c r="G3435">
        <v>4</v>
      </c>
      <c r="H3435" t="s">
        <v>535</v>
      </c>
      <c r="I3435" s="4">
        <f t="shared" si="487"/>
        <v>1</v>
      </c>
      <c r="J3435">
        <f t="shared" si="488"/>
        <v>4</v>
      </c>
      <c r="K3435">
        <v>28</v>
      </c>
      <c r="L3435">
        <v>20</v>
      </c>
      <c r="M3435" s="2">
        <v>1.4</v>
      </c>
      <c r="N3435">
        <v>2.38</v>
      </c>
      <c r="O3435">
        <v>0</v>
      </c>
      <c r="P3435">
        <v>4</v>
      </c>
      <c r="Q3435" t="s">
        <v>565</v>
      </c>
      <c r="R3435" s="8" t="s">
        <v>260</v>
      </c>
      <c r="S3435" t="str">
        <f t="shared" si="486"/>
        <v>FA</v>
      </c>
    </row>
    <row r="3436" spans="1:19" x14ac:dyDescent="0.3">
      <c r="A3436" t="s">
        <v>8</v>
      </c>
      <c r="B3436">
        <v>2016210012</v>
      </c>
      <c r="C3436" t="s">
        <v>69</v>
      </c>
      <c r="E3436" t="s">
        <v>87</v>
      </c>
      <c r="F3436" t="s">
        <v>88</v>
      </c>
      <c r="G3436">
        <v>2</v>
      </c>
      <c r="H3436" t="s">
        <v>535</v>
      </c>
      <c r="I3436" s="4">
        <f t="shared" si="487"/>
        <v>1</v>
      </c>
      <c r="J3436">
        <f t="shared" si="488"/>
        <v>2</v>
      </c>
      <c r="K3436">
        <v>28</v>
      </c>
      <c r="L3436">
        <v>20</v>
      </c>
      <c r="M3436" s="2">
        <v>1.4</v>
      </c>
      <c r="N3436">
        <v>2.38</v>
      </c>
      <c r="O3436">
        <v>0</v>
      </c>
      <c r="P3436">
        <v>4</v>
      </c>
      <c r="Q3436" t="s">
        <v>565</v>
      </c>
      <c r="R3436" s="8" t="s">
        <v>260</v>
      </c>
      <c r="S3436" t="str">
        <f t="shared" si="486"/>
        <v>FA</v>
      </c>
    </row>
    <row r="3437" spans="1:19" x14ac:dyDescent="0.3">
      <c r="A3437" t="s">
        <v>8</v>
      </c>
      <c r="B3437">
        <v>2016210012</v>
      </c>
      <c r="C3437" t="s">
        <v>69</v>
      </c>
      <c r="E3437" t="s">
        <v>87</v>
      </c>
      <c r="F3437" t="s">
        <v>88</v>
      </c>
      <c r="G3437">
        <v>2</v>
      </c>
      <c r="H3437" t="s">
        <v>438</v>
      </c>
      <c r="I3437" s="4">
        <f t="shared" si="487"/>
        <v>3</v>
      </c>
      <c r="J3437">
        <f t="shared" si="488"/>
        <v>6</v>
      </c>
      <c r="K3437">
        <v>34</v>
      </c>
      <c r="L3437">
        <v>12</v>
      </c>
      <c r="M3437" s="2">
        <v>2.83</v>
      </c>
      <c r="N3437">
        <v>2.38</v>
      </c>
      <c r="O3437">
        <v>1</v>
      </c>
      <c r="P3437">
        <v>6</v>
      </c>
      <c r="Q3437" t="s">
        <v>567</v>
      </c>
      <c r="R3437" s="8" t="s">
        <v>260</v>
      </c>
      <c r="S3437" t="str">
        <f t="shared" si="486"/>
        <v>PA</v>
      </c>
    </row>
    <row r="3438" spans="1:19" x14ac:dyDescent="0.3">
      <c r="A3438" t="s">
        <v>8</v>
      </c>
      <c r="B3438">
        <v>2016210012</v>
      </c>
      <c r="C3438" t="s">
        <v>69</v>
      </c>
      <c r="E3438" t="s">
        <v>395</v>
      </c>
      <c r="F3438" t="s">
        <v>396</v>
      </c>
      <c r="G3438">
        <v>2</v>
      </c>
      <c r="H3438" t="s">
        <v>535</v>
      </c>
      <c r="I3438" s="4">
        <f t="shared" si="487"/>
        <v>1</v>
      </c>
      <c r="J3438">
        <f t="shared" si="488"/>
        <v>2</v>
      </c>
      <c r="K3438">
        <v>28</v>
      </c>
      <c r="L3438">
        <v>12</v>
      </c>
      <c r="M3438">
        <v>2.33</v>
      </c>
      <c r="N3438">
        <v>2.38</v>
      </c>
      <c r="O3438">
        <v>1</v>
      </c>
      <c r="P3438">
        <v>3</v>
      </c>
      <c r="Q3438" t="s">
        <v>563</v>
      </c>
      <c r="R3438" s="8" t="s">
        <v>260</v>
      </c>
      <c r="S3438" t="str">
        <f t="shared" si="486"/>
        <v>FA</v>
      </c>
    </row>
    <row r="3439" spans="1:19" x14ac:dyDescent="0.3">
      <c r="A3439" t="s">
        <v>8</v>
      </c>
      <c r="B3439">
        <v>2016210012</v>
      </c>
      <c r="C3439" t="s">
        <v>69</v>
      </c>
      <c r="E3439" t="s">
        <v>395</v>
      </c>
      <c r="F3439" t="s">
        <v>396</v>
      </c>
      <c r="G3439">
        <v>2</v>
      </c>
      <c r="H3439" t="s">
        <v>535</v>
      </c>
      <c r="I3439" s="4">
        <f t="shared" si="487"/>
        <v>1</v>
      </c>
      <c r="J3439">
        <f t="shared" si="488"/>
        <v>2</v>
      </c>
      <c r="K3439">
        <v>50</v>
      </c>
      <c r="L3439">
        <v>20</v>
      </c>
      <c r="M3439" s="2">
        <v>2.5</v>
      </c>
      <c r="N3439">
        <v>2.38</v>
      </c>
      <c r="O3439">
        <v>0</v>
      </c>
      <c r="P3439">
        <v>1</v>
      </c>
      <c r="Q3439" t="s">
        <v>558</v>
      </c>
      <c r="R3439" s="8" t="s">
        <v>260</v>
      </c>
      <c r="S3439" t="str">
        <f t="shared" si="486"/>
        <v>FA</v>
      </c>
    </row>
    <row r="3440" spans="1:19" x14ac:dyDescent="0.3">
      <c r="A3440" t="s">
        <v>8</v>
      </c>
      <c r="B3440">
        <v>2016210012</v>
      </c>
      <c r="C3440" t="s">
        <v>69</v>
      </c>
      <c r="E3440" t="s">
        <v>395</v>
      </c>
      <c r="F3440" t="s">
        <v>396</v>
      </c>
      <c r="G3440">
        <v>2</v>
      </c>
      <c r="H3440" t="s">
        <v>524</v>
      </c>
      <c r="I3440" s="4">
        <f t="shared" si="487"/>
        <v>2</v>
      </c>
      <c r="J3440">
        <f t="shared" si="488"/>
        <v>4</v>
      </c>
      <c r="K3440">
        <v>18</v>
      </c>
      <c r="L3440">
        <v>8</v>
      </c>
      <c r="M3440" s="2">
        <v>2.25</v>
      </c>
      <c r="N3440">
        <v>2.38</v>
      </c>
      <c r="O3440">
        <v>2</v>
      </c>
      <c r="P3440">
        <v>6</v>
      </c>
      <c r="Q3440" s="4" t="s">
        <v>572</v>
      </c>
      <c r="R3440" s="8" t="s">
        <v>260</v>
      </c>
      <c r="S3440" t="str">
        <f t="shared" si="486"/>
        <v>PA</v>
      </c>
    </row>
    <row r="3441" spans="1:19" x14ac:dyDescent="0.3">
      <c r="A3441" t="s">
        <v>8</v>
      </c>
      <c r="B3441">
        <v>2016210012</v>
      </c>
      <c r="C3441" t="s">
        <v>69</v>
      </c>
      <c r="E3441" t="s">
        <v>44</v>
      </c>
      <c r="F3441" t="s">
        <v>45</v>
      </c>
      <c r="G3441">
        <v>2</v>
      </c>
      <c r="H3441" t="s">
        <v>539</v>
      </c>
      <c r="I3441" s="4">
        <f t="shared" si="487"/>
        <v>0</v>
      </c>
      <c r="J3441">
        <f t="shared" si="488"/>
        <v>0</v>
      </c>
      <c r="K3441">
        <v>18</v>
      </c>
      <c r="L3441">
        <v>12</v>
      </c>
      <c r="M3441" s="2">
        <v>1.5</v>
      </c>
      <c r="N3441">
        <v>2.38</v>
      </c>
      <c r="O3441">
        <v>0</v>
      </c>
      <c r="P3441">
        <v>2</v>
      </c>
      <c r="Q3441" t="s">
        <v>559</v>
      </c>
      <c r="R3441" s="8" t="s">
        <v>260</v>
      </c>
      <c r="S3441" t="str">
        <f t="shared" si="486"/>
        <v>FA</v>
      </c>
    </row>
    <row r="3442" spans="1:19" x14ac:dyDescent="0.3">
      <c r="A3442" t="s">
        <v>8</v>
      </c>
      <c r="B3442">
        <v>2016210012</v>
      </c>
      <c r="C3442" t="s">
        <v>69</v>
      </c>
      <c r="E3442" t="s">
        <v>44</v>
      </c>
      <c r="F3442" t="s">
        <v>45</v>
      </c>
      <c r="G3442">
        <v>2</v>
      </c>
      <c r="H3442" t="s">
        <v>438</v>
      </c>
      <c r="I3442" s="4">
        <f t="shared" si="487"/>
        <v>3</v>
      </c>
      <c r="J3442">
        <f t="shared" si="488"/>
        <v>6</v>
      </c>
      <c r="K3442">
        <v>18</v>
      </c>
      <c r="L3442">
        <v>8</v>
      </c>
      <c r="M3442" s="2">
        <v>2.25</v>
      </c>
      <c r="N3442">
        <v>2.38</v>
      </c>
      <c r="O3442">
        <v>1</v>
      </c>
      <c r="P3442">
        <v>6</v>
      </c>
      <c r="Q3442" s="4" t="s">
        <v>572</v>
      </c>
      <c r="R3442" s="8" t="s">
        <v>260</v>
      </c>
      <c r="S3442" t="str">
        <f t="shared" si="486"/>
        <v>PA</v>
      </c>
    </row>
    <row r="3443" spans="1:19" x14ac:dyDescent="0.3">
      <c r="A3443" t="s">
        <v>8</v>
      </c>
      <c r="B3443">
        <v>2016210012</v>
      </c>
      <c r="C3443" t="s">
        <v>69</v>
      </c>
      <c r="E3443" t="s">
        <v>369</v>
      </c>
      <c r="F3443" t="s">
        <v>307</v>
      </c>
      <c r="G3443">
        <v>2</v>
      </c>
      <c r="H3443" t="s">
        <v>539</v>
      </c>
      <c r="I3443" s="4">
        <f t="shared" si="487"/>
        <v>0</v>
      </c>
      <c r="J3443">
        <f t="shared" si="488"/>
        <v>0</v>
      </c>
      <c r="K3443">
        <v>28</v>
      </c>
      <c r="L3443">
        <v>20</v>
      </c>
      <c r="M3443" s="2">
        <v>1.4</v>
      </c>
      <c r="N3443">
        <v>2.38</v>
      </c>
      <c r="O3443">
        <v>0</v>
      </c>
      <c r="P3443">
        <v>4</v>
      </c>
      <c r="Q3443" t="s">
        <v>565</v>
      </c>
      <c r="R3443" s="8" t="s">
        <v>260</v>
      </c>
      <c r="S3443" t="str">
        <f t="shared" si="486"/>
        <v>FA</v>
      </c>
    </row>
    <row r="3444" spans="1:19" x14ac:dyDescent="0.3">
      <c r="A3444" t="s">
        <v>8</v>
      </c>
      <c r="B3444">
        <v>2016210012</v>
      </c>
      <c r="C3444" t="s">
        <v>69</v>
      </c>
      <c r="E3444" t="s">
        <v>369</v>
      </c>
      <c r="F3444" t="s">
        <v>307</v>
      </c>
      <c r="G3444">
        <v>2</v>
      </c>
      <c r="H3444" t="s">
        <v>438</v>
      </c>
      <c r="I3444" s="4">
        <f t="shared" si="487"/>
        <v>3</v>
      </c>
      <c r="J3444">
        <f t="shared" si="488"/>
        <v>6</v>
      </c>
      <c r="K3444">
        <v>34</v>
      </c>
      <c r="L3444">
        <v>12</v>
      </c>
      <c r="M3444" s="2">
        <v>2.83</v>
      </c>
      <c r="N3444">
        <v>2.38</v>
      </c>
      <c r="O3444">
        <v>1</v>
      </c>
      <c r="P3444">
        <v>6</v>
      </c>
      <c r="Q3444" t="s">
        <v>567</v>
      </c>
      <c r="R3444" s="8" t="s">
        <v>260</v>
      </c>
      <c r="S3444" t="str">
        <f t="shared" si="486"/>
        <v>PA</v>
      </c>
    </row>
    <row r="3445" spans="1:19" x14ac:dyDescent="0.3">
      <c r="A3445" t="s">
        <v>8</v>
      </c>
      <c r="B3445">
        <v>2016210012</v>
      </c>
      <c r="C3445" t="s">
        <v>69</v>
      </c>
      <c r="E3445" t="s">
        <v>401</v>
      </c>
      <c r="F3445" t="s">
        <v>258</v>
      </c>
      <c r="G3445">
        <v>4</v>
      </c>
      <c r="H3445" t="s">
        <v>539</v>
      </c>
      <c r="I3445" s="4">
        <f t="shared" si="487"/>
        <v>0</v>
      </c>
      <c r="J3445">
        <f t="shared" si="488"/>
        <v>0</v>
      </c>
      <c r="K3445">
        <v>26</v>
      </c>
      <c r="L3445">
        <v>14</v>
      </c>
      <c r="M3445">
        <v>1.86</v>
      </c>
      <c r="N3445">
        <v>2.38</v>
      </c>
      <c r="O3445">
        <v>0</v>
      </c>
      <c r="P3445">
        <v>5</v>
      </c>
      <c r="Q3445" t="s">
        <v>566</v>
      </c>
      <c r="R3445" s="8" t="s">
        <v>260</v>
      </c>
      <c r="S3445" t="str">
        <f t="shared" si="486"/>
        <v>FA</v>
      </c>
    </row>
    <row r="3446" spans="1:19" x14ac:dyDescent="0.3">
      <c r="A3446" t="s">
        <v>8</v>
      </c>
      <c r="B3446">
        <v>2016210013</v>
      </c>
      <c r="C3446" t="s">
        <v>114</v>
      </c>
      <c r="E3446" t="s">
        <v>115</v>
      </c>
      <c r="F3446" t="s">
        <v>116</v>
      </c>
      <c r="G3446">
        <v>4</v>
      </c>
      <c r="I3446" s="4"/>
      <c r="J3446">
        <f t="shared" ref="J3446:J3449" si="489">G3446*I3446</f>
        <v>0</v>
      </c>
      <c r="K3446">
        <v>4</v>
      </c>
      <c r="L3446">
        <v>8</v>
      </c>
      <c r="M3446" s="2">
        <v>0.5</v>
      </c>
      <c r="N3446">
        <v>2.0699999999999998</v>
      </c>
      <c r="O3446">
        <v>0</v>
      </c>
      <c r="P3446">
        <v>2</v>
      </c>
      <c r="Q3446" s="4" t="str">
        <f t="shared" ref="Q3446:Q3459" si="490">IF(P3446=1,"2016/2017-Ganjil",IF(P3446=2,"2016/2017-Genap",IF(P3446=3,"2017/2018-Ganjil",IF(P3446=4,"2017/2018-Genap",IF(P3446=5,"2018/2019-Ganjil",IF(P3446=6,"2018/2019-Genap",IF(P3446=7,"2019/2020-Ganjil",IF(P3446=8,"2019/2020-Genap",IF(P3446=9,"2020/2021-Ganjil",IF(P3446=10,"2020/2021-Genap",IF(P3446=11,"2021/2022-Ganjil",IF(P3446=12,"2021/2022-Genap",IF(P3446=13,"2022/2023-Ganjil","2022/2023-Genap")))))))))))))</f>
        <v>2016/2017-Genap</v>
      </c>
      <c r="R3446" t="s">
        <v>535</v>
      </c>
      <c r="S3446" t="s">
        <v>595</v>
      </c>
    </row>
    <row r="3447" spans="1:19" x14ac:dyDescent="0.3">
      <c r="A3447" t="s">
        <v>8</v>
      </c>
      <c r="B3447">
        <v>2016210013</v>
      </c>
      <c r="C3447" t="s">
        <v>114</v>
      </c>
      <c r="E3447" t="s">
        <v>125</v>
      </c>
      <c r="F3447" t="s">
        <v>126</v>
      </c>
      <c r="G3447">
        <v>4</v>
      </c>
      <c r="I3447" s="4"/>
      <c r="J3447">
        <f t="shared" si="489"/>
        <v>0</v>
      </c>
      <c r="K3447">
        <v>4</v>
      </c>
      <c r="L3447">
        <v>8</v>
      </c>
      <c r="M3447" s="2">
        <v>0.5</v>
      </c>
      <c r="N3447">
        <v>2.0699999999999998</v>
      </c>
      <c r="O3447">
        <v>0</v>
      </c>
      <c r="P3447">
        <v>2</v>
      </c>
      <c r="Q3447" s="4" t="str">
        <f t="shared" si="490"/>
        <v>2016/2017-Genap</v>
      </c>
      <c r="R3447" t="s">
        <v>535</v>
      </c>
      <c r="S3447" t="s">
        <v>595</v>
      </c>
    </row>
    <row r="3448" spans="1:19" x14ac:dyDescent="0.3">
      <c r="A3448" t="s">
        <v>8</v>
      </c>
      <c r="B3448">
        <v>2016210013</v>
      </c>
      <c r="C3448" t="s">
        <v>114</v>
      </c>
      <c r="E3448" t="s">
        <v>117</v>
      </c>
      <c r="F3448" t="s">
        <v>118</v>
      </c>
      <c r="G3448">
        <v>2</v>
      </c>
      <c r="I3448" s="4"/>
      <c r="J3448">
        <f t="shared" si="489"/>
        <v>0</v>
      </c>
      <c r="K3448">
        <v>4</v>
      </c>
      <c r="L3448">
        <v>8</v>
      </c>
      <c r="M3448" s="2">
        <v>0.5</v>
      </c>
      <c r="N3448">
        <v>2.0699999999999998</v>
      </c>
      <c r="O3448">
        <v>0</v>
      </c>
      <c r="P3448">
        <v>2</v>
      </c>
      <c r="Q3448" s="4" t="str">
        <f t="shared" si="490"/>
        <v>2016/2017-Genap</v>
      </c>
      <c r="R3448" t="s">
        <v>535</v>
      </c>
      <c r="S3448" t="s">
        <v>595</v>
      </c>
    </row>
    <row r="3449" spans="1:19" x14ac:dyDescent="0.3">
      <c r="A3449" t="s">
        <v>8</v>
      </c>
      <c r="B3449">
        <v>2016210013</v>
      </c>
      <c r="C3449" t="s">
        <v>114</v>
      </c>
      <c r="E3449" t="s">
        <v>77</v>
      </c>
      <c r="F3449" t="s">
        <v>78</v>
      </c>
      <c r="G3449">
        <v>2</v>
      </c>
      <c r="H3449" t="s">
        <v>260</v>
      </c>
      <c r="I3449" s="4">
        <f t="shared" ref="I3449" si="491">IF(H3449="A",4,IF(H3449="B",3,IF(H3449="C",2,IF(H3449="D",1,0))))</f>
        <v>4</v>
      </c>
      <c r="J3449">
        <f t="shared" si="489"/>
        <v>8</v>
      </c>
      <c r="K3449">
        <v>54</v>
      </c>
      <c r="L3449">
        <v>20</v>
      </c>
      <c r="M3449" s="2">
        <v>2.7</v>
      </c>
      <c r="N3449">
        <v>2.0699999999999998</v>
      </c>
      <c r="O3449">
        <v>0</v>
      </c>
      <c r="P3449">
        <v>1</v>
      </c>
      <c r="Q3449" s="4" t="str">
        <f t="shared" si="490"/>
        <v>2016/2017-Ganjil</v>
      </c>
      <c r="R3449" s="8" t="s">
        <v>260</v>
      </c>
      <c r="S3449" t="str">
        <f t="shared" ref="S3449:S3512" si="492">IF(OR(H3449="A",H3449="B",H3449="C"),"PA","FA")</f>
        <v>PA</v>
      </c>
    </row>
    <row r="3450" spans="1:19" x14ac:dyDescent="0.3">
      <c r="A3450" t="s">
        <v>8</v>
      </c>
      <c r="B3450">
        <v>2016210013</v>
      </c>
      <c r="C3450" t="s">
        <v>114</v>
      </c>
      <c r="E3450" t="s">
        <v>147</v>
      </c>
      <c r="F3450" t="s">
        <v>148</v>
      </c>
      <c r="G3450">
        <v>4</v>
      </c>
      <c r="H3450" t="s">
        <v>438</v>
      </c>
      <c r="I3450" s="4">
        <f t="shared" ref="I3450:I3513" si="493">IF(H3450="A",4,IF(H3450="B",3,IF(H3450="C",2,IF(H3450="D",1,0))))</f>
        <v>3</v>
      </c>
      <c r="J3450">
        <f t="shared" ref="J3450:J3513" si="494">G3450*I3450</f>
        <v>12</v>
      </c>
      <c r="K3450">
        <v>54</v>
      </c>
      <c r="L3450">
        <v>20</v>
      </c>
      <c r="M3450" s="2">
        <v>2.7</v>
      </c>
      <c r="N3450">
        <v>2.0699999999999998</v>
      </c>
      <c r="O3450">
        <v>0</v>
      </c>
      <c r="P3450">
        <v>1</v>
      </c>
      <c r="Q3450" s="4" t="str">
        <f t="shared" si="490"/>
        <v>2016/2017-Ganjil</v>
      </c>
      <c r="R3450" s="8" t="s">
        <v>260</v>
      </c>
      <c r="S3450" t="str">
        <f t="shared" si="492"/>
        <v>PA</v>
      </c>
    </row>
    <row r="3451" spans="1:19" x14ac:dyDescent="0.3">
      <c r="A3451" t="s">
        <v>8</v>
      </c>
      <c r="B3451">
        <v>2016210013</v>
      </c>
      <c r="C3451" t="s">
        <v>114</v>
      </c>
      <c r="E3451" t="s">
        <v>163</v>
      </c>
      <c r="F3451" t="s">
        <v>164</v>
      </c>
      <c r="G3451">
        <v>2</v>
      </c>
      <c r="H3451" t="s">
        <v>438</v>
      </c>
      <c r="I3451" s="4">
        <f t="shared" si="493"/>
        <v>3</v>
      </c>
      <c r="J3451">
        <f t="shared" si="494"/>
        <v>6</v>
      </c>
      <c r="K3451">
        <v>54</v>
      </c>
      <c r="L3451">
        <v>20</v>
      </c>
      <c r="M3451" s="2">
        <v>2.7</v>
      </c>
      <c r="N3451">
        <v>2.0699999999999998</v>
      </c>
      <c r="O3451">
        <v>0</v>
      </c>
      <c r="P3451">
        <v>1</v>
      </c>
      <c r="Q3451" s="4" t="str">
        <f t="shared" si="490"/>
        <v>2016/2017-Ganjil</v>
      </c>
      <c r="R3451" s="8" t="s">
        <v>260</v>
      </c>
      <c r="S3451" t="str">
        <f t="shared" si="492"/>
        <v>PA</v>
      </c>
    </row>
    <row r="3452" spans="1:19" x14ac:dyDescent="0.3">
      <c r="A3452" t="s">
        <v>8</v>
      </c>
      <c r="B3452">
        <v>2016210013</v>
      </c>
      <c r="C3452" t="s">
        <v>114</v>
      </c>
      <c r="E3452" t="s">
        <v>131</v>
      </c>
      <c r="F3452" t="s">
        <v>132</v>
      </c>
      <c r="G3452">
        <v>2</v>
      </c>
      <c r="H3452" t="s">
        <v>438</v>
      </c>
      <c r="I3452" s="4">
        <f t="shared" si="493"/>
        <v>3</v>
      </c>
      <c r="J3452">
        <f t="shared" si="494"/>
        <v>6</v>
      </c>
      <c r="K3452">
        <v>54</v>
      </c>
      <c r="L3452">
        <v>20</v>
      </c>
      <c r="M3452" s="2">
        <v>2.7</v>
      </c>
      <c r="N3452">
        <v>2.0699999999999998</v>
      </c>
      <c r="O3452">
        <v>0</v>
      </c>
      <c r="P3452">
        <v>1</v>
      </c>
      <c r="Q3452" s="4" t="str">
        <f t="shared" si="490"/>
        <v>2016/2017-Ganjil</v>
      </c>
      <c r="R3452" s="8" t="s">
        <v>260</v>
      </c>
      <c r="S3452" t="str">
        <f t="shared" si="492"/>
        <v>PA</v>
      </c>
    </row>
    <row r="3453" spans="1:19" x14ac:dyDescent="0.3">
      <c r="A3453" t="s">
        <v>8</v>
      </c>
      <c r="B3453">
        <v>2016210013</v>
      </c>
      <c r="C3453" t="s">
        <v>114</v>
      </c>
      <c r="E3453" t="s">
        <v>202</v>
      </c>
      <c r="F3453" t="s">
        <v>203</v>
      </c>
      <c r="G3453">
        <v>4</v>
      </c>
      <c r="H3453" t="s">
        <v>438</v>
      </c>
      <c r="I3453" s="4">
        <f t="shared" si="493"/>
        <v>3</v>
      </c>
      <c r="J3453">
        <f t="shared" si="494"/>
        <v>12</v>
      </c>
      <c r="K3453">
        <v>54</v>
      </c>
      <c r="L3453">
        <v>20</v>
      </c>
      <c r="M3453" s="2">
        <v>2.7</v>
      </c>
      <c r="N3453">
        <v>2.0699999999999998</v>
      </c>
      <c r="O3453">
        <v>0</v>
      </c>
      <c r="P3453">
        <v>1</v>
      </c>
      <c r="Q3453" s="4" t="str">
        <f t="shared" si="490"/>
        <v>2016/2017-Ganjil</v>
      </c>
      <c r="R3453" s="8" t="s">
        <v>260</v>
      </c>
      <c r="S3453" t="str">
        <f t="shared" si="492"/>
        <v>PA</v>
      </c>
    </row>
    <row r="3454" spans="1:19" x14ac:dyDescent="0.3">
      <c r="A3454" t="s">
        <v>8</v>
      </c>
      <c r="B3454">
        <v>2016210013</v>
      </c>
      <c r="C3454" t="s">
        <v>114</v>
      </c>
      <c r="E3454" t="s">
        <v>110</v>
      </c>
      <c r="F3454" t="s">
        <v>111</v>
      </c>
      <c r="G3454">
        <v>4</v>
      </c>
      <c r="H3454" t="s">
        <v>524</v>
      </c>
      <c r="I3454" s="4">
        <f t="shared" si="493"/>
        <v>2</v>
      </c>
      <c r="J3454">
        <f t="shared" si="494"/>
        <v>8</v>
      </c>
      <c r="K3454">
        <v>54</v>
      </c>
      <c r="L3454">
        <v>20</v>
      </c>
      <c r="M3454" s="2">
        <v>2.7</v>
      </c>
      <c r="N3454">
        <v>2.0699999999999998</v>
      </c>
      <c r="O3454">
        <v>0</v>
      </c>
      <c r="P3454">
        <v>1</v>
      </c>
      <c r="Q3454" s="4" t="str">
        <f t="shared" si="490"/>
        <v>2016/2017-Ganjil</v>
      </c>
      <c r="R3454" s="8" t="s">
        <v>260</v>
      </c>
      <c r="S3454" t="str">
        <f t="shared" si="492"/>
        <v>PA</v>
      </c>
    </row>
    <row r="3455" spans="1:19" x14ac:dyDescent="0.3">
      <c r="A3455" t="s">
        <v>8</v>
      </c>
      <c r="B3455">
        <v>2016210013</v>
      </c>
      <c r="C3455" t="s">
        <v>114</v>
      </c>
      <c r="E3455" t="s">
        <v>44</v>
      </c>
      <c r="F3455" t="s">
        <v>45</v>
      </c>
      <c r="G3455">
        <v>2</v>
      </c>
      <c r="H3455" t="s">
        <v>535</v>
      </c>
      <c r="I3455" s="4">
        <f t="shared" si="493"/>
        <v>1</v>
      </c>
      <c r="J3455">
        <f t="shared" si="494"/>
        <v>2</v>
      </c>
      <c r="K3455">
        <v>4</v>
      </c>
      <c r="L3455">
        <v>8</v>
      </c>
      <c r="M3455" s="2">
        <v>0.5</v>
      </c>
      <c r="N3455">
        <v>2.0699999999999998</v>
      </c>
      <c r="O3455">
        <v>0</v>
      </c>
      <c r="P3455">
        <v>2</v>
      </c>
      <c r="Q3455" s="4" t="str">
        <f t="shared" si="490"/>
        <v>2016/2017-Genap</v>
      </c>
      <c r="R3455" t="s">
        <v>535</v>
      </c>
      <c r="S3455" t="str">
        <f t="shared" si="492"/>
        <v>FA</v>
      </c>
    </row>
    <row r="3456" spans="1:19" x14ac:dyDescent="0.3">
      <c r="A3456" t="s">
        <v>8</v>
      </c>
      <c r="B3456">
        <v>2016210013</v>
      </c>
      <c r="C3456" t="s">
        <v>114</v>
      </c>
      <c r="E3456" t="s">
        <v>266</v>
      </c>
      <c r="F3456" t="s">
        <v>91</v>
      </c>
      <c r="G3456">
        <v>2</v>
      </c>
      <c r="H3456" t="s">
        <v>535</v>
      </c>
      <c r="I3456" s="4">
        <f t="shared" si="493"/>
        <v>1</v>
      </c>
      <c r="J3456">
        <f t="shared" si="494"/>
        <v>2</v>
      </c>
      <c r="K3456">
        <v>4</v>
      </c>
      <c r="L3456">
        <v>8</v>
      </c>
      <c r="M3456" s="2">
        <v>0.5</v>
      </c>
      <c r="N3456">
        <v>2.0699999999999998</v>
      </c>
      <c r="O3456">
        <v>0</v>
      </c>
      <c r="P3456">
        <v>2</v>
      </c>
      <c r="Q3456" s="4" t="str">
        <f t="shared" si="490"/>
        <v>2016/2017-Genap</v>
      </c>
      <c r="R3456" t="s">
        <v>535</v>
      </c>
      <c r="S3456" t="str">
        <f t="shared" si="492"/>
        <v>FA</v>
      </c>
    </row>
    <row r="3457" spans="1:19" x14ac:dyDescent="0.3">
      <c r="A3457" t="s">
        <v>8</v>
      </c>
      <c r="B3457">
        <v>2016210013</v>
      </c>
      <c r="C3457" t="s">
        <v>114</v>
      </c>
      <c r="E3457" t="s">
        <v>395</v>
      </c>
      <c r="F3457" t="s">
        <v>396</v>
      </c>
      <c r="G3457">
        <v>2</v>
      </c>
      <c r="H3457" t="s">
        <v>535</v>
      </c>
      <c r="I3457" s="4">
        <f t="shared" si="493"/>
        <v>1</v>
      </c>
      <c r="J3457">
        <f t="shared" si="494"/>
        <v>2</v>
      </c>
      <c r="K3457">
        <v>54</v>
      </c>
      <c r="L3457">
        <v>20</v>
      </c>
      <c r="M3457" s="2">
        <v>2.7</v>
      </c>
      <c r="N3457">
        <v>2.0699999999999998</v>
      </c>
      <c r="O3457">
        <v>0</v>
      </c>
      <c r="P3457">
        <v>1</v>
      </c>
      <c r="Q3457" s="4" t="str">
        <f t="shared" si="490"/>
        <v>2016/2017-Ganjil</v>
      </c>
      <c r="R3457" s="8" t="s">
        <v>260</v>
      </c>
      <c r="S3457" t="str">
        <f t="shared" si="492"/>
        <v>FA</v>
      </c>
    </row>
    <row r="3458" spans="1:19" x14ac:dyDescent="0.3">
      <c r="A3458" t="s">
        <v>8</v>
      </c>
      <c r="B3458">
        <v>2016210013</v>
      </c>
      <c r="C3458" t="s">
        <v>114</v>
      </c>
      <c r="E3458" t="s">
        <v>279</v>
      </c>
      <c r="F3458" t="s">
        <v>280</v>
      </c>
      <c r="G3458">
        <v>2</v>
      </c>
      <c r="H3458" t="s">
        <v>539</v>
      </c>
      <c r="I3458" s="4">
        <f t="shared" si="493"/>
        <v>0</v>
      </c>
      <c r="J3458">
        <f t="shared" si="494"/>
        <v>0</v>
      </c>
      <c r="K3458">
        <v>4</v>
      </c>
      <c r="L3458">
        <v>8</v>
      </c>
      <c r="M3458" s="2">
        <v>0.5</v>
      </c>
      <c r="N3458">
        <v>2.0699999999999998</v>
      </c>
      <c r="O3458">
        <v>0</v>
      </c>
      <c r="P3458">
        <v>2</v>
      </c>
      <c r="Q3458" s="4" t="str">
        <f t="shared" si="490"/>
        <v>2016/2017-Genap</v>
      </c>
      <c r="R3458" t="s">
        <v>535</v>
      </c>
      <c r="S3458" t="str">
        <f t="shared" si="492"/>
        <v>FA</v>
      </c>
    </row>
    <row r="3459" spans="1:19" x14ac:dyDescent="0.3">
      <c r="A3459" t="s">
        <v>8</v>
      </c>
      <c r="B3459">
        <v>2016210013</v>
      </c>
      <c r="C3459" t="s">
        <v>114</v>
      </c>
      <c r="E3459" t="s">
        <v>22</v>
      </c>
      <c r="F3459" t="s">
        <v>23</v>
      </c>
      <c r="G3459">
        <v>2</v>
      </c>
      <c r="H3459" t="s">
        <v>539</v>
      </c>
      <c r="I3459" s="4">
        <f t="shared" si="493"/>
        <v>0</v>
      </c>
      <c r="J3459">
        <f t="shared" si="494"/>
        <v>0</v>
      </c>
      <c r="K3459">
        <v>4</v>
      </c>
      <c r="L3459">
        <v>8</v>
      </c>
      <c r="M3459" s="2">
        <v>0.5</v>
      </c>
      <c r="N3459">
        <v>2.0699999999999998</v>
      </c>
      <c r="O3459">
        <v>0</v>
      </c>
      <c r="P3459">
        <v>2</v>
      </c>
      <c r="Q3459" s="4" t="str">
        <f t="shared" si="490"/>
        <v>2016/2017-Genap</v>
      </c>
      <c r="R3459" t="s">
        <v>535</v>
      </c>
      <c r="S3459" t="str">
        <f t="shared" si="492"/>
        <v>FA</v>
      </c>
    </row>
    <row r="3460" spans="1:19" x14ac:dyDescent="0.3">
      <c r="A3460" t="s">
        <v>8</v>
      </c>
      <c r="B3460">
        <v>2016210014</v>
      </c>
      <c r="C3460" t="s">
        <v>270</v>
      </c>
      <c r="E3460" t="s">
        <v>242</v>
      </c>
      <c r="F3460" t="s">
        <v>166</v>
      </c>
      <c r="G3460">
        <v>2</v>
      </c>
      <c r="H3460" t="s">
        <v>260</v>
      </c>
      <c r="I3460" s="4">
        <f t="shared" si="493"/>
        <v>4</v>
      </c>
      <c r="J3460">
        <f t="shared" si="494"/>
        <v>8</v>
      </c>
      <c r="K3460">
        <v>74</v>
      </c>
      <c r="L3460">
        <v>22</v>
      </c>
      <c r="M3460">
        <v>3.36</v>
      </c>
      <c r="N3460">
        <v>3.07</v>
      </c>
      <c r="O3460">
        <v>0</v>
      </c>
      <c r="P3460">
        <v>4</v>
      </c>
      <c r="Q3460" t="s">
        <v>565</v>
      </c>
      <c r="R3460" s="8" t="s">
        <v>260</v>
      </c>
      <c r="S3460" t="str">
        <f t="shared" si="492"/>
        <v>PA</v>
      </c>
    </row>
    <row r="3461" spans="1:19" x14ac:dyDescent="0.3">
      <c r="A3461" t="s">
        <v>8</v>
      </c>
      <c r="B3461">
        <v>2016210014</v>
      </c>
      <c r="C3461" t="s">
        <v>270</v>
      </c>
      <c r="E3461" t="s">
        <v>117</v>
      </c>
      <c r="F3461" t="s">
        <v>118</v>
      </c>
      <c r="G3461">
        <v>2</v>
      </c>
      <c r="H3461" t="s">
        <v>260</v>
      </c>
      <c r="I3461" s="4">
        <f t="shared" si="493"/>
        <v>4</v>
      </c>
      <c r="J3461">
        <f t="shared" si="494"/>
        <v>8</v>
      </c>
      <c r="K3461">
        <v>52</v>
      </c>
      <c r="L3461">
        <v>10</v>
      </c>
      <c r="M3461" s="2">
        <v>2.6</v>
      </c>
      <c r="N3461">
        <v>3.07</v>
      </c>
      <c r="O3461">
        <v>0</v>
      </c>
      <c r="P3461">
        <v>2</v>
      </c>
      <c r="Q3461" t="s">
        <v>559</v>
      </c>
      <c r="R3461" s="8" t="s">
        <v>260</v>
      </c>
      <c r="S3461" t="str">
        <f t="shared" si="492"/>
        <v>PA</v>
      </c>
    </row>
    <row r="3462" spans="1:19" x14ac:dyDescent="0.3">
      <c r="A3462" t="s">
        <v>8</v>
      </c>
      <c r="B3462">
        <v>2016210014</v>
      </c>
      <c r="C3462" t="s">
        <v>270</v>
      </c>
      <c r="E3462" t="s">
        <v>253</v>
      </c>
      <c r="F3462" t="s">
        <v>254</v>
      </c>
      <c r="G3462">
        <v>2</v>
      </c>
      <c r="H3462" t="s">
        <v>260</v>
      </c>
      <c r="I3462" s="4">
        <f t="shared" si="493"/>
        <v>4</v>
      </c>
      <c r="J3462">
        <f t="shared" si="494"/>
        <v>8</v>
      </c>
      <c r="K3462">
        <v>74</v>
      </c>
      <c r="L3462">
        <v>22</v>
      </c>
      <c r="M3462">
        <v>3.36</v>
      </c>
      <c r="N3462">
        <v>3.07</v>
      </c>
      <c r="O3462">
        <v>0</v>
      </c>
      <c r="P3462">
        <v>4</v>
      </c>
      <c r="Q3462" t="s">
        <v>565</v>
      </c>
      <c r="R3462" s="8" t="s">
        <v>260</v>
      </c>
      <c r="S3462" t="str">
        <f t="shared" si="492"/>
        <v>PA</v>
      </c>
    </row>
    <row r="3463" spans="1:19" x14ac:dyDescent="0.3">
      <c r="A3463" t="s">
        <v>8</v>
      </c>
      <c r="B3463">
        <v>2016210014</v>
      </c>
      <c r="C3463" t="s">
        <v>270</v>
      </c>
      <c r="E3463" t="s">
        <v>180</v>
      </c>
      <c r="F3463" t="s">
        <v>181</v>
      </c>
      <c r="G3463">
        <v>4</v>
      </c>
      <c r="H3463" t="s">
        <v>260</v>
      </c>
      <c r="I3463" s="4">
        <f t="shared" si="493"/>
        <v>4</v>
      </c>
      <c r="J3463">
        <f t="shared" si="494"/>
        <v>16</v>
      </c>
      <c r="K3463">
        <v>74</v>
      </c>
      <c r="L3463">
        <v>22</v>
      </c>
      <c r="M3463">
        <v>3.36</v>
      </c>
      <c r="N3463">
        <v>3.07</v>
      </c>
      <c r="O3463">
        <v>0</v>
      </c>
      <c r="P3463">
        <v>4</v>
      </c>
      <c r="Q3463" t="s">
        <v>565</v>
      </c>
      <c r="R3463" s="8" t="s">
        <v>260</v>
      </c>
      <c r="S3463" t="str">
        <f t="shared" si="492"/>
        <v>PA</v>
      </c>
    </row>
    <row r="3464" spans="1:19" x14ac:dyDescent="0.3">
      <c r="A3464" t="s">
        <v>8</v>
      </c>
      <c r="B3464">
        <v>2016210014</v>
      </c>
      <c r="C3464" t="s">
        <v>270</v>
      </c>
      <c r="E3464" t="s">
        <v>87</v>
      </c>
      <c r="F3464" t="s">
        <v>88</v>
      </c>
      <c r="G3464">
        <v>2</v>
      </c>
      <c r="H3464" t="s">
        <v>260</v>
      </c>
      <c r="I3464" s="4">
        <f t="shared" si="493"/>
        <v>4</v>
      </c>
      <c r="J3464">
        <f t="shared" si="494"/>
        <v>8</v>
      </c>
      <c r="K3464">
        <v>74</v>
      </c>
      <c r="L3464">
        <v>22</v>
      </c>
      <c r="M3464">
        <v>3.36</v>
      </c>
      <c r="N3464">
        <v>3.07</v>
      </c>
      <c r="O3464">
        <v>0</v>
      </c>
      <c r="P3464">
        <v>4</v>
      </c>
      <c r="Q3464" t="s">
        <v>565</v>
      </c>
      <c r="R3464" s="8" t="s">
        <v>260</v>
      </c>
      <c r="S3464" t="str">
        <f t="shared" si="492"/>
        <v>PA</v>
      </c>
    </row>
    <row r="3465" spans="1:19" x14ac:dyDescent="0.3">
      <c r="A3465" t="s">
        <v>8</v>
      </c>
      <c r="B3465">
        <v>2016210014</v>
      </c>
      <c r="C3465" t="s">
        <v>270</v>
      </c>
      <c r="E3465" t="s">
        <v>185</v>
      </c>
      <c r="F3465" t="s">
        <v>186</v>
      </c>
      <c r="G3465">
        <v>4</v>
      </c>
      <c r="H3465" t="s">
        <v>260</v>
      </c>
      <c r="I3465" s="4">
        <f t="shared" si="493"/>
        <v>4</v>
      </c>
      <c r="J3465">
        <f t="shared" si="494"/>
        <v>16</v>
      </c>
      <c r="K3465">
        <v>28</v>
      </c>
      <c r="L3465">
        <v>8</v>
      </c>
      <c r="M3465" s="2">
        <v>3.5</v>
      </c>
      <c r="N3465">
        <v>3.07</v>
      </c>
      <c r="O3465">
        <v>0</v>
      </c>
      <c r="P3465">
        <v>7</v>
      </c>
      <c r="Q3465" t="s">
        <v>568</v>
      </c>
      <c r="R3465" s="8" t="s">
        <v>260</v>
      </c>
      <c r="S3465" t="str">
        <f t="shared" si="492"/>
        <v>PA</v>
      </c>
    </row>
    <row r="3466" spans="1:19" x14ac:dyDescent="0.3">
      <c r="A3466" t="s">
        <v>8</v>
      </c>
      <c r="B3466">
        <v>2016210014</v>
      </c>
      <c r="C3466" t="s">
        <v>270</v>
      </c>
      <c r="E3466" t="s">
        <v>77</v>
      </c>
      <c r="F3466" t="s">
        <v>78</v>
      </c>
      <c r="G3466">
        <v>2</v>
      </c>
      <c r="H3466" t="s">
        <v>260</v>
      </c>
      <c r="I3466" s="4">
        <f t="shared" si="493"/>
        <v>4</v>
      </c>
      <c r="J3466">
        <f t="shared" si="494"/>
        <v>8</v>
      </c>
      <c r="K3466">
        <v>54</v>
      </c>
      <c r="L3466">
        <v>20</v>
      </c>
      <c r="M3466" s="2">
        <v>2.7</v>
      </c>
      <c r="N3466">
        <v>3.07</v>
      </c>
      <c r="O3466">
        <v>0</v>
      </c>
      <c r="P3466">
        <v>1</v>
      </c>
      <c r="Q3466" t="s">
        <v>558</v>
      </c>
      <c r="R3466" s="8" t="s">
        <v>260</v>
      </c>
      <c r="S3466" t="str">
        <f t="shared" si="492"/>
        <v>PA</v>
      </c>
    </row>
    <row r="3467" spans="1:19" x14ac:dyDescent="0.3">
      <c r="A3467" t="s">
        <v>8</v>
      </c>
      <c r="B3467">
        <v>2016210014</v>
      </c>
      <c r="C3467" t="s">
        <v>270</v>
      </c>
      <c r="E3467" t="s">
        <v>266</v>
      </c>
      <c r="F3467" t="s">
        <v>91</v>
      </c>
      <c r="G3467">
        <v>2</v>
      </c>
      <c r="H3467" t="s">
        <v>260</v>
      </c>
      <c r="I3467" s="4">
        <f t="shared" si="493"/>
        <v>4</v>
      </c>
      <c r="J3467">
        <f t="shared" si="494"/>
        <v>8</v>
      </c>
      <c r="K3467">
        <v>52</v>
      </c>
      <c r="L3467">
        <v>10</v>
      </c>
      <c r="M3467" s="2">
        <v>2.6</v>
      </c>
      <c r="N3467">
        <v>3.07</v>
      </c>
      <c r="O3467">
        <v>0</v>
      </c>
      <c r="P3467">
        <v>2</v>
      </c>
      <c r="Q3467" t="s">
        <v>559</v>
      </c>
      <c r="R3467" s="8" t="s">
        <v>260</v>
      </c>
      <c r="S3467" t="str">
        <f t="shared" si="492"/>
        <v>PA</v>
      </c>
    </row>
    <row r="3468" spans="1:19" x14ac:dyDescent="0.3">
      <c r="A3468" t="s">
        <v>8</v>
      </c>
      <c r="B3468">
        <v>2016210014</v>
      </c>
      <c r="C3468" t="s">
        <v>270</v>
      </c>
      <c r="E3468" t="s">
        <v>238</v>
      </c>
      <c r="F3468" t="s">
        <v>239</v>
      </c>
      <c r="G3468">
        <v>4</v>
      </c>
      <c r="H3468" t="s">
        <v>438</v>
      </c>
      <c r="I3468" s="4">
        <f t="shared" si="493"/>
        <v>3</v>
      </c>
      <c r="J3468">
        <f t="shared" si="494"/>
        <v>12</v>
      </c>
      <c r="K3468">
        <v>64</v>
      </c>
      <c r="L3468">
        <v>24</v>
      </c>
      <c r="M3468">
        <v>2.67</v>
      </c>
      <c r="N3468">
        <v>3.07</v>
      </c>
      <c r="O3468">
        <v>0</v>
      </c>
      <c r="P3468">
        <v>6</v>
      </c>
      <c r="Q3468" t="s">
        <v>567</v>
      </c>
      <c r="R3468" s="8" t="s">
        <v>260</v>
      </c>
      <c r="S3468" t="str">
        <f t="shared" si="492"/>
        <v>PA</v>
      </c>
    </row>
    <row r="3469" spans="1:19" x14ac:dyDescent="0.3">
      <c r="A3469" t="s">
        <v>8</v>
      </c>
      <c r="B3469">
        <v>2016210014</v>
      </c>
      <c r="C3469" t="s">
        <v>270</v>
      </c>
      <c r="E3469" t="s">
        <v>232</v>
      </c>
      <c r="F3469" t="s">
        <v>245</v>
      </c>
      <c r="G3469">
        <v>2</v>
      </c>
      <c r="H3469" t="s">
        <v>438</v>
      </c>
      <c r="I3469" s="4">
        <f t="shared" si="493"/>
        <v>3</v>
      </c>
      <c r="J3469">
        <f t="shared" si="494"/>
        <v>6</v>
      </c>
      <c r="K3469">
        <v>52</v>
      </c>
      <c r="L3469">
        <v>10</v>
      </c>
      <c r="M3469" s="2">
        <v>2.6</v>
      </c>
      <c r="N3469">
        <v>3.07</v>
      </c>
      <c r="O3469">
        <v>0</v>
      </c>
      <c r="P3469">
        <v>2</v>
      </c>
      <c r="Q3469" t="s">
        <v>559</v>
      </c>
      <c r="R3469" s="8" t="s">
        <v>260</v>
      </c>
      <c r="S3469" t="str">
        <f t="shared" si="492"/>
        <v>PA</v>
      </c>
    </row>
    <row r="3470" spans="1:19" x14ac:dyDescent="0.3">
      <c r="A3470" t="s">
        <v>8</v>
      </c>
      <c r="B3470">
        <v>2016210014</v>
      </c>
      <c r="C3470" t="s">
        <v>270</v>
      </c>
      <c r="E3470" t="s">
        <v>597</v>
      </c>
      <c r="F3470" t="s">
        <v>275</v>
      </c>
      <c r="G3470">
        <v>2</v>
      </c>
      <c r="H3470" t="s">
        <v>438</v>
      </c>
      <c r="I3470" s="4">
        <f t="shared" si="493"/>
        <v>3</v>
      </c>
      <c r="J3470">
        <f t="shared" si="494"/>
        <v>6</v>
      </c>
      <c r="K3470">
        <v>64</v>
      </c>
      <c r="L3470">
        <v>24</v>
      </c>
      <c r="M3470" s="2">
        <v>2.67</v>
      </c>
      <c r="N3470">
        <v>3.07</v>
      </c>
      <c r="O3470">
        <v>0</v>
      </c>
      <c r="P3470">
        <v>6</v>
      </c>
      <c r="Q3470" s="4" t="str">
        <f>IF(P3470=1,"2016/2017-Ganjil",IF(P3470=2,"2016/2017-Genap",IF(P3470=3,"2017/2018-Ganjil",IF(P3470=4,"2017/2018-Genap",IF(P3470=5,"2018/2019-Ganjil",IF(P3470=6,"2018/2019-Genap",IF(P3470=7,"2019/2020-Ganjil",IF(P3470=8,"2019/2020-Genap",IF(P3470=9,"2020/2021-Ganjil",IF(P3470=10,"2020/2021-Genap",IF(P3470=11,"2021/2022-Ganjil",IF(P3470=12,"2021/2022-Genap",IF(P3470=13,"2022/2023-Ganjil","2022/2023-Genap")))))))))))))</f>
        <v>2018/2019-Genap</v>
      </c>
      <c r="R3470" s="8" t="s">
        <v>260</v>
      </c>
      <c r="S3470" t="str">
        <f t="shared" si="492"/>
        <v>PA</v>
      </c>
    </row>
    <row r="3471" spans="1:19" x14ac:dyDescent="0.3">
      <c r="A3471" t="s">
        <v>8</v>
      </c>
      <c r="B3471">
        <v>2016210014</v>
      </c>
      <c r="C3471" t="s">
        <v>270</v>
      </c>
      <c r="E3471" t="s">
        <v>107</v>
      </c>
      <c r="F3471" t="s">
        <v>108</v>
      </c>
      <c r="G3471">
        <v>2</v>
      </c>
      <c r="H3471" t="s">
        <v>438</v>
      </c>
      <c r="I3471" s="4">
        <f t="shared" si="493"/>
        <v>3</v>
      </c>
      <c r="J3471">
        <f t="shared" si="494"/>
        <v>6</v>
      </c>
      <c r="K3471">
        <v>64</v>
      </c>
      <c r="L3471">
        <v>24</v>
      </c>
      <c r="M3471">
        <v>2.67</v>
      </c>
      <c r="N3471">
        <v>3.07</v>
      </c>
      <c r="O3471">
        <v>0</v>
      </c>
      <c r="P3471">
        <v>6</v>
      </c>
      <c r="Q3471" t="s">
        <v>567</v>
      </c>
      <c r="R3471" s="8" t="s">
        <v>260</v>
      </c>
      <c r="S3471" t="str">
        <f t="shared" si="492"/>
        <v>PA</v>
      </c>
    </row>
    <row r="3472" spans="1:19" x14ac:dyDescent="0.3">
      <c r="A3472" t="s">
        <v>8</v>
      </c>
      <c r="B3472">
        <v>2016210014</v>
      </c>
      <c r="C3472" t="s">
        <v>270</v>
      </c>
      <c r="E3472" t="s">
        <v>188</v>
      </c>
      <c r="F3472" t="s">
        <v>189</v>
      </c>
      <c r="G3472">
        <v>4</v>
      </c>
      <c r="H3472" t="s">
        <v>438</v>
      </c>
      <c r="I3472" s="4">
        <f t="shared" si="493"/>
        <v>3</v>
      </c>
      <c r="J3472">
        <f t="shared" si="494"/>
        <v>12</v>
      </c>
      <c r="K3472">
        <v>72</v>
      </c>
      <c r="L3472">
        <v>24</v>
      </c>
      <c r="M3472" s="2">
        <v>3</v>
      </c>
      <c r="N3472">
        <v>3.07</v>
      </c>
      <c r="O3472">
        <v>0</v>
      </c>
      <c r="P3472">
        <v>5</v>
      </c>
      <c r="Q3472" t="s">
        <v>566</v>
      </c>
      <c r="R3472" s="8" t="s">
        <v>260</v>
      </c>
      <c r="S3472" t="str">
        <f t="shared" si="492"/>
        <v>PA</v>
      </c>
    </row>
    <row r="3473" spans="1:19" x14ac:dyDescent="0.3">
      <c r="A3473" t="s">
        <v>8</v>
      </c>
      <c r="B3473">
        <v>2016210014</v>
      </c>
      <c r="C3473" t="s">
        <v>270</v>
      </c>
      <c r="E3473" t="s">
        <v>93</v>
      </c>
      <c r="F3473" t="s">
        <v>94</v>
      </c>
      <c r="G3473">
        <v>4</v>
      </c>
      <c r="H3473" t="s">
        <v>438</v>
      </c>
      <c r="I3473" s="4">
        <f t="shared" si="493"/>
        <v>3</v>
      </c>
      <c r="J3473">
        <f t="shared" si="494"/>
        <v>12</v>
      </c>
      <c r="K3473">
        <v>48</v>
      </c>
      <c r="L3473">
        <v>20</v>
      </c>
      <c r="M3473" s="2">
        <v>2.4</v>
      </c>
      <c r="N3473">
        <v>3.07</v>
      </c>
      <c r="O3473">
        <v>0</v>
      </c>
      <c r="P3473">
        <v>3</v>
      </c>
      <c r="Q3473" t="s">
        <v>563</v>
      </c>
      <c r="R3473" s="8" t="s">
        <v>260</v>
      </c>
      <c r="S3473" t="str">
        <f t="shared" si="492"/>
        <v>PA</v>
      </c>
    </row>
    <row r="3474" spans="1:19" x14ac:dyDescent="0.3">
      <c r="A3474" t="s">
        <v>8</v>
      </c>
      <c r="B3474">
        <v>2016210014</v>
      </c>
      <c r="C3474" t="s">
        <v>270</v>
      </c>
      <c r="E3474" t="s">
        <v>391</v>
      </c>
      <c r="F3474" t="s">
        <v>392</v>
      </c>
      <c r="G3474">
        <v>2</v>
      </c>
      <c r="H3474" t="s">
        <v>438</v>
      </c>
      <c r="I3474" s="4">
        <f t="shared" si="493"/>
        <v>3</v>
      </c>
      <c r="J3474">
        <f t="shared" si="494"/>
        <v>6</v>
      </c>
      <c r="K3474">
        <v>72</v>
      </c>
      <c r="L3474">
        <v>24</v>
      </c>
      <c r="M3474" s="2">
        <v>3</v>
      </c>
      <c r="N3474">
        <v>3.07</v>
      </c>
      <c r="O3474">
        <v>0</v>
      </c>
      <c r="P3474">
        <v>5</v>
      </c>
      <c r="Q3474" t="s">
        <v>566</v>
      </c>
      <c r="R3474" s="8" t="s">
        <v>260</v>
      </c>
      <c r="S3474" t="str">
        <f t="shared" si="492"/>
        <v>PA</v>
      </c>
    </row>
    <row r="3475" spans="1:19" x14ac:dyDescent="0.3">
      <c r="A3475" t="s">
        <v>8</v>
      </c>
      <c r="B3475">
        <v>2016210014</v>
      </c>
      <c r="C3475" t="s">
        <v>270</v>
      </c>
      <c r="E3475" t="s">
        <v>19</v>
      </c>
      <c r="F3475" t="s">
        <v>20</v>
      </c>
      <c r="G3475">
        <v>6</v>
      </c>
      <c r="H3475" t="s">
        <v>438</v>
      </c>
      <c r="I3475" s="4">
        <f t="shared" si="493"/>
        <v>3</v>
      </c>
      <c r="J3475">
        <f t="shared" si="494"/>
        <v>18</v>
      </c>
      <c r="K3475">
        <v>18</v>
      </c>
      <c r="L3475">
        <v>6</v>
      </c>
      <c r="M3475" s="2">
        <v>3</v>
      </c>
      <c r="N3475">
        <v>3.07</v>
      </c>
      <c r="O3475">
        <v>0</v>
      </c>
      <c r="P3475">
        <v>8</v>
      </c>
      <c r="Q3475" t="s">
        <v>569</v>
      </c>
      <c r="R3475" t="s">
        <v>596</v>
      </c>
      <c r="S3475" t="str">
        <f t="shared" si="492"/>
        <v>PA</v>
      </c>
    </row>
    <row r="3476" spans="1:19" x14ac:dyDescent="0.3">
      <c r="A3476" t="s">
        <v>8</v>
      </c>
      <c r="B3476">
        <v>2016210014</v>
      </c>
      <c r="C3476" t="s">
        <v>270</v>
      </c>
      <c r="E3476" t="s">
        <v>202</v>
      </c>
      <c r="F3476" t="s">
        <v>203</v>
      </c>
      <c r="G3476">
        <v>4</v>
      </c>
      <c r="H3476" t="s">
        <v>438</v>
      </c>
      <c r="I3476" s="4">
        <f t="shared" si="493"/>
        <v>3</v>
      </c>
      <c r="J3476">
        <f t="shared" si="494"/>
        <v>12</v>
      </c>
      <c r="K3476">
        <v>54</v>
      </c>
      <c r="L3476">
        <v>20</v>
      </c>
      <c r="M3476" s="2">
        <v>2.7</v>
      </c>
      <c r="N3476">
        <v>3.07</v>
      </c>
      <c r="O3476">
        <v>0</v>
      </c>
      <c r="P3476">
        <v>1</v>
      </c>
      <c r="Q3476" t="s">
        <v>558</v>
      </c>
      <c r="R3476" s="8" t="s">
        <v>260</v>
      </c>
      <c r="S3476" t="str">
        <f t="shared" si="492"/>
        <v>PA</v>
      </c>
    </row>
    <row r="3477" spans="1:19" x14ac:dyDescent="0.3">
      <c r="A3477" t="s">
        <v>8</v>
      </c>
      <c r="B3477">
        <v>2016210014</v>
      </c>
      <c r="C3477" t="s">
        <v>270</v>
      </c>
      <c r="E3477" t="s">
        <v>352</v>
      </c>
      <c r="F3477" t="s">
        <v>353</v>
      </c>
      <c r="G3477">
        <v>2</v>
      </c>
      <c r="H3477" t="s">
        <v>438</v>
      </c>
      <c r="I3477" s="4">
        <f t="shared" si="493"/>
        <v>3</v>
      </c>
      <c r="J3477">
        <f t="shared" si="494"/>
        <v>6</v>
      </c>
      <c r="K3477">
        <v>72</v>
      </c>
      <c r="L3477">
        <v>24</v>
      </c>
      <c r="M3477" s="2">
        <v>3</v>
      </c>
      <c r="N3477">
        <v>3.07</v>
      </c>
      <c r="O3477">
        <v>0</v>
      </c>
      <c r="P3477">
        <v>5</v>
      </c>
      <c r="Q3477" t="s">
        <v>566</v>
      </c>
      <c r="R3477" s="8" t="s">
        <v>260</v>
      </c>
      <c r="S3477" t="str">
        <f t="shared" si="492"/>
        <v>PA</v>
      </c>
    </row>
    <row r="3478" spans="1:19" x14ac:dyDescent="0.3">
      <c r="A3478" t="s">
        <v>8</v>
      </c>
      <c r="B3478">
        <v>2016210014</v>
      </c>
      <c r="C3478" t="s">
        <v>270</v>
      </c>
      <c r="E3478" t="s">
        <v>157</v>
      </c>
      <c r="F3478" t="s">
        <v>158</v>
      </c>
      <c r="G3478">
        <v>2</v>
      </c>
      <c r="H3478" t="s">
        <v>438</v>
      </c>
      <c r="I3478" s="4">
        <f t="shared" si="493"/>
        <v>3</v>
      </c>
      <c r="J3478">
        <f t="shared" si="494"/>
        <v>6</v>
      </c>
      <c r="K3478">
        <v>48</v>
      </c>
      <c r="L3478">
        <v>20</v>
      </c>
      <c r="M3478" s="2">
        <v>2.4</v>
      </c>
      <c r="N3478">
        <v>3.07</v>
      </c>
      <c r="O3478">
        <v>0</v>
      </c>
      <c r="P3478">
        <v>3</v>
      </c>
      <c r="Q3478" t="s">
        <v>563</v>
      </c>
      <c r="R3478" s="8" t="s">
        <v>260</v>
      </c>
      <c r="S3478" t="str">
        <f t="shared" si="492"/>
        <v>PA</v>
      </c>
    </row>
    <row r="3479" spans="1:19" x14ac:dyDescent="0.3">
      <c r="A3479" t="s">
        <v>8</v>
      </c>
      <c r="B3479">
        <v>2016210014</v>
      </c>
      <c r="C3479" t="s">
        <v>270</v>
      </c>
      <c r="E3479" t="s">
        <v>131</v>
      </c>
      <c r="F3479" t="s">
        <v>132</v>
      </c>
      <c r="G3479">
        <v>2</v>
      </c>
      <c r="H3479" t="s">
        <v>438</v>
      </c>
      <c r="I3479" s="4">
        <f t="shared" si="493"/>
        <v>3</v>
      </c>
      <c r="J3479">
        <f t="shared" si="494"/>
        <v>6</v>
      </c>
      <c r="K3479">
        <v>54</v>
      </c>
      <c r="L3479">
        <v>20</v>
      </c>
      <c r="M3479" s="2">
        <v>2.7</v>
      </c>
      <c r="N3479">
        <v>3.07</v>
      </c>
      <c r="O3479">
        <v>0</v>
      </c>
      <c r="P3479">
        <v>1</v>
      </c>
      <c r="Q3479" t="s">
        <v>558</v>
      </c>
      <c r="R3479" s="8" t="s">
        <v>260</v>
      </c>
      <c r="S3479" t="str">
        <f t="shared" si="492"/>
        <v>PA</v>
      </c>
    </row>
    <row r="3480" spans="1:19" x14ac:dyDescent="0.3">
      <c r="A3480" t="s">
        <v>8</v>
      </c>
      <c r="B3480">
        <v>2016210014</v>
      </c>
      <c r="C3480" t="s">
        <v>270</v>
      </c>
      <c r="E3480" t="s">
        <v>393</v>
      </c>
      <c r="F3480" t="s">
        <v>436</v>
      </c>
      <c r="G3480">
        <v>2</v>
      </c>
      <c r="H3480" t="s">
        <v>438</v>
      </c>
      <c r="I3480" s="4">
        <f t="shared" si="493"/>
        <v>3</v>
      </c>
      <c r="J3480">
        <f t="shared" si="494"/>
        <v>6</v>
      </c>
      <c r="K3480">
        <v>72</v>
      </c>
      <c r="L3480">
        <v>24</v>
      </c>
      <c r="M3480" s="2">
        <v>3</v>
      </c>
      <c r="N3480">
        <v>3.07</v>
      </c>
      <c r="O3480">
        <v>0</v>
      </c>
      <c r="P3480">
        <v>5</v>
      </c>
      <c r="Q3480" t="s">
        <v>566</v>
      </c>
      <c r="R3480" s="8" t="s">
        <v>260</v>
      </c>
      <c r="S3480" t="str">
        <f t="shared" si="492"/>
        <v>PA</v>
      </c>
    </row>
    <row r="3481" spans="1:19" x14ac:dyDescent="0.3">
      <c r="A3481" t="s">
        <v>8</v>
      </c>
      <c r="B3481">
        <v>2016210014</v>
      </c>
      <c r="C3481" t="s">
        <v>270</v>
      </c>
      <c r="E3481" t="s">
        <v>369</v>
      </c>
      <c r="F3481" t="s">
        <v>307</v>
      </c>
      <c r="G3481">
        <v>2</v>
      </c>
      <c r="H3481" t="s">
        <v>438</v>
      </c>
      <c r="I3481" s="4">
        <f t="shared" si="493"/>
        <v>3</v>
      </c>
      <c r="J3481">
        <f t="shared" si="494"/>
        <v>6</v>
      </c>
      <c r="K3481">
        <v>74</v>
      </c>
      <c r="L3481">
        <v>22</v>
      </c>
      <c r="M3481">
        <v>3.36</v>
      </c>
      <c r="N3481">
        <v>3.07</v>
      </c>
      <c r="O3481">
        <v>0</v>
      </c>
      <c r="P3481">
        <v>4</v>
      </c>
      <c r="Q3481" t="s">
        <v>565</v>
      </c>
      <c r="R3481" s="8" t="s">
        <v>260</v>
      </c>
      <c r="S3481" t="str">
        <f t="shared" si="492"/>
        <v>PA</v>
      </c>
    </row>
    <row r="3482" spans="1:19" x14ac:dyDescent="0.3">
      <c r="A3482" t="s">
        <v>8</v>
      </c>
      <c r="B3482">
        <v>2016210014</v>
      </c>
      <c r="C3482" t="s">
        <v>270</v>
      </c>
      <c r="E3482" t="s">
        <v>115</v>
      </c>
      <c r="F3482" t="s">
        <v>116</v>
      </c>
      <c r="G3482">
        <v>4</v>
      </c>
      <c r="H3482" t="s">
        <v>438</v>
      </c>
      <c r="I3482" s="4">
        <f t="shared" si="493"/>
        <v>3</v>
      </c>
      <c r="J3482">
        <f t="shared" si="494"/>
        <v>12</v>
      </c>
      <c r="K3482">
        <v>52</v>
      </c>
      <c r="L3482">
        <v>10</v>
      </c>
      <c r="M3482" s="2">
        <v>2.6</v>
      </c>
      <c r="N3482">
        <v>3.07</v>
      </c>
      <c r="O3482">
        <v>0</v>
      </c>
      <c r="P3482">
        <v>2</v>
      </c>
      <c r="Q3482" t="s">
        <v>559</v>
      </c>
      <c r="R3482" s="8" t="s">
        <v>260</v>
      </c>
      <c r="S3482" t="str">
        <f t="shared" si="492"/>
        <v>PA</v>
      </c>
    </row>
    <row r="3483" spans="1:19" x14ac:dyDescent="0.3">
      <c r="A3483" t="s">
        <v>8</v>
      </c>
      <c r="B3483">
        <v>2016210014</v>
      </c>
      <c r="C3483" t="s">
        <v>270</v>
      </c>
      <c r="E3483" t="s">
        <v>449</v>
      </c>
      <c r="F3483" t="s">
        <v>460</v>
      </c>
      <c r="G3483">
        <v>4</v>
      </c>
      <c r="H3483" t="s">
        <v>438</v>
      </c>
      <c r="I3483" s="4">
        <f t="shared" si="493"/>
        <v>3</v>
      </c>
      <c r="J3483">
        <f t="shared" si="494"/>
        <v>12</v>
      </c>
      <c r="K3483">
        <v>74</v>
      </c>
      <c r="L3483">
        <v>22</v>
      </c>
      <c r="M3483">
        <v>3.36</v>
      </c>
      <c r="N3483">
        <v>3.07</v>
      </c>
      <c r="O3483">
        <v>0</v>
      </c>
      <c r="P3483">
        <v>4</v>
      </c>
      <c r="Q3483" t="s">
        <v>565</v>
      </c>
      <c r="R3483" s="8" t="s">
        <v>260</v>
      </c>
      <c r="S3483" t="str">
        <f t="shared" si="492"/>
        <v>PA</v>
      </c>
    </row>
    <row r="3484" spans="1:19" x14ac:dyDescent="0.3">
      <c r="A3484" t="s">
        <v>8</v>
      </c>
      <c r="B3484">
        <v>2016210014</v>
      </c>
      <c r="C3484" t="s">
        <v>270</v>
      </c>
      <c r="E3484" t="s">
        <v>80</v>
      </c>
      <c r="F3484" t="s">
        <v>81</v>
      </c>
      <c r="G3484">
        <v>4</v>
      </c>
      <c r="H3484" t="s">
        <v>438</v>
      </c>
      <c r="I3484" s="4">
        <f t="shared" si="493"/>
        <v>3</v>
      </c>
      <c r="J3484">
        <f t="shared" si="494"/>
        <v>12</v>
      </c>
      <c r="K3484">
        <v>64</v>
      </c>
      <c r="L3484">
        <v>24</v>
      </c>
      <c r="M3484">
        <v>2.67</v>
      </c>
      <c r="N3484">
        <v>3.07</v>
      </c>
      <c r="O3484">
        <v>0</v>
      </c>
      <c r="P3484">
        <v>6</v>
      </c>
      <c r="Q3484" t="s">
        <v>567</v>
      </c>
      <c r="R3484" s="8" t="s">
        <v>260</v>
      </c>
      <c r="S3484" t="str">
        <f t="shared" si="492"/>
        <v>PA</v>
      </c>
    </row>
    <row r="3485" spans="1:19" x14ac:dyDescent="0.3">
      <c r="A3485" t="s">
        <v>8</v>
      </c>
      <c r="B3485">
        <v>2016210014</v>
      </c>
      <c r="C3485" t="s">
        <v>270</v>
      </c>
      <c r="E3485" t="s">
        <v>279</v>
      </c>
      <c r="F3485" t="s">
        <v>280</v>
      </c>
      <c r="G3485">
        <v>2</v>
      </c>
      <c r="H3485" t="s">
        <v>438</v>
      </c>
      <c r="I3485" s="4">
        <f t="shared" si="493"/>
        <v>3</v>
      </c>
      <c r="J3485">
        <f t="shared" si="494"/>
        <v>6</v>
      </c>
      <c r="K3485">
        <v>52</v>
      </c>
      <c r="L3485">
        <v>10</v>
      </c>
      <c r="M3485" s="2">
        <v>2.6</v>
      </c>
      <c r="N3485">
        <v>3.07</v>
      </c>
      <c r="O3485">
        <v>0</v>
      </c>
      <c r="P3485">
        <v>2</v>
      </c>
      <c r="Q3485" t="s">
        <v>559</v>
      </c>
      <c r="R3485" s="8" t="s">
        <v>260</v>
      </c>
      <c r="S3485" t="str">
        <f t="shared" si="492"/>
        <v>PA</v>
      </c>
    </row>
    <row r="3486" spans="1:19" x14ac:dyDescent="0.3">
      <c r="A3486" t="s">
        <v>8</v>
      </c>
      <c r="B3486">
        <v>2016210014</v>
      </c>
      <c r="C3486" t="s">
        <v>270</v>
      </c>
      <c r="E3486" t="s">
        <v>17</v>
      </c>
      <c r="F3486" t="s">
        <v>11</v>
      </c>
      <c r="G3486">
        <v>2</v>
      </c>
      <c r="H3486" t="s">
        <v>438</v>
      </c>
      <c r="I3486" s="4">
        <f t="shared" si="493"/>
        <v>3</v>
      </c>
      <c r="J3486">
        <f t="shared" si="494"/>
        <v>6</v>
      </c>
      <c r="K3486">
        <v>64</v>
      </c>
      <c r="L3486">
        <v>24</v>
      </c>
      <c r="M3486">
        <v>2.67</v>
      </c>
      <c r="N3486">
        <v>3.07</v>
      </c>
      <c r="O3486">
        <v>0</v>
      </c>
      <c r="P3486">
        <v>6</v>
      </c>
      <c r="Q3486" t="s">
        <v>567</v>
      </c>
      <c r="R3486" s="8" t="s">
        <v>260</v>
      </c>
      <c r="S3486" t="str">
        <f t="shared" si="492"/>
        <v>PA</v>
      </c>
    </row>
    <row r="3487" spans="1:19" x14ac:dyDescent="0.3">
      <c r="A3487" t="s">
        <v>8</v>
      </c>
      <c r="B3487">
        <v>2016210014</v>
      </c>
      <c r="C3487" t="s">
        <v>270</v>
      </c>
      <c r="E3487" t="s">
        <v>246</v>
      </c>
      <c r="F3487" t="s">
        <v>247</v>
      </c>
      <c r="G3487">
        <v>4</v>
      </c>
      <c r="H3487" t="s">
        <v>438</v>
      </c>
      <c r="I3487" s="4">
        <f t="shared" si="493"/>
        <v>3</v>
      </c>
      <c r="J3487">
        <f t="shared" si="494"/>
        <v>12</v>
      </c>
      <c r="K3487">
        <v>74</v>
      </c>
      <c r="L3487">
        <v>22</v>
      </c>
      <c r="M3487">
        <v>3.36</v>
      </c>
      <c r="N3487">
        <v>3.07</v>
      </c>
      <c r="O3487">
        <v>0</v>
      </c>
      <c r="P3487">
        <v>4</v>
      </c>
      <c r="Q3487" t="s">
        <v>565</v>
      </c>
      <c r="R3487" s="8" t="s">
        <v>260</v>
      </c>
      <c r="S3487" t="str">
        <f t="shared" si="492"/>
        <v>PA</v>
      </c>
    </row>
    <row r="3488" spans="1:19" x14ac:dyDescent="0.3">
      <c r="A3488" t="s">
        <v>8</v>
      </c>
      <c r="B3488">
        <v>2016210014</v>
      </c>
      <c r="C3488" t="s">
        <v>270</v>
      </c>
      <c r="E3488" t="s">
        <v>22</v>
      </c>
      <c r="F3488" t="s">
        <v>23</v>
      </c>
      <c r="G3488">
        <v>2</v>
      </c>
      <c r="H3488" t="s">
        <v>438</v>
      </c>
      <c r="I3488" s="4">
        <f t="shared" si="493"/>
        <v>3</v>
      </c>
      <c r="J3488">
        <f t="shared" si="494"/>
        <v>6</v>
      </c>
      <c r="K3488">
        <v>52</v>
      </c>
      <c r="L3488">
        <v>10</v>
      </c>
      <c r="M3488" s="2">
        <v>2.6</v>
      </c>
      <c r="N3488">
        <v>3.07</v>
      </c>
      <c r="O3488">
        <v>0</v>
      </c>
      <c r="P3488">
        <v>2</v>
      </c>
      <c r="Q3488" t="s">
        <v>559</v>
      </c>
      <c r="R3488" s="8" t="s">
        <v>260</v>
      </c>
      <c r="S3488" t="str">
        <f t="shared" si="492"/>
        <v>PA</v>
      </c>
    </row>
    <row r="3489" spans="1:19" x14ac:dyDescent="0.3">
      <c r="A3489" t="s">
        <v>8</v>
      </c>
      <c r="B3489">
        <v>2016210014</v>
      </c>
      <c r="C3489" t="s">
        <v>270</v>
      </c>
      <c r="E3489" t="s">
        <v>176</v>
      </c>
      <c r="F3489" t="s">
        <v>177</v>
      </c>
      <c r="G3489">
        <v>4</v>
      </c>
      <c r="H3489" t="s">
        <v>438</v>
      </c>
      <c r="I3489" s="4">
        <f t="shared" si="493"/>
        <v>3</v>
      </c>
      <c r="J3489">
        <f t="shared" si="494"/>
        <v>12</v>
      </c>
      <c r="K3489">
        <v>72</v>
      </c>
      <c r="L3489">
        <v>24</v>
      </c>
      <c r="M3489" s="2">
        <v>3</v>
      </c>
      <c r="N3489">
        <v>3.07</v>
      </c>
      <c r="O3489">
        <v>0</v>
      </c>
      <c r="P3489">
        <v>5</v>
      </c>
      <c r="Q3489" t="s">
        <v>566</v>
      </c>
      <c r="R3489" s="8" t="s">
        <v>260</v>
      </c>
      <c r="S3489" t="str">
        <f t="shared" si="492"/>
        <v>PA</v>
      </c>
    </row>
    <row r="3490" spans="1:19" x14ac:dyDescent="0.3">
      <c r="A3490" t="s">
        <v>8</v>
      </c>
      <c r="B3490">
        <v>2016210014</v>
      </c>
      <c r="C3490" t="s">
        <v>270</v>
      </c>
      <c r="E3490" t="s">
        <v>105</v>
      </c>
      <c r="F3490" t="s">
        <v>106</v>
      </c>
      <c r="G3490">
        <v>2</v>
      </c>
      <c r="H3490" t="s">
        <v>438</v>
      </c>
      <c r="I3490" s="4">
        <f t="shared" si="493"/>
        <v>3</v>
      </c>
      <c r="J3490">
        <f t="shared" si="494"/>
        <v>6</v>
      </c>
      <c r="K3490">
        <v>48</v>
      </c>
      <c r="L3490">
        <v>20</v>
      </c>
      <c r="M3490" s="2">
        <v>2.4</v>
      </c>
      <c r="N3490">
        <v>3.07</v>
      </c>
      <c r="O3490">
        <v>0</v>
      </c>
      <c r="P3490">
        <v>3</v>
      </c>
      <c r="Q3490" t="s">
        <v>563</v>
      </c>
      <c r="R3490" s="8" t="s">
        <v>260</v>
      </c>
      <c r="S3490" t="str">
        <f t="shared" si="492"/>
        <v>PA</v>
      </c>
    </row>
    <row r="3491" spans="1:19" x14ac:dyDescent="0.3">
      <c r="A3491" t="s">
        <v>8</v>
      </c>
      <c r="B3491">
        <v>2016210014</v>
      </c>
      <c r="C3491" t="s">
        <v>270</v>
      </c>
      <c r="E3491" t="s">
        <v>439</v>
      </c>
      <c r="F3491" t="s">
        <v>440</v>
      </c>
      <c r="G3491">
        <v>2</v>
      </c>
      <c r="H3491" t="s">
        <v>438</v>
      </c>
      <c r="I3491" s="4">
        <f t="shared" si="493"/>
        <v>3</v>
      </c>
      <c r="J3491">
        <f t="shared" si="494"/>
        <v>6</v>
      </c>
      <c r="K3491">
        <v>64</v>
      </c>
      <c r="L3491">
        <v>24</v>
      </c>
      <c r="M3491">
        <v>2.67</v>
      </c>
      <c r="N3491">
        <v>3.07</v>
      </c>
      <c r="O3491">
        <v>0</v>
      </c>
      <c r="P3491">
        <v>6</v>
      </c>
      <c r="Q3491" t="s">
        <v>567</v>
      </c>
      <c r="R3491" s="8" t="s">
        <v>260</v>
      </c>
      <c r="S3491" t="str">
        <f t="shared" si="492"/>
        <v>PA</v>
      </c>
    </row>
    <row r="3492" spans="1:19" x14ac:dyDescent="0.3">
      <c r="A3492" t="s">
        <v>8</v>
      </c>
      <c r="B3492">
        <v>2016210014</v>
      </c>
      <c r="C3492" t="s">
        <v>270</v>
      </c>
      <c r="E3492" t="s">
        <v>182</v>
      </c>
      <c r="F3492" t="s">
        <v>171</v>
      </c>
      <c r="G3492">
        <v>2</v>
      </c>
      <c r="H3492" t="s">
        <v>438</v>
      </c>
      <c r="I3492" s="4">
        <f t="shared" si="493"/>
        <v>3</v>
      </c>
      <c r="J3492">
        <f t="shared" si="494"/>
        <v>6</v>
      </c>
      <c r="K3492">
        <v>72</v>
      </c>
      <c r="L3492">
        <v>24</v>
      </c>
      <c r="M3492" s="2">
        <v>3</v>
      </c>
      <c r="N3492">
        <v>3.07</v>
      </c>
      <c r="O3492">
        <v>0</v>
      </c>
      <c r="P3492">
        <v>5</v>
      </c>
      <c r="Q3492" t="s">
        <v>566</v>
      </c>
      <c r="R3492" s="8" t="s">
        <v>260</v>
      </c>
      <c r="S3492" t="str">
        <f t="shared" si="492"/>
        <v>PA</v>
      </c>
    </row>
    <row r="3493" spans="1:19" x14ac:dyDescent="0.3">
      <c r="A3493" t="s">
        <v>8</v>
      </c>
      <c r="B3493">
        <v>2016210014</v>
      </c>
      <c r="C3493" t="s">
        <v>270</v>
      </c>
      <c r="E3493" t="s">
        <v>295</v>
      </c>
      <c r="F3493" t="s">
        <v>296</v>
      </c>
      <c r="G3493">
        <v>2</v>
      </c>
      <c r="H3493" t="s">
        <v>438</v>
      </c>
      <c r="I3493" s="4">
        <f t="shared" si="493"/>
        <v>3</v>
      </c>
      <c r="J3493">
        <f t="shared" si="494"/>
        <v>6</v>
      </c>
      <c r="K3493">
        <v>48</v>
      </c>
      <c r="L3493">
        <v>20</v>
      </c>
      <c r="M3493" s="2">
        <v>2.4</v>
      </c>
      <c r="N3493">
        <v>3.07</v>
      </c>
      <c r="O3493">
        <v>0</v>
      </c>
      <c r="P3493">
        <v>3</v>
      </c>
      <c r="Q3493" t="s">
        <v>563</v>
      </c>
      <c r="R3493" s="8" t="s">
        <v>260</v>
      </c>
      <c r="S3493" t="str">
        <f t="shared" si="492"/>
        <v>PA</v>
      </c>
    </row>
    <row r="3494" spans="1:19" x14ac:dyDescent="0.3">
      <c r="A3494" t="s">
        <v>8</v>
      </c>
      <c r="B3494">
        <v>2016210014</v>
      </c>
      <c r="C3494" t="s">
        <v>270</v>
      </c>
      <c r="E3494" t="s">
        <v>193</v>
      </c>
      <c r="F3494" t="s">
        <v>194</v>
      </c>
      <c r="G3494">
        <v>4</v>
      </c>
      <c r="H3494" t="s">
        <v>438</v>
      </c>
      <c r="I3494" s="4">
        <f t="shared" si="493"/>
        <v>3</v>
      </c>
      <c r="J3494">
        <f t="shared" si="494"/>
        <v>12</v>
      </c>
      <c r="K3494">
        <v>28</v>
      </c>
      <c r="L3494">
        <v>8</v>
      </c>
      <c r="M3494" s="2">
        <v>3.5</v>
      </c>
      <c r="N3494">
        <v>3.07</v>
      </c>
      <c r="O3494">
        <v>0</v>
      </c>
      <c r="P3494">
        <v>7</v>
      </c>
      <c r="Q3494" t="s">
        <v>568</v>
      </c>
      <c r="R3494" s="8" t="s">
        <v>260</v>
      </c>
      <c r="S3494" t="str">
        <f t="shared" si="492"/>
        <v>PA</v>
      </c>
    </row>
    <row r="3495" spans="1:19" x14ac:dyDescent="0.3">
      <c r="A3495" t="s">
        <v>8</v>
      </c>
      <c r="B3495">
        <v>2016210014</v>
      </c>
      <c r="C3495" t="s">
        <v>270</v>
      </c>
      <c r="E3495" t="s">
        <v>213</v>
      </c>
      <c r="F3495" t="s">
        <v>214</v>
      </c>
      <c r="G3495">
        <v>4</v>
      </c>
      <c r="H3495" t="s">
        <v>438</v>
      </c>
      <c r="I3495" s="4">
        <f t="shared" si="493"/>
        <v>3</v>
      </c>
      <c r="J3495">
        <f t="shared" si="494"/>
        <v>12</v>
      </c>
      <c r="K3495">
        <v>72</v>
      </c>
      <c r="L3495">
        <v>24</v>
      </c>
      <c r="M3495" s="2">
        <v>3</v>
      </c>
      <c r="N3495">
        <v>3.07</v>
      </c>
      <c r="O3495">
        <v>0</v>
      </c>
      <c r="P3495">
        <v>5</v>
      </c>
      <c r="Q3495" t="s">
        <v>566</v>
      </c>
      <c r="R3495" s="8" t="s">
        <v>260</v>
      </c>
      <c r="S3495" t="str">
        <f t="shared" si="492"/>
        <v>PA</v>
      </c>
    </row>
    <row r="3496" spans="1:19" x14ac:dyDescent="0.3">
      <c r="A3496" t="s">
        <v>8</v>
      </c>
      <c r="B3496">
        <v>2016210014</v>
      </c>
      <c r="C3496" t="s">
        <v>270</v>
      </c>
      <c r="E3496" t="s">
        <v>163</v>
      </c>
      <c r="F3496" t="s">
        <v>164</v>
      </c>
      <c r="G3496">
        <v>2</v>
      </c>
      <c r="H3496" t="s">
        <v>438</v>
      </c>
      <c r="I3496" s="4">
        <f t="shared" si="493"/>
        <v>3</v>
      </c>
      <c r="J3496">
        <f t="shared" si="494"/>
        <v>6</v>
      </c>
      <c r="K3496">
        <v>54</v>
      </c>
      <c r="L3496">
        <v>20</v>
      </c>
      <c r="M3496" s="2">
        <v>2.7</v>
      </c>
      <c r="N3496">
        <v>3.07</v>
      </c>
      <c r="O3496">
        <v>0</v>
      </c>
      <c r="P3496">
        <v>1</v>
      </c>
      <c r="Q3496" t="s">
        <v>558</v>
      </c>
      <c r="R3496" s="8" t="s">
        <v>260</v>
      </c>
      <c r="S3496" t="str">
        <f t="shared" si="492"/>
        <v>PA</v>
      </c>
    </row>
    <row r="3497" spans="1:19" x14ac:dyDescent="0.3">
      <c r="A3497" t="s">
        <v>8</v>
      </c>
      <c r="B3497">
        <v>2016210014</v>
      </c>
      <c r="C3497" t="s">
        <v>270</v>
      </c>
      <c r="E3497" t="s">
        <v>318</v>
      </c>
      <c r="F3497" t="s">
        <v>319</v>
      </c>
      <c r="G3497">
        <v>2</v>
      </c>
      <c r="H3497" t="s">
        <v>438</v>
      </c>
      <c r="I3497" s="4">
        <f t="shared" si="493"/>
        <v>3</v>
      </c>
      <c r="J3497">
        <f t="shared" si="494"/>
        <v>6</v>
      </c>
      <c r="K3497">
        <v>72</v>
      </c>
      <c r="L3497">
        <v>24</v>
      </c>
      <c r="M3497" s="2">
        <v>3</v>
      </c>
      <c r="N3497">
        <v>3.07</v>
      </c>
      <c r="O3497">
        <v>0</v>
      </c>
      <c r="P3497">
        <v>5</v>
      </c>
      <c r="Q3497" t="s">
        <v>566</v>
      </c>
      <c r="R3497" s="8" t="s">
        <v>260</v>
      </c>
      <c r="S3497" t="str">
        <f t="shared" si="492"/>
        <v>PA</v>
      </c>
    </row>
    <row r="3498" spans="1:19" x14ac:dyDescent="0.3">
      <c r="A3498" t="s">
        <v>8</v>
      </c>
      <c r="B3498">
        <v>2016210014</v>
      </c>
      <c r="C3498" t="s">
        <v>270</v>
      </c>
      <c r="E3498" t="s">
        <v>227</v>
      </c>
      <c r="F3498" t="s">
        <v>228</v>
      </c>
      <c r="G3498">
        <v>2</v>
      </c>
      <c r="H3498" t="s">
        <v>438</v>
      </c>
      <c r="I3498" s="4">
        <f t="shared" si="493"/>
        <v>3</v>
      </c>
      <c r="J3498">
        <f t="shared" si="494"/>
        <v>6</v>
      </c>
      <c r="K3498">
        <v>48</v>
      </c>
      <c r="L3498">
        <v>20</v>
      </c>
      <c r="M3498" s="2">
        <v>2.4</v>
      </c>
      <c r="N3498">
        <v>3.07</v>
      </c>
      <c r="O3498">
        <v>0</v>
      </c>
      <c r="P3498">
        <v>3</v>
      </c>
      <c r="Q3498" t="s">
        <v>563</v>
      </c>
      <c r="R3498" s="8" t="s">
        <v>260</v>
      </c>
      <c r="S3498" t="str">
        <f t="shared" si="492"/>
        <v>PA</v>
      </c>
    </row>
    <row r="3499" spans="1:19" x14ac:dyDescent="0.3">
      <c r="A3499" t="s">
        <v>8</v>
      </c>
      <c r="B3499">
        <v>2016210014</v>
      </c>
      <c r="C3499" t="s">
        <v>270</v>
      </c>
      <c r="E3499" t="s">
        <v>147</v>
      </c>
      <c r="F3499" t="s">
        <v>148</v>
      </c>
      <c r="G3499">
        <v>4</v>
      </c>
      <c r="H3499" t="s">
        <v>438</v>
      </c>
      <c r="I3499" s="4">
        <f t="shared" si="493"/>
        <v>3</v>
      </c>
      <c r="J3499">
        <f t="shared" si="494"/>
        <v>12</v>
      </c>
      <c r="K3499">
        <v>54</v>
      </c>
      <c r="L3499">
        <v>20</v>
      </c>
      <c r="M3499" s="2">
        <v>2.7</v>
      </c>
      <c r="N3499">
        <v>3.07</v>
      </c>
      <c r="O3499">
        <v>0</v>
      </c>
      <c r="P3499">
        <v>1</v>
      </c>
      <c r="Q3499" t="s">
        <v>558</v>
      </c>
      <c r="R3499" s="8" t="s">
        <v>260</v>
      </c>
      <c r="S3499" t="str">
        <f t="shared" si="492"/>
        <v>PA</v>
      </c>
    </row>
    <row r="3500" spans="1:19" x14ac:dyDescent="0.3">
      <c r="A3500" t="s">
        <v>8</v>
      </c>
      <c r="B3500">
        <v>2016210014</v>
      </c>
      <c r="C3500" t="s">
        <v>270</v>
      </c>
      <c r="E3500" t="s">
        <v>407</v>
      </c>
      <c r="F3500" t="s">
        <v>312</v>
      </c>
      <c r="G3500">
        <v>2</v>
      </c>
      <c r="H3500" t="s">
        <v>438</v>
      </c>
      <c r="I3500" s="4">
        <f t="shared" si="493"/>
        <v>3</v>
      </c>
      <c r="J3500">
        <f t="shared" si="494"/>
        <v>6</v>
      </c>
      <c r="K3500">
        <v>72</v>
      </c>
      <c r="L3500">
        <v>24</v>
      </c>
      <c r="M3500" s="2">
        <v>3</v>
      </c>
      <c r="N3500">
        <v>3.07</v>
      </c>
      <c r="O3500">
        <v>0</v>
      </c>
      <c r="P3500">
        <v>5</v>
      </c>
      <c r="Q3500" t="s">
        <v>566</v>
      </c>
      <c r="R3500" s="8" t="s">
        <v>260</v>
      </c>
      <c r="S3500" t="str">
        <f t="shared" si="492"/>
        <v>PA</v>
      </c>
    </row>
    <row r="3501" spans="1:19" x14ac:dyDescent="0.3">
      <c r="A3501" t="s">
        <v>8</v>
      </c>
      <c r="B3501">
        <v>2016210014</v>
      </c>
      <c r="C3501" t="s">
        <v>270</v>
      </c>
      <c r="E3501" t="s">
        <v>119</v>
      </c>
      <c r="F3501" t="s">
        <v>120</v>
      </c>
      <c r="G3501">
        <v>2</v>
      </c>
      <c r="H3501" t="s">
        <v>524</v>
      </c>
      <c r="I3501" s="4">
        <f t="shared" si="493"/>
        <v>2</v>
      </c>
      <c r="J3501">
        <f t="shared" si="494"/>
        <v>4</v>
      </c>
      <c r="K3501">
        <v>64</v>
      </c>
      <c r="L3501">
        <v>24</v>
      </c>
      <c r="M3501">
        <v>2.67</v>
      </c>
      <c r="N3501">
        <v>3.07</v>
      </c>
      <c r="O3501">
        <v>0</v>
      </c>
      <c r="P3501">
        <v>6</v>
      </c>
      <c r="Q3501" t="s">
        <v>567</v>
      </c>
      <c r="R3501" s="8" t="s">
        <v>260</v>
      </c>
      <c r="S3501" t="str">
        <f t="shared" si="492"/>
        <v>PA</v>
      </c>
    </row>
    <row r="3502" spans="1:19" x14ac:dyDescent="0.3">
      <c r="A3502" t="s">
        <v>8</v>
      </c>
      <c r="B3502">
        <v>2016210014</v>
      </c>
      <c r="C3502" t="s">
        <v>270</v>
      </c>
      <c r="E3502" t="s">
        <v>119</v>
      </c>
      <c r="F3502" t="s">
        <v>120</v>
      </c>
      <c r="G3502">
        <v>2</v>
      </c>
      <c r="H3502" t="s">
        <v>438</v>
      </c>
      <c r="I3502" s="4">
        <f t="shared" si="493"/>
        <v>3</v>
      </c>
      <c r="J3502">
        <f t="shared" si="494"/>
        <v>6</v>
      </c>
      <c r="K3502">
        <v>56</v>
      </c>
      <c r="L3502">
        <v>18</v>
      </c>
      <c r="M3502">
        <v>3.11</v>
      </c>
      <c r="N3502">
        <v>3.07</v>
      </c>
      <c r="O3502">
        <v>1</v>
      </c>
      <c r="P3502">
        <v>6</v>
      </c>
      <c r="Q3502" t="s">
        <v>572</v>
      </c>
      <c r="R3502" s="8" t="s">
        <v>260</v>
      </c>
      <c r="S3502" t="str">
        <f t="shared" si="492"/>
        <v>PA</v>
      </c>
    </row>
    <row r="3503" spans="1:19" x14ac:dyDescent="0.3">
      <c r="A3503" t="s">
        <v>8</v>
      </c>
      <c r="B3503">
        <v>2016210014</v>
      </c>
      <c r="C3503" t="s">
        <v>270</v>
      </c>
      <c r="E3503" t="s">
        <v>112</v>
      </c>
      <c r="F3503" t="s">
        <v>113</v>
      </c>
      <c r="G3503">
        <v>4</v>
      </c>
      <c r="H3503" t="s">
        <v>524</v>
      </c>
      <c r="I3503" s="4">
        <f t="shared" si="493"/>
        <v>2</v>
      </c>
      <c r="J3503">
        <f t="shared" si="494"/>
        <v>8</v>
      </c>
      <c r="K3503">
        <v>48</v>
      </c>
      <c r="L3503">
        <v>20</v>
      </c>
      <c r="M3503" s="2">
        <v>2.4</v>
      </c>
      <c r="N3503">
        <v>3.07</v>
      </c>
      <c r="O3503">
        <v>0</v>
      </c>
      <c r="P3503">
        <v>3</v>
      </c>
      <c r="Q3503" t="s">
        <v>563</v>
      </c>
      <c r="R3503" s="8" t="s">
        <v>260</v>
      </c>
      <c r="S3503" t="str">
        <f t="shared" si="492"/>
        <v>PA</v>
      </c>
    </row>
    <row r="3504" spans="1:19" x14ac:dyDescent="0.3">
      <c r="A3504" t="s">
        <v>8</v>
      </c>
      <c r="B3504">
        <v>2016210014</v>
      </c>
      <c r="C3504" t="s">
        <v>270</v>
      </c>
      <c r="E3504" t="s">
        <v>355</v>
      </c>
      <c r="F3504" t="s">
        <v>274</v>
      </c>
      <c r="G3504">
        <v>2</v>
      </c>
      <c r="H3504" t="s">
        <v>524</v>
      </c>
      <c r="I3504" s="4">
        <f t="shared" si="493"/>
        <v>2</v>
      </c>
      <c r="J3504">
        <f t="shared" si="494"/>
        <v>4</v>
      </c>
      <c r="K3504">
        <v>64</v>
      </c>
      <c r="L3504">
        <v>24</v>
      </c>
      <c r="M3504">
        <v>2.67</v>
      </c>
      <c r="N3504">
        <v>3.07</v>
      </c>
      <c r="O3504">
        <v>0</v>
      </c>
      <c r="P3504">
        <v>6</v>
      </c>
      <c r="Q3504" t="s">
        <v>567</v>
      </c>
      <c r="R3504" s="8" t="s">
        <v>260</v>
      </c>
      <c r="S3504" t="str">
        <f t="shared" si="492"/>
        <v>PA</v>
      </c>
    </row>
    <row r="3505" spans="1:19" x14ac:dyDescent="0.3">
      <c r="A3505" t="s">
        <v>8</v>
      </c>
      <c r="B3505">
        <v>2016210014</v>
      </c>
      <c r="C3505" t="s">
        <v>270</v>
      </c>
      <c r="E3505" t="s">
        <v>216</v>
      </c>
      <c r="F3505" t="s">
        <v>217</v>
      </c>
      <c r="G3505">
        <v>2</v>
      </c>
      <c r="H3505" t="s">
        <v>524</v>
      </c>
      <c r="I3505" s="4">
        <f t="shared" si="493"/>
        <v>2</v>
      </c>
      <c r="J3505">
        <f t="shared" si="494"/>
        <v>4</v>
      </c>
      <c r="K3505">
        <v>74</v>
      </c>
      <c r="L3505">
        <v>22</v>
      </c>
      <c r="M3505">
        <v>3.36</v>
      </c>
      <c r="N3505">
        <v>3.07</v>
      </c>
      <c r="O3505">
        <v>0</v>
      </c>
      <c r="P3505">
        <v>4</v>
      </c>
      <c r="Q3505" t="s">
        <v>565</v>
      </c>
      <c r="R3505" s="8" t="s">
        <v>260</v>
      </c>
      <c r="S3505" t="str">
        <f t="shared" si="492"/>
        <v>PA</v>
      </c>
    </row>
    <row r="3506" spans="1:19" x14ac:dyDescent="0.3">
      <c r="A3506" t="s">
        <v>8</v>
      </c>
      <c r="B3506">
        <v>2016210014</v>
      </c>
      <c r="C3506" t="s">
        <v>270</v>
      </c>
      <c r="E3506" t="s">
        <v>136</v>
      </c>
      <c r="F3506" t="s">
        <v>137</v>
      </c>
      <c r="G3506">
        <v>4</v>
      </c>
      <c r="H3506" t="s">
        <v>524</v>
      </c>
      <c r="I3506" s="4">
        <f t="shared" si="493"/>
        <v>2</v>
      </c>
      <c r="J3506">
        <f t="shared" si="494"/>
        <v>8</v>
      </c>
      <c r="K3506">
        <v>64</v>
      </c>
      <c r="L3506">
        <v>24</v>
      </c>
      <c r="M3506">
        <v>2.67</v>
      </c>
      <c r="N3506">
        <v>3.07</v>
      </c>
      <c r="O3506">
        <v>0</v>
      </c>
      <c r="P3506">
        <v>6</v>
      </c>
      <c r="Q3506" t="s">
        <v>567</v>
      </c>
      <c r="R3506" s="8" t="s">
        <v>260</v>
      </c>
      <c r="S3506" t="str">
        <f t="shared" si="492"/>
        <v>PA</v>
      </c>
    </row>
    <row r="3507" spans="1:19" x14ac:dyDescent="0.3">
      <c r="A3507" t="s">
        <v>8</v>
      </c>
      <c r="B3507">
        <v>2016210014</v>
      </c>
      <c r="C3507" t="s">
        <v>270</v>
      </c>
      <c r="E3507" t="s">
        <v>110</v>
      </c>
      <c r="F3507" t="s">
        <v>111</v>
      </c>
      <c r="G3507">
        <v>4</v>
      </c>
      <c r="H3507" t="s">
        <v>524</v>
      </c>
      <c r="I3507" s="4">
        <f t="shared" si="493"/>
        <v>2</v>
      </c>
      <c r="J3507">
        <f t="shared" si="494"/>
        <v>8</v>
      </c>
      <c r="K3507">
        <v>54</v>
      </c>
      <c r="L3507">
        <v>20</v>
      </c>
      <c r="M3507" s="2">
        <v>2.7</v>
      </c>
      <c r="N3507">
        <v>3.07</v>
      </c>
      <c r="O3507">
        <v>0</v>
      </c>
      <c r="P3507">
        <v>1</v>
      </c>
      <c r="Q3507" t="s">
        <v>558</v>
      </c>
      <c r="R3507" s="8" t="s">
        <v>260</v>
      </c>
      <c r="S3507" t="str">
        <f t="shared" si="492"/>
        <v>PA</v>
      </c>
    </row>
    <row r="3508" spans="1:19" x14ac:dyDescent="0.3">
      <c r="A3508" t="s">
        <v>8</v>
      </c>
      <c r="B3508">
        <v>2016210014</v>
      </c>
      <c r="C3508" t="s">
        <v>270</v>
      </c>
      <c r="E3508" t="s">
        <v>125</v>
      </c>
      <c r="F3508" t="s">
        <v>126</v>
      </c>
      <c r="G3508">
        <v>4</v>
      </c>
      <c r="H3508" t="s">
        <v>535</v>
      </c>
      <c r="I3508" s="4">
        <f t="shared" si="493"/>
        <v>1</v>
      </c>
      <c r="J3508">
        <f t="shared" si="494"/>
        <v>4</v>
      </c>
      <c r="K3508">
        <v>52</v>
      </c>
      <c r="L3508">
        <v>10</v>
      </c>
      <c r="M3508" s="2">
        <v>2.6</v>
      </c>
      <c r="N3508">
        <v>3.07</v>
      </c>
      <c r="O3508">
        <v>0</v>
      </c>
      <c r="P3508">
        <v>2</v>
      </c>
      <c r="Q3508" t="s">
        <v>559</v>
      </c>
      <c r="R3508" s="8" t="s">
        <v>260</v>
      </c>
      <c r="S3508" t="str">
        <f t="shared" si="492"/>
        <v>FA</v>
      </c>
    </row>
    <row r="3509" spans="1:19" x14ac:dyDescent="0.3">
      <c r="A3509" t="s">
        <v>8</v>
      </c>
      <c r="B3509">
        <v>2016210014</v>
      </c>
      <c r="C3509" t="s">
        <v>270</v>
      </c>
      <c r="E3509" t="s">
        <v>44</v>
      </c>
      <c r="F3509" t="s">
        <v>45</v>
      </c>
      <c r="G3509">
        <v>2</v>
      </c>
      <c r="H3509" t="s">
        <v>535</v>
      </c>
      <c r="I3509" s="4">
        <f t="shared" si="493"/>
        <v>1</v>
      </c>
      <c r="J3509">
        <f t="shared" si="494"/>
        <v>2</v>
      </c>
      <c r="K3509">
        <v>52</v>
      </c>
      <c r="L3509">
        <v>10</v>
      </c>
      <c r="M3509" s="2">
        <v>2.6</v>
      </c>
      <c r="N3509">
        <v>3.07</v>
      </c>
      <c r="O3509">
        <v>0</v>
      </c>
      <c r="P3509">
        <v>2</v>
      </c>
      <c r="Q3509" t="s">
        <v>559</v>
      </c>
      <c r="R3509" s="8" t="s">
        <v>260</v>
      </c>
      <c r="S3509" t="str">
        <f t="shared" si="492"/>
        <v>FA</v>
      </c>
    </row>
    <row r="3510" spans="1:19" x14ac:dyDescent="0.3">
      <c r="A3510" t="s">
        <v>8</v>
      </c>
      <c r="B3510">
        <v>2016210014</v>
      </c>
      <c r="C3510" t="s">
        <v>270</v>
      </c>
      <c r="E3510" t="s">
        <v>395</v>
      </c>
      <c r="F3510" t="s">
        <v>396</v>
      </c>
      <c r="G3510">
        <v>2</v>
      </c>
      <c r="H3510" t="s">
        <v>535</v>
      </c>
      <c r="I3510" s="4">
        <f t="shared" si="493"/>
        <v>1</v>
      </c>
      <c r="J3510">
        <f t="shared" si="494"/>
        <v>2</v>
      </c>
      <c r="K3510">
        <v>54</v>
      </c>
      <c r="L3510">
        <v>20</v>
      </c>
      <c r="M3510" s="2">
        <v>2.7</v>
      </c>
      <c r="N3510">
        <v>3.07</v>
      </c>
      <c r="O3510">
        <v>0</v>
      </c>
      <c r="P3510">
        <v>1</v>
      </c>
      <c r="Q3510" t="s">
        <v>558</v>
      </c>
      <c r="R3510" s="8" t="s">
        <v>260</v>
      </c>
      <c r="S3510" t="str">
        <f t="shared" si="492"/>
        <v>FA</v>
      </c>
    </row>
    <row r="3511" spans="1:19" x14ac:dyDescent="0.3">
      <c r="A3511" t="s">
        <v>8</v>
      </c>
      <c r="B3511">
        <v>2016210014</v>
      </c>
      <c r="C3511" t="s">
        <v>270</v>
      </c>
      <c r="E3511" t="s">
        <v>401</v>
      </c>
      <c r="F3511" t="s">
        <v>258</v>
      </c>
      <c r="G3511">
        <v>4</v>
      </c>
      <c r="H3511" t="s">
        <v>535</v>
      </c>
      <c r="I3511" s="4">
        <f t="shared" si="493"/>
        <v>1</v>
      </c>
      <c r="J3511">
        <f t="shared" si="494"/>
        <v>4</v>
      </c>
      <c r="K3511">
        <v>48</v>
      </c>
      <c r="L3511">
        <v>20</v>
      </c>
      <c r="M3511" s="2">
        <v>2.4</v>
      </c>
      <c r="N3511">
        <v>3.07</v>
      </c>
      <c r="O3511">
        <v>0</v>
      </c>
      <c r="P3511">
        <v>3</v>
      </c>
      <c r="Q3511" t="s">
        <v>563</v>
      </c>
      <c r="R3511" s="8" t="s">
        <v>260</v>
      </c>
      <c r="S3511" t="str">
        <f t="shared" si="492"/>
        <v>FA</v>
      </c>
    </row>
    <row r="3512" spans="1:19" x14ac:dyDescent="0.3">
      <c r="A3512" t="s">
        <v>8</v>
      </c>
      <c r="B3512">
        <v>2016210014</v>
      </c>
      <c r="C3512" t="s">
        <v>270</v>
      </c>
      <c r="E3512" t="s">
        <v>110</v>
      </c>
      <c r="F3512" t="s">
        <v>111</v>
      </c>
      <c r="G3512">
        <v>4</v>
      </c>
      <c r="H3512" t="s">
        <v>438</v>
      </c>
      <c r="I3512" s="4">
        <f t="shared" si="493"/>
        <v>3</v>
      </c>
      <c r="J3512">
        <f t="shared" si="494"/>
        <v>12</v>
      </c>
      <c r="K3512">
        <v>56</v>
      </c>
      <c r="L3512">
        <v>18</v>
      </c>
      <c r="M3512">
        <v>3.11</v>
      </c>
      <c r="N3512">
        <v>3.07</v>
      </c>
      <c r="O3512">
        <v>1</v>
      </c>
      <c r="P3512">
        <v>6</v>
      </c>
      <c r="Q3512" t="s">
        <v>572</v>
      </c>
      <c r="R3512" s="8" t="s">
        <v>260</v>
      </c>
      <c r="S3512" t="str">
        <f t="shared" si="492"/>
        <v>PA</v>
      </c>
    </row>
    <row r="3513" spans="1:19" x14ac:dyDescent="0.3">
      <c r="A3513" t="s">
        <v>8</v>
      </c>
      <c r="B3513">
        <v>2016210014</v>
      </c>
      <c r="C3513" t="s">
        <v>270</v>
      </c>
      <c r="E3513" t="s">
        <v>125</v>
      </c>
      <c r="F3513" t="s">
        <v>126</v>
      </c>
      <c r="G3513">
        <v>4</v>
      </c>
      <c r="H3513" t="s">
        <v>438</v>
      </c>
      <c r="I3513" s="4">
        <f t="shared" si="493"/>
        <v>3</v>
      </c>
      <c r="J3513">
        <f t="shared" si="494"/>
        <v>12</v>
      </c>
      <c r="K3513">
        <v>56</v>
      </c>
      <c r="L3513">
        <v>18</v>
      </c>
      <c r="M3513">
        <v>3.11</v>
      </c>
      <c r="N3513">
        <v>3.07</v>
      </c>
      <c r="O3513">
        <v>1</v>
      </c>
      <c r="P3513">
        <v>6</v>
      </c>
      <c r="Q3513" t="s">
        <v>572</v>
      </c>
      <c r="R3513" s="8" t="s">
        <v>260</v>
      </c>
      <c r="S3513" t="str">
        <f t="shared" ref="S3513:S3570" si="495">IF(OR(H3513="A",H3513="B",H3513="C"),"PA","FA")</f>
        <v>PA</v>
      </c>
    </row>
    <row r="3514" spans="1:19" x14ac:dyDescent="0.3">
      <c r="A3514" t="s">
        <v>8</v>
      </c>
      <c r="B3514">
        <v>2016210014</v>
      </c>
      <c r="C3514" t="s">
        <v>270</v>
      </c>
      <c r="E3514" t="s">
        <v>44</v>
      </c>
      <c r="F3514" t="s">
        <v>45</v>
      </c>
      <c r="G3514">
        <v>2</v>
      </c>
      <c r="H3514" t="s">
        <v>260</v>
      </c>
      <c r="I3514" s="4">
        <f t="shared" ref="I3514:I3570" si="496">IF(H3514="A",4,IF(H3514="B",3,IF(H3514="C",2,IF(H3514="D",1,0))))</f>
        <v>4</v>
      </c>
      <c r="J3514">
        <f t="shared" ref="J3514:J3570" si="497">G3514*I3514</f>
        <v>8</v>
      </c>
      <c r="K3514">
        <v>56</v>
      </c>
      <c r="L3514">
        <v>18</v>
      </c>
      <c r="M3514">
        <v>3.11</v>
      </c>
      <c r="N3514">
        <v>3.07</v>
      </c>
      <c r="O3514">
        <v>1</v>
      </c>
      <c r="P3514">
        <v>6</v>
      </c>
      <c r="Q3514" t="s">
        <v>572</v>
      </c>
      <c r="R3514" s="8" t="s">
        <v>260</v>
      </c>
      <c r="S3514" t="str">
        <f t="shared" si="495"/>
        <v>PA</v>
      </c>
    </row>
    <row r="3515" spans="1:19" x14ac:dyDescent="0.3">
      <c r="A3515" t="s">
        <v>8</v>
      </c>
      <c r="B3515">
        <v>2016210014</v>
      </c>
      <c r="C3515" t="s">
        <v>270</v>
      </c>
      <c r="E3515" t="s">
        <v>395</v>
      </c>
      <c r="F3515" t="s">
        <v>396</v>
      </c>
      <c r="G3515">
        <v>2</v>
      </c>
      <c r="H3515" t="s">
        <v>438</v>
      </c>
      <c r="I3515" s="4">
        <f t="shared" si="496"/>
        <v>3</v>
      </c>
      <c r="J3515">
        <f t="shared" si="497"/>
        <v>6</v>
      </c>
      <c r="K3515">
        <v>56</v>
      </c>
      <c r="L3515">
        <v>18</v>
      </c>
      <c r="M3515">
        <v>3.11</v>
      </c>
      <c r="N3515">
        <v>3.07</v>
      </c>
      <c r="O3515">
        <v>1</v>
      </c>
      <c r="P3515">
        <v>6</v>
      </c>
      <c r="Q3515" t="s">
        <v>572</v>
      </c>
      <c r="R3515" s="8" t="s">
        <v>260</v>
      </c>
      <c r="S3515" t="str">
        <f t="shared" si="495"/>
        <v>PA</v>
      </c>
    </row>
    <row r="3516" spans="1:19" x14ac:dyDescent="0.3">
      <c r="A3516" t="s">
        <v>8</v>
      </c>
      <c r="B3516">
        <v>2016210014</v>
      </c>
      <c r="C3516" t="s">
        <v>270</v>
      </c>
      <c r="E3516" t="s">
        <v>401</v>
      </c>
      <c r="F3516" t="s">
        <v>258</v>
      </c>
      <c r="G3516">
        <v>4</v>
      </c>
      <c r="H3516" t="s">
        <v>438</v>
      </c>
      <c r="I3516" s="4">
        <f t="shared" si="496"/>
        <v>3</v>
      </c>
      <c r="J3516">
        <f t="shared" si="497"/>
        <v>12</v>
      </c>
      <c r="K3516">
        <v>56</v>
      </c>
      <c r="L3516">
        <v>18</v>
      </c>
      <c r="M3516">
        <v>3.11</v>
      </c>
      <c r="N3516">
        <v>3.07</v>
      </c>
      <c r="O3516">
        <v>1</v>
      </c>
      <c r="P3516">
        <v>6</v>
      </c>
      <c r="Q3516" t="s">
        <v>572</v>
      </c>
      <c r="R3516" s="8" t="s">
        <v>260</v>
      </c>
      <c r="S3516" t="str">
        <f t="shared" si="495"/>
        <v>PA</v>
      </c>
    </row>
    <row r="3517" spans="1:19" x14ac:dyDescent="0.3">
      <c r="A3517" t="s">
        <v>8</v>
      </c>
      <c r="B3517">
        <v>2016210015</v>
      </c>
      <c r="C3517" t="s">
        <v>354</v>
      </c>
      <c r="E3517" t="s">
        <v>117</v>
      </c>
      <c r="F3517" t="s">
        <v>118</v>
      </c>
      <c r="G3517">
        <v>2</v>
      </c>
      <c r="H3517" t="s">
        <v>260</v>
      </c>
      <c r="I3517" s="4">
        <f t="shared" si="496"/>
        <v>4</v>
      </c>
      <c r="J3517">
        <f t="shared" si="497"/>
        <v>8</v>
      </c>
      <c r="K3517">
        <v>60</v>
      </c>
      <c r="L3517">
        <v>20</v>
      </c>
      <c r="M3517" s="2">
        <v>3</v>
      </c>
      <c r="N3517">
        <v>3.05</v>
      </c>
      <c r="O3517">
        <v>0</v>
      </c>
      <c r="P3517">
        <v>2</v>
      </c>
      <c r="Q3517" t="s">
        <v>559</v>
      </c>
      <c r="R3517" s="8" t="s">
        <v>260</v>
      </c>
      <c r="S3517" t="str">
        <f t="shared" si="495"/>
        <v>PA</v>
      </c>
    </row>
    <row r="3518" spans="1:19" x14ac:dyDescent="0.3">
      <c r="A3518" t="s">
        <v>8</v>
      </c>
      <c r="B3518">
        <v>2016210015</v>
      </c>
      <c r="C3518" t="s">
        <v>354</v>
      </c>
      <c r="E3518" t="s">
        <v>246</v>
      </c>
      <c r="F3518" t="s">
        <v>247</v>
      </c>
      <c r="G3518">
        <v>4</v>
      </c>
      <c r="H3518" t="s">
        <v>260</v>
      </c>
      <c r="I3518" s="4">
        <f t="shared" si="496"/>
        <v>4</v>
      </c>
      <c r="J3518">
        <f t="shared" si="497"/>
        <v>16</v>
      </c>
      <c r="K3518">
        <v>80</v>
      </c>
      <c r="L3518">
        <v>24</v>
      </c>
      <c r="M3518">
        <v>3.33</v>
      </c>
      <c r="N3518">
        <v>3.05</v>
      </c>
      <c r="O3518">
        <v>0</v>
      </c>
      <c r="P3518">
        <v>4</v>
      </c>
      <c r="Q3518" t="s">
        <v>565</v>
      </c>
      <c r="R3518" s="8" t="s">
        <v>260</v>
      </c>
      <c r="S3518" t="str">
        <f t="shared" si="495"/>
        <v>PA</v>
      </c>
    </row>
    <row r="3519" spans="1:19" x14ac:dyDescent="0.3">
      <c r="A3519" t="s">
        <v>8</v>
      </c>
      <c r="B3519">
        <v>2016210015</v>
      </c>
      <c r="C3519" t="s">
        <v>354</v>
      </c>
      <c r="E3519" t="s">
        <v>232</v>
      </c>
      <c r="F3519" t="s">
        <v>245</v>
      </c>
      <c r="G3519">
        <v>2</v>
      </c>
      <c r="H3519" t="s">
        <v>260</v>
      </c>
      <c r="I3519" s="4">
        <f t="shared" si="496"/>
        <v>4</v>
      </c>
      <c r="J3519">
        <f t="shared" si="497"/>
        <v>8</v>
      </c>
      <c r="K3519">
        <v>60</v>
      </c>
      <c r="L3519">
        <v>20</v>
      </c>
      <c r="M3519" s="2">
        <v>3</v>
      </c>
      <c r="N3519">
        <v>3.05</v>
      </c>
      <c r="O3519">
        <v>0</v>
      </c>
      <c r="P3519">
        <v>2</v>
      </c>
      <c r="Q3519" t="s">
        <v>559</v>
      </c>
      <c r="R3519" s="8" t="s">
        <v>260</v>
      </c>
      <c r="S3519" t="str">
        <f t="shared" si="495"/>
        <v>PA</v>
      </c>
    </row>
    <row r="3520" spans="1:19" x14ac:dyDescent="0.3">
      <c r="A3520" t="s">
        <v>8</v>
      </c>
      <c r="B3520">
        <v>2016210015</v>
      </c>
      <c r="C3520" t="s">
        <v>354</v>
      </c>
      <c r="E3520" t="s">
        <v>87</v>
      </c>
      <c r="F3520" t="s">
        <v>88</v>
      </c>
      <c r="G3520">
        <v>2</v>
      </c>
      <c r="H3520" t="s">
        <v>260</v>
      </c>
      <c r="I3520" s="4">
        <f t="shared" si="496"/>
        <v>4</v>
      </c>
      <c r="J3520">
        <f t="shared" si="497"/>
        <v>8</v>
      </c>
      <c r="K3520">
        <v>80</v>
      </c>
      <c r="L3520">
        <v>24</v>
      </c>
      <c r="M3520">
        <v>3.33</v>
      </c>
      <c r="N3520">
        <v>3.05</v>
      </c>
      <c r="O3520">
        <v>0</v>
      </c>
      <c r="P3520">
        <v>4</v>
      </c>
      <c r="Q3520" t="s">
        <v>565</v>
      </c>
      <c r="R3520" s="8" t="s">
        <v>260</v>
      </c>
      <c r="S3520" t="str">
        <f t="shared" si="495"/>
        <v>PA</v>
      </c>
    </row>
    <row r="3521" spans="1:19" x14ac:dyDescent="0.3">
      <c r="A3521" t="s">
        <v>8</v>
      </c>
      <c r="B3521">
        <v>2016210015</v>
      </c>
      <c r="C3521" t="s">
        <v>354</v>
      </c>
      <c r="E3521" t="s">
        <v>77</v>
      </c>
      <c r="F3521" t="s">
        <v>78</v>
      </c>
      <c r="G3521">
        <v>2</v>
      </c>
      <c r="H3521" t="s">
        <v>260</v>
      </c>
      <c r="I3521" s="4">
        <f t="shared" si="496"/>
        <v>4</v>
      </c>
      <c r="J3521">
        <f t="shared" si="497"/>
        <v>8</v>
      </c>
      <c r="K3521">
        <v>64</v>
      </c>
      <c r="L3521">
        <v>20</v>
      </c>
      <c r="M3521" s="2">
        <v>3.2</v>
      </c>
      <c r="N3521">
        <v>3.05</v>
      </c>
      <c r="O3521">
        <v>0</v>
      </c>
      <c r="P3521">
        <v>1</v>
      </c>
      <c r="Q3521" t="s">
        <v>558</v>
      </c>
      <c r="R3521" s="8" t="s">
        <v>260</v>
      </c>
      <c r="S3521" t="str">
        <f t="shared" si="495"/>
        <v>PA</v>
      </c>
    </row>
    <row r="3522" spans="1:19" x14ac:dyDescent="0.3">
      <c r="A3522" t="s">
        <v>8</v>
      </c>
      <c r="B3522">
        <v>2016210015</v>
      </c>
      <c r="C3522" t="s">
        <v>354</v>
      </c>
      <c r="E3522" t="s">
        <v>202</v>
      </c>
      <c r="F3522" t="s">
        <v>203</v>
      </c>
      <c r="G3522">
        <v>4</v>
      </c>
      <c r="H3522" t="s">
        <v>260</v>
      </c>
      <c r="I3522" s="4">
        <f t="shared" si="496"/>
        <v>4</v>
      </c>
      <c r="J3522">
        <f t="shared" si="497"/>
        <v>16</v>
      </c>
      <c r="K3522">
        <v>64</v>
      </c>
      <c r="L3522">
        <v>20</v>
      </c>
      <c r="M3522" s="2">
        <v>3.2</v>
      </c>
      <c r="N3522">
        <v>3.05</v>
      </c>
      <c r="O3522">
        <v>0</v>
      </c>
      <c r="P3522">
        <v>1</v>
      </c>
      <c r="Q3522" t="s">
        <v>558</v>
      </c>
      <c r="R3522" s="8" t="s">
        <v>260</v>
      </c>
      <c r="S3522" t="str">
        <f t="shared" si="495"/>
        <v>PA</v>
      </c>
    </row>
    <row r="3523" spans="1:19" x14ac:dyDescent="0.3">
      <c r="A3523" t="s">
        <v>8</v>
      </c>
      <c r="B3523">
        <v>2016210015</v>
      </c>
      <c r="C3523" t="s">
        <v>354</v>
      </c>
      <c r="E3523" t="s">
        <v>131</v>
      </c>
      <c r="F3523" t="s">
        <v>132</v>
      </c>
      <c r="G3523">
        <v>2</v>
      </c>
      <c r="H3523" t="s">
        <v>260</v>
      </c>
      <c r="I3523" s="4">
        <f t="shared" si="496"/>
        <v>4</v>
      </c>
      <c r="J3523">
        <f t="shared" si="497"/>
        <v>8</v>
      </c>
      <c r="K3523">
        <v>64</v>
      </c>
      <c r="L3523">
        <v>20</v>
      </c>
      <c r="M3523" s="2">
        <v>3.2</v>
      </c>
      <c r="N3523">
        <v>3.05</v>
      </c>
      <c r="O3523">
        <v>0</v>
      </c>
      <c r="P3523">
        <v>1</v>
      </c>
      <c r="Q3523" t="s">
        <v>558</v>
      </c>
      <c r="R3523" s="8" t="s">
        <v>260</v>
      </c>
      <c r="S3523" t="str">
        <f t="shared" si="495"/>
        <v>PA</v>
      </c>
    </row>
    <row r="3524" spans="1:19" x14ac:dyDescent="0.3">
      <c r="A3524" t="s">
        <v>8</v>
      </c>
      <c r="B3524">
        <v>2016210015</v>
      </c>
      <c r="C3524" t="s">
        <v>354</v>
      </c>
      <c r="E3524" t="s">
        <v>185</v>
      </c>
      <c r="F3524" t="s">
        <v>186</v>
      </c>
      <c r="G3524">
        <v>4</v>
      </c>
      <c r="H3524" t="s">
        <v>260</v>
      </c>
      <c r="I3524" s="4">
        <f t="shared" si="496"/>
        <v>4</v>
      </c>
      <c r="J3524">
        <f t="shared" si="497"/>
        <v>16</v>
      </c>
      <c r="K3524">
        <v>72</v>
      </c>
      <c r="L3524">
        <v>24</v>
      </c>
      <c r="M3524" s="2">
        <v>3</v>
      </c>
      <c r="N3524">
        <v>3.05</v>
      </c>
      <c r="O3524">
        <v>0</v>
      </c>
      <c r="P3524">
        <v>5</v>
      </c>
      <c r="Q3524" t="s">
        <v>566</v>
      </c>
      <c r="R3524" s="8" t="s">
        <v>260</v>
      </c>
      <c r="S3524" t="str">
        <f t="shared" si="495"/>
        <v>PA</v>
      </c>
    </row>
    <row r="3525" spans="1:19" x14ac:dyDescent="0.3">
      <c r="A3525" t="s">
        <v>8</v>
      </c>
      <c r="B3525">
        <v>2016210015</v>
      </c>
      <c r="C3525" t="s">
        <v>354</v>
      </c>
      <c r="E3525" t="s">
        <v>242</v>
      </c>
      <c r="F3525" t="s">
        <v>166</v>
      </c>
      <c r="G3525">
        <v>2</v>
      </c>
      <c r="H3525" t="s">
        <v>260</v>
      </c>
      <c r="I3525" s="4">
        <f t="shared" si="496"/>
        <v>4</v>
      </c>
      <c r="J3525">
        <f t="shared" si="497"/>
        <v>8</v>
      </c>
      <c r="K3525">
        <v>80</v>
      </c>
      <c r="L3525">
        <v>24</v>
      </c>
      <c r="M3525">
        <v>3.33</v>
      </c>
      <c r="N3525">
        <v>3.05</v>
      </c>
      <c r="O3525">
        <v>0</v>
      </c>
      <c r="P3525">
        <v>4</v>
      </c>
      <c r="Q3525" t="s">
        <v>565</v>
      </c>
      <c r="R3525" s="8" t="s">
        <v>260</v>
      </c>
      <c r="S3525" t="str">
        <f t="shared" si="495"/>
        <v>PA</v>
      </c>
    </row>
    <row r="3526" spans="1:19" x14ac:dyDescent="0.3">
      <c r="A3526" t="s">
        <v>8</v>
      </c>
      <c r="B3526">
        <v>2016210015</v>
      </c>
      <c r="C3526" t="s">
        <v>354</v>
      </c>
      <c r="E3526" t="s">
        <v>266</v>
      </c>
      <c r="F3526" t="s">
        <v>91</v>
      </c>
      <c r="G3526">
        <v>2</v>
      </c>
      <c r="H3526" t="s">
        <v>260</v>
      </c>
      <c r="I3526" s="4">
        <f t="shared" si="496"/>
        <v>4</v>
      </c>
      <c r="J3526">
        <f t="shared" si="497"/>
        <v>8</v>
      </c>
      <c r="K3526">
        <v>60</v>
      </c>
      <c r="L3526">
        <v>20</v>
      </c>
      <c r="M3526" s="2">
        <v>3</v>
      </c>
      <c r="N3526">
        <v>3.05</v>
      </c>
      <c r="O3526">
        <v>0</v>
      </c>
      <c r="P3526">
        <v>2</v>
      </c>
      <c r="Q3526" t="s">
        <v>559</v>
      </c>
      <c r="R3526" s="8" t="s">
        <v>260</v>
      </c>
      <c r="S3526" t="str">
        <f t="shared" si="495"/>
        <v>PA</v>
      </c>
    </row>
    <row r="3527" spans="1:19" x14ac:dyDescent="0.3">
      <c r="A3527" t="s">
        <v>8</v>
      </c>
      <c r="B3527">
        <v>2016210015</v>
      </c>
      <c r="C3527" t="s">
        <v>354</v>
      </c>
      <c r="E3527" t="s">
        <v>180</v>
      </c>
      <c r="F3527" t="s">
        <v>181</v>
      </c>
      <c r="G3527">
        <v>4</v>
      </c>
      <c r="H3527" t="s">
        <v>260</v>
      </c>
      <c r="I3527" s="4">
        <f t="shared" si="496"/>
        <v>4</v>
      </c>
      <c r="J3527">
        <f t="shared" si="497"/>
        <v>16</v>
      </c>
      <c r="K3527">
        <v>80</v>
      </c>
      <c r="L3527">
        <v>24</v>
      </c>
      <c r="M3527">
        <v>3.33</v>
      </c>
      <c r="N3527">
        <v>3.05</v>
      </c>
      <c r="O3527">
        <v>0</v>
      </c>
      <c r="P3527">
        <v>4</v>
      </c>
      <c r="Q3527" t="s">
        <v>565</v>
      </c>
      <c r="R3527" s="8" t="s">
        <v>260</v>
      </c>
      <c r="S3527" t="str">
        <f t="shared" si="495"/>
        <v>PA</v>
      </c>
    </row>
    <row r="3528" spans="1:19" x14ac:dyDescent="0.3">
      <c r="A3528" t="s">
        <v>8</v>
      </c>
      <c r="B3528">
        <v>2016210015</v>
      </c>
      <c r="C3528" t="s">
        <v>354</v>
      </c>
      <c r="E3528" t="s">
        <v>597</v>
      </c>
      <c r="F3528" t="s">
        <v>275</v>
      </c>
      <c r="G3528">
        <v>2</v>
      </c>
      <c r="H3528" t="s">
        <v>260</v>
      </c>
      <c r="I3528" s="4">
        <f t="shared" si="496"/>
        <v>4</v>
      </c>
      <c r="J3528">
        <f t="shared" si="497"/>
        <v>8</v>
      </c>
      <c r="K3528">
        <v>56</v>
      </c>
      <c r="L3528">
        <v>20</v>
      </c>
      <c r="M3528" s="2">
        <v>2.8</v>
      </c>
      <c r="N3528">
        <v>3.05</v>
      </c>
      <c r="O3528">
        <v>0</v>
      </c>
      <c r="P3528">
        <v>6</v>
      </c>
      <c r="Q3528" t="s">
        <v>567</v>
      </c>
      <c r="R3528" s="8" t="s">
        <v>260</v>
      </c>
      <c r="S3528" t="str">
        <f t="shared" si="495"/>
        <v>PA</v>
      </c>
    </row>
    <row r="3529" spans="1:19" x14ac:dyDescent="0.3">
      <c r="A3529" t="s">
        <v>8</v>
      </c>
      <c r="B3529">
        <v>2016210015</v>
      </c>
      <c r="C3529" t="s">
        <v>354</v>
      </c>
      <c r="E3529" t="s">
        <v>163</v>
      </c>
      <c r="F3529" t="s">
        <v>164</v>
      </c>
      <c r="G3529">
        <v>2</v>
      </c>
      <c r="H3529" t="s">
        <v>438</v>
      </c>
      <c r="I3529" s="4">
        <f t="shared" si="496"/>
        <v>3</v>
      </c>
      <c r="J3529">
        <f t="shared" si="497"/>
        <v>6</v>
      </c>
      <c r="K3529">
        <v>64</v>
      </c>
      <c r="L3529">
        <v>20</v>
      </c>
      <c r="M3529" s="2">
        <v>3.2</v>
      </c>
      <c r="N3529">
        <v>3.05</v>
      </c>
      <c r="O3529">
        <v>0</v>
      </c>
      <c r="P3529">
        <v>1</v>
      </c>
      <c r="Q3529" t="s">
        <v>558</v>
      </c>
      <c r="R3529" s="8" t="s">
        <v>260</v>
      </c>
      <c r="S3529" t="str">
        <f t="shared" si="495"/>
        <v>PA</v>
      </c>
    </row>
    <row r="3530" spans="1:19" x14ac:dyDescent="0.3">
      <c r="A3530" t="s">
        <v>8</v>
      </c>
      <c r="B3530">
        <v>2016210015</v>
      </c>
      <c r="C3530" t="s">
        <v>354</v>
      </c>
      <c r="E3530" t="s">
        <v>391</v>
      </c>
      <c r="F3530" t="s">
        <v>392</v>
      </c>
      <c r="G3530">
        <v>2</v>
      </c>
      <c r="H3530" t="s">
        <v>438</v>
      </c>
      <c r="I3530" s="4">
        <f t="shared" si="496"/>
        <v>3</v>
      </c>
      <c r="J3530">
        <f t="shared" si="497"/>
        <v>6</v>
      </c>
      <c r="K3530">
        <v>72</v>
      </c>
      <c r="L3530">
        <v>24</v>
      </c>
      <c r="M3530" s="2">
        <v>3</v>
      </c>
      <c r="N3530">
        <v>3.05</v>
      </c>
      <c r="O3530">
        <v>0</v>
      </c>
      <c r="P3530">
        <v>5</v>
      </c>
      <c r="Q3530" t="s">
        <v>566</v>
      </c>
      <c r="R3530" s="8" t="s">
        <v>260</v>
      </c>
      <c r="S3530" t="str">
        <f t="shared" si="495"/>
        <v>PA</v>
      </c>
    </row>
    <row r="3531" spans="1:19" x14ac:dyDescent="0.3">
      <c r="A3531" t="s">
        <v>8</v>
      </c>
      <c r="B3531">
        <v>2016210015</v>
      </c>
      <c r="C3531" t="s">
        <v>354</v>
      </c>
      <c r="E3531" t="s">
        <v>93</v>
      </c>
      <c r="F3531" t="s">
        <v>94</v>
      </c>
      <c r="G3531">
        <v>4</v>
      </c>
      <c r="H3531" t="s">
        <v>438</v>
      </c>
      <c r="I3531" s="4">
        <f t="shared" si="496"/>
        <v>3</v>
      </c>
      <c r="J3531">
        <f t="shared" si="497"/>
        <v>12</v>
      </c>
      <c r="K3531">
        <v>62</v>
      </c>
      <c r="L3531">
        <v>24</v>
      </c>
      <c r="M3531">
        <v>2.58</v>
      </c>
      <c r="N3531">
        <v>3.05</v>
      </c>
      <c r="O3531">
        <v>0</v>
      </c>
      <c r="P3531">
        <v>5</v>
      </c>
      <c r="Q3531" t="s">
        <v>563</v>
      </c>
      <c r="R3531" s="8" t="s">
        <v>260</v>
      </c>
      <c r="S3531" t="str">
        <f t="shared" si="495"/>
        <v>PA</v>
      </c>
    </row>
    <row r="3532" spans="1:19" x14ac:dyDescent="0.3">
      <c r="A3532" t="s">
        <v>8</v>
      </c>
      <c r="B3532">
        <v>2016210015</v>
      </c>
      <c r="C3532" t="s">
        <v>354</v>
      </c>
      <c r="E3532" t="s">
        <v>147</v>
      </c>
      <c r="F3532" t="s">
        <v>148</v>
      </c>
      <c r="G3532">
        <v>4</v>
      </c>
      <c r="H3532" t="s">
        <v>438</v>
      </c>
      <c r="I3532" s="4">
        <f t="shared" si="496"/>
        <v>3</v>
      </c>
      <c r="J3532">
        <f t="shared" si="497"/>
        <v>12</v>
      </c>
      <c r="K3532">
        <v>64</v>
      </c>
      <c r="L3532">
        <v>20</v>
      </c>
      <c r="M3532" s="2">
        <v>3.2</v>
      </c>
      <c r="N3532">
        <v>3.05</v>
      </c>
      <c r="O3532">
        <v>0</v>
      </c>
      <c r="P3532">
        <v>1</v>
      </c>
      <c r="Q3532" t="s">
        <v>558</v>
      </c>
      <c r="R3532" s="8" t="s">
        <v>260</v>
      </c>
      <c r="S3532" t="str">
        <f t="shared" si="495"/>
        <v>PA</v>
      </c>
    </row>
    <row r="3533" spans="1:19" x14ac:dyDescent="0.3">
      <c r="A3533" t="s">
        <v>8</v>
      </c>
      <c r="B3533">
        <v>2016210015</v>
      </c>
      <c r="C3533" t="s">
        <v>354</v>
      </c>
      <c r="E3533" t="s">
        <v>407</v>
      </c>
      <c r="F3533" t="s">
        <v>312</v>
      </c>
      <c r="G3533">
        <v>2</v>
      </c>
      <c r="H3533" t="s">
        <v>438</v>
      </c>
      <c r="I3533" s="4">
        <f t="shared" si="496"/>
        <v>3</v>
      </c>
      <c r="J3533">
        <f t="shared" si="497"/>
        <v>6</v>
      </c>
      <c r="K3533">
        <v>72</v>
      </c>
      <c r="L3533">
        <v>24</v>
      </c>
      <c r="M3533" s="2">
        <v>3</v>
      </c>
      <c r="N3533">
        <v>3.05</v>
      </c>
      <c r="O3533">
        <v>0</v>
      </c>
      <c r="P3533">
        <v>5</v>
      </c>
      <c r="Q3533" t="s">
        <v>566</v>
      </c>
      <c r="R3533" s="8" t="s">
        <v>260</v>
      </c>
      <c r="S3533" t="str">
        <f t="shared" si="495"/>
        <v>PA</v>
      </c>
    </row>
    <row r="3534" spans="1:19" x14ac:dyDescent="0.3">
      <c r="A3534" t="s">
        <v>8</v>
      </c>
      <c r="B3534">
        <v>2016210015</v>
      </c>
      <c r="C3534" t="s">
        <v>354</v>
      </c>
      <c r="E3534" t="s">
        <v>393</v>
      </c>
      <c r="F3534" t="s">
        <v>436</v>
      </c>
      <c r="G3534">
        <v>2</v>
      </c>
      <c r="H3534" t="s">
        <v>438</v>
      </c>
      <c r="I3534" s="4">
        <f t="shared" si="496"/>
        <v>3</v>
      </c>
      <c r="J3534">
        <f t="shared" si="497"/>
        <v>6</v>
      </c>
      <c r="K3534">
        <v>72</v>
      </c>
      <c r="L3534">
        <v>24</v>
      </c>
      <c r="M3534" s="2">
        <v>3</v>
      </c>
      <c r="N3534">
        <v>3.05</v>
      </c>
      <c r="O3534">
        <v>0</v>
      </c>
      <c r="P3534">
        <v>5</v>
      </c>
      <c r="Q3534" t="s">
        <v>566</v>
      </c>
      <c r="R3534" s="8" t="s">
        <v>260</v>
      </c>
      <c r="S3534" t="str">
        <f t="shared" si="495"/>
        <v>PA</v>
      </c>
    </row>
    <row r="3535" spans="1:19" x14ac:dyDescent="0.3">
      <c r="A3535" t="s">
        <v>8</v>
      </c>
      <c r="B3535">
        <v>2016210015</v>
      </c>
      <c r="C3535" t="s">
        <v>354</v>
      </c>
      <c r="E3535" t="s">
        <v>253</v>
      </c>
      <c r="F3535" t="s">
        <v>254</v>
      </c>
      <c r="G3535">
        <v>2</v>
      </c>
      <c r="H3535" t="s">
        <v>438</v>
      </c>
      <c r="I3535" s="4">
        <f t="shared" si="496"/>
        <v>3</v>
      </c>
      <c r="J3535">
        <f t="shared" si="497"/>
        <v>6</v>
      </c>
      <c r="K3535">
        <v>80</v>
      </c>
      <c r="L3535">
        <v>24</v>
      </c>
      <c r="M3535">
        <v>3.33</v>
      </c>
      <c r="N3535">
        <v>3.05</v>
      </c>
      <c r="O3535">
        <v>0</v>
      </c>
      <c r="P3535">
        <v>4</v>
      </c>
      <c r="Q3535" t="s">
        <v>565</v>
      </c>
      <c r="R3535" s="8" t="s">
        <v>260</v>
      </c>
      <c r="S3535" t="str">
        <f t="shared" si="495"/>
        <v>PA</v>
      </c>
    </row>
    <row r="3536" spans="1:19" x14ac:dyDescent="0.3">
      <c r="A3536" t="s">
        <v>8</v>
      </c>
      <c r="B3536">
        <v>2016210015</v>
      </c>
      <c r="C3536" t="s">
        <v>354</v>
      </c>
      <c r="E3536" t="s">
        <v>216</v>
      </c>
      <c r="F3536" t="s">
        <v>217</v>
      </c>
      <c r="G3536">
        <v>2</v>
      </c>
      <c r="H3536" t="s">
        <v>438</v>
      </c>
      <c r="I3536" s="4">
        <f t="shared" si="496"/>
        <v>3</v>
      </c>
      <c r="J3536">
        <f t="shared" si="497"/>
        <v>6</v>
      </c>
      <c r="K3536">
        <v>80</v>
      </c>
      <c r="L3536">
        <v>24</v>
      </c>
      <c r="M3536">
        <v>3.33</v>
      </c>
      <c r="N3536">
        <v>3.05</v>
      </c>
      <c r="O3536">
        <v>0</v>
      </c>
      <c r="P3536">
        <v>4</v>
      </c>
      <c r="Q3536" t="s">
        <v>565</v>
      </c>
      <c r="R3536" s="8" t="s">
        <v>260</v>
      </c>
      <c r="S3536" t="str">
        <f t="shared" si="495"/>
        <v>PA</v>
      </c>
    </row>
    <row r="3537" spans="1:19" x14ac:dyDescent="0.3">
      <c r="A3537" t="s">
        <v>8</v>
      </c>
      <c r="B3537">
        <v>2016210015</v>
      </c>
      <c r="C3537" t="s">
        <v>354</v>
      </c>
      <c r="E3537" t="s">
        <v>119</v>
      </c>
      <c r="F3537" t="s">
        <v>120</v>
      </c>
      <c r="G3537">
        <v>2</v>
      </c>
      <c r="H3537" t="s">
        <v>438</v>
      </c>
      <c r="I3537" s="4">
        <f t="shared" si="496"/>
        <v>3</v>
      </c>
      <c r="J3537">
        <f t="shared" si="497"/>
        <v>6</v>
      </c>
      <c r="K3537">
        <v>56</v>
      </c>
      <c r="L3537">
        <v>20</v>
      </c>
      <c r="M3537" s="2">
        <v>2.8</v>
      </c>
      <c r="N3537">
        <v>3.05</v>
      </c>
      <c r="O3537">
        <v>0</v>
      </c>
      <c r="P3537">
        <v>6</v>
      </c>
      <c r="Q3537" t="s">
        <v>567</v>
      </c>
      <c r="R3537" s="8" t="s">
        <v>260</v>
      </c>
      <c r="S3537" t="str">
        <f t="shared" si="495"/>
        <v>PA</v>
      </c>
    </row>
    <row r="3538" spans="1:19" x14ac:dyDescent="0.3">
      <c r="A3538" t="s">
        <v>8</v>
      </c>
      <c r="B3538">
        <v>2016210015</v>
      </c>
      <c r="C3538" t="s">
        <v>354</v>
      </c>
      <c r="E3538" t="s">
        <v>105</v>
      </c>
      <c r="F3538" t="s">
        <v>106</v>
      </c>
      <c r="G3538">
        <v>2</v>
      </c>
      <c r="H3538" t="s">
        <v>438</v>
      </c>
      <c r="I3538" s="4">
        <f t="shared" si="496"/>
        <v>3</v>
      </c>
      <c r="J3538">
        <f t="shared" si="497"/>
        <v>6</v>
      </c>
      <c r="K3538">
        <v>62</v>
      </c>
      <c r="L3538">
        <v>24</v>
      </c>
      <c r="M3538">
        <v>2.58</v>
      </c>
      <c r="N3538">
        <v>3.05</v>
      </c>
      <c r="O3538">
        <v>0</v>
      </c>
      <c r="P3538">
        <v>5</v>
      </c>
      <c r="Q3538" t="s">
        <v>563</v>
      </c>
      <c r="R3538" s="8" t="s">
        <v>260</v>
      </c>
      <c r="S3538" t="str">
        <f t="shared" si="495"/>
        <v>PA</v>
      </c>
    </row>
    <row r="3539" spans="1:19" x14ac:dyDescent="0.3">
      <c r="A3539" t="s">
        <v>8</v>
      </c>
      <c r="B3539">
        <v>2016210015</v>
      </c>
      <c r="C3539" t="s">
        <v>354</v>
      </c>
      <c r="E3539" t="s">
        <v>362</v>
      </c>
      <c r="F3539" t="s">
        <v>501</v>
      </c>
      <c r="G3539">
        <v>2</v>
      </c>
      <c r="H3539" t="s">
        <v>438</v>
      </c>
      <c r="I3539" s="4">
        <f t="shared" si="496"/>
        <v>3</v>
      </c>
      <c r="J3539">
        <f t="shared" si="497"/>
        <v>6</v>
      </c>
      <c r="K3539">
        <v>40</v>
      </c>
      <c r="L3539">
        <v>14</v>
      </c>
      <c r="M3539">
        <v>2.86</v>
      </c>
      <c r="N3539">
        <v>3.05</v>
      </c>
      <c r="O3539">
        <v>0</v>
      </c>
      <c r="P3539">
        <v>7</v>
      </c>
      <c r="Q3539" t="s">
        <v>568</v>
      </c>
      <c r="R3539" t="s">
        <v>596</v>
      </c>
      <c r="S3539" t="str">
        <f t="shared" si="495"/>
        <v>PA</v>
      </c>
    </row>
    <row r="3540" spans="1:19" x14ac:dyDescent="0.3">
      <c r="A3540" t="s">
        <v>8</v>
      </c>
      <c r="B3540">
        <v>2016210015</v>
      </c>
      <c r="C3540" t="s">
        <v>354</v>
      </c>
      <c r="E3540" t="s">
        <v>176</v>
      </c>
      <c r="F3540" t="s">
        <v>177</v>
      </c>
      <c r="G3540">
        <v>4</v>
      </c>
      <c r="H3540" t="s">
        <v>438</v>
      </c>
      <c r="I3540" s="4">
        <f t="shared" si="496"/>
        <v>3</v>
      </c>
      <c r="J3540">
        <f t="shared" si="497"/>
        <v>12</v>
      </c>
      <c r="K3540">
        <v>72</v>
      </c>
      <c r="L3540">
        <v>24</v>
      </c>
      <c r="M3540" s="2">
        <v>3</v>
      </c>
      <c r="N3540">
        <v>3.05</v>
      </c>
      <c r="O3540">
        <v>0</v>
      </c>
      <c r="P3540">
        <v>5</v>
      </c>
      <c r="Q3540" t="s">
        <v>566</v>
      </c>
      <c r="R3540" s="8" t="s">
        <v>260</v>
      </c>
      <c r="S3540" t="str">
        <f t="shared" si="495"/>
        <v>PA</v>
      </c>
    </row>
    <row r="3541" spans="1:19" x14ac:dyDescent="0.3">
      <c r="A3541" t="s">
        <v>8</v>
      </c>
      <c r="B3541">
        <v>2016210015</v>
      </c>
      <c r="C3541" t="s">
        <v>354</v>
      </c>
      <c r="E3541" t="s">
        <v>157</v>
      </c>
      <c r="F3541" t="s">
        <v>158</v>
      </c>
      <c r="G3541">
        <v>2</v>
      </c>
      <c r="H3541" t="s">
        <v>438</v>
      </c>
      <c r="I3541" s="4">
        <f t="shared" si="496"/>
        <v>3</v>
      </c>
      <c r="J3541">
        <f t="shared" si="497"/>
        <v>6</v>
      </c>
      <c r="K3541">
        <v>62</v>
      </c>
      <c r="L3541">
        <v>24</v>
      </c>
      <c r="M3541">
        <v>2.58</v>
      </c>
      <c r="N3541">
        <v>3.05</v>
      </c>
      <c r="O3541">
        <v>0</v>
      </c>
      <c r="P3541">
        <v>5</v>
      </c>
      <c r="Q3541" t="s">
        <v>563</v>
      </c>
      <c r="R3541" s="8" t="s">
        <v>260</v>
      </c>
      <c r="S3541" t="str">
        <f t="shared" si="495"/>
        <v>PA</v>
      </c>
    </row>
    <row r="3542" spans="1:19" x14ac:dyDescent="0.3">
      <c r="A3542" t="s">
        <v>8</v>
      </c>
      <c r="B3542">
        <v>2016210015</v>
      </c>
      <c r="C3542" t="s">
        <v>354</v>
      </c>
      <c r="E3542" t="s">
        <v>193</v>
      </c>
      <c r="F3542" t="s">
        <v>194</v>
      </c>
      <c r="G3542">
        <v>4</v>
      </c>
      <c r="H3542" t="s">
        <v>438</v>
      </c>
      <c r="I3542" s="4">
        <f t="shared" si="496"/>
        <v>3</v>
      </c>
      <c r="J3542">
        <f t="shared" si="497"/>
        <v>12</v>
      </c>
      <c r="K3542">
        <v>40</v>
      </c>
      <c r="L3542">
        <v>14</v>
      </c>
      <c r="M3542">
        <v>2.86</v>
      </c>
      <c r="N3542">
        <v>3.05</v>
      </c>
      <c r="O3542">
        <v>0</v>
      </c>
      <c r="P3542">
        <v>7</v>
      </c>
      <c r="Q3542" t="s">
        <v>568</v>
      </c>
      <c r="R3542" t="s">
        <v>596</v>
      </c>
      <c r="S3542" t="str">
        <f t="shared" si="495"/>
        <v>PA</v>
      </c>
    </row>
    <row r="3543" spans="1:19" x14ac:dyDescent="0.3">
      <c r="A3543" t="s">
        <v>8</v>
      </c>
      <c r="B3543">
        <v>2016210015</v>
      </c>
      <c r="C3543" t="s">
        <v>354</v>
      </c>
      <c r="E3543" t="s">
        <v>352</v>
      </c>
      <c r="F3543" t="s">
        <v>353</v>
      </c>
      <c r="G3543">
        <v>2</v>
      </c>
      <c r="H3543" t="s">
        <v>438</v>
      </c>
      <c r="I3543" s="4">
        <f t="shared" si="496"/>
        <v>3</v>
      </c>
      <c r="J3543">
        <f t="shared" si="497"/>
        <v>6</v>
      </c>
      <c r="K3543">
        <v>72</v>
      </c>
      <c r="L3543">
        <v>24</v>
      </c>
      <c r="M3543" s="2">
        <v>3</v>
      </c>
      <c r="N3543">
        <v>3.05</v>
      </c>
      <c r="O3543">
        <v>0</v>
      </c>
      <c r="P3543">
        <v>5</v>
      </c>
      <c r="Q3543" t="s">
        <v>566</v>
      </c>
      <c r="R3543" s="8" t="s">
        <v>260</v>
      </c>
      <c r="S3543" t="str">
        <f t="shared" si="495"/>
        <v>PA</v>
      </c>
    </row>
    <row r="3544" spans="1:19" x14ac:dyDescent="0.3">
      <c r="A3544" t="s">
        <v>8</v>
      </c>
      <c r="B3544">
        <v>2016210015</v>
      </c>
      <c r="C3544" t="s">
        <v>354</v>
      </c>
      <c r="E3544" t="s">
        <v>295</v>
      </c>
      <c r="F3544" t="s">
        <v>296</v>
      </c>
      <c r="G3544">
        <v>2</v>
      </c>
      <c r="H3544" t="s">
        <v>438</v>
      </c>
      <c r="I3544" s="4">
        <f t="shared" si="496"/>
        <v>3</v>
      </c>
      <c r="J3544">
        <f t="shared" si="497"/>
        <v>6</v>
      </c>
      <c r="K3544">
        <v>62</v>
      </c>
      <c r="L3544">
        <v>24</v>
      </c>
      <c r="M3544">
        <v>2.58</v>
      </c>
      <c r="N3544">
        <v>3.05</v>
      </c>
      <c r="O3544">
        <v>0</v>
      </c>
      <c r="P3544">
        <v>5</v>
      </c>
      <c r="Q3544" t="s">
        <v>563</v>
      </c>
      <c r="R3544" s="8" t="s">
        <v>260</v>
      </c>
      <c r="S3544" t="str">
        <f t="shared" si="495"/>
        <v>PA</v>
      </c>
    </row>
    <row r="3545" spans="1:19" x14ac:dyDescent="0.3">
      <c r="A3545" t="s">
        <v>8</v>
      </c>
      <c r="B3545">
        <v>2016210015</v>
      </c>
      <c r="C3545" t="s">
        <v>354</v>
      </c>
      <c r="E3545" t="s">
        <v>213</v>
      </c>
      <c r="F3545" t="s">
        <v>214</v>
      </c>
      <c r="G3545">
        <v>4</v>
      </c>
      <c r="H3545" t="s">
        <v>438</v>
      </c>
      <c r="I3545" s="4">
        <f t="shared" si="496"/>
        <v>3</v>
      </c>
      <c r="J3545">
        <f t="shared" si="497"/>
        <v>12</v>
      </c>
      <c r="K3545">
        <v>72</v>
      </c>
      <c r="L3545">
        <v>24</v>
      </c>
      <c r="M3545" s="2">
        <v>3</v>
      </c>
      <c r="N3545">
        <v>3.05</v>
      </c>
      <c r="O3545">
        <v>0</v>
      </c>
      <c r="P3545">
        <v>5</v>
      </c>
      <c r="Q3545" t="s">
        <v>566</v>
      </c>
      <c r="R3545" s="8" t="s">
        <v>260</v>
      </c>
      <c r="S3545" t="str">
        <f t="shared" si="495"/>
        <v>PA</v>
      </c>
    </row>
    <row r="3546" spans="1:19" x14ac:dyDescent="0.3">
      <c r="A3546" t="s">
        <v>8</v>
      </c>
      <c r="B3546">
        <v>2016210015</v>
      </c>
      <c r="C3546" t="s">
        <v>354</v>
      </c>
      <c r="E3546" t="s">
        <v>115</v>
      </c>
      <c r="F3546" t="s">
        <v>116</v>
      </c>
      <c r="G3546">
        <v>4</v>
      </c>
      <c r="H3546" t="s">
        <v>438</v>
      </c>
      <c r="I3546" s="4">
        <f t="shared" si="496"/>
        <v>3</v>
      </c>
      <c r="J3546">
        <f t="shared" si="497"/>
        <v>12</v>
      </c>
      <c r="K3546">
        <v>60</v>
      </c>
      <c r="L3546">
        <v>20</v>
      </c>
      <c r="M3546" s="2">
        <v>3</v>
      </c>
      <c r="N3546">
        <v>3.05</v>
      </c>
      <c r="O3546">
        <v>0</v>
      </c>
      <c r="P3546">
        <v>2</v>
      </c>
      <c r="Q3546" t="s">
        <v>559</v>
      </c>
      <c r="R3546" s="8" t="s">
        <v>260</v>
      </c>
      <c r="S3546" t="str">
        <f t="shared" si="495"/>
        <v>PA</v>
      </c>
    </row>
    <row r="3547" spans="1:19" x14ac:dyDescent="0.3">
      <c r="A3547" t="s">
        <v>8</v>
      </c>
      <c r="B3547">
        <v>2016210015</v>
      </c>
      <c r="C3547" t="s">
        <v>354</v>
      </c>
      <c r="E3547" t="s">
        <v>17</v>
      </c>
      <c r="F3547" t="s">
        <v>11</v>
      </c>
      <c r="G3547">
        <v>2</v>
      </c>
      <c r="H3547" t="s">
        <v>438</v>
      </c>
      <c r="I3547" s="4">
        <f t="shared" si="496"/>
        <v>3</v>
      </c>
      <c r="J3547">
        <f t="shared" si="497"/>
        <v>6</v>
      </c>
      <c r="K3547">
        <v>56</v>
      </c>
      <c r="L3547">
        <v>20</v>
      </c>
      <c r="M3547" s="2">
        <v>2.8</v>
      </c>
      <c r="N3547">
        <v>3.05</v>
      </c>
      <c r="O3547">
        <v>0</v>
      </c>
      <c r="P3547">
        <v>6</v>
      </c>
      <c r="Q3547" t="s">
        <v>567</v>
      </c>
      <c r="R3547" s="8" t="s">
        <v>260</v>
      </c>
      <c r="S3547" t="str">
        <f t="shared" si="495"/>
        <v>PA</v>
      </c>
    </row>
    <row r="3548" spans="1:19" x14ac:dyDescent="0.3">
      <c r="A3548" t="s">
        <v>8</v>
      </c>
      <c r="B3548">
        <v>2016210015</v>
      </c>
      <c r="C3548" t="s">
        <v>354</v>
      </c>
      <c r="E3548" t="s">
        <v>279</v>
      </c>
      <c r="F3548" t="s">
        <v>280</v>
      </c>
      <c r="G3548">
        <v>2</v>
      </c>
      <c r="H3548" t="s">
        <v>438</v>
      </c>
      <c r="I3548" s="4">
        <f t="shared" si="496"/>
        <v>3</v>
      </c>
      <c r="J3548">
        <f t="shared" si="497"/>
        <v>6</v>
      </c>
      <c r="K3548">
        <v>60</v>
      </c>
      <c r="L3548">
        <v>20</v>
      </c>
      <c r="M3548" s="2">
        <v>3</v>
      </c>
      <c r="N3548">
        <v>3.05</v>
      </c>
      <c r="O3548">
        <v>0</v>
      </c>
      <c r="P3548">
        <v>2</v>
      </c>
      <c r="Q3548" t="s">
        <v>559</v>
      </c>
      <c r="R3548" s="8" t="s">
        <v>260</v>
      </c>
      <c r="S3548" t="str">
        <f t="shared" si="495"/>
        <v>PA</v>
      </c>
    </row>
    <row r="3549" spans="1:19" x14ac:dyDescent="0.3">
      <c r="A3549" t="s">
        <v>8</v>
      </c>
      <c r="B3549">
        <v>2016210015</v>
      </c>
      <c r="C3549" t="s">
        <v>354</v>
      </c>
      <c r="E3549" t="s">
        <v>355</v>
      </c>
      <c r="F3549" t="s">
        <v>274</v>
      </c>
      <c r="G3549">
        <v>2</v>
      </c>
      <c r="H3549" t="s">
        <v>438</v>
      </c>
      <c r="I3549" s="4">
        <f t="shared" si="496"/>
        <v>3</v>
      </c>
      <c r="J3549">
        <f t="shared" si="497"/>
        <v>6</v>
      </c>
      <c r="K3549">
        <v>80</v>
      </c>
      <c r="L3549">
        <v>24</v>
      </c>
      <c r="M3549">
        <v>3.33</v>
      </c>
      <c r="N3549">
        <v>3.05</v>
      </c>
      <c r="O3549">
        <v>0</v>
      </c>
      <c r="P3549">
        <v>4</v>
      </c>
      <c r="Q3549" t="s">
        <v>565</v>
      </c>
      <c r="R3549" s="8" t="s">
        <v>260</v>
      </c>
      <c r="S3549" t="str">
        <f t="shared" si="495"/>
        <v>PA</v>
      </c>
    </row>
    <row r="3550" spans="1:19" x14ac:dyDescent="0.3">
      <c r="A3550" t="s">
        <v>8</v>
      </c>
      <c r="B3550">
        <v>2016210015</v>
      </c>
      <c r="C3550" t="s">
        <v>354</v>
      </c>
      <c r="E3550" t="s">
        <v>22</v>
      </c>
      <c r="F3550" t="s">
        <v>23</v>
      </c>
      <c r="G3550">
        <v>2</v>
      </c>
      <c r="H3550" t="s">
        <v>438</v>
      </c>
      <c r="I3550" s="4">
        <f t="shared" si="496"/>
        <v>3</v>
      </c>
      <c r="J3550">
        <f t="shared" si="497"/>
        <v>6</v>
      </c>
      <c r="K3550">
        <v>60</v>
      </c>
      <c r="L3550">
        <v>20</v>
      </c>
      <c r="M3550" s="2">
        <v>3</v>
      </c>
      <c r="N3550">
        <v>3.05</v>
      </c>
      <c r="O3550">
        <v>0</v>
      </c>
      <c r="P3550">
        <v>2</v>
      </c>
      <c r="Q3550" t="s">
        <v>559</v>
      </c>
      <c r="R3550" s="8" t="s">
        <v>260</v>
      </c>
      <c r="S3550" t="str">
        <f t="shared" si="495"/>
        <v>PA</v>
      </c>
    </row>
    <row r="3551" spans="1:19" x14ac:dyDescent="0.3">
      <c r="A3551" t="s">
        <v>8</v>
      </c>
      <c r="B3551">
        <v>2016210015</v>
      </c>
      <c r="C3551" t="s">
        <v>354</v>
      </c>
      <c r="E3551" t="s">
        <v>80</v>
      </c>
      <c r="F3551" t="s">
        <v>81</v>
      </c>
      <c r="G3551">
        <v>4</v>
      </c>
      <c r="H3551" t="s">
        <v>438</v>
      </c>
      <c r="I3551" s="4">
        <f t="shared" si="496"/>
        <v>3</v>
      </c>
      <c r="J3551">
        <f t="shared" si="497"/>
        <v>12</v>
      </c>
      <c r="K3551">
        <v>56</v>
      </c>
      <c r="L3551">
        <v>20</v>
      </c>
      <c r="M3551" s="2">
        <v>2.8</v>
      </c>
      <c r="N3551">
        <v>3.05</v>
      </c>
      <c r="O3551">
        <v>0</v>
      </c>
      <c r="P3551">
        <v>6</v>
      </c>
      <c r="Q3551" t="s">
        <v>567</v>
      </c>
      <c r="R3551" s="8" t="s">
        <v>260</v>
      </c>
      <c r="S3551" t="str">
        <f t="shared" si="495"/>
        <v>PA</v>
      </c>
    </row>
    <row r="3552" spans="1:19" x14ac:dyDescent="0.3">
      <c r="A3552" t="s">
        <v>8</v>
      </c>
      <c r="B3552">
        <v>2016210015</v>
      </c>
      <c r="C3552" t="s">
        <v>354</v>
      </c>
      <c r="E3552" t="s">
        <v>112</v>
      </c>
      <c r="F3552" t="s">
        <v>113</v>
      </c>
      <c r="G3552">
        <v>4</v>
      </c>
      <c r="H3552" t="s">
        <v>438</v>
      </c>
      <c r="I3552" s="4">
        <f t="shared" si="496"/>
        <v>3</v>
      </c>
      <c r="J3552">
        <f t="shared" si="497"/>
        <v>12</v>
      </c>
      <c r="K3552">
        <v>62</v>
      </c>
      <c r="L3552">
        <v>24</v>
      </c>
      <c r="M3552">
        <v>2.58</v>
      </c>
      <c r="N3552">
        <v>3.05</v>
      </c>
      <c r="O3552">
        <v>0</v>
      </c>
      <c r="P3552">
        <v>5</v>
      </c>
      <c r="Q3552" t="s">
        <v>563</v>
      </c>
      <c r="R3552" s="8" t="s">
        <v>260</v>
      </c>
      <c r="S3552" t="str">
        <f t="shared" si="495"/>
        <v>PA</v>
      </c>
    </row>
    <row r="3553" spans="1:19" x14ac:dyDescent="0.3">
      <c r="A3553" t="s">
        <v>8</v>
      </c>
      <c r="B3553">
        <v>2016210015</v>
      </c>
      <c r="C3553" t="s">
        <v>354</v>
      </c>
      <c r="E3553" t="s">
        <v>238</v>
      </c>
      <c r="F3553" t="s">
        <v>239</v>
      </c>
      <c r="G3553">
        <v>4</v>
      </c>
      <c r="H3553" t="s">
        <v>438</v>
      </c>
      <c r="I3553" s="4">
        <f t="shared" si="496"/>
        <v>3</v>
      </c>
      <c r="J3553">
        <f t="shared" si="497"/>
        <v>12</v>
      </c>
      <c r="K3553">
        <v>56</v>
      </c>
      <c r="L3553">
        <v>20</v>
      </c>
      <c r="M3553" s="2">
        <v>2.8</v>
      </c>
      <c r="N3553">
        <v>3.05</v>
      </c>
      <c r="O3553">
        <v>0</v>
      </c>
      <c r="P3553">
        <v>6</v>
      </c>
      <c r="Q3553" t="s">
        <v>567</v>
      </c>
      <c r="R3553" s="8" t="s">
        <v>260</v>
      </c>
      <c r="S3553" t="str">
        <f t="shared" si="495"/>
        <v>PA</v>
      </c>
    </row>
    <row r="3554" spans="1:19" x14ac:dyDescent="0.3">
      <c r="A3554" t="s">
        <v>8</v>
      </c>
      <c r="B3554">
        <v>2016210015</v>
      </c>
      <c r="C3554" t="s">
        <v>354</v>
      </c>
      <c r="E3554" t="s">
        <v>369</v>
      </c>
      <c r="F3554" t="s">
        <v>307</v>
      </c>
      <c r="G3554">
        <v>2</v>
      </c>
      <c r="H3554" t="s">
        <v>438</v>
      </c>
      <c r="I3554" s="4">
        <f t="shared" si="496"/>
        <v>3</v>
      </c>
      <c r="J3554">
        <f t="shared" si="497"/>
        <v>6</v>
      </c>
      <c r="K3554">
        <v>80</v>
      </c>
      <c r="L3554">
        <v>24</v>
      </c>
      <c r="M3554">
        <v>3.33</v>
      </c>
      <c r="N3554">
        <v>3.05</v>
      </c>
      <c r="O3554">
        <v>0</v>
      </c>
      <c r="P3554">
        <v>4</v>
      </c>
      <c r="Q3554" t="s">
        <v>565</v>
      </c>
      <c r="R3554" s="8" t="s">
        <v>260</v>
      </c>
      <c r="S3554" t="str">
        <f t="shared" si="495"/>
        <v>PA</v>
      </c>
    </row>
    <row r="3555" spans="1:19" x14ac:dyDescent="0.3">
      <c r="A3555" t="s">
        <v>8</v>
      </c>
      <c r="B3555">
        <v>2016210015</v>
      </c>
      <c r="C3555" t="s">
        <v>354</v>
      </c>
      <c r="E3555" t="s">
        <v>395</v>
      </c>
      <c r="F3555" t="s">
        <v>396</v>
      </c>
      <c r="G3555">
        <v>2</v>
      </c>
      <c r="H3555" t="s">
        <v>438</v>
      </c>
      <c r="I3555" s="4">
        <f t="shared" si="496"/>
        <v>3</v>
      </c>
      <c r="J3555">
        <f t="shared" si="497"/>
        <v>6</v>
      </c>
      <c r="K3555">
        <v>64</v>
      </c>
      <c r="L3555">
        <v>20</v>
      </c>
      <c r="M3555" s="2">
        <v>3.2</v>
      </c>
      <c r="N3555">
        <v>3.05</v>
      </c>
      <c r="O3555">
        <v>0</v>
      </c>
      <c r="P3555">
        <v>1</v>
      </c>
      <c r="Q3555" t="s">
        <v>558</v>
      </c>
      <c r="R3555" s="8" t="s">
        <v>260</v>
      </c>
      <c r="S3555" t="str">
        <f t="shared" si="495"/>
        <v>PA</v>
      </c>
    </row>
    <row r="3556" spans="1:19" x14ac:dyDescent="0.3">
      <c r="A3556" t="s">
        <v>8</v>
      </c>
      <c r="B3556">
        <v>2016210015</v>
      </c>
      <c r="C3556" t="s">
        <v>354</v>
      </c>
      <c r="E3556" t="s">
        <v>227</v>
      </c>
      <c r="F3556" t="s">
        <v>228</v>
      </c>
      <c r="G3556">
        <v>2</v>
      </c>
      <c r="H3556" t="s">
        <v>438</v>
      </c>
      <c r="I3556" s="4">
        <f t="shared" si="496"/>
        <v>3</v>
      </c>
      <c r="J3556">
        <f t="shared" si="497"/>
        <v>6</v>
      </c>
      <c r="K3556">
        <v>62</v>
      </c>
      <c r="L3556">
        <v>24</v>
      </c>
      <c r="M3556">
        <v>2.58</v>
      </c>
      <c r="N3556">
        <v>3.05</v>
      </c>
      <c r="O3556">
        <v>0</v>
      </c>
      <c r="P3556">
        <v>5</v>
      </c>
      <c r="Q3556" t="s">
        <v>563</v>
      </c>
      <c r="R3556" s="8" t="s">
        <v>260</v>
      </c>
      <c r="S3556" t="str">
        <f t="shared" si="495"/>
        <v>PA</v>
      </c>
    </row>
    <row r="3557" spans="1:19" x14ac:dyDescent="0.3">
      <c r="A3557" t="s">
        <v>8</v>
      </c>
      <c r="B3557">
        <v>2016210015</v>
      </c>
      <c r="C3557" t="s">
        <v>354</v>
      </c>
      <c r="E3557" t="s">
        <v>19</v>
      </c>
      <c r="F3557" t="s">
        <v>20</v>
      </c>
      <c r="G3557">
        <v>6</v>
      </c>
      <c r="H3557" t="s">
        <v>438</v>
      </c>
      <c r="I3557" s="4">
        <f t="shared" si="496"/>
        <v>3</v>
      </c>
      <c r="J3557">
        <f t="shared" si="497"/>
        <v>18</v>
      </c>
      <c r="K3557">
        <v>40</v>
      </c>
      <c r="L3557">
        <v>14</v>
      </c>
      <c r="M3557">
        <v>2.86</v>
      </c>
      <c r="N3557">
        <v>3.05</v>
      </c>
      <c r="O3557">
        <v>0</v>
      </c>
      <c r="P3557">
        <v>7</v>
      </c>
      <c r="Q3557" t="s">
        <v>568</v>
      </c>
      <c r="R3557" t="s">
        <v>596</v>
      </c>
      <c r="S3557" t="str">
        <f t="shared" si="495"/>
        <v>PA</v>
      </c>
    </row>
    <row r="3558" spans="1:19" x14ac:dyDescent="0.3">
      <c r="A3558" t="s">
        <v>8</v>
      </c>
      <c r="B3558">
        <v>2016210015</v>
      </c>
      <c r="C3558" t="s">
        <v>354</v>
      </c>
      <c r="E3558" t="s">
        <v>219</v>
      </c>
      <c r="F3558" t="s">
        <v>220</v>
      </c>
      <c r="G3558">
        <v>2</v>
      </c>
      <c r="H3558" t="s">
        <v>524</v>
      </c>
      <c r="I3558" s="4">
        <f t="shared" si="496"/>
        <v>2</v>
      </c>
      <c r="J3558">
        <f t="shared" si="497"/>
        <v>4</v>
      </c>
      <c r="K3558">
        <v>62</v>
      </c>
      <c r="L3558">
        <v>24</v>
      </c>
      <c r="M3558">
        <v>2.58</v>
      </c>
      <c r="N3558">
        <v>3.05</v>
      </c>
      <c r="O3558">
        <v>0</v>
      </c>
      <c r="P3558">
        <v>5</v>
      </c>
      <c r="Q3558" t="s">
        <v>563</v>
      </c>
      <c r="R3558" s="8" t="s">
        <v>260</v>
      </c>
      <c r="S3558" t="str">
        <f t="shared" si="495"/>
        <v>PA</v>
      </c>
    </row>
    <row r="3559" spans="1:19" x14ac:dyDescent="0.3">
      <c r="A3559" t="s">
        <v>8</v>
      </c>
      <c r="B3559">
        <v>2016210015</v>
      </c>
      <c r="C3559" t="s">
        <v>354</v>
      </c>
      <c r="E3559" t="s">
        <v>44</v>
      </c>
      <c r="F3559" t="s">
        <v>45</v>
      </c>
      <c r="G3559">
        <v>2</v>
      </c>
      <c r="H3559" t="s">
        <v>524</v>
      </c>
      <c r="I3559" s="4">
        <f t="shared" si="496"/>
        <v>2</v>
      </c>
      <c r="J3559">
        <f t="shared" si="497"/>
        <v>4</v>
      </c>
      <c r="K3559">
        <v>60</v>
      </c>
      <c r="L3559">
        <v>20</v>
      </c>
      <c r="M3559" s="2">
        <v>3</v>
      </c>
      <c r="N3559">
        <v>3.05</v>
      </c>
      <c r="O3559">
        <v>0</v>
      </c>
      <c r="P3559">
        <v>2</v>
      </c>
      <c r="Q3559" t="s">
        <v>559</v>
      </c>
      <c r="R3559" s="8" t="s">
        <v>260</v>
      </c>
      <c r="S3559" t="str">
        <f t="shared" si="495"/>
        <v>PA</v>
      </c>
    </row>
    <row r="3560" spans="1:19" x14ac:dyDescent="0.3">
      <c r="A3560" t="s">
        <v>8</v>
      </c>
      <c r="B3560">
        <v>2016210015</v>
      </c>
      <c r="C3560" t="s">
        <v>354</v>
      </c>
      <c r="E3560" t="s">
        <v>136</v>
      </c>
      <c r="F3560" t="s">
        <v>137</v>
      </c>
      <c r="G3560">
        <v>4</v>
      </c>
      <c r="H3560" t="s">
        <v>524</v>
      </c>
      <c r="I3560" s="4">
        <f t="shared" si="496"/>
        <v>2</v>
      </c>
      <c r="J3560">
        <f t="shared" si="497"/>
        <v>8</v>
      </c>
      <c r="K3560">
        <v>56</v>
      </c>
      <c r="L3560">
        <v>20</v>
      </c>
      <c r="M3560" s="2">
        <v>2.8</v>
      </c>
      <c r="N3560">
        <v>3.05</v>
      </c>
      <c r="O3560">
        <v>0</v>
      </c>
      <c r="P3560">
        <v>6</v>
      </c>
      <c r="Q3560" t="s">
        <v>567</v>
      </c>
      <c r="R3560" s="8" t="s">
        <v>260</v>
      </c>
      <c r="S3560" t="str">
        <f t="shared" si="495"/>
        <v>PA</v>
      </c>
    </row>
    <row r="3561" spans="1:19" x14ac:dyDescent="0.3">
      <c r="A3561" t="s">
        <v>8</v>
      </c>
      <c r="B3561">
        <v>2016210015</v>
      </c>
      <c r="C3561" t="s">
        <v>354</v>
      </c>
      <c r="E3561" t="s">
        <v>125</v>
      </c>
      <c r="F3561" t="s">
        <v>126</v>
      </c>
      <c r="G3561">
        <v>4</v>
      </c>
      <c r="H3561" t="s">
        <v>524</v>
      </c>
      <c r="I3561" s="4">
        <f t="shared" si="496"/>
        <v>2</v>
      </c>
      <c r="J3561">
        <f t="shared" si="497"/>
        <v>8</v>
      </c>
      <c r="K3561">
        <v>60</v>
      </c>
      <c r="L3561">
        <v>20</v>
      </c>
      <c r="M3561" s="2">
        <v>3</v>
      </c>
      <c r="N3561">
        <v>3.05</v>
      </c>
      <c r="O3561">
        <v>0</v>
      </c>
      <c r="P3561">
        <v>2</v>
      </c>
      <c r="Q3561" t="s">
        <v>559</v>
      </c>
      <c r="R3561" s="8" t="s">
        <v>260</v>
      </c>
      <c r="S3561" t="str">
        <f t="shared" si="495"/>
        <v>PA</v>
      </c>
    </row>
    <row r="3562" spans="1:19" x14ac:dyDescent="0.3">
      <c r="A3562" t="s">
        <v>8</v>
      </c>
      <c r="B3562">
        <v>2016210015</v>
      </c>
      <c r="C3562" t="s">
        <v>354</v>
      </c>
      <c r="E3562" t="s">
        <v>107</v>
      </c>
      <c r="F3562" t="s">
        <v>108</v>
      </c>
      <c r="G3562">
        <v>2</v>
      </c>
      <c r="H3562" t="s">
        <v>524</v>
      </c>
      <c r="I3562" s="4">
        <f t="shared" si="496"/>
        <v>2</v>
      </c>
      <c r="J3562">
        <f t="shared" si="497"/>
        <v>4</v>
      </c>
      <c r="K3562">
        <v>56</v>
      </c>
      <c r="L3562">
        <v>20</v>
      </c>
      <c r="M3562" s="2">
        <v>2.8</v>
      </c>
      <c r="N3562">
        <v>3.05</v>
      </c>
      <c r="O3562">
        <v>0</v>
      </c>
      <c r="P3562">
        <v>6</v>
      </c>
      <c r="Q3562" t="s">
        <v>567</v>
      </c>
      <c r="R3562" s="8" t="s">
        <v>260</v>
      </c>
      <c r="S3562" t="str">
        <f t="shared" si="495"/>
        <v>PA</v>
      </c>
    </row>
    <row r="3563" spans="1:19" x14ac:dyDescent="0.3">
      <c r="A3563" t="s">
        <v>8</v>
      </c>
      <c r="B3563">
        <v>2016210015</v>
      </c>
      <c r="C3563" t="s">
        <v>354</v>
      </c>
      <c r="E3563" t="s">
        <v>449</v>
      </c>
      <c r="F3563" t="s">
        <v>460</v>
      </c>
      <c r="G3563">
        <v>4</v>
      </c>
      <c r="H3563" t="s">
        <v>524</v>
      </c>
      <c r="I3563" s="4">
        <f t="shared" si="496"/>
        <v>2</v>
      </c>
      <c r="J3563">
        <f t="shared" si="497"/>
        <v>8</v>
      </c>
      <c r="K3563">
        <v>80</v>
      </c>
      <c r="L3563">
        <v>24</v>
      </c>
      <c r="M3563">
        <v>3.33</v>
      </c>
      <c r="N3563">
        <v>3.05</v>
      </c>
      <c r="O3563">
        <v>0</v>
      </c>
      <c r="P3563">
        <v>4</v>
      </c>
      <c r="Q3563" t="s">
        <v>565</v>
      </c>
      <c r="R3563" s="8" t="s">
        <v>260</v>
      </c>
      <c r="S3563" t="str">
        <f t="shared" si="495"/>
        <v>PA</v>
      </c>
    </row>
    <row r="3564" spans="1:19" x14ac:dyDescent="0.3">
      <c r="A3564" t="s">
        <v>8</v>
      </c>
      <c r="B3564">
        <v>2016210015</v>
      </c>
      <c r="C3564" t="s">
        <v>354</v>
      </c>
      <c r="E3564" t="s">
        <v>110</v>
      </c>
      <c r="F3564" t="s">
        <v>111</v>
      </c>
      <c r="G3564">
        <v>4</v>
      </c>
      <c r="H3564" t="s">
        <v>524</v>
      </c>
      <c r="I3564" s="4">
        <f t="shared" si="496"/>
        <v>2</v>
      </c>
      <c r="J3564">
        <f t="shared" si="497"/>
        <v>8</v>
      </c>
      <c r="K3564">
        <v>64</v>
      </c>
      <c r="L3564">
        <v>20</v>
      </c>
      <c r="M3564" s="2">
        <v>3.2</v>
      </c>
      <c r="N3564">
        <v>3.05</v>
      </c>
      <c r="O3564">
        <v>0</v>
      </c>
      <c r="P3564">
        <v>1</v>
      </c>
      <c r="Q3564" t="s">
        <v>558</v>
      </c>
      <c r="R3564" s="8" t="s">
        <v>260</v>
      </c>
      <c r="S3564" t="str">
        <f t="shared" si="495"/>
        <v>PA</v>
      </c>
    </row>
    <row r="3565" spans="1:19" x14ac:dyDescent="0.3">
      <c r="A3565" t="s">
        <v>8</v>
      </c>
      <c r="B3565">
        <v>2016210015</v>
      </c>
      <c r="C3565" t="s">
        <v>354</v>
      </c>
      <c r="E3565" t="s">
        <v>401</v>
      </c>
      <c r="F3565" t="s">
        <v>258</v>
      </c>
      <c r="G3565">
        <v>4</v>
      </c>
      <c r="H3565" t="s">
        <v>524</v>
      </c>
      <c r="I3565" s="4">
        <f t="shared" si="496"/>
        <v>2</v>
      </c>
      <c r="J3565">
        <f t="shared" si="497"/>
        <v>8</v>
      </c>
      <c r="K3565">
        <v>62</v>
      </c>
      <c r="L3565">
        <v>24</v>
      </c>
      <c r="M3565">
        <v>2.58</v>
      </c>
      <c r="N3565">
        <v>3.05</v>
      </c>
      <c r="O3565">
        <v>0</v>
      </c>
      <c r="P3565">
        <v>5</v>
      </c>
      <c r="Q3565" t="s">
        <v>563</v>
      </c>
      <c r="R3565" s="8" t="s">
        <v>260</v>
      </c>
      <c r="S3565" t="str">
        <f t="shared" si="495"/>
        <v>PA</v>
      </c>
    </row>
    <row r="3566" spans="1:19" x14ac:dyDescent="0.3">
      <c r="A3566" t="s">
        <v>8</v>
      </c>
      <c r="B3566">
        <v>2016210015</v>
      </c>
      <c r="C3566" t="s">
        <v>354</v>
      </c>
      <c r="E3566" t="s">
        <v>401</v>
      </c>
      <c r="F3566" t="s">
        <v>258</v>
      </c>
      <c r="G3566">
        <v>4</v>
      </c>
      <c r="H3566" t="s">
        <v>260</v>
      </c>
      <c r="I3566" s="4">
        <f t="shared" si="496"/>
        <v>4</v>
      </c>
      <c r="J3566">
        <f t="shared" si="497"/>
        <v>16</v>
      </c>
      <c r="K3566">
        <v>22</v>
      </c>
      <c r="L3566">
        <v>6</v>
      </c>
      <c r="M3566">
        <v>3.67</v>
      </c>
      <c r="N3566">
        <v>3.05</v>
      </c>
      <c r="O3566">
        <v>1</v>
      </c>
      <c r="P3566">
        <v>6</v>
      </c>
      <c r="Q3566" t="s">
        <v>582</v>
      </c>
      <c r="R3566" s="8" t="s">
        <v>260</v>
      </c>
      <c r="S3566" t="str">
        <f t="shared" si="495"/>
        <v>PA</v>
      </c>
    </row>
    <row r="3567" spans="1:19" x14ac:dyDescent="0.3">
      <c r="A3567" t="s">
        <v>8</v>
      </c>
      <c r="B3567">
        <v>2016210015</v>
      </c>
      <c r="C3567" t="s">
        <v>354</v>
      </c>
      <c r="E3567" t="s">
        <v>318</v>
      </c>
      <c r="F3567" t="s">
        <v>319</v>
      </c>
      <c r="G3567">
        <v>2</v>
      </c>
      <c r="H3567" t="s">
        <v>524</v>
      </c>
      <c r="I3567" s="4">
        <f t="shared" si="496"/>
        <v>2</v>
      </c>
      <c r="J3567">
        <f t="shared" si="497"/>
        <v>4</v>
      </c>
      <c r="K3567">
        <v>40</v>
      </c>
      <c r="L3567">
        <v>14</v>
      </c>
      <c r="M3567">
        <v>2.86</v>
      </c>
      <c r="N3567">
        <v>3.05</v>
      </c>
      <c r="O3567">
        <v>0</v>
      </c>
      <c r="P3567">
        <v>7</v>
      </c>
      <c r="Q3567" t="s">
        <v>568</v>
      </c>
      <c r="R3567" t="s">
        <v>596</v>
      </c>
      <c r="S3567" t="str">
        <f t="shared" si="495"/>
        <v>PA</v>
      </c>
    </row>
    <row r="3568" spans="1:19" x14ac:dyDescent="0.3">
      <c r="A3568" t="s">
        <v>8</v>
      </c>
      <c r="B3568">
        <v>2016210015</v>
      </c>
      <c r="C3568" t="s">
        <v>354</v>
      </c>
      <c r="E3568" t="s">
        <v>188</v>
      </c>
      <c r="F3568" t="s">
        <v>189</v>
      </c>
      <c r="G3568">
        <v>4</v>
      </c>
      <c r="H3568" t="s">
        <v>524</v>
      </c>
      <c r="I3568" s="4">
        <f t="shared" si="496"/>
        <v>2</v>
      </c>
      <c r="J3568">
        <f t="shared" si="497"/>
        <v>8</v>
      </c>
      <c r="K3568">
        <v>72</v>
      </c>
      <c r="L3568">
        <v>24</v>
      </c>
      <c r="M3568" s="2">
        <v>3</v>
      </c>
      <c r="N3568">
        <v>3.05</v>
      </c>
      <c r="O3568">
        <v>0</v>
      </c>
      <c r="P3568">
        <v>5</v>
      </c>
      <c r="Q3568" t="s">
        <v>566</v>
      </c>
      <c r="R3568" s="8" t="s">
        <v>260</v>
      </c>
      <c r="S3568" t="str">
        <f t="shared" si="495"/>
        <v>PA</v>
      </c>
    </row>
    <row r="3569" spans="1:19" x14ac:dyDescent="0.3">
      <c r="A3569" t="s">
        <v>8</v>
      </c>
      <c r="B3569">
        <v>2016210015</v>
      </c>
      <c r="C3569" t="s">
        <v>354</v>
      </c>
      <c r="E3569" t="s">
        <v>182</v>
      </c>
      <c r="F3569" t="s">
        <v>171</v>
      </c>
      <c r="G3569">
        <v>2</v>
      </c>
      <c r="H3569" t="s">
        <v>535</v>
      </c>
      <c r="I3569" s="4">
        <f t="shared" si="496"/>
        <v>1</v>
      </c>
      <c r="J3569">
        <f t="shared" si="497"/>
        <v>2</v>
      </c>
      <c r="K3569">
        <v>62</v>
      </c>
      <c r="L3569">
        <v>24</v>
      </c>
      <c r="M3569">
        <v>2.58</v>
      </c>
      <c r="N3569">
        <v>3.05</v>
      </c>
      <c r="O3569">
        <v>0</v>
      </c>
      <c r="P3569">
        <v>5</v>
      </c>
      <c r="Q3569" t="s">
        <v>563</v>
      </c>
      <c r="R3569" s="8" t="s">
        <v>260</v>
      </c>
      <c r="S3569" t="str">
        <f t="shared" si="495"/>
        <v>FA</v>
      </c>
    </row>
    <row r="3570" spans="1:19" x14ac:dyDescent="0.3">
      <c r="A3570" t="s">
        <v>8</v>
      </c>
      <c r="B3570">
        <v>2016210015</v>
      </c>
      <c r="C3570" t="s">
        <v>354</v>
      </c>
      <c r="E3570" t="s">
        <v>182</v>
      </c>
      <c r="F3570" t="s">
        <v>171</v>
      </c>
      <c r="G3570">
        <v>2</v>
      </c>
      <c r="H3570" t="s">
        <v>438</v>
      </c>
      <c r="I3570" s="4">
        <f t="shared" si="496"/>
        <v>3</v>
      </c>
      <c r="J3570">
        <f t="shared" si="497"/>
        <v>6</v>
      </c>
      <c r="K3570">
        <v>22</v>
      </c>
      <c r="L3570">
        <v>6</v>
      </c>
      <c r="M3570">
        <v>3.67</v>
      </c>
      <c r="N3570">
        <v>3.05</v>
      </c>
      <c r="O3570">
        <v>1</v>
      </c>
      <c r="P3570">
        <v>6</v>
      </c>
      <c r="Q3570" t="s">
        <v>582</v>
      </c>
      <c r="R3570" s="8" t="s">
        <v>260</v>
      </c>
      <c r="S3570" t="str">
        <f t="shared" si="495"/>
        <v>PA</v>
      </c>
    </row>
    <row r="3571" spans="1:19" x14ac:dyDescent="0.3">
      <c r="A3571" t="s">
        <v>8</v>
      </c>
      <c r="B3571">
        <v>2016210016</v>
      </c>
      <c r="C3571" t="s">
        <v>109</v>
      </c>
      <c r="E3571" t="s">
        <v>110</v>
      </c>
      <c r="F3571" t="s">
        <v>111</v>
      </c>
      <c r="G3571">
        <v>4</v>
      </c>
      <c r="I3571" s="4"/>
      <c r="J3571">
        <f>G3571*I3571</f>
        <v>0</v>
      </c>
      <c r="K3571">
        <v>0</v>
      </c>
      <c r="L3571">
        <v>6</v>
      </c>
      <c r="M3571" s="2">
        <v>0</v>
      </c>
      <c r="N3571" s="2">
        <v>0</v>
      </c>
      <c r="O3571">
        <v>0</v>
      </c>
      <c r="P3571">
        <v>1</v>
      </c>
      <c r="Q3571" s="4" t="str">
        <f>IF(P3571=1,"2016/2017-Ganjil",IF(P3571=2,"2016/2017-Genap",IF(P3571=3,"2017/2018-Ganjil",IF(P3571=4,"2017/2018-Genap",IF(P3571=5,"2018/2019-Ganjil",IF(P3571=6,"2018/2019-Genap",IF(P3571=7,"2019/2020-Ganjil",IF(P3571=8,"2019/2020-Genap",IF(P3571=9,"2020/2021-Ganjil",IF(P3571=10,"2020/2021-Genap",IF(P3571=11,"2021/2022-Ganjil",IF(P3571=12,"2021/2022-Genap",IF(P3571=13,"2022/2023-Ganjil","2022/2023-Genap")))))))))))))</f>
        <v>2016/2017-Ganjil</v>
      </c>
      <c r="R3571" t="s">
        <v>535</v>
      </c>
      <c r="S3571" t="s">
        <v>595</v>
      </c>
    </row>
    <row r="3572" spans="1:19" x14ac:dyDescent="0.3">
      <c r="A3572" t="s">
        <v>8</v>
      </c>
      <c r="B3572">
        <v>2016210016</v>
      </c>
      <c r="C3572" t="s">
        <v>109</v>
      </c>
      <c r="E3572" t="s">
        <v>163</v>
      </c>
      <c r="F3572" t="s">
        <v>164</v>
      </c>
      <c r="G3572">
        <v>2</v>
      </c>
      <c r="I3572" s="4"/>
      <c r="J3572">
        <f t="shared" ref="J3572:J3576" si="498">G3572*I3572</f>
        <v>0</v>
      </c>
      <c r="K3572">
        <v>0</v>
      </c>
      <c r="L3572">
        <v>6</v>
      </c>
      <c r="M3572" s="2">
        <v>0</v>
      </c>
      <c r="N3572" s="2">
        <v>0</v>
      </c>
      <c r="O3572">
        <v>0</v>
      </c>
      <c r="P3572">
        <v>1</v>
      </c>
      <c r="Q3572" s="4" t="str">
        <f t="shared" ref="Q3572:Q3577" si="499">IF(P3572=1,"2016/2017-Ganjil",IF(P3572=2,"2016/2017-Genap",IF(P3572=3,"2017/2018-Ganjil",IF(P3572=4,"2017/2018-Genap",IF(P3572=5,"2018/2019-Ganjil",IF(P3572=6,"2018/2019-Genap",IF(P3572=7,"2019/2020-Ganjil",IF(P3572=8,"2019/2020-Genap",IF(P3572=9,"2020/2021-Ganjil",IF(P3572=10,"2020/2021-Genap",IF(P3572=11,"2021/2022-Ganjil",IF(P3572=12,"2021/2022-Genap",IF(P3572=13,"2022/2023-Ganjil","2022/2023-Genap")))))))))))))</f>
        <v>2016/2017-Ganjil</v>
      </c>
      <c r="R3572" t="s">
        <v>535</v>
      </c>
      <c r="S3572" t="s">
        <v>595</v>
      </c>
    </row>
    <row r="3573" spans="1:19" x14ac:dyDescent="0.3">
      <c r="A3573" t="s">
        <v>8</v>
      </c>
      <c r="B3573">
        <v>2016210016</v>
      </c>
      <c r="C3573" t="s">
        <v>109</v>
      </c>
      <c r="E3573" t="s">
        <v>131</v>
      </c>
      <c r="F3573" t="s">
        <v>132</v>
      </c>
      <c r="G3573">
        <v>2</v>
      </c>
      <c r="I3573" s="4"/>
      <c r="J3573">
        <f t="shared" si="498"/>
        <v>0</v>
      </c>
      <c r="K3573">
        <v>0</v>
      </c>
      <c r="L3573">
        <v>6</v>
      </c>
      <c r="M3573" s="2">
        <v>0</v>
      </c>
      <c r="N3573" s="2">
        <v>0</v>
      </c>
      <c r="O3573">
        <v>0</v>
      </c>
      <c r="P3573">
        <v>1</v>
      </c>
      <c r="Q3573" s="4" t="str">
        <f t="shared" si="499"/>
        <v>2016/2017-Ganjil</v>
      </c>
      <c r="R3573" t="s">
        <v>535</v>
      </c>
      <c r="S3573" t="s">
        <v>595</v>
      </c>
    </row>
    <row r="3574" spans="1:19" x14ac:dyDescent="0.3">
      <c r="A3574" t="s">
        <v>8</v>
      </c>
      <c r="B3574">
        <v>2016210016</v>
      </c>
      <c r="C3574" t="s">
        <v>109</v>
      </c>
      <c r="E3574" t="s">
        <v>77</v>
      </c>
      <c r="F3574" t="s">
        <v>78</v>
      </c>
      <c r="G3574">
        <v>2</v>
      </c>
      <c r="I3574" s="4"/>
      <c r="J3574">
        <f t="shared" si="498"/>
        <v>0</v>
      </c>
      <c r="K3574">
        <v>0</v>
      </c>
      <c r="L3574">
        <v>6</v>
      </c>
      <c r="M3574" s="2">
        <v>0</v>
      </c>
      <c r="N3574" s="2">
        <v>0</v>
      </c>
      <c r="O3574">
        <v>0</v>
      </c>
      <c r="P3574">
        <v>1</v>
      </c>
      <c r="Q3574" s="4" t="str">
        <f t="shared" si="499"/>
        <v>2016/2017-Ganjil</v>
      </c>
      <c r="R3574" t="s">
        <v>535</v>
      </c>
      <c r="S3574" t="s">
        <v>595</v>
      </c>
    </row>
    <row r="3575" spans="1:19" x14ac:dyDescent="0.3">
      <c r="A3575" t="s">
        <v>8</v>
      </c>
      <c r="B3575">
        <v>2016210016</v>
      </c>
      <c r="C3575" t="s">
        <v>109</v>
      </c>
      <c r="E3575" t="s">
        <v>147</v>
      </c>
      <c r="F3575" t="s">
        <v>148</v>
      </c>
      <c r="G3575">
        <v>4</v>
      </c>
      <c r="I3575" s="4"/>
      <c r="J3575">
        <f t="shared" si="498"/>
        <v>0</v>
      </c>
      <c r="K3575">
        <v>0</v>
      </c>
      <c r="L3575">
        <v>6</v>
      </c>
      <c r="M3575" s="2">
        <v>0</v>
      </c>
      <c r="N3575" s="2">
        <v>0</v>
      </c>
      <c r="O3575">
        <v>0</v>
      </c>
      <c r="P3575">
        <v>1</v>
      </c>
      <c r="Q3575" s="4" t="str">
        <f t="shared" si="499"/>
        <v>2016/2017-Ganjil</v>
      </c>
      <c r="R3575" t="s">
        <v>535</v>
      </c>
      <c r="S3575" t="s">
        <v>595</v>
      </c>
    </row>
    <row r="3576" spans="1:19" x14ac:dyDescent="0.3">
      <c r="A3576" t="s">
        <v>8</v>
      </c>
      <c r="B3576">
        <v>2016210016</v>
      </c>
      <c r="C3576" t="s">
        <v>109</v>
      </c>
      <c r="E3576" t="s">
        <v>395</v>
      </c>
      <c r="F3576" t="s">
        <v>396</v>
      </c>
      <c r="G3576">
        <v>2</v>
      </c>
      <c r="H3576" t="s">
        <v>539</v>
      </c>
      <c r="I3576" s="4">
        <f t="shared" ref="I3576" si="500">IF(H3576="A",4,IF(H3576="B",3,IF(H3576="C",2,IF(H3576="D",1,0))))</f>
        <v>0</v>
      </c>
      <c r="J3576">
        <f t="shared" si="498"/>
        <v>0</v>
      </c>
      <c r="K3576">
        <v>0</v>
      </c>
      <c r="L3576">
        <v>6</v>
      </c>
      <c r="M3576" s="2">
        <v>0</v>
      </c>
      <c r="N3576" s="2">
        <v>0</v>
      </c>
      <c r="O3576">
        <v>0</v>
      </c>
      <c r="P3576">
        <v>1</v>
      </c>
      <c r="Q3576" s="4" t="str">
        <f t="shared" si="499"/>
        <v>2016/2017-Ganjil</v>
      </c>
      <c r="R3576" t="s">
        <v>535</v>
      </c>
      <c r="S3576" t="str">
        <f t="shared" ref="S3576:S3639" si="501">IF(OR(H3576="A",H3576="B",H3576="C"),"PA","FA")</f>
        <v>FA</v>
      </c>
    </row>
    <row r="3577" spans="1:19" x14ac:dyDescent="0.3">
      <c r="A3577" t="s">
        <v>8</v>
      </c>
      <c r="B3577">
        <v>2016210016</v>
      </c>
      <c r="C3577" t="s">
        <v>109</v>
      </c>
      <c r="E3577" t="s">
        <v>202</v>
      </c>
      <c r="F3577" t="s">
        <v>203</v>
      </c>
      <c r="G3577">
        <v>4</v>
      </c>
      <c r="H3577" t="s">
        <v>539</v>
      </c>
      <c r="I3577" s="4">
        <f t="shared" ref="I3577:I3640" si="502">IF(H3577="A",4,IF(H3577="B",3,IF(H3577="C",2,IF(H3577="D",1,0))))</f>
        <v>0</v>
      </c>
      <c r="J3577">
        <f t="shared" ref="J3577:J3640" si="503">G3577*I3577</f>
        <v>0</v>
      </c>
      <c r="K3577">
        <v>0</v>
      </c>
      <c r="L3577">
        <v>6</v>
      </c>
      <c r="M3577" s="2">
        <v>0</v>
      </c>
      <c r="N3577" s="2">
        <v>0</v>
      </c>
      <c r="O3577">
        <v>0</v>
      </c>
      <c r="P3577">
        <v>1</v>
      </c>
      <c r="Q3577" s="4" t="str">
        <f t="shared" si="499"/>
        <v>2016/2017-Ganjil</v>
      </c>
      <c r="R3577" t="s">
        <v>535</v>
      </c>
      <c r="S3577" t="str">
        <f t="shared" si="501"/>
        <v>FA</v>
      </c>
    </row>
    <row r="3578" spans="1:19" x14ac:dyDescent="0.3">
      <c r="A3578" t="s">
        <v>8</v>
      </c>
      <c r="B3578">
        <v>2016210017</v>
      </c>
      <c r="C3578" t="s">
        <v>350</v>
      </c>
      <c r="E3578" t="s">
        <v>87</v>
      </c>
      <c r="F3578" t="s">
        <v>88</v>
      </c>
      <c r="G3578">
        <v>2</v>
      </c>
      <c r="H3578" t="s">
        <v>260</v>
      </c>
      <c r="I3578" s="4">
        <f t="shared" si="502"/>
        <v>4</v>
      </c>
      <c r="J3578">
        <f t="shared" si="503"/>
        <v>8</v>
      </c>
      <c r="K3578">
        <v>72</v>
      </c>
      <c r="L3578">
        <v>24</v>
      </c>
      <c r="M3578" s="2">
        <v>3</v>
      </c>
      <c r="N3578">
        <v>3.28</v>
      </c>
      <c r="O3578">
        <v>0</v>
      </c>
      <c r="P3578">
        <v>6</v>
      </c>
      <c r="Q3578" t="s">
        <v>567</v>
      </c>
      <c r="R3578" s="8" t="s">
        <v>260</v>
      </c>
      <c r="S3578" t="str">
        <f t="shared" si="501"/>
        <v>PA</v>
      </c>
    </row>
    <row r="3579" spans="1:19" x14ac:dyDescent="0.3">
      <c r="A3579" t="s">
        <v>8</v>
      </c>
      <c r="B3579">
        <v>2016210017</v>
      </c>
      <c r="C3579" t="s">
        <v>350</v>
      </c>
      <c r="E3579" t="s">
        <v>176</v>
      </c>
      <c r="F3579" t="s">
        <v>177</v>
      </c>
      <c r="G3579">
        <v>4</v>
      </c>
      <c r="H3579" t="s">
        <v>260</v>
      </c>
      <c r="I3579" s="4">
        <f t="shared" si="502"/>
        <v>4</v>
      </c>
      <c r="J3579">
        <f t="shared" si="503"/>
        <v>16</v>
      </c>
      <c r="K3579">
        <v>74</v>
      </c>
      <c r="L3579">
        <v>24</v>
      </c>
      <c r="M3579">
        <v>3.08</v>
      </c>
      <c r="N3579">
        <v>3.28</v>
      </c>
      <c r="O3579">
        <v>0</v>
      </c>
      <c r="P3579">
        <v>5</v>
      </c>
      <c r="Q3579" t="s">
        <v>566</v>
      </c>
      <c r="R3579" s="8" t="s">
        <v>260</v>
      </c>
      <c r="S3579" t="str">
        <f t="shared" si="501"/>
        <v>PA</v>
      </c>
    </row>
    <row r="3580" spans="1:19" x14ac:dyDescent="0.3">
      <c r="A3580" t="s">
        <v>8</v>
      </c>
      <c r="B3580">
        <v>2016210017</v>
      </c>
      <c r="C3580" t="s">
        <v>350</v>
      </c>
      <c r="E3580" t="s">
        <v>401</v>
      </c>
      <c r="F3580" t="s">
        <v>258</v>
      </c>
      <c r="G3580">
        <v>4</v>
      </c>
      <c r="H3580" t="s">
        <v>260</v>
      </c>
      <c r="I3580" s="4">
        <f t="shared" si="502"/>
        <v>4</v>
      </c>
      <c r="J3580">
        <f t="shared" si="503"/>
        <v>16</v>
      </c>
      <c r="K3580">
        <v>60</v>
      </c>
      <c r="L3580">
        <v>18</v>
      </c>
      <c r="M3580">
        <v>3.33</v>
      </c>
      <c r="N3580">
        <v>3.28</v>
      </c>
      <c r="O3580">
        <v>0</v>
      </c>
      <c r="P3580">
        <v>3</v>
      </c>
      <c r="Q3580" s="4" t="str">
        <f>IF(P3580=1,"2016/2017-Ganjil",IF(P3580=2,"2016/2017-Genap",IF(P3580=3,"2017/2018-Ganjil",IF(P3580=4,"2017/2018-Genap",IF(P3580=5,"2018/2019-Ganjil",IF(P3580=6,"2018/2019-Genap",IF(P3580=7,"2019/2020-Ganjil",IF(P3580=8,"2019/2020-Genap",IF(P3580=9,"2020/2021-Ganjil",IF(P3580=10,"2020/2021-Genap",IF(P3580=11,"2021/2022-Ganjil",IF(P3580=12,"2021/2022-Genap",IF(P3580=13,"2022/2023-Ganjil","2022/2023-Genap")))))))))))))</f>
        <v>2017/2018-Ganjil</v>
      </c>
      <c r="R3580" s="8" t="s">
        <v>260</v>
      </c>
      <c r="S3580" t="str">
        <f t="shared" si="501"/>
        <v>PA</v>
      </c>
    </row>
    <row r="3581" spans="1:19" x14ac:dyDescent="0.3">
      <c r="A3581" t="s">
        <v>8</v>
      </c>
      <c r="B3581">
        <v>2016210017</v>
      </c>
      <c r="C3581" t="s">
        <v>350</v>
      </c>
      <c r="E3581" t="s">
        <v>147</v>
      </c>
      <c r="F3581" t="s">
        <v>148</v>
      </c>
      <c r="G3581">
        <v>4</v>
      </c>
      <c r="H3581" t="s">
        <v>260</v>
      </c>
      <c r="I3581" s="4">
        <f t="shared" si="502"/>
        <v>4</v>
      </c>
      <c r="J3581">
        <f t="shared" si="503"/>
        <v>16</v>
      </c>
      <c r="K3581">
        <v>66</v>
      </c>
      <c r="L3581">
        <v>20</v>
      </c>
      <c r="M3581" s="2">
        <v>3.3</v>
      </c>
      <c r="N3581">
        <v>3.28</v>
      </c>
      <c r="O3581">
        <v>0</v>
      </c>
      <c r="P3581">
        <v>1</v>
      </c>
      <c r="Q3581" t="s">
        <v>558</v>
      </c>
      <c r="R3581" s="8" t="s">
        <v>260</v>
      </c>
      <c r="S3581" t="str">
        <f t="shared" si="501"/>
        <v>PA</v>
      </c>
    </row>
    <row r="3582" spans="1:19" x14ac:dyDescent="0.3">
      <c r="A3582" t="s">
        <v>8</v>
      </c>
      <c r="B3582">
        <v>2016210017</v>
      </c>
      <c r="C3582" t="s">
        <v>350</v>
      </c>
      <c r="E3582" t="s">
        <v>597</v>
      </c>
      <c r="F3582" t="s">
        <v>275</v>
      </c>
      <c r="G3582">
        <v>2</v>
      </c>
      <c r="H3582" t="s">
        <v>260</v>
      </c>
      <c r="I3582" s="4">
        <f t="shared" si="502"/>
        <v>4</v>
      </c>
      <c r="J3582">
        <f t="shared" si="503"/>
        <v>8</v>
      </c>
      <c r="K3582">
        <v>72</v>
      </c>
      <c r="L3582">
        <v>24</v>
      </c>
      <c r="M3582" s="2">
        <v>3</v>
      </c>
      <c r="N3582">
        <v>3.28</v>
      </c>
      <c r="O3582">
        <v>0</v>
      </c>
      <c r="P3582">
        <v>6</v>
      </c>
      <c r="Q3582" t="s">
        <v>567</v>
      </c>
      <c r="R3582" s="8" t="s">
        <v>260</v>
      </c>
      <c r="S3582" t="str">
        <f t="shared" si="501"/>
        <v>PA</v>
      </c>
    </row>
    <row r="3583" spans="1:19" x14ac:dyDescent="0.3">
      <c r="A3583" t="s">
        <v>8</v>
      </c>
      <c r="B3583">
        <v>2016210017</v>
      </c>
      <c r="C3583" t="s">
        <v>350</v>
      </c>
      <c r="E3583" t="s">
        <v>232</v>
      </c>
      <c r="F3583" t="s">
        <v>233</v>
      </c>
      <c r="G3583">
        <v>2</v>
      </c>
      <c r="H3583" t="s">
        <v>260</v>
      </c>
      <c r="I3583" s="4">
        <f t="shared" si="502"/>
        <v>4</v>
      </c>
      <c r="J3583">
        <f t="shared" si="503"/>
        <v>8</v>
      </c>
      <c r="K3583">
        <v>78</v>
      </c>
      <c r="L3583">
        <v>24</v>
      </c>
      <c r="M3583">
        <v>3.25</v>
      </c>
      <c r="N3583">
        <v>3.28</v>
      </c>
      <c r="O3583">
        <v>0</v>
      </c>
      <c r="P3583">
        <v>4</v>
      </c>
      <c r="Q3583" t="s">
        <v>565</v>
      </c>
      <c r="R3583" s="8" t="s">
        <v>260</v>
      </c>
      <c r="S3583" t="str">
        <f t="shared" si="501"/>
        <v>PA</v>
      </c>
    </row>
    <row r="3584" spans="1:19" x14ac:dyDescent="0.3">
      <c r="A3584" t="s">
        <v>8</v>
      </c>
      <c r="B3584">
        <v>2016210017</v>
      </c>
      <c r="C3584" t="s">
        <v>350</v>
      </c>
      <c r="E3584" t="s">
        <v>17</v>
      </c>
      <c r="F3584" t="s">
        <v>11</v>
      </c>
      <c r="G3584">
        <v>2</v>
      </c>
      <c r="H3584" t="s">
        <v>260</v>
      </c>
      <c r="I3584" s="4">
        <f t="shared" si="502"/>
        <v>4</v>
      </c>
      <c r="J3584">
        <f t="shared" si="503"/>
        <v>8</v>
      </c>
      <c r="K3584">
        <v>72</v>
      </c>
      <c r="L3584">
        <v>24</v>
      </c>
      <c r="M3584" s="2">
        <v>3</v>
      </c>
      <c r="N3584">
        <v>3.28</v>
      </c>
      <c r="O3584">
        <v>0</v>
      </c>
      <c r="P3584">
        <v>6</v>
      </c>
      <c r="Q3584" t="s">
        <v>567</v>
      </c>
      <c r="R3584" s="8" t="s">
        <v>260</v>
      </c>
      <c r="S3584" t="str">
        <f t="shared" si="501"/>
        <v>PA</v>
      </c>
    </row>
    <row r="3585" spans="1:19" x14ac:dyDescent="0.3">
      <c r="A3585" t="s">
        <v>8</v>
      </c>
      <c r="B3585">
        <v>2016210017</v>
      </c>
      <c r="C3585" t="s">
        <v>350</v>
      </c>
      <c r="E3585" t="s">
        <v>119</v>
      </c>
      <c r="F3585" t="s">
        <v>120</v>
      </c>
      <c r="G3585">
        <v>2</v>
      </c>
      <c r="H3585" t="s">
        <v>260</v>
      </c>
      <c r="I3585" s="4">
        <f t="shared" si="502"/>
        <v>4</v>
      </c>
      <c r="J3585">
        <f t="shared" si="503"/>
        <v>8</v>
      </c>
      <c r="K3585">
        <v>72</v>
      </c>
      <c r="L3585">
        <v>24</v>
      </c>
      <c r="M3585" s="2">
        <v>3</v>
      </c>
      <c r="N3585">
        <v>3.28</v>
      </c>
      <c r="O3585">
        <v>0</v>
      </c>
      <c r="P3585">
        <v>6</v>
      </c>
      <c r="Q3585" t="s">
        <v>567</v>
      </c>
      <c r="R3585" s="8" t="s">
        <v>260</v>
      </c>
      <c r="S3585" t="str">
        <f t="shared" si="501"/>
        <v>PA</v>
      </c>
    </row>
    <row r="3586" spans="1:19" x14ac:dyDescent="0.3">
      <c r="A3586" t="s">
        <v>8</v>
      </c>
      <c r="B3586">
        <v>2016210017</v>
      </c>
      <c r="C3586" t="s">
        <v>350</v>
      </c>
      <c r="E3586" t="s">
        <v>93</v>
      </c>
      <c r="F3586" t="s">
        <v>94</v>
      </c>
      <c r="G3586">
        <v>4</v>
      </c>
      <c r="H3586" t="s">
        <v>260</v>
      </c>
      <c r="I3586" s="4">
        <f t="shared" si="502"/>
        <v>4</v>
      </c>
      <c r="J3586">
        <f t="shared" si="503"/>
        <v>16</v>
      </c>
      <c r="K3586">
        <v>60</v>
      </c>
      <c r="L3586">
        <v>18</v>
      </c>
      <c r="M3586">
        <v>3.33</v>
      </c>
      <c r="N3586">
        <v>3.28</v>
      </c>
      <c r="O3586">
        <v>0</v>
      </c>
      <c r="P3586">
        <v>3</v>
      </c>
      <c r="Q3586" s="4" t="str">
        <f>IF(P3586=1,"2016/2017-Ganjil",IF(P3586=2,"2016/2017-Genap",IF(P3586=3,"2017/2018-Ganjil",IF(P3586=4,"2017/2018-Genap",IF(P3586=5,"2018/2019-Ganjil",IF(P3586=6,"2018/2019-Genap",IF(P3586=7,"2019/2020-Ganjil",IF(P3586=8,"2019/2020-Genap",IF(P3586=9,"2020/2021-Ganjil",IF(P3586=10,"2020/2021-Genap",IF(P3586=11,"2021/2022-Ganjil",IF(P3586=12,"2021/2022-Genap",IF(P3586=13,"2022/2023-Ganjil","2022/2023-Genap")))))))))))))</f>
        <v>2017/2018-Ganjil</v>
      </c>
      <c r="R3586" s="8" t="s">
        <v>260</v>
      </c>
      <c r="S3586" t="str">
        <f t="shared" si="501"/>
        <v>PA</v>
      </c>
    </row>
    <row r="3587" spans="1:19" x14ac:dyDescent="0.3">
      <c r="A3587" t="s">
        <v>8</v>
      </c>
      <c r="B3587">
        <v>2016210017</v>
      </c>
      <c r="C3587" t="s">
        <v>350</v>
      </c>
      <c r="E3587" t="s">
        <v>77</v>
      </c>
      <c r="F3587" t="s">
        <v>78</v>
      </c>
      <c r="G3587">
        <v>2</v>
      </c>
      <c r="H3587" t="s">
        <v>260</v>
      </c>
      <c r="I3587" s="4">
        <f t="shared" si="502"/>
        <v>4</v>
      </c>
      <c r="J3587">
        <f t="shared" si="503"/>
        <v>8</v>
      </c>
      <c r="K3587">
        <v>66</v>
      </c>
      <c r="L3587">
        <v>20</v>
      </c>
      <c r="M3587" s="2">
        <v>3.3</v>
      </c>
      <c r="N3587">
        <v>3.28</v>
      </c>
      <c r="O3587">
        <v>0</v>
      </c>
      <c r="P3587">
        <v>1</v>
      </c>
      <c r="Q3587" t="s">
        <v>558</v>
      </c>
      <c r="R3587" s="8" t="s">
        <v>260</v>
      </c>
      <c r="S3587" t="str">
        <f t="shared" si="501"/>
        <v>PA</v>
      </c>
    </row>
    <row r="3588" spans="1:19" x14ac:dyDescent="0.3">
      <c r="A3588" t="s">
        <v>8</v>
      </c>
      <c r="B3588">
        <v>2016210017</v>
      </c>
      <c r="C3588" t="s">
        <v>350</v>
      </c>
      <c r="E3588" t="s">
        <v>202</v>
      </c>
      <c r="F3588" t="s">
        <v>203</v>
      </c>
      <c r="G3588">
        <v>4</v>
      </c>
      <c r="H3588" t="s">
        <v>260</v>
      </c>
      <c r="I3588" s="4">
        <f t="shared" si="502"/>
        <v>4</v>
      </c>
      <c r="J3588">
        <f t="shared" si="503"/>
        <v>16</v>
      </c>
      <c r="K3588">
        <v>66</v>
      </c>
      <c r="L3588">
        <v>20</v>
      </c>
      <c r="M3588" s="2">
        <v>3.3</v>
      </c>
      <c r="N3588">
        <v>3.28</v>
      </c>
      <c r="O3588">
        <v>0</v>
      </c>
      <c r="P3588">
        <v>1</v>
      </c>
      <c r="Q3588" t="s">
        <v>558</v>
      </c>
      <c r="R3588" s="8" t="s">
        <v>260</v>
      </c>
      <c r="S3588" t="str">
        <f t="shared" si="501"/>
        <v>PA</v>
      </c>
    </row>
    <row r="3589" spans="1:19" x14ac:dyDescent="0.3">
      <c r="A3589" t="s">
        <v>8</v>
      </c>
      <c r="B3589">
        <v>2016210017</v>
      </c>
      <c r="C3589" t="s">
        <v>350</v>
      </c>
      <c r="E3589" t="s">
        <v>242</v>
      </c>
      <c r="F3589" t="s">
        <v>166</v>
      </c>
      <c r="G3589">
        <v>2</v>
      </c>
      <c r="H3589" t="s">
        <v>260</v>
      </c>
      <c r="I3589" s="4">
        <f t="shared" si="502"/>
        <v>4</v>
      </c>
      <c r="J3589">
        <f t="shared" si="503"/>
        <v>8</v>
      </c>
      <c r="K3589">
        <v>78</v>
      </c>
      <c r="L3589">
        <v>24</v>
      </c>
      <c r="M3589">
        <v>3.25</v>
      </c>
      <c r="N3589">
        <v>3.28</v>
      </c>
      <c r="O3589">
        <v>0</v>
      </c>
      <c r="P3589">
        <v>4</v>
      </c>
      <c r="Q3589" s="4" t="str">
        <f>IF(P3589=1,"2016/2017-Ganjil",IF(P3589=2,"2016/2017-Genap",IF(P3589=3,"2017/2018-Ganjil",IF(P3589=4,"2017/2018-Genap",IF(P3589=5,"2018/2019-Ganjil",IF(P3589=6,"2018/2019-Genap",IF(P3589=7,"2019/2020-Ganjil",IF(P3589=8,"2019/2020-Genap",IF(P3589=9,"2020/2021-Ganjil",IF(P3589=10,"2020/2021-Genap",IF(P3589=11,"2021/2022-Ganjil",IF(P3589=12,"2021/2022-Genap",IF(P3589=13,"2022/2023-Ganjil","2022/2023-Genap")))))))))))))</f>
        <v>2017/2018-Genap</v>
      </c>
      <c r="R3589" s="8" t="s">
        <v>260</v>
      </c>
      <c r="S3589" t="str">
        <f t="shared" si="501"/>
        <v>PA</v>
      </c>
    </row>
    <row r="3590" spans="1:19" x14ac:dyDescent="0.3">
      <c r="A3590" t="s">
        <v>8</v>
      </c>
      <c r="B3590">
        <v>2016210017</v>
      </c>
      <c r="C3590" t="s">
        <v>350</v>
      </c>
      <c r="E3590" t="s">
        <v>180</v>
      </c>
      <c r="F3590" t="s">
        <v>181</v>
      </c>
      <c r="G3590">
        <v>4</v>
      </c>
      <c r="H3590" t="s">
        <v>260</v>
      </c>
      <c r="I3590" s="4">
        <f t="shared" si="502"/>
        <v>4</v>
      </c>
      <c r="J3590">
        <f t="shared" si="503"/>
        <v>16</v>
      </c>
      <c r="K3590">
        <v>78</v>
      </c>
      <c r="L3590">
        <v>24</v>
      </c>
      <c r="M3590">
        <v>3.25</v>
      </c>
      <c r="N3590">
        <v>3.28</v>
      </c>
      <c r="O3590">
        <v>0</v>
      </c>
      <c r="P3590">
        <v>4</v>
      </c>
      <c r="Q3590" s="4" t="str">
        <f>IF(P3590=1,"2016/2017-Ganjil",IF(P3590=2,"2016/2017-Genap",IF(P3590=3,"2017/2018-Ganjil",IF(P3590=4,"2017/2018-Genap",IF(P3590=5,"2018/2019-Ganjil",IF(P3590=6,"2018/2019-Genap",IF(P3590=7,"2019/2020-Ganjil",IF(P3590=8,"2019/2020-Genap",IF(P3590=9,"2020/2021-Ganjil",IF(P3590=10,"2020/2021-Genap",IF(P3590=11,"2021/2022-Ganjil",IF(P3590=12,"2021/2022-Genap",IF(P3590=13,"2022/2023-Ganjil","2022/2023-Genap")))))))))))))</f>
        <v>2017/2018-Genap</v>
      </c>
      <c r="R3590" s="8" t="s">
        <v>260</v>
      </c>
      <c r="S3590" t="str">
        <f t="shared" si="501"/>
        <v>PA</v>
      </c>
    </row>
    <row r="3591" spans="1:19" x14ac:dyDescent="0.3">
      <c r="A3591" t="s">
        <v>8</v>
      </c>
      <c r="B3591">
        <v>2016210017</v>
      </c>
      <c r="C3591" t="s">
        <v>350</v>
      </c>
      <c r="E3591" t="s">
        <v>246</v>
      </c>
      <c r="F3591" t="s">
        <v>247</v>
      </c>
      <c r="G3591">
        <v>4</v>
      </c>
      <c r="H3591" t="s">
        <v>260</v>
      </c>
      <c r="I3591" s="4">
        <f t="shared" si="502"/>
        <v>4</v>
      </c>
      <c r="J3591">
        <f t="shared" si="503"/>
        <v>16</v>
      </c>
      <c r="K3591">
        <v>78</v>
      </c>
      <c r="L3591">
        <v>24</v>
      </c>
      <c r="M3591">
        <v>3.25</v>
      </c>
      <c r="N3591">
        <v>3.28</v>
      </c>
      <c r="O3591">
        <v>0</v>
      </c>
      <c r="P3591">
        <v>4</v>
      </c>
      <c r="Q3591" s="4" t="str">
        <f>IF(P3591=1,"2016/2017-Ganjil",IF(P3591=2,"2016/2017-Genap",IF(P3591=3,"2017/2018-Ganjil",IF(P3591=4,"2017/2018-Genap",IF(P3591=5,"2018/2019-Ganjil",IF(P3591=6,"2018/2019-Genap",IF(P3591=7,"2019/2020-Ganjil",IF(P3591=8,"2019/2020-Genap",IF(P3591=9,"2020/2021-Ganjil",IF(P3591=10,"2020/2021-Genap",IF(P3591=11,"2021/2022-Ganjil",IF(P3591=12,"2021/2022-Genap",IF(P3591=13,"2022/2023-Ganjil","2022/2023-Genap")))))))))))))</f>
        <v>2017/2018-Genap</v>
      </c>
      <c r="R3591" s="8" t="s">
        <v>260</v>
      </c>
      <c r="S3591" t="str">
        <f t="shared" si="501"/>
        <v>PA</v>
      </c>
    </row>
    <row r="3592" spans="1:19" x14ac:dyDescent="0.3">
      <c r="A3592" t="s">
        <v>8</v>
      </c>
      <c r="B3592">
        <v>2016210017</v>
      </c>
      <c r="C3592" t="s">
        <v>350</v>
      </c>
      <c r="E3592" t="s">
        <v>439</v>
      </c>
      <c r="F3592" t="s">
        <v>440</v>
      </c>
      <c r="G3592">
        <v>2</v>
      </c>
      <c r="H3592" t="s">
        <v>438</v>
      </c>
      <c r="I3592" s="4">
        <f t="shared" si="502"/>
        <v>3</v>
      </c>
      <c r="J3592">
        <f t="shared" si="503"/>
        <v>6</v>
      </c>
      <c r="K3592">
        <v>72</v>
      </c>
      <c r="L3592">
        <v>24</v>
      </c>
      <c r="M3592" s="2">
        <v>3</v>
      </c>
      <c r="N3592">
        <v>3.28</v>
      </c>
      <c r="O3592">
        <v>0</v>
      </c>
      <c r="P3592">
        <v>6</v>
      </c>
      <c r="Q3592" t="s">
        <v>567</v>
      </c>
      <c r="R3592" s="8" t="s">
        <v>260</v>
      </c>
      <c r="S3592" t="str">
        <f t="shared" si="501"/>
        <v>PA</v>
      </c>
    </row>
    <row r="3593" spans="1:19" x14ac:dyDescent="0.3">
      <c r="A3593" t="s">
        <v>8</v>
      </c>
      <c r="B3593">
        <v>2016210017</v>
      </c>
      <c r="C3593" t="s">
        <v>350</v>
      </c>
      <c r="E3593" t="s">
        <v>279</v>
      </c>
      <c r="F3593" t="s">
        <v>280</v>
      </c>
      <c r="G3593">
        <v>2</v>
      </c>
      <c r="H3593" t="s">
        <v>438</v>
      </c>
      <c r="I3593" s="4">
        <f t="shared" si="502"/>
        <v>3</v>
      </c>
      <c r="J3593">
        <f t="shared" si="503"/>
        <v>6</v>
      </c>
      <c r="K3593">
        <v>46</v>
      </c>
      <c r="L3593">
        <v>18</v>
      </c>
      <c r="M3593">
        <v>2.56</v>
      </c>
      <c r="N3593">
        <v>3.28</v>
      </c>
      <c r="O3593">
        <v>0</v>
      </c>
      <c r="P3593">
        <v>2</v>
      </c>
      <c r="Q3593" t="s">
        <v>559</v>
      </c>
      <c r="R3593" s="8" t="s">
        <v>260</v>
      </c>
      <c r="S3593" t="str">
        <f t="shared" si="501"/>
        <v>PA</v>
      </c>
    </row>
    <row r="3594" spans="1:19" x14ac:dyDescent="0.3">
      <c r="A3594" t="s">
        <v>8</v>
      </c>
      <c r="B3594">
        <v>2016210017</v>
      </c>
      <c r="C3594" t="s">
        <v>350</v>
      </c>
      <c r="E3594" t="s">
        <v>216</v>
      </c>
      <c r="F3594" t="s">
        <v>217</v>
      </c>
      <c r="G3594">
        <v>2</v>
      </c>
      <c r="H3594" t="s">
        <v>438</v>
      </c>
      <c r="I3594" s="4">
        <f t="shared" si="502"/>
        <v>3</v>
      </c>
      <c r="J3594">
        <f t="shared" si="503"/>
        <v>6</v>
      </c>
      <c r="K3594">
        <v>78</v>
      </c>
      <c r="L3594">
        <v>24</v>
      </c>
      <c r="M3594">
        <v>3.25</v>
      </c>
      <c r="N3594">
        <v>3.28</v>
      </c>
      <c r="O3594">
        <v>0</v>
      </c>
      <c r="P3594">
        <v>4</v>
      </c>
      <c r="Q3594" s="4" t="str">
        <f>IF(P3594=1,"2016/2017-Ganjil",IF(P3594=2,"2016/2017-Genap",IF(P3594=3,"2017/2018-Ganjil",IF(P3594=4,"2017/2018-Genap",IF(P3594=5,"2018/2019-Ganjil",IF(P3594=6,"2018/2019-Genap",IF(P3594=7,"2019/2020-Ganjil",IF(P3594=8,"2019/2020-Genap",IF(P3594=9,"2020/2021-Ganjil",IF(P3594=10,"2020/2021-Genap",IF(P3594=11,"2021/2022-Ganjil",IF(P3594=12,"2021/2022-Genap",IF(P3594=13,"2022/2023-Ganjil","2022/2023-Genap")))))))))))))</f>
        <v>2017/2018-Genap</v>
      </c>
      <c r="R3594" s="8" t="s">
        <v>260</v>
      </c>
      <c r="S3594" t="str">
        <f t="shared" si="501"/>
        <v>PA</v>
      </c>
    </row>
    <row r="3595" spans="1:19" x14ac:dyDescent="0.3">
      <c r="A3595" t="s">
        <v>8</v>
      </c>
      <c r="B3595">
        <v>2016210017</v>
      </c>
      <c r="C3595" t="s">
        <v>350</v>
      </c>
      <c r="E3595" t="s">
        <v>125</v>
      </c>
      <c r="F3595" t="s">
        <v>126</v>
      </c>
      <c r="G3595">
        <v>4</v>
      </c>
      <c r="H3595" t="s">
        <v>438</v>
      </c>
      <c r="I3595" s="4">
        <f t="shared" si="502"/>
        <v>3</v>
      </c>
      <c r="J3595">
        <f t="shared" si="503"/>
        <v>12</v>
      </c>
      <c r="K3595">
        <v>46</v>
      </c>
      <c r="L3595">
        <v>18</v>
      </c>
      <c r="M3595">
        <v>2.56</v>
      </c>
      <c r="N3595">
        <v>3.28</v>
      </c>
      <c r="O3595">
        <v>0</v>
      </c>
      <c r="P3595">
        <v>2</v>
      </c>
      <c r="Q3595" t="s">
        <v>559</v>
      </c>
      <c r="R3595" s="8" t="s">
        <v>260</v>
      </c>
      <c r="S3595" t="str">
        <f t="shared" si="501"/>
        <v>PA</v>
      </c>
    </row>
    <row r="3596" spans="1:19" x14ac:dyDescent="0.3">
      <c r="A3596" t="s">
        <v>8</v>
      </c>
      <c r="B3596">
        <v>2016210017</v>
      </c>
      <c r="C3596" t="s">
        <v>350</v>
      </c>
      <c r="E3596" t="s">
        <v>355</v>
      </c>
      <c r="F3596" t="s">
        <v>274</v>
      </c>
      <c r="G3596">
        <v>2</v>
      </c>
      <c r="H3596" t="s">
        <v>438</v>
      </c>
      <c r="I3596" s="4">
        <f t="shared" si="502"/>
        <v>3</v>
      </c>
      <c r="J3596">
        <f t="shared" si="503"/>
        <v>6</v>
      </c>
      <c r="K3596">
        <v>78</v>
      </c>
      <c r="L3596">
        <v>24</v>
      </c>
      <c r="M3596">
        <v>3.25</v>
      </c>
      <c r="N3596">
        <v>3.28</v>
      </c>
      <c r="O3596">
        <v>0</v>
      </c>
      <c r="P3596">
        <v>4</v>
      </c>
      <c r="Q3596" s="4" t="str">
        <f>IF(P3596=1,"2016/2017-Ganjil",IF(P3596=2,"2016/2017-Genap",IF(P3596=3,"2017/2018-Ganjil",IF(P3596=4,"2017/2018-Genap",IF(P3596=5,"2018/2019-Ganjil",IF(P3596=6,"2018/2019-Genap",IF(P3596=7,"2019/2020-Ganjil",IF(P3596=8,"2019/2020-Genap",IF(P3596=9,"2020/2021-Ganjil",IF(P3596=10,"2020/2021-Genap",IF(P3596=11,"2021/2022-Ganjil",IF(P3596=12,"2021/2022-Genap",IF(P3596=13,"2022/2023-Ganjil","2022/2023-Genap")))))))))))))</f>
        <v>2017/2018-Genap</v>
      </c>
      <c r="R3596" s="8" t="s">
        <v>260</v>
      </c>
      <c r="S3596" t="str">
        <f t="shared" si="501"/>
        <v>PA</v>
      </c>
    </row>
    <row r="3597" spans="1:19" x14ac:dyDescent="0.3">
      <c r="A3597" t="s">
        <v>8</v>
      </c>
      <c r="B3597">
        <v>2016210017</v>
      </c>
      <c r="C3597" t="s">
        <v>350</v>
      </c>
      <c r="E3597" t="s">
        <v>117</v>
      </c>
      <c r="F3597" t="s">
        <v>118</v>
      </c>
      <c r="G3597">
        <v>2</v>
      </c>
      <c r="H3597" t="s">
        <v>438</v>
      </c>
      <c r="I3597" s="4">
        <f t="shared" si="502"/>
        <v>3</v>
      </c>
      <c r="J3597">
        <f t="shared" si="503"/>
        <v>6</v>
      </c>
      <c r="K3597">
        <v>46</v>
      </c>
      <c r="L3597">
        <v>18</v>
      </c>
      <c r="M3597">
        <v>2.56</v>
      </c>
      <c r="N3597">
        <v>3.28</v>
      </c>
      <c r="O3597">
        <v>0</v>
      </c>
      <c r="P3597">
        <v>2</v>
      </c>
      <c r="Q3597" t="s">
        <v>559</v>
      </c>
      <c r="R3597" s="8" t="s">
        <v>260</v>
      </c>
      <c r="S3597" t="str">
        <f t="shared" si="501"/>
        <v>PA</v>
      </c>
    </row>
    <row r="3598" spans="1:19" x14ac:dyDescent="0.3">
      <c r="A3598" t="s">
        <v>8</v>
      </c>
      <c r="B3598">
        <v>2016210017</v>
      </c>
      <c r="C3598" t="s">
        <v>350</v>
      </c>
      <c r="E3598" t="s">
        <v>157</v>
      </c>
      <c r="F3598" t="s">
        <v>158</v>
      </c>
      <c r="G3598">
        <v>2</v>
      </c>
      <c r="H3598" t="s">
        <v>438</v>
      </c>
      <c r="I3598" s="4">
        <f t="shared" si="502"/>
        <v>3</v>
      </c>
      <c r="J3598">
        <f t="shared" si="503"/>
        <v>6</v>
      </c>
      <c r="K3598">
        <v>46</v>
      </c>
      <c r="L3598">
        <v>14</v>
      </c>
      <c r="M3598">
        <v>3.29</v>
      </c>
      <c r="N3598">
        <v>3.28</v>
      </c>
      <c r="O3598">
        <v>0</v>
      </c>
      <c r="P3598">
        <v>7</v>
      </c>
      <c r="Q3598" t="s">
        <v>568</v>
      </c>
      <c r="R3598" s="8" t="s">
        <v>260</v>
      </c>
      <c r="S3598" t="str">
        <f t="shared" si="501"/>
        <v>PA</v>
      </c>
    </row>
    <row r="3599" spans="1:19" x14ac:dyDescent="0.3">
      <c r="A3599" t="s">
        <v>8</v>
      </c>
      <c r="B3599">
        <v>2016210017</v>
      </c>
      <c r="C3599" t="s">
        <v>350</v>
      </c>
      <c r="E3599" t="s">
        <v>352</v>
      </c>
      <c r="F3599" t="s">
        <v>353</v>
      </c>
      <c r="G3599">
        <v>2</v>
      </c>
      <c r="H3599" t="s">
        <v>438</v>
      </c>
      <c r="I3599" s="4">
        <f t="shared" si="502"/>
        <v>3</v>
      </c>
      <c r="J3599">
        <f t="shared" si="503"/>
        <v>6</v>
      </c>
      <c r="K3599">
        <v>74</v>
      </c>
      <c r="L3599">
        <v>24</v>
      </c>
      <c r="M3599">
        <v>3.08</v>
      </c>
      <c r="N3599">
        <v>3.28</v>
      </c>
      <c r="O3599">
        <v>0</v>
      </c>
      <c r="P3599">
        <v>5</v>
      </c>
      <c r="Q3599" t="s">
        <v>566</v>
      </c>
      <c r="R3599" s="8" t="s">
        <v>260</v>
      </c>
      <c r="S3599" t="str">
        <f t="shared" si="501"/>
        <v>PA</v>
      </c>
    </row>
    <row r="3600" spans="1:19" x14ac:dyDescent="0.3">
      <c r="A3600" t="s">
        <v>8</v>
      </c>
      <c r="B3600">
        <v>2016210017</v>
      </c>
      <c r="C3600" t="s">
        <v>350</v>
      </c>
      <c r="E3600" t="s">
        <v>193</v>
      </c>
      <c r="F3600" t="s">
        <v>194</v>
      </c>
      <c r="G3600">
        <v>4</v>
      </c>
      <c r="H3600" t="s">
        <v>438</v>
      </c>
      <c r="I3600" s="4">
        <f t="shared" si="502"/>
        <v>3</v>
      </c>
      <c r="J3600">
        <f t="shared" si="503"/>
        <v>12</v>
      </c>
      <c r="K3600">
        <v>46</v>
      </c>
      <c r="L3600">
        <v>14</v>
      </c>
      <c r="M3600">
        <v>3.29</v>
      </c>
      <c r="N3600">
        <v>3.28</v>
      </c>
      <c r="O3600">
        <v>0</v>
      </c>
      <c r="P3600">
        <v>7</v>
      </c>
      <c r="Q3600" t="s">
        <v>568</v>
      </c>
      <c r="R3600" s="8" t="s">
        <v>260</v>
      </c>
      <c r="S3600" t="str">
        <f t="shared" si="501"/>
        <v>PA</v>
      </c>
    </row>
    <row r="3601" spans="1:19" x14ac:dyDescent="0.3">
      <c r="A3601" t="s">
        <v>8</v>
      </c>
      <c r="B3601">
        <v>2016210017</v>
      </c>
      <c r="C3601" t="s">
        <v>350</v>
      </c>
      <c r="E3601" t="s">
        <v>227</v>
      </c>
      <c r="F3601" t="s">
        <v>228</v>
      </c>
      <c r="G3601">
        <v>2</v>
      </c>
      <c r="H3601" t="s">
        <v>438</v>
      </c>
      <c r="I3601" s="4">
        <f t="shared" si="502"/>
        <v>3</v>
      </c>
      <c r="J3601">
        <f t="shared" si="503"/>
        <v>6</v>
      </c>
      <c r="K3601">
        <v>60</v>
      </c>
      <c r="L3601">
        <v>18</v>
      </c>
      <c r="M3601">
        <v>3.33</v>
      </c>
      <c r="N3601">
        <v>3.28</v>
      </c>
      <c r="O3601">
        <v>0</v>
      </c>
      <c r="P3601">
        <v>3</v>
      </c>
      <c r="Q3601" s="4" t="str">
        <f>IF(P3601=1,"2016/2017-Ganjil",IF(P3601=2,"2016/2017-Genap",IF(P3601=3,"2017/2018-Ganjil",IF(P3601=4,"2017/2018-Genap",IF(P3601=5,"2018/2019-Ganjil",IF(P3601=6,"2018/2019-Genap",IF(P3601=7,"2019/2020-Ganjil",IF(P3601=8,"2019/2020-Genap",IF(P3601=9,"2020/2021-Ganjil",IF(P3601=10,"2020/2021-Genap",IF(P3601=11,"2021/2022-Ganjil",IF(P3601=12,"2021/2022-Genap",IF(P3601=13,"2022/2023-Ganjil","2022/2023-Genap")))))))))))))</f>
        <v>2017/2018-Ganjil</v>
      </c>
      <c r="R3601" s="8" t="s">
        <v>260</v>
      </c>
      <c r="S3601" t="str">
        <f t="shared" si="501"/>
        <v>PA</v>
      </c>
    </row>
    <row r="3602" spans="1:19" x14ac:dyDescent="0.3">
      <c r="A3602" t="s">
        <v>8</v>
      </c>
      <c r="B3602">
        <v>2016210017</v>
      </c>
      <c r="C3602" t="s">
        <v>350</v>
      </c>
      <c r="E3602" t="s">
        <v>395</v>
      </c>
      <c r="F3602" t="s">
        <v>396</v>
      </c>
      <c r="G3602">
        <v>2</v>
      </c>
      <c r="H3602" t="s">
        <v>438</v>
      </c>
      <c r="I3602" s="4">
        <f t="shared" si="502"/>
        <v>3</v>
      </c>
      <c r="J3602">
        <f t="shared" si="503"/>
        <v>6</v>
      </c>
      <c r="K3602">
        <v>66</v>
      </c>
      <c r="L3602">
        <v>20</v>
      </c>
      <c r="M3602" s="2">
        <v>3.3</v>
      </c>
      <c r="N3602">
        <v>3.28</v>
      </c>
      <c r="O3602">
        <v>0</v>
      </c>
      <c r="P3602">
        <v>1</v>
      </c>
      <c r="Q3602" t="s">
        <v>558</v>
      </c>
      <c r="R3602" s="8" t="s">
        <v>260</v>
      </c>
      <c r="S3602" t="str">
        <f t="shared" si="501"/>
        <v>PA</v>
      </c>
    </row>
    <row r="3603" spans="1:19" x14ac:dyDescent="0.3">
      <c r="A3603" t="s">
        <v>8</v>
      </c>
      <c r="B3603">
        <v>2016210017</v>
      </c>
      <c r="C3603" t="s">
        <v>350</v>
      </c>
      <c r="E3603" t="s">
        <v>318</v>
      </c>
      <c r="F3603" t="s">
        <v>319</v>
      </c>
      <c r="G3603">
        <v>2</v>
      </c>
      <c r="H3603" t="s">
        <v>438</v>
      </c>
      <c r="I3603" s="4">
        <f t="shared" si="502"/>
        <v>3</v>
      </c>
      <c r="J3603">
        <f t="shared" si="503"/>
        <v>6</v>
      </c>
      <c r="K3603">
        <v>74</v>
      </c>
      <c r="L3603">
        <v>24</v>
      </c>
      <c r="M3603">
        <v>3.08</v>
      </c>
      <c r="N3603">
        <v>3.28</v>
      </c>
      <c r="O3603">
        <v>0</v>
      </c>
      <c r="P3603">
        <v>5</v>
      </c>
      <c r="Q3603" t="s">
        <v>566</v>
      </c>
      <c r="R3603" s="8" t="s">
        <v>260</v>
      </c>
      <c r="S3603" t="str">
        <f t="shared" si="501"/>
        <v>PA</v>
      </c>
    </row>
    <row r="3604" spans="1:19" x14ac:dyDescent="0.3">
      <c r="A3604" t="s">
        <v>8</v>
      </c>
      <c r="B3604">
        <v>2016210017</v>
      </c>
      <c r="C3604" t="s">
        <v>350</v>
      </c>
      <c r="E3604" t="s">
        <v>163</v>
      </c>
      <c r="F3604" t="s">
        <v>164</v>
      </c>
      <c r="G3604">
        <v>2</v>
      </c>
      <c r="H3604" t="s">
        <v>438</v>
      </c>
      <c r="I3604" s="4">
        <f t="shared" si="502"/>
        <v>3</v>
      </c>
      <c r="J3604">
        <f t="shared" si="503"/>
        <v>6</v>
      </c>
      <c r="K3604">
        <v>66</v>
      </c>
      <c r="L3604">
        <v>20</v>
      </c>
      <c r="M3604" s="2">
        <v>3.3</v>
      </c>
      <c r="N3604">
        <v>3.28</v>
      </c>
      <c r="O3604">
        <v>0</v>
      </c>
      <c r="P3604">
        <v>1</v>
      </c>
      <c r="Q3604" t="s">
        <v>558</v>
      </c>
      <c r="R3604" s="8" t="s">
        <v>260</v>
      </c>
      <c r="S3604" t="str">
        <f t="shared" si="501"/>
        <v>PA</v>
      </c>
    </row>
    <row r="3605" spans="1:19" x14ac:dyDescent="0.3">
      <c r="A3605" t="s">
        <v>8</v>
      </c>
      <c r="B3605">
        <v>2016210017</v>
      </c>
      <c r="C3605" t="s">
        <v>350</v>
      </c>
      <c r="E3605" t="s">
        <v>407</v>
      </c>
      <c r="F3605" t="s">
        <v>312</v>
      </c>
      <c r="G3605">
        <v>2</v>
      </c>
      <c r="H3605" t="s">
        <v>438</v>
      </c>
      <c r="I3605" s="4">
        <f t="shared" si="502"/>
        <v>3</v>
      </c>
      <c r="J3605">
        <f t="shared" si="503"/>
        <v>6</v>
      </c>
      <c r="K3605">
        <v>74</v>
      </c>
      <c r="L3605">
        <v>24</v>
      </c>
      <c r="M3605">
        <v>3.08</v>
      </c>
      <c r="N3605">
        <v>3.28</v>
      </c>
      <c r="O3605">
        <v>0</v>
      </c>
      <c r="P3605">
        <v>5</v>
      </c>
      <c r="Q3605" t="s">
        <v>566</v>
      </c>
      <c r="R3605" s="8" t="s">
        <v>260</v>
      </c>
      <c r="S3605" t="str">
        <f t="shared" si="501"/>
        <v>PA</v>
      </c>
    </row>
    <row r="3606" spans="1:19" x14ac:dyDescent="0.3">
      <c r="A3606" t="s">
        <v>8</v>
      </c>
      <c r="B3606">
        <v>2016210017</v>
      </c>
      <c r="C3606" t="s">
        <v>350</v>
      </c>
      <c r="E3606" t="s">
        <v>238</v>
      </c>
      <c r="F3606" t="s">
        <v>239</v>
      </c>
      <c r="G3606">
        <v>4</v>
      </c>
      <c r="H3606" t="s">
        <v>438</v>
      </c>
      <c r="I3606" s="4">
        <f t="shared" si="502"/>
        <v>3</v>
      </c>
      <c r="J3606">
        <f t="shared" si="503"/>
        <v>12</v>
      </c>
      <c r="K3606">
        <v>72</v>
      </c>
      <c r="L3606">
        <v>24</v>
      </c>
      <c r="M3606" s="2">
        <v>3</v>
      </c>
      <c r="N3606">
        <v>3.28</v>
      </c>
      <c r="O3606">
        <v>0</v>
      </c>
      <c r="P3606">
        <v>6</v>
      </c>
      <c r="Q3606" t="s">
        <v>567</v>
      </c>
      <c r="R3606" s="8" t="s">
        <v>260</v>
      </c>
      <c r="S3606" t="str">
        <f t="shared" si="501"/>
        <v>PA</v>
      </c>
    </row>
    <row r="3607" spans="1:19" x14ac:dyDescent="0.3">
      <c r="A3607" t="s">
        <v>8</v>
      </c>
      <c r="B3607">
        <v>2016210017</v>
      </c>
      <c r="C3607" t="s">
        <v>350</v>
      </c>
      <c r="E3607" t="s">
        <v>253</v>
      </c>
      <c r="F3607" t="s">
        <v>254</v>
      </c>
      <c r="G3607">
        <v>2</v>
      </c>
      <c r="H3607" t="s">
        <v>438</v>
      </c>
      <c r="I3607" s="4">
        <f t="shared" si="502"/>
        <v>3</v>
      </c>
      <c r="J3607">
        <f t="shared" si="503"/>
        <v>6</v>
      </c>
      <c r="K3607">
        <v>78</v>
      </c>
      <c r="L3607">
        <v>24</v>
      </c>
      <c r="M3607">
        <v>3.25</v>
      </c>
      <c r="N3607">
        <v>3.28</v>
      </c>
      <c r="O3607">
        <v>0</v>
      </c>
      <c r="P3607">
        <v>4</v>
      </c>
      <c r="Q3607" s="4" t="str">
        <f>IF(P3607=1,"2016/2017-Ganjil",IF(P3607=2,"2016/2017-Genap",IF(P3607=3,"2017/2018-Ganjil",IF(P3607=4,"2017/2018-Genap",IF(P3607=5,"2018/2019-Ganjil",IF(P3607=6,"2018/2019-Genap",IF(P3607=7,"2019/2020-Ganjil",IF(P3607=8,"2019/2020-Genap",IF(P3607=9,"2020/2021-Ganjil",IF(P3607=10,"2020/2021-Genap",IF(P3607=11,"2021/2022-Ganjil",IF(P3607=12,"2021/2022-Genap",IF(P3607=13,"2022/2023-Ganjil","2022/2023-Genap")))))))))))))</f>
        <v>2017/2018-Genap</v>
      </c>
      <c r="R3607" s="8" t="s">
        <v>260</v>
      </c>
      <c r="S3607" t="str">
        <f t="shared" si="501"/>
        <v>PA</v>
      </c>
    </row>
    <row r="3608" spans="1:19" x14ac:dyDescent="0.3">
      <c r="A3608" t="s">
        <v>8</v>
      </c>
      <c r="B3608">
        <v>2016210017</v>
      </c>
      <c r="C3608" t="s">
        <v>350</v>
      </c>
      <c r="E3608" t="s">
        <v>22</v>
      </c>
      <c r="F3608" t="s">
        <v>23</v>
      </c>
      <c r="G3608">
        <v>2</v>
      </c>
      <c r="H3608" t="s">
        <v>438</v>
      </c>
      <c r="I3608" s="4">
        <f t="shared" si="502"/>
        <v>3</v>
      </c>
      <c r="J3608">
        <f t="shared" si="503"/>
        <v>6</v>
      </c>
      <c r="K3608">
        <v>46</v>
      </c>
      <c r="L3608">
        <v>18</v>
      </c>
      <c r="M3608">
        <v>2.56</v>
      </c>
      <c r="N3608">
        <v>3.28</v>
      </c>
      <c r="O3608">
        <v>0</v>
      </c>
      <c r="P3608">
        <v>2</v>
      </c>
      <c r="Q3608" t="s">
        <v>559</v>
      </c>
      <c r="R3608" s="8" t="s">
        <v>260</v>
      </c>
      <c r="S3608" t="str">
        <f t="shared" si="501"/>
        <v>PA</v>
      </c>
    </row>
    <row r="3609" spans="1:19" x14ac:dyDescent="0.3">
      <c r="A3609" t="s">
        <v>8</v>
      </c>
      <c r="B3609">
        <v>2016210017</v>
      </c>
      <c r="C3609" t="s">
        <v>350</v>
      </c>
      <c r="E3609" t="s">
        <v>107</v>
      </c>
      <c r="F3609" t="s">
        <v>108</v>
      </c>
      <c r="G3609">
        <v>2</v>
      </c>
      <c r="H3609" t="s">
        <v>438</v>
      </c>
      <c r="I3609" s="4">
        <f t="shared" si="502"/>
        <v>3</v>
      </c>
      <c r="J3609">
        <f t="shared" si="503"/>
        <v>6</v>
      </c>
      <c r="K3609">
        <v>72</v>
      </c>
      <c r="L3609">
        <v>24</v>
      </c>
      <c r="M3609" s="2">
        <v>3</v>
      </c>
      <c r="N3609">
        <v>3.28</v>
      </c>
      <c r="O3609">
        <v>0</v>
      </c>
      <c r="P3609">
        <v>6</v>
      </c>
      <c r="Q3609" t="s">
        <v>567</v>
      </c>
      <c r="R3609" s="8" t="s">
        <v>260</v>
      </c>
      <c r="S3609" t="str">
        <f t="shared" si="501"/>
        <v>PA</v>
      </c>
    </row>
    <row r="3610" spans="1:19" x14ac:dyDescent="0.3">
      <c r="A3610" t="s">
        <v>8</v>
      </c>
      <c r="B3610">
        <v>2016210017</v>
      </c>
      <c r="C3610" t="s">
        <v>350</v>
      </c>
      <c r="E3610" t="s">
        <v>115</v>
      </c>
      <c r="F3610" t="s">
        <v>116</v>
      </c>
      <c r="G3610">
        <v>4</v>
      </c>
      <c r="H3610" t="s">
        <v>438</v>
      </c>
      <c r="I3610" s="4">
        <f t="shared" si="502"/>
        <v>3</v>
      </c>
      <c r="J3610">
        <f t="shared" si="503"/>
        <v>12</v>
      </c>
      <c r="K3610">
        <v>46</v>
      </c>
      <c r="L3610">
        <v>18</v>
      </c>
      <c r="M3610">
        <v>2.56</v>
      </c>
      <c r="N3610">
        <v>3.28</v>
      </c>
      <c r="O3610">
        <v>0</v>
      </c>
      <c r="P3610">
        <v>2</v>
      </c>
      <c r="Q3610" t="s">
        <v>559</v>
      </c>
      <c r="R3610" s="8" t="s">
        <v>260</v>
      </c>
      <c r="S3610" t="str">
        <f t="shared" si="501"/>
        <v>PA</v>
      </c>
    </row>
    <row r="3611" spans="1:19" x14ac:dyDescent="0.3">
      <c r="A3611" t="s">
        <v>8</v>
      </c>
      <c r="B3611">
        <v>2016210017</v>
      </c>
      <c r="C3611" t="s">
        <v>350</v>
      </c>
      <c r="E3611" t="s">
        <v>182</v>
      </c>
      <c r="F3611" t="s">
        <v>171</v>
      </c>
      <c r="G3611">
        <v>2</v>
      </c>
      <c r="H3611" t="s">
        <v>438</v>
      </c>
      <c r="I3611" s="4">
        <f t="shared" si="502"/>
        <v>3</v>
      </c>
      <c r="J3611">
        <f t="shared" si="503"/>
        <v>6</v>
      </c>
      <c r="K3611">
        <v>74</v>
      </c>
      <c r="L3611">
        <v>24</v>
      </c>
      <c r="M3611">
        <v>3.08</v>
      </c>
      <c r="N3611">
        <v>3.28</v>
      </c>
      <c r="O3611">
        <v>0</v>
      </c>
      <c r="P3611">
        <v>5</v>
      </c>
      <c r="Q3611" t="s">
        <v>566</v>
      </c>
      <c r="R3611" s="8" t="s">
        <v>260</v>
      </c>
      <c r="S3611" t="str">
        <f t="shared" si="501"/>
        <v>PA</v>
      </c>
    </row>
    <row r="3612" spans="1:19" x14ac:dyDescent="0.3">
      <c r="A3612" t="s">
        <v>8</v>
      </c>
      <c r="B3612">
        <v>2016210017</v>
      </c>
      <c r="C3612" t="s">
        <v>350</v>
      </c>
      <c r="E3612" t="s">
        <v>213</v>
      </c>
      <c r="F3612" t="s">
        <v>214</v>
      </c>
      <c r="G3612">
        <v>4</v>
      </c>
      <c r="H3612" t="s">
        <v>438</v>
      </c>
      <c r="I3612" s="4">
        <f t="shared" si="502"/>
        <v>3</v>
      </c>
      <c r="J3612">
        <f t="shared" si="503"/>
        <v>12</v>
      </c>
      <c r="K3612">
        <v>74</v>
      </c>
      <c r="L3612">
        <v>24</v>
      </c>
      <c r="M3612">
        <v>3.08</v>
      </c>
      <c r="N3612">
        <v>3.28</v>
      </c>
      <c r="O3612">
        <v>0</v>
      </c>
      <c r="P3612">
        <v>5</v>
      </c>
      <c r="Q3612" t="s">
        <v>566</v>
      </c>
      <c r="R3612" s="8" t="s">
        <v>260</v>
      </c>
      <c r="S3612" t="str">
        <f t="shared" si="501"/>
        <v>PA</v>
      </c>
    </row>
    <row r="3613" spans="1:19" x14ac:dyDescent="0.3">
      <c r="A3613" t="s">
        <v>8</v>
      </c>
      <c r="B3613">
        <v>2016210017</v>
      </c>
      <c r="C3613" t="s">
        <v>350</v>
      </c>
      <c r="E3613" t="s">
        <v>185</v>
      </c>
      <c r="F3613" t="s">
        <v>186</v>
      </c>
      <c r="G3613">
        <v>4</v>
      </c>
      <c r="H3613" t="s">
        <v>438</v>
      </c>
      <c r="I3613" s="4">
        <f t="shared" si="502"/>
        <v>3</v>
      </c>
      <c r="J3613">
        <f t="shared" si="503"/>
        <v>12</v>
      </c>
      <c r="K3613">
        <v>46</v>
      </c>
      <c r="L3613">
        <v>14</v>
      </c>
      <c r="M3613">
        <v>3.29</v>
      </c>
      <c r="N3613">
        <v>3.28</v>
      </c>
      <c r="O3613">
        <v>0</v>
      </c>
      <c r="P3613">
        <v>7</v>
      </c>
      <c r="Q3613" t="s">
        <v>568</v>
      </c>
      <c r="R3613" s="8" t="s">
        <v>260</v>
      </c>
      <c r="S3613" t="str">
        <f t="shared" si="501"/>
        <v>PA</v>
      </c>
    </row>
    <row r="3614" spans="1:19" x14ac:dyDescent="0.3">
      <c r="A3614" t="s">
        <v>8</v>
      </c>
      <c r="B3614">
        <v>2016210017</v>
      </c>
      <c r="C3614" t="s">
        <v>350</v>
      </c>
      <c r="E3614" t="s">
        <v>112</v>
      </c>
      <c r="F3614" t="s">
        <v>113</v>
      </c>
      <c r="G3614">
        <v>4</v>
      </c>
      <c r="H3614" t="s">
        <v>438</v>
      </c>
      <c r="I3614" s="4">
        <f t="shared" si="502"/>
        <v>3</v>
      </c>
      <c r="J3614">
        <f t="shared" si="503"/>
        <v>12</v>
      </c>
      <c r="K3614">
        <v>60</v>
      </c>
      <c r="L3614">
        <v>18</v>
      </c>
      <c r="M3614">
        <v>3.33</v>
      </c>
      <c r="N3614">
        <v>3.28</v>
      </c>
      <c r="O3614">
        <v>0</v>
      </c>
      <c r="P3614">
        <v>3</v>
      </c>
      <c r="Q3614" s="4" t="str">
        <f>IF(P3614=1,"2016/2017-Ganjil",IF(P3614=2,"2016/2017-Genap",IF(P3614=3,"2017/2018-Ganjil",IF(P3614=4,"2017/2018-Genap",IF(P3614=5,"2018/2019-Ganjil",IF(P3614=6,"2018/2019-Genap",IF(P3614=7,"2019/2020-Ganjil",IF(P3614=8,"2019/2020-Genap",IF(P3614=9,"2020/2021-Ganjil",IF(P3614=10,"2020/2021-Genap",IF(P3614=11,"2021/2022-Ganjil",IF(P3614=12,"2021/2022-Genap",IF(P3614=13,"2022/2023-Ganjil","2022/2023-Genap")))))))))))))</f>
        <v>2017/2018-Ganjil</v>
      </c>
      <c r="R3614" s="8" t="s">
        <v>260</v>
      </c>
      <c r="S3614" t="str">
        <f t="shared" si="501"/>
        <v>PA</v>
      </c>
    </row>
    <row r="3615" spans="1:19" x14ac:dyDescent="0.3">
      <c r="A3615" t="s">
        <v>8</v>
      </c>
      <c r="B3615">
        <v>2016210017</v>
      </c>
      <c r="C3615" t="s">
        <v>350</v>
      </c>
      <c r="E3615" t="s">
        <v>19</v>
      </c>
      <c r="F3615" t="s">
        <v>20</v>
      </c>
      <c r="G3615">
        <v>6</v>
      </c>
      <c r="H3615" t="s">
        <v>438</v>
      </c>
      <c r="I3615" s="4">
        <f t="shared" si="502"/>
        <v>3</v>
      </c>
      <c r="J3615">
        <f t="shared" si="503"/>
        <v>18</v>
      </c>
      <c r="K3615">
        <v>30</v>
      </c>
      <c r="L3615">
        <v>10</v>
      </c>
      <c r="M3615" s="2">
        <v>3</v>
      </c>
      <c r="N3615">
        <v>3.28</v>
      </c>
      <c r="O3615">
        <v>0</v>
      </c>
      <c r="P3615">
        <v>8</v>
      </c>
      <c r="Q3615" t="s">
        <v>569</v>
      </c>
      <c r="R3615" t="s">
        <v>596</v>
      </c>
      <c r="S3615" t="str">
        <f t="shared" si="501"/>
        <v>PA</v>
      </c>
    </row>
    <row r="3616" spans="1:19" x14ac:dyDescent="0.3">
      <c r="A3616" t="s">
        <v>8</v>
      </c>
      <c r="B3616">
        <v>2016210017</v>
      </c>
      <c r="C3616" t="s">
        <v>350</v>
      </c>
      <c r="E3616" t="s">
        <v>295</v>
      </c>
      <c r="F3616" t="s">
        <v>296</v>
      </c>
      <c r="G3616">
        <v>2</v>
      </c>
      <c r="H3616" t="s">
        <v>438</v>
      </c>
      <c r="I3616" s="4">
        <f t="shared" si="502"/>
        <v>3</v>
      </c>
      <c r="J3616">
        <f t="shared" si="503"/>
        <v>6</v>
      </c>
      <c r="K3616">
        <v>60</v>
      </c>
      <c r="L3616">
        <v>18</v>
      </c>
      <c r="M3616">
        <v>3.33</v>
      </c>
      <c r="N3616">
        <v>3.28</v>
      </c>
      <c r="O3616">
        <v>0</v>
      </c>
      <c r="P3616">
        <v>3</v>
      </c>
      <c r="Q3616" s="4" t="str">
        <f>IF(P3616=1,"2016/2017-Ganjil",IF(P3616=2,"2016/2017-Genap",IF(P3616=3,"2017/2018-Ganjil",IF(P3616=4,"2017/2018-Genap",IF(P3616=5,"2018/2019-Ganjil",IF(P3616=6,"2018/2019-Genap",IF(P3616=7,"2019/2020-Ganjil",IF(P3616=8,"2019/2020-Genap",IF(P3616=9,"2020/2021-Ganjil",IF(P3616=10,"2020/2021-Genap",IF(P3616=11,"2021/2022-Ganjil",IF(P3616=12,"2021/2022-Genap",IF(P3616=13,"2022/2023-Ganjil","2022/2023-Genap")))))))))))))</f>
        <v>2017/2018-Ganjil</v>
      </c>
      <c r="R3616" s="8" t="s">
        <v>260</v>
      </c>
      <c r="S3616" t="str">
        <f t="shared" si="501"/>
        <v>PA</v>
      </c>
    </row>
    <row r="3617" spans="1:19" x14ac:dyDescent="0.3">
      <c r="A3617" t="s">
        <v>8</v>
      </c>
      <c r="B3617">
        <v>2016210017</v>
      </c>
      <c r="C3617" t="s">
        <v>350</v>
      </c>
      <c r="E3617" t="s">
        <v>188</v>
      </c>
      <c r="F3617" t="s">
        <v>189</v>
      </c>
      <c r="G3617">
        <v>4</v>
      </c>
      <c r="H3617" t="s">
        <v>438</v>
      </c>
      <c r="I3617" s="4">
        <f t="shared" si="502"/>
        <v>3</v>
      </c>
      <c r="J3617">
        <f t="shared" si="503"/>
        <v>12</v>
      </c>
      <c r="K3617">
        <v>74</v>
      </c>
      <c r="L3617">
        <v>24</v>
      </c>
      <c r="M3617">
        <v>3.08</v>
      </c>
      <c r="N3617">
        <v>3.28</v>
      </c>
      <c r="O3617">
        <v>0</v>
      </c>
      <c r="P3617">
        <v>5</v>
      </c>
      <c r="Q3617" t="s">
        <v>566</v>
      </c>
      <c r="R3617" s="8" t="s">
        <v>260</v>
      </c>
      <c r="S3617" t="str">
        <f t="shared" si="501"/>
        <v>PA</v>
      </c>
    </row>
    <row r="3618" spans="1:19" x14ac:dyDescent="0.3">
      <c r="A3618" t="s">
        <v>8</v>
      </c>
      <c r="B3618">
        <v>2016210017</v>
      </c>
      <c r="C3618" t="s">
        <v>350</v>
      </c>
      <c r="E3618" t="s">
        <v>131</v>
      </c>
      <c r="F3618" t="s">
        <v>132</v>
      </c>
      <c r="G3618">
        <v>2</v>
      </c>
      <c r="H3618" t="s">
        <v>438</v>
      </c>
      <c r="I3618" s="4">
        <f t="shared" si="502"/>
        <v>3</v>
      </c>
      <c r="J3618">
        <f t="shared" si="503"/>
        <v>6</v>
      </c>
      <c r="K3618">
        <v>66</v>
      </c>
      <c r="L3618">
        <v>20</v>
      </c>
      <c r="M3618" s="2">
        <v>3.3</v>
      </c>
      <c r="N3618">
        <v>3.28</v>
      </c>
      <c r="O3618">
        <v>0</v>
      </c>
      <c r="P3618">
        <v>1</v>
      </c>
      <c r="Q3618" t="s">
        <v>558</v>
      </c>
      <c r="R3618" s="8" t="s">
        <v>260</v>
      </c>
      <c r="S3618" t="str">
        <f t="shared" si="501"/>
        <v>PA</v>
      </c>
    </row>
    <row r="3619" spans="1:19" x14ac:dyDescent="0.3">
      <c r="A3619" t="s">
        <v>8</v>
      </c>
      <c r="B3619">
        <v>2016210017</v>
      </c>
      <c r="C3619" t="s">
        <v>350</v>
      </c>
      <c r="E3619" t="s">
        <v>393</v>
      </c>
      <c r="F3619" t="s">
        <v>436</v>
      </c>
      <c r="G3619">
        <v>2</v>
      </c>
      <c r="H3619" t="s">
        <v>438</v>
      </c>
      <c r="I3619" s="4">
        <f t="shared" si="502"/>
        <v>3</v>
      </c>
      <c r="J3619">
        <f t="shared" si="503"/>
        <v>6</v>
      </c>
      <c r="K3619">
        <v>74</v>
      </c>
      <c r="L3619">
        <v>24</v>
      </c>
      <c r="M3619">
        <v>3.08</v>
      </c>
      <c r="N3619">
        <v>3.28</v>
      </c>
      <c r="O3619">
        <v>0</v>
      </c>
      <c r="P3619">
        <v>5</v>
      </c>
      <c r="Q3619" t="s">
        <v>566</v>
      </c>
      <c r="R3619" s="8" t="s">
        <v>260</v>
      </c>
      <c r="S3619" t="str">
        <f t="shared" si="501"/>
        <v>PA</v>
      </c>
    </row>
    <row r="3620" spans="1:19" x14ac:dyDescent="0.3">
      <c r="A3620" t="s">
        <v>8</v>
      </c>
      <c r="B3620">
        <v>2016210017</v>
      </c>
      <c r="C3620" t="s">
        <v>350</v>
      </c>
      <c r="E3620" t="s">
        <v>136</v>
      </c>
      <c r="F3620" t="s">
        <v>137</v>
      </c>
      <c r="G3620">
        <v>4</v>
      </c>
      <c r="H3620" t="s">
        <v>438</v>
      </c>
      <c r="I3620" s="4">
        <f t="shared" si="502"/>
        <v>3</v>
      </c>
      <c r="J3620">
        <f t="shared" si="503"/>
        <v>12</v>
      </c>
      <c r="K3620">
        <v>72</v>
      </c>
      <c r="L3620">
        <v>24</v>
      </c>
      <c r="M3620" s="2">
        <v>3</v>
      </c>
      <c r="N3620">
        <v>3.28</v>
      </c>
      <c r="O3620">
        <v>0</v>
      </c>
      <c r="P3620">
        <v>6</v>
      </c>
      <c r="Q3620" t="s">
        <v>567</v>
      </c>
      <c r="R3620" s="8" t="s">
        <v>260</v>
      </c>
      <c r="S3620" t="str">
        <f t="shared" si="501"/>
        <v>PA</v>
      </c>
    </row>
    <row r="3621" spans="1:19" x14ac:dyDescent="0.3">
      <c r="A3621" t="s">
        <v>8</v>
      </c>
      <c r="B3621">
        <v>2016210017</v>
      </c>
      <c r="C3621" t="s">
        <v>350</v>
      </c>
      <c r="E3621" t="s">
        <v>105</v>
      </c>
      <c r="F3621" t="s">
        <v>106</v>
      </c>
      <c r="G3621">
        <v>2</v>
      </c>
      <c r="H3621" t="s">
        <v>524</v>
      </c>
      <c r="I3621" s="4">
        <f t="shared" si="502"/>
        <v>2</v>
      </c>
      <c r="J3621">
        <f t="shared" si="503"/>
        <v>4</v>
      </c>
      <c r="K3621">
        <v>60</v>
      </c>
      <c r="L3621">
        <v>18</v>
      </c>
      <c r="M3621">
        <v>3.33</v>
      </c>
      <c r="N3621">
        <v>3.28</v>
      </c>
      <c r="O3621">
        <v>0</v>
      </c>
      <c r="P3621">
        <v>3</v>
      </c>
      <c r="Q3621" s="4" t="str">
        <f>IF(P3621=1,"2016/2017-Ganjil",IF(P3621=2,"2016/2017-Genap",IF(P3621=3,"2017/2018-Ganjil",IF(P3621=4,"2017/2018-Genap",IF(P3621=5,"2018/2019-Ganjil",IF(P3621=6,"2018/2019-Genap",IF(P3621=7,"2019/2020-Ganjil",IF(P3621=8,"2019/2020-Genap",IF(P3621=9,"2020/2021-Ganjil",IF(P3621=10,"2020/2021-Genap",IF(P3621=11,"2021/2022-Ganjil",IF(P3621=12,"2021/2022-Genap",IF(P3621=13,"2022/2023-Ganjil","2022/2023-Genap")))))))))))))</f>
        <v>2017/2018-Ganjil</v>
      </c>
      <c r="R3621" s="8" t="s">
        <v>260</v>
      </c>
      <c r="S3621" t="str">
        <f t="shared" si="501"/>
        <v>PA</v>
      </c>
    </row>
    <row r="3622" spans="1:19" x14ac:dyDescent="0.3">
      <c r="A3622" t="s">
        <v>8</v>
      </c>
      <c r="B3622">
        <v>2016210017</v>
      </c>
      <c r="C3622" t="s">
        <v>350</v>
      </c>
      <c r="E3622" t="s">
        <v>110</v>
      </c>
      <c r="F3622" t="s">
        <v>111</v>
      </c>
      <c r="G3622">
        <v>4</v>
      </c>
      <c r="H3622" t="s">
        <v>260</v>
      </c>
      <c r="I3622" s="4">
        <f t="shared" si="502"/>
        <v>4</v>
      </c>
      <c r="J3622">
        <f t="shared" si="503"/>
        <v>16</v>
      </c>
      <c r="K3622">
        <v>46</v>
      </c>
      <c r="L3622">
        <v>14</v>
      </c>
      <c r="M3622">
        <v>3.29</v>
      </c>
      <c r="N3622">
        <v>3.28</v>
      </c>
      <c r="O3622">
        <v>1</v>
      </c>
      <c r="P3622">
        <v>7</v>
      </c>
      <c r="Q3622" t="s">
        <v>568</v>
      </c>
      <c r="R3622" s="8" t="s">
        <v>260</v>
      </c>
      <c r="S3622" t="str">
        <f t="shared" si="501"/>
        <v>PA</v>
      </c>
    </row>
    <row r="3623" spans="1:19" x14ac:dyDescent="0.3">
      <c r="A3623" t="s">
        <v>8</v>
      </c>
      <c r="B3623">
        <v>2016210017</v>
      </c>
      <c r="C3623" t="s">
        <v>350</v>
      </c>
      <c r="E3623" t="s">
        <v>110</v>
      </c>
      <c r="F3623" t="s">
        <v>111</v>
      </c>
      <c r="G3623">
        <v>4</v>
      </c>
      <c r="H3623" t="s">
        <v>524</v>
      </c>
      <c r="I3623" s="4">
        <f t="shared" si="502"/>
        <v>2</v>
      </c>
      <c r="J3623">
        <f t="shared" si="503"/>
        <v>8</v>
      </c>
      <c r="K3623">
        <v>66</v>
      </c>
      <c r="L3623">
        <v>20</v>
      </c>
      <c r="M3623" s="2">
        <v>3.3</v>
      </c>
      <c r="N3623">
        <v>3.28</v>
      </c>
      <c r="O3623">
        <v>0</v>
      </c>
      <c r="P3623">
        <v>1</v>
      </c>
      <c r="Q3623" t="s">
        <v>558</v>
      </c>
      <c r="R3623" s="8" t="s">
        <v>260</v>
      </c>
      <c r="S3623" t="str">
        <f t="shared" si="501"/>
        <v>PA</v>
      </c>
    </row>
    <row r="3624" spans="1:19" x14ac:dyDescent="0.3">
      <c r="A3624" t="s">
        <v>8</v>
      </c>
      <c r="B3624">
        <v>2016210017</v>
      </c>
      <c r="C3624" t="s">
        <v>350</v>
      </c>
      <c r="E3624" t="s">
        <v>449</v>
      </c>
      <c r="F3624" t="s">
        <v>460</v>
      </c>
      <c r="G3624">
        <v>4</v>
      </c>
      <c r="H3624" t="s">
        <v>524</v>
      </c>
      <c r="I3624" s="4">
        <f t="shared" si="502"/>
        <v>2</v>
      </c>
      <c r="J3624">
        <f t="shared" si="503"/>
        <v>8</v>
      </c>
      <c r="K3624">
        <v>78</v>
      </c>
      <c r="L3624">
        <v>24</v>
      </c>
      <c r="M3624">
        <v>3.25</v>
      </c>
      <c r="N3624">
        <v>3.28</v>
      </c>
      <c r="O3624">
        <v>0</v>
      </c>
      <c r="P3624">
        <v>4</v>
      </c>
      <c r="Q3624" s="4" t="str">
        <f>IF(P3624=1,"2016/2017-Ganjil",IF(P3624=2,"2016/2017-Genap",IF(P3624=3,"2017/2018-Ganjil",IF(P3624=4,"2017/2018-Genap",IF(P3624=5,"2018/2019-Ganjil",IF(P3624=6,"2018/2019-Genap",IF(P3624=7,"2019/2020-Ganjil",IF(P3624=8,"2019/2020-Genap",IF(P3624=9,"2020/2021-Ganjil",IF(P3624=10,"2020/2021-Genap",IF(P3624=11,"2021/2022-Ganjil",IF(P3624=12,"2021/2022-Genap",IF(P3624=13,"2022/2023-Ganjil","2022/2023-Genap")))))))))))))</f>
        <v>2017/2018-Genap</v>
      </c>
      <c r="R3624" s="8" t="s">
        <v>260</v>
      </c>
      <c r="S3624" t="str">
        <f t="shared" si="501"/>
        <v>PA</v>
      </c>
    </row>
    <row r="3625" spans="1:19" x14ac:dyDescent="0.3">
      <c r="A3625" t="s">
        <v>8</v>
      </c>
      <c r="B3625">
        <v>2016210017</v>
      </c>
      <c r="C3625" t="s">
        <v>350</v>
      </c>
      <c r="E3625" t="s">
        <v>369</v>
      </c>
      <c r="F3625" t="s">
        <v>307</v>
      </c>
      <c r="G3625">
        <v>2</v>
      </c>
      <c r="H3625" t="s">
        <v>524</v>
      </c>
      <c r="I3625" s="4">
        <f t="shared" si="502"/>
        <v>2</v>
      </c>
      <c r="J3625">
        <f t="shared" si="503"/>
        <v>4</v>
      </c>
      <c r="K3625">
        <v>78</v>
      </c>
      <c r="L3625">
        <v>24</v>
      </c>
      <c r="M3625">
        <v>3.25</v>
      </c>
      <c r="N3625">
        <v>3.28</v>
      </c>
      <c r="O3625">
        <v>0</v>
      </c>
      <c r="P3625">
        <v>4</v>
      </c>
      <c r="Q3625" s="4" t="str">
        <f>IF(P3625=1,"2016/2017-Ganjil",IF(P3625=2,"2016/2017-Genap",IF(P3625=3,"2017/2018-Ganjil",IF(P3625=4,"2017/2018-Genap",IF(P3625=5,"2018/2019-Ganjil",IF(P3625=6,"2018/2019-Genap",IF(P3625=7,"2019/2020-Ganjil",IF(P3625=8,"2019/2020-Genap",IF(P3625=9,"2020/2021-Ganjil",IF(P3625=10,"2020/2021-Genap",IF(P3625=11,"2021/2022-Ganjil",IF(P3625=12,"2021/2022-Genap",IF(P3625=13,"2022/2023-Ganjil","2022/2023-Genap")))))))))))))</f>
        <v>2017/2018-Genap</v>
      </c>
      <c r="R3625" s="8" t="s">
        <v>260</v>
      </c>
      <c r="S3625" t="str">
        <f t="shared" si="501"/>
        <v>PA</v>
      </c>
    </row>
    <row r="3626" spans="1:19" x14ac:dyDescent="0.3">
      <c r="A3626" t="s">
        <v>8</v>
      </c>
      <c r="B3626">
        <v>2016210017</v>
      </c>
      <c r="C3626" t="s">
        <v>350</v>
      </c>
      <c r="E3626" t="s">
        <v>391</v>
      </c>
      <c r="F3626" t="s">
        <v>392</v>
      </c>
      <c r="G3626">
        <v>2</v>
      </c>
      <c r="H3626" t="s">
        <v>524</v>
      </c>
      <c r="I3626" s="4">
        <f t="shared" si="502"/>
        <v>2</v>
      </c>
      <c r="J3626">
        <f t="shared" si="503"/>
        <v>4</v>
      </c>
      <c r="K3626">
        <v>74</v>
      </c>
      <c r="L3626">
        <v>24</v>
      </c>
      <c r="M3626">
        <v>3.08</v>
      </c>
      <c r="N3626">
        <v>3.28</v>
      </c>
      <c r="O3626">
        <v>0</v>
      </c>
      <c r="P3626">
        <v>5</v>
      </c>
      <c r="Q3626" t="s">
        <v>566</v>
      </c>
      <c r="R3626" s="8" t="s">
        <v>260</v>
      </c>
      <c r="S3626" t="str">
        <f t="shared" si="501"/>
        <v>PA</v>
      </c>
    </row>
    <row r="3627" spans="1:19" x14ac:dyDescent="0.3">
      <c r="A3627" t="s">
        <v>8</v>
      </c>
      <c r="B3627">
        <v>2016210017</v>
      </c>
      <c r="C3627" t="s">
        <v>350</v>
      </c>
      <c r="E3627" t="s">
        <v>80</v>
      </c>
      <c r="F3627" t="s">
        <v>81</v>
      </c>
      <c r="G3627">
        <v>4</v>
      </c>
      <c r="H3627" t="s">
        <v>535</v>
      </c>
      <c r="I3627" s="4">
        <f t="shared" si="502"/>
        <v>1</v>
      </c>
      <c r="J3627">
        <f t="shared" si="503"/>
        <v>4</v>
      </c>
      <c r="K3627">
        <v>72</v>
      </c>
      <c r="L3627">
        <v>24</v>
      </c>
      <c r="M3627" s="2">
        <v>3</v>
      </c>
      <c r="N3627">
        <v>3.28</v>
      </c>
      <c r="O3627">
        <v>0</v>
      </c>
      <c r="P3627">
        <v>6</v>
      </c>
      <c r="Q3627" t="s">
        <v>567</v>
      </c>
      <c r="R3627" s="8" t="s">
        <v>260</v>
      </c>
      <c r="S3627" t="str">
        <f t="shared" si="501"/>
        <v>FA</v>
      </c>
    </row>
    <row r="3628" spans="1:19" x14ac:dyDescent="0.3">
      <c r="A3628" t="s">
        <v>8</v>
      </c>
      <c r="B3628">
        <v>2016210017</v>
      </c>
      <c r="C3628" t="s">
        <v>350</v>
      </c>
      <c r="E3628" t="s">
        <v>80</v>
      </c>
      <c r="F3628" t="s">
        <v>81</v>
      </c>
      <c r="G3628">
        <v>4</v>
      </c>
      <c r="H3628" t="s">
        <v>438</v>
      </c>
      <c r="I3628" s="4">
        <f t="shared" si="502"/>
        <v>3</v>
      </c>
      <c r="J3628">
        <f t="shared" si="503"/>
        <v>12</v>
      </c>
      <c r="K3628">
        <v>30</v>
      </c>
      <c r="L3628">
        <v>10</v>
      </c>
      <c r="M3628" s="2">
        <v>3</v>
      </c>
      <c r="N3628">
        <v>3.28</v>
      </c>
      <c r="O3628">
        <v>1</v>
      </c>
      <c r="P3628">
        <v>8</v>
      </c>
      <c r="Q3628" t="s">
        <v>569</v>
      </c>
      <c r="R3628" t="s">
        <v>596</v>
      </c>
      <c r="S3628" t="str">
        <f t="shared" si="501"/>
        <v>PA</v>
      </c>
    </row>
    <row r="3629" spans="1:19" x14ac:dyDescent="0.3">
      <c r="A3629" t="s">
        <v>8</v>
      </c>
      <c r="B3629">
        <v>2016210017</v>
      </c>
      <c r="C3629" t="s">
        <v>350</v>
      </c>
      <c r="E3629" t="s">
        <v>44</v>
      </c>
      <c r="F3629" t="s">
        <v>45</v>
      </c>
      <c r="G3629">
        <v>2</v>
      </c>
      <c r="H3629" t="s">
        <v>535</v>
      </c>
      <c r="I3629" s="4">
        <f t="shared" si="502"/>
        <v>1</v>
      </c>
      <c r="J3629">
        <f t="shared" si="503"/>
        <v>2</v>
      </c>
      <c r="K3629">
        <v>46</v>
      </c>
      <c r="L3629">
        <v>18</v>
      </c>
      <c r="M3629">
        <v>2.56</v>
      </c>
      <c r="N3629">
        <v>3.28</v>
      </c>
      <c r="O3629">
        <v>0</v>
      </c>
      <c r="P3629">
        <v>2</v>
      </c>
      <c r="Q3629" t="s">
        <v>559</v>
      </c>
      <c r="R3629" s="8" t="s">
        <v>260</v>
      </c>
      <c r="S3629" t="str">
        <f t="shared" si="501"/>
        <v>FA</v>
      </c>
    </row>
    <row r="3630" spans="1:19" x14ac:dyDescent="0.3">
      <c r="A3630" t="s">
        <v>8</v>
      </c>
      <c r="B3630">
        <v>2016210017</v>
      </c>
      <c r="C3630" t="s">
        <v>350</v>
      </c>
      <c r="E3630" t="s">
        <v>266</v>
      </c>
      <c r="F3630" t="s">
        <v>91</v>
      </c>
      <c r="G3630">
        <v>2</v>
      </c>
      <c r="H3630" t="s">
        <v>535</v>
      </c>
      <c r="I3630" s="4">
        <f t="shared" si="502"/>
        <v>1</v>
      </c>
      <c r="J3630">
        <f t="shared" si="503"/>
        <v>2</v>
      </c>
      <c r="K3630">
        <v>46</v>
      </c>
      <c r="L3630">
        <v>18</v>
      </c>
      <c r="M3630">
        <v>2.56</v>
      </c>
      <c r="N3630">
        <v>3.28</v>
      </c>
      <c r="O3630">
        <v>0</v>
      </c>
      <c r="P3630">
        <v>2</v>
      </c>
      <c r="Q3630" t="s">
        <v>559</v>
      </c>
      <c r="R3630" s="8" t="s">
        <v>260</v>
      </c>
      <c r="S3630" t="str">
        <f t="shared" si="501"/>
        <v>FA</v>
      </c>
    </row>
    <row r="3631" spans="1:19" x14ac:dyDescent="0.3">
      <c r="A3631" t="s">
        <v>8</v>
      </c>
      <c r="B3631">
        <v>2016210017</v>
      </c>
      <c r="C3631" t="s">
        <v>350</v>
      </c>
      <c r="E3631" t="s">
        <v>44</v>
      </c>
      <c r="F3631" t="s">
        <v>45</v>
      </c>
      <c r="G3631">
        <v>2</v>
      </c>
      <c r="H3631" t="s">
        <v>260</v>
      </c>
      <c r="I3631" s="4">
        <f t="shared" si="502"/>
        <v>4</v>
      </c>
      <c r="J3631">
        <f t="shared" si="503"/>
        <v>8</v>
      </c>
      <c r="K3631">
        <v>16</v>
      </c>
      <c r="L3631">
        <v>4</v>
      </c>
      <c r="M3631" s="2">
        <v>4</v>
      </c>
      <c r="N3631">
        <v>3.28</v>
      </c>
      <c r="O3631">
        <v>1</v>
      </c>
      <c r="P3631">
        <v>6</v>
      </c>
      <c r="Q3631" t="s">
        <v>572</v>
      </c>
      <c r="R3631" s="8" t="s">
        <v>260</v>
      </c>
      <c r="S3631" t="str">
        <f t="shared" si="501"/>
        <v>PA</v>
      </c>
    </row>
    <row r="3632" spans="1:19" x14ac:dyDescent="0.3">
      <c r="A3632" t="s">
        <v>8</v>
      </c>
      <c r="B3632">
        <v>2016210017</v>
      </c>
      <c r="C3632" t="s">
        <v>350</v>
      </c>
      <c r="E3632" t="s">
        <v>266</v>
      </c>
      <c r="F3632" t="s">
        <v>91</v>
      </c>
      <c r="G3632">
        <v>2</v>
      </c>
      <c r="H3632" t="s">
        <v>260</v>
      </c>
      <c r="I3632" s="4">
        <f t="shared" si="502"/>
        <v>4</v>
      </c>
      <c r="J3632">
        <f t="shared" si="503"/>
        <v>8</v>
      </c>
      <c r="K3632">
        <v>16</v>
      </c>
      <c r="L3632">
        <v>4</v>
      </c>
      <c r="M3632" s="2">
        <v>4</v>
      </c>
      <c r="N3632">
        <v>3.28</v>
      </c>
      <c r="O3632">
        <v>1</v>
      </c>
      <c r="P3632">
        <v>6</v>
      </c>
      <c r="Q3632" t="s">
        <v>572</v>
      </c>
      <c r="R3632" s="8" t="s">
        <v>260</v>
      </c>
      <c r="S3632" t="str">
        <f t="shared" si="501"/>
        <v>PA</v>
      </c>
    </row>
    <row r="3633" spans="1:19" x14ac:dyDescent="0.3">
      <c r="A3633" t="s">
        <v>8</v>
      </c>
      <c r="B3633">
        <v>2016210018</v>
      </c>
      <c r="C3633" t="s">
        <v>420</v>
      </c>
      <c r="E3633" t="s">
        <v>147</v>
      </c>
      <c r="F3633" t="s">
        <v>148</v>
      </c>
      <c r="G3633">
        <v>4</v>
      </c>
      <c r="H3633" t="s">
        <v>260</v>
      </c>
      <c r="I3633" s="4">
        <f t="shared" si="502"/>
        <v>4</v>
      </c>
      <c r="J3633">
        <f t="shared" si="503"/>
        <v>16</v>
      </c>
      <c r="K3633">
        <v>68</v>
      </c>
      <c r="L3633">
        <v>20</v>
      </c>
      <c r="M3633" s="2">
        <v>3.4</v>
      </c>
      <c r="N3633" s="2">
        <v>3</v>
      </c>
      <c r="O3633">
        <v>0</v>
      </c>
      <c r="P3633">
        <v>1</v>
      </c>
      <c r="Q3633" s="4" t="str">
        <f t="shared" ref="Q3633:Q3653" si="504">IF(P3633=1,"2016/2017-Ganjil",IF(P3633=2,"2016/2017-Genap",IF(P3633=3,"2017/2018-Ganjil",IF(P3633=4,"2017/2018-Genap",IF(P3633=5,"2018/2019-Ganjil",IF(P3633=6,"2018/2019-Genap",IF(P3633=7,"2019/2020-Ganjil",IF(P3633=8,"2019/2020-Genap",IF(P3633=9,"2020/2021-Ganjil",IF(P3633=10,"2020/2021-Genap",IF(P3633=11,"2021/2022-Ganjil",IF(P3633=12,"2021/2022-Genap",IF(P3633=13,"2022/2023-Ganjil","2022/2023-Genap")))))))))))))</f>
        <v>2016/2017-Ganjil</v>
      </c>
      <c r="R3633" s="8" t="s">
        <v>260</v>
      </c>
      <c r="S3633" t="str">
        <f t="shared" si="501"/>
        <v>PA</v>
      </c>
    </row>
    <row r="3634" spans="1:19" x14ac:dyDescent="0.3">
      <c r="A3634" t="s">
        <v>8</v>
      </c>
      <c r="B3634">
        <v>2016210018</v>
      </c>
      <c r="C3634" t="s">
        <v>420</v>
      </c>
      <c r="E3634" t="s">
        <v>401</v>
      </c>
      <c r="F3634" t="s">
        <v>258</v>
      </c>
      <c r="G3634">
        <v>4</v>
      </c>
      <c r="H3634" t="s">
        <v>260</v>
      </c>
      <c r="I3634" s="4">
        <f t="shared" si="502"/>
        <v>4</v>
      </c>
      <c r="J3634">
        <f t="shared" si="503"/>
        <v>16</v>
      </c>
      <c r="K3634">
        <v>56</v>
      </c>
      <c r="L3634">
        <v>18</v>
      </c>
      <c r="M3634">
        <v>3.11</v>
      </c>
      <c r="N3634" s="2">
        <v>3</v>
      </c>
      <c r="O3634">
        <v>0</v>
      </c>
      <c r="P3634">
        <v>3</v>
      </c>
      <c r="Q3634" s="4" t="str">
        <f t="shared" si="504"/>
        <v>2017/2018-Ganjil</v>
      </c>
      <c r="R3634" s="8" t="s">
        <v>535</v>
      </c>
      <c r="S3634" t="str">
        <f t="shared" si="501"/>
        <v>PA</v>
      </c>
    </row>
    <row r="3635" spans="1:19" x14ac:dyDescent="0.3">
      <c r="A3635" t="s">
        <v>8</v>
      </c>
      <c r="B3635">
        <v>2016210018</v>
      </c>
      <c r="C3635" t="s">
        <v>420</v>
      </c>
      <c r="E3635" t="s">
        <v>77</v>
      </c>
      <c r="F3635" t="s">
        <v>78</v>
      </c>
      <c r="G3635">
        <v>2</v>
      </c>
      <c r="H3635" t="s">
        <v>260</v>
      </c>
      <c r="I3635" s="4">
        <f t="shared" si="502"/>
        <v>4</v>
      </c>
      <c r="J3635">
        <f t="shared" si="503"/>
        <v>8</v>
      </c>
      <c r="K3635">
        <v>68</v>
      </c>
      <c r="L3635">
        <v>20</v>
      </c>
      <c r="M3635" s="2">
        <v>3.4</v>
      </c>
      <c r="N3635" s="2">
        <v>3</v>
      </c>
      <c r="O3635">
        <v>0</v>
      </c>
      <c r="P3635">
        <v>1</v>
      </c>
      <c r="Q3635" s="4" t="str">
        <f t="shared" si="504"/>
        <v>2016/2017-Ganjil</v>
      </c>
      <c r="R3635" s="8" t="s">
        <v>260</v>
      </c>
      <c r="S3635" t="str">
        <f t="shared" si="501"/>
        <v>PA</v>
      </c>
    </row>
    <row r="3636" spans="1:19" x14ac:dyDescent="0.3">
      <c r="A3636" t="s">
        <v>8</v>
      </c>
      <c r="B3636">
        <v>2016210018</v>
      </c>
      <c r="C3636" t="s">
        <v>420</v>
      </c>
      <c r="E3636" t="s">
        <v>202</v>
      </c>
      <c r="F3636" t="s">
        <v>203</v>
      </c>
      <c r="G3636">
        <v>4</v>
      </c>
      <c r="H3636" t="s">
        <v>260</v>
      </c>
      <c r="I3636" s="4">
        <f t="shared" si="502"/>
        <v>4</v>
      </c>
      <c r="J3636">
        <f t="shared" si="503"/>
        <v>16</v>
      </c>
      <c r="K3636">
        <v>68</v>
      </c>
      <c r="L3636">
        <v>20</v>
      </c>
      <c r="M3636" s="2">
        <v>3.4</v>
      </c>
      <c r="N3636" s="2">
        <v>3</v>
      </c>
      <c r="O3636">
        <v>0</v>
      </c>
      <c r="P3636">
        <v>1</v>
      </c>
      <c r="Q3636" s="4" t="str">
        <f t="shared" si="504"/>
        <v>2016/2017-Ganjil</v>
      </c>
      <c r="R3636" s="8" t="s">
        <v>260</v>
      </c>
      <c r="S3636" t="str">
        <f t="shared" si="501"/>
        <v>PA</v>
      </c>
    </row>
    <row r="3637" spans="1:19" x14ac:dyDescent="0.3">
      <c r="A3637" t="s">
        <v>8</v>
      </c>
      <c r="B3637">
        <v>2016210018</v>
      </c>
      <c r="C3637" t="s">
        <v>420</v>
      </c>
      <c r="E3637" t="s">
        <v>125</v>
      </c>
      <c r="F3637" t="s">
        <v>126</v>
      </c>
      <c r="G3637">
        <v>4</v>
      </c>
      <c r="H3637" t="s">
        <v>438</v>
      </c>
      <c r="I3637" s="4">
        <f t="shared" si="502"/>
        <v>3</v>
      </c>
      <c r="J3637">
        <f t="shared" si="503"/>
        <v>12</v>
      </c>
      <c r="K3637">
        <v>42</v>
      </c>
      <c r="L3637">
        <v>18</v>
      </c>
      <c r="M3637">
        <v>2.33</v>
      </c>
      <c r="N3637" s="2">
        <v>3</v>
      </c>
      <c r="O3637">
        <v>0</v>
      </c>
      <c r="P3637">
        <v>2</v>
      </c>
      <c r="Q3637" s="4" t="str">
        <f t="shared" si="504"/>
        <v>2016/2017-Genap</v>
      </c>
      <c r="R3637" s="8" t="s">
        <v>260</v>
      </c>
      <c r="S3637" t="str">
        <f t="shared" si="501"/>
        <v>PA</v>
      </c>
    </row>
    <row r="3638" spans="1:19" x14ac:dyDescent="0.3">
      <c r="A3638" t="s">
        <v>8</v>
      </c>
      <c r="B3638">
        <v>2016210018</v>
      </c>
      <c r="C3638" t="s">
        <v>420</v>
      </c>
      <c r="E3638" t="s">
        <v>232</v>
      </c>
      <c r="F3638" t="s">
        <v>245</v>
      </c>
      <c r="G3638">
        <v>2</v>
      </c>
      <c r="H3638" t="s">
        <v>438</v>
      </c>
      <c r="I3638" s="4">
        <f t="shared" si="502"/>
        <v>3</v>
      </c>
      <c r="J3638">
        <f t="shared" si="503"/>
        <v>6</v>
      </c>
      <c r="K3638">
        <v>42</v>
      </c>
      <c r="L3638">
        <v>18</v>
      </c>
      <c r="M3638">
        <v>2.33</v>
      </c>
      <c r="N3638" s="2">
        <v>3</v>
      </c>
      <c r="O3638">
        <v>0</v>
      </c>
      <c r="P3638">
        <v>2</v>
      </c>
      <c r="Q3638" s="4" t="str">
        <f t="shared" si="504"/>
        <v>2016/2017-Genap</v>
      </c>
      <c r="R3638" s="8" t="s">
        <v>260</v>
      </c>
      <c r="S3638" t="str">
        <f t="shared" si="501"/>
        <v>PA</v>
      </c>
    </row>
    <row r="3639" spans="1:19" x14ac:dyDescent="0.3">
      <c r="A3639" t="s">
        <v>8</v>
      </c>
      <c r="B3639">
        <v>2016210018</v>
      </c>
      <c r="C3639" t="s">
        <v>420</v>
      </c>
      <c r="E3639" t="s">
        <v>117</v>
      </c>
      <c r="F3639" t="s">
        <v>118</v>
      </c>
      <c r="G3639">
        <v>2</v>
      </c>
      <c r="H3639" t="s">
        <v>438</v>
      </c>
      <c r="I3639" s="4">
        <f t="shared" si="502"/>
        <v>3</v>
      </c>
      <c r="J3639">
        <f t="shared" si="503"/>
        <v>6</v>
      </c>
      <c r="K3639">
        <v>42</v>
      </c>
      <c r="L3639">
        <v>18</v>
      </c>
      <c r="M3639">
        <v>2.33</v>
      </c>
      <c r="N3639" s="2">
        <v>3</v>
      </c>
      <c r="O3639">
        <v>0</v>
      </c>
      <c r="P3639">
        <v>2</v>
      </c>
      <c r="Q3639" s="4" t="str">
        <f t="shared" si="504"/>
        <v>2016/2017-Genap</v>
      </c>
      <c r="R3639" s="8" t="s">
        <v>260</v>
      </c>
      <c r="S3639" t="str">
        <f t="shared" si="501"/>
        <v>PA</v>
      </c>
    </row>
    <row r="3640" spans="1:19" x14ac:dyDescent="0.3">
      <c r="A3640" t="s">
        <v>8</v>
      </c>
      <c r="B3640">
        <v>2016210018</v>
      </c>
      <c r="C3640" t="s">
        <v>420</v>
      </c>
      <c r="E3640" t="s">
        <v>93</v>
      </c>
      <c r="F3640" t="s">
        <v>94</v>
      </c>
      <c r="G3640">
        <v>4</v>
      </c>
      <c r="H3640" t="s">
        <v>438</v>
      </c>
      <c r="I3640" s="4">
        <f t="shared" si="502"/>
        <v>3</v>
      </c>
      <c r="J3640">
        <f t="shared" si="503"/>
        <v>12</v>
      </c>
      <c r="K3640">
        <v>56</v>
      </c>
      <c r="L3640">
        <v>18</v>
      </c>
      <c r="M3640">
        <v>3.11</v>
      </c>
      <c r="N3640" s="2">
        <v>3</v>
      </c>
      <c r="O3640">
        <v>0</v>
      </c>
      <c r="P3640">
        <v>3</v>
      </c>
      <c r="Q3640" s="4" t="str">
        <f t="shared" ref="Q3640" si="505">IF(P3640=1,"2016/2017-Ganjil",IF(P3640=2,"2016/2017-Genap",IF(P3640=3,"2017/2018-Ganjil",IF(P3640=4,"2017/2018-Genap",IF(P3640=5,"2018/2019-Ganjil",IF(P3640=6,"2018/2019-Genap",IF(P3640=7,"2019/2020-Ganjil",IF(P3640=8,"2019/2020-Genap",IF(P3640=9,"2020/2021-Ganjil",IF(P3640=10,"2020/2021-Genap",IF(P3640=11,"2021/2022-Ganjil",IF(P3640=12,"2021/2022-Genap",IF(P3640=13,"2022/2023-Ganjil","2022/2023-Genap")))))))))))))</f>
        <v>2017/2018-Ganjil</v>
      </c>
      <c r="R3640" s="8" t="s">
        <v>260</v>
      </c>
      <c r="S3640" t="str">
        <f t="shared" ref="S3640:S3654" si="506">IF(OR(H3640="A",H3640="B",H3640="C"),"PA","FA")</f>
        <v>PA</v>
      </c>
    </row>
    <row r="3641" spans="1:19" x14ac:dyDescent="0.3">
      <c r="A3641" t="s">
        <v>8</v>
      </c>
      <c r="B3641">
        <v>2016210018</v>
      </c>
      <c r="C3641" t="s">
        <v>420</v>
      </c>
      <c r="E3641" t="s">
        <v>110</v>
      </c>
      <c r="F3641" t="s">
        <v>111</v>
      </c>
      <c r="G3641">
        <v>4</v>
      </c>
      <c r="H3641" t="s">
        <v>438</v>
      </c>
      <c r="I3641" s="4">
        <f t="shared" ref="I3641:I3654" si="507">IF(H3641="A",4,IF(H3641="B",3,IF(H3641="C",2,IF(H3641="D",1,0))))</f>
        <v>3</v>
      </c>
      <c r="J3641">
        <f t="shared" ref="J3641:J3654" si="508">G3641*I3641</f>
        <v>12</v>
      </c>
      <c r="K3641">
        <v>68</v>
      </c>
      <c r="L3641">
        <v>20</v>
      </c>
      <c r="M3641" s="2">
        <v>3.4</v>
      </c>
      <c r="N3641" s="2">
        <v>3</v>
      </c>
      <c r="O3641">
        <v>0</v>
      </c>
      <c r="P3641">
        <v>1</v>
      </c>
      <c r="Q3641" s="4" t="str">
        <f t="shared" si="504"/>
        <v>2016/2017-Ganjil</v>
      </c>
      <c r="R3641" s="8" t="s">
        <v>260</v>
      </c>
      <c r="S3641" t="str">
        <f t="shared" si="506"/>
        <v>PA</v>
      </c>
    </row>
    <row r="3642" spans="1:19" x14ac:dyDescent="0.3">
      <c r="A3642" t="s">
        <v>8</v>
      </c>
      <c r="B3642">
        <v>2016210018</v>
      </c>
      <c r="C3642" t="s">
        <v>420</v>
      </c>
      <c r="E3642" t="s">
        <v>105</v>
      </c>
      <c r="F3642" t="s">
        <v>106</v>
      </c>
      <c r="G3642">
        <v>2</v>
      </c>
      <c r="H3642" t="s">
        <v>438</v>
      </c>
      <c r="I3642" s="4">
        <f t="shared" si="507"/>
        <v>3</v>
      </c>
      <c r="J3642">
        <f t="shared" si="508"/>
        <v>6</v>
      </c>
      <c r="K3642">
        <v>56</v>
      </c>
      <c r="L3642">
        <v>18</v>
      </c>
      <c r="M3642">
        <v>3.11</v>
      </c>
      <c r="N3642" s="2">
        <v>3</v>
      </c>
      <c r="O3642">
        <v>0</v>
      </c>
      <c r="P3642">
        <v>3</v>
      </c>
      <c r="Q3642" s="4" t="str">
        <f t="shared" si="504"/>
        <v>2017/2018-Ganjil</v>
      </c>
      <c r="R3642" s="8" t="s">
        <v>535</v>
      </c>
      <c r="S3642" t="str">
        <f t="shared" si="506"/>
        <v>PA</v>
      </c>
    </row>
    <row r="3643" spans="1:19" x14ac:dyDescent="0.3">
      <c r="A3643" t="s">
        <v>8</v>
      </c>
      <c r="B3643">
        <v>2016210018</v>
      </c>
      <c r="C3643" t="s">
        <v>420</v>
      </c>
      <c r="E3643" t="s">
        <v>163</v>
      </c>
      <c r="F3643" t="s">
        <v>164</v>
      </c>
      <c r="G3643">
        <v>2</v>
      </c>
      <c r="H3643" t="s">
        <v>438</v>
      </c>
      <c r="I3643" s="4">
        <f t="shared" si="507"/>
        <v>3</v>
      </c>
      <c r="J3643">
        <f t="shared" si="508"/>
        <v>6</v>
      </c>
      <c r="K3643">
        <v>68</v>
      </c>
      <c r="L3643">
        <v>20</v>
      </c>
      <c r="M3643" s="2">
        <v>3.4</v>
      </c>
      <c r="N3643" s="2">
        <v>3</v>
      </c>
      <c r="O3643">
        <v>0</v>
      </c>
      <c r="P3643">
        <v>1</v>
      </c>
      <c r="Q3643" s="4" t="str">
        <f t="shared" si="504"/>
        <v>2016/2017-Ganjil</v>
      </c>
      <c r="R3643" s="8" t="s">
        <v>260</v>
      </c>
      <c r="S3643" t="str">
        <f t="shared" si="506"/>
        <v>PA</v>
      </c>
    </row>
    <row r="3644" spans="1:19" x14ac:dyDescent="0.3">
      <c r="A3644" t="s">
        <v>8</v>
      </c>
      <c r="B3644">
        <v>2016210018</v>
      </c>
      <c r="C3644" t="s">
        <v>420</v>
      </c>
      <c r="E3644" t="s">
        <v>279</v>
      </c>
      <c r="F3644" t="s">
        <v>280</v>
      </c>
      <c r="G3644">
        <v>2</v>
      </c>
      <c r="H3644" t="s">
        <v>438</v>
      </c>
      <c r="I3644" s="4">
        <f t="shared" si="507"/>
        <v>3</v>
      </c>
      <c r="J3644">
        <f t="shared" si="508"/>
        <v>6</v>
      </c>
      <c r="K3644">
        <v>42</v>
      </c>
      <c r="L3644">
        <v>18</v>
      </c>
      <c r="M3644">
        <v>2.33</v>
      </c>
      <c r="N3644" s="2">
        <v>3</v>
      </c>
      <c r="O3644">
        <v>0</v>
      </c>
      <c r="P3644">
        <v>2</v>
      </c>
      <c r="Q3644" s="4" t="str">
        <f t="shared" si="504"/>
        <v>2016/2017-Genap</v>
      </c>
      <c r="R3644" s="8" t="s">
        <v>260</v>
      </c>
      <c r="S3644" t="str">
        <f t="shared" si="506"/>
        <v>PA</v>
      </c>
    </row>
    <row r="3645" spans="1:19" x14ac:dyDescent="0.3">
      <c r="A3645" t="s">
        <v>8</v>
      </c>
      <c r="B3645">
        <v>2016210018</v>
      </c>
      <c r="C3645" t="s">
        <v>420</v>
      </c>
      <c r="E3645" t="s">
        <v>295</v>
      </c>
      <c r="F3645" t="s">
        <v>296</v>
      </c>
      <c r="G3645">
        <v>2</v>
      </c>
      <c r="H3645" t="s">
        <v>438</v>
      </c>
      <c r="I3645" s="4">
        <f t="shared" si="507"/>
        <v>3</v>
      </c>
      <c r="J3645">
        <f t="shared" si="508"/>
        <v>6</v>
      </c>
      <c r="K3645">
        <v>56</v>
      </c>
      <c r="L3645">
        <v>18</v>
      </c>
      <c r="M3645">
        <v>3.11</v>
      </c>
      <c r="N3645" s="2">
        <v>3</v>
      </c>
      <c r="O3645">
        <v>0</v>
      </c>
      <c r="P3645">
        <v>3</v>
      </c>
      <c r="Q3645" s="4" t="str">
        <f t="shared" si="504"/>
        <v>2017/2018-Ganjil</v>
      </c>
      <c r="R3645" s="8" t="s">
        <v>535</v>
      </c>
      <c r="S3645" t="str">
        <f t="shared" si="506"/>
        <v>PA</v>
      </c>
    </row>
    <row r="3646" spans="1:19" x14ac:dyDescent="0.3">
      <c r="A3646" t="s">
        <v>8</v>
      </c>
      <c r="B3646">
        <v>2016210018</v>
      </c>
      <c r="C3646" t="s">
        <v>420</v>
      </c>
      <c r="E3646" t="s">
        <v>157</v>
      </c>
      <c r="F3646" t="s">
        <v>158</v>
      </c>
      <c r="G3646">
        <v>2</v>
      </c>
      <c r="H3646" t="s">
        <v>438</v>
      </c>
      <c r="I3646" s="4">
        <f t="shared" si="507"/>
        <v>3</v>
      </c>
      <c r="J3646">
        <f t="shared" si="508"/>
        <v>6</v>
      </c>
      <c r="K3646">
        <v>56</v>
      </c>
      <c r="L3646">
        <v>18</v>
      </c>
      <c r="M3646">
        <v>3.11</v>
      </c>
      <c r="N3646" s="2">
        <v>3</v>
      </c>
      <c r="O3646">
        <v>0</v>
      </c>
      <c r="P3646">
        <v>3</v>
      </c>
      <c r="Q3646" s="4" t="str">
        <f t="shared" si="504"/>
        <v>2017/2018-Ganjil</v>
      </c>
      <c r="R3646" s="8" t="s">
        <v>535</v>
      </c>
      <c r="S3646" t="str">
        <f t="shared" si="506"/>
        <v>PA</v>
      </c>
    </row>
    <row r="3647" spans="1:19" x14ac:dyDescent="0.3">
      <c r="A3647" t="s">
        <v>8</v>
      </c>
      <c r="B3647">
        <v>2016210018</v>
      </c>
      <c r="C3647" t="s">
        <v>420</v>
      </c>
      <c r="E3647" t="s">
        <v>131</v>
      </c>
      <c r="F3647" t="s">
        <v>132</v>
      </c>
      <c r="G3647">
        <v>2</v>
      </c>
      <c r="H3647" t="s">
        <v>438</v>
      </c>
      <c r="I3647" s="4">
        <f t="shared" si="507"/>
        <v>3</v>
      </c>
      <c r="J3647">
        <f t="shared" si="508"/>
        <v>6</v>
      </c>
      <c r="K3647">
        <v>68</v>
      </c>
      <c r="L3647">
        <v>20</v>
      </c>
      <c r="M3647" s="2">
        <v>3.4</v>
      </c>
      <c r="N3647" s="2">
        <v>3</v>
      </c>
      <c r="O3647">
        <v>0</v>
      </c>
      <c r="P3647">
        <v>1</v>
      </c>
      <c r="Q3647" s="4" t="str">
        <f t="shared" si="504"/>
        <v>2016/2017-Ganjil</v>
      </c>
      <c r="R3647" s="8" t="s">
        <v>260</v>
      </c>
      <c r="S3647" t="str">
        <f t="shared" si="506"/>
        <v>PA</v>
      </c>
    </row>
    <row r="3648" spans="1:19" x14ac:dyDescent="0.3">
      <c r="A3648" t="s">
        <v>8</v>
      </c>
      <c r="B3648">
        <v>2016210018</v>
      </c>
      <c r="C3648" t="s">
        <v>420</v>
      </c>
      <c r="E3648" t="s">
        <v>395</v>
      </c>
      <c r="F3648" t="s">
        <v>396</v>
      </c>
      <c r="G3648">
        <v>2</v>
      </c>
      <c r="H3648" t="s">
        <v>438</v>
      </c>
      <c r="I3648" s="4">
        <f t="shared" si="507"/>
        <v>3</v>
      </c>
      <c r="J3648">
        <f t="shared" si="508"/>
        <v>6</v>
      </c>
      <c r="K3648">
        <v>56</v>
      </c>
      <c r="L3648">
        <v>18</v>
      </c>
      <c r="M3648">
        <v>3.11</v>
      </c>
      <c r="N3648" s="2">
        <v>3</v>
      </c>
      <c r="O3648">
        <v>1</v>
      </c>
      <c r="P3648">
        <v>3</v>
      </c>
      <c r="Q3648" s="4" t="str">
        <f t="shared" si="504"/>
        <v>2017/2018-Ganjil</v>
      </c>
      <c r="R3648" s="8" t="s">
        <v>535</v>
      </c>
      <c r="S3648" t="str">
        <f t="shared" si="506"/>
        <v>PA</v>
      </c>
    </row>
    <row r="3649" spans="1:19" x14ac:dyDescent="0.3">
      <c r="A3649" t="s">
        <v>8</v>
      </c>
      <c r="B3649">
        <v>2016210018</v>
      </c>
      <c r="C3649" t="s">
        <v>420</v>
      </c>
      <c r="E3649" t="s">
        <v>395</v>
      </c>
      <c r="F3649" t="s">
        <v>396</v>
      </c>
      <c r="G3649">
        <v>2</v>
      </c>
      <c r="H3649" t="s">
        <v>524</v>
      </c>
      <c r="I3649" s="4">
        <f t="shared" si="507"/>
        <v>2</v>
      </c>
      <c r="J3649">
        <f t="shared" si="508"/>
        <v>4</v>
      </c>
      <c r="K3649">
        <v>68</v>
      </c>
      <c r="L3649">
        <v>20</v>
      </c>
      <c r="M3649" s="2">
        <v>3.4</v>
      </c>
      <c r="N3649" s="2">
        <v>3</v>
      </c>
      <c r="O3649">
        <v>0</v>
      </c>
      <c r="P3649">
        <v>1</v>
      </c>
      <c r="Q3649" s="4" t="str">
        <f t="shared" si="504"/>
        <v>2016/2017-Ganjil</v>
      </c>
      <c r="R3649" s="8" t="s">
        <v>260</v>
      </c>
      <c r="S3649" t="str">
        <f t="shared" si="506"/>
        <v>PA</v>
      </c>
    </row>
    <row r="3650" spans="1:19" x14ac:dyDescent="0.3">
      <c r="A3650" t="s">
        <v>8</v>
      </c>
      <c r="B3650">
        <v>2016210018</v>
      </c>
      <c r="C3650" t="s">
        <v>420</v>
      </c>
      <c r="E3650" t="s">
        <v>227</v>
      </c>
      <c r="F3650" t="s">
        <v>228</v>
      </c>
      <c r="G3650">
        <v>2</v>
      </c>
      <c r="H3650" t="s">
        <v>524</v>
      </c>
      <c r="I3650" s="4">
        <f t="shared" si="507"/>
        <v>2</v>
      </c>
      <c r="J3650">
        <f t="shared" si="508"/>
        <v>4</v>
      </c>
      <c r="K3650">
        <v>56</v>
      </c>
      <c r="L3650">
        <v>18</v>
      </c>
      <c r="M3650">
        <v>3.11</v>
      </c>
      <c r="N3650" s="2">
        <v>3</v>
      </c>
      <c r="O3650">
        <v>0</v>
      </c>
      <c r="P3650">
        <v>3</v>
      </c>
      <c r="Q3650" s="4" t="str">
        <f t="shared" si="504"/>
        <v>2017/2018-Ganjil</v>
      </c>
      <c r="R3650" s="8" t="s">
        <v>535</v>
      </c>
      <c r="S3650" t="str">
        <f t="shared" si="506"/>
        <v>PA</v>
      </c>
    </row>
    <row r="3651" spans="1:19" x14ac:dyDescent="0.3">
      <c r="A3651" t="s">
        <v>8</v>
      </c>
      <c r="B3651">
        <v>2016210018</v>
      </c>
      <c r="C3651" t="s">
        <v>420</v>
      </c>
      <c r="E3651" t="s">
        <v>115</v>
      </c>
      <c r="F3651" t="s">
        <v>116</v>
      </c>
      <c r="G3651">
        <v>4</v>
      </c>
      <c r="H3651" t="s">
        <v>524</v>
      </c>
      <c r="I3651" s="4">
        <f t="shared" si="507"/>
        <v>2</v>
      </c>
      <c r="J3651">
        <f t="shared" si="508"/>
        <v>8</v>
      </c>
      <c r="K3651">
        <v>42</v>
      </c>
      <c r="L3651">
        <v>18</v>
      </c>
      <c r="M3651">
        <v>2.33</v>
      </c>
      <c r="N3651" s="2">
        <v>3</v>
      </c>
      <c r="O3651">
        <v>0</v>
      </c>
      <c r="P3651">
        <v>2</v>
      </c>
      <c r="Q3651" s="4" t="str">
        <f t="shared" si="504"/>
        <v>2016/2017-Genap</v>
      </c>
      <c r="R3651" s="8" t="s">
        <v>260</v>
      </c>
      <c r="S3651" t="str">
        <f t="shared" si="506"/>
        <v>PA</v>
      </c>
    </row>
    <row r="3652" spans="1:19" x14ac:dyDescent="0.3">
      <c r="A3652" t="s">
        <v>8</v>
      </c>
      <c r="B3652">
        <v>2016210018</v>
      </c>
      <c r="C3652" t="s">
        <v>420</v>
      </c>
      <c r="E3652" t="s">
        <v>266</v>
      </c>
      <c r="F3652" t="s">
        <v>91</v>
      </c>
      <c r="G3652">
        <v>2</v>
      </c>
      <c r="H3652" t="s">
        <v>535</v>
      </c>
      <c r="I3652" s="4">
        <f t="shared" si="507"/>
        <v>1</v>
      </c>
      <c r="J3652">
        <f t="shared" si="508"/>
        <v>2</v>
      </c>
      <c r="K3652">
        <v>42</v>
      </c>
      <c r="L3652">
        <v>18</v>
      </c>
      <c r="M3652">
        <v>2.33</v>
      </c>
      <c r="N3652" s="2">
        <v>3</v>
      </c>
      <c r="O3652">
        <v>0</v>
      </c>
      <c r="P3652">
        <v>2</v>
      </c>
      <c r="Q3652" s="4" t="str">
        <f t="shared" si="504"/>
        <v>2016/2017-Genap</v>
      </c>
      <c r="R3652" s="8" t="s">
        <v>260</v>
      </c>
      <c r="S3652" t="str">
        <f t="shared" si="506"/>
        <v>FA</v>
      </c>
    </row>
    <row r="3653" spans="1:19" x14ac:dyDescent="0.3">
      <c r="A3653" t="s">
        <v>8</v>
      </c>
      <c r="B3653">
        <v>2016210018</v>
      </c>
      <c r="C3653" t="s">
        <v>420</v>
      </c>
      <c r="E3653" t="s">
        <v>44</v>
      </c>
      <c r="F3653" t="s">
        <v>45</v>
      </c>
      <c r="G3653">
        <v>2</v>
      </c>
      <c r="H3653" t="s">
        <v>535</v>
      </c>
      <c r="I3653" s="4">
        <f t="shared" si="507"/>
        <v>1</v>
      </c>
      <c r="J3653">
        <f t="shared" si="508"/>
        <v>2</v>
      </c>
      <c r="K3653">
        <v>42</v>
      </c>
      <c r="L3653">
        <v>18</v>
      </c>
      <c r="M3653">
        <v>2.33</v>
      </c>
      <c r="N3653" s="2">
        <v>3</v>
      </c>
      <c r="O3653">
        <v>0</v>
      </c>
      <c r="P3653">
        <v>2</v>
      </c>
      <c r="Q3653" s="4" t="str">
        <f t="shared" si="504"/>
        <v>2016/2017-Genap</v>
      </c>
      <c r="R3653" s="8" t="s">
        <v>260</v>
      </c>
      <c r="S3653" t="str">
        <f t="shared" si="506"/>
        <v>FA</v>
      </c>
    </row>
    <row r="3654" spans="1:19" x14ac:dyDescent="0.3">
      <c r="A3654" t="s">
        <v>8</v>
      </c>
      <c r="B3654">
        <v>2016210019</v>
      </c>
      <c r="C3654" t="s">
        <v>56</v>
      </c>
      <c r="E3654" t="s">
        <v>10</v>
      </c>
      <c r="F3654" t="s">
        <v>11</v>
      </c>
      <c r="G3654">
        <v>2</v>
      </c>
      <c r="H3654" t="s">
        <v>539</v>
      </c>
      <c r="I3654" s="4">
        <f t="shared" si="507"/>
        <v>0</v>
      </c>
      <c r="J3654">
        <f t="shared" si="508"/>
        <v>0</v>
      </c>
      <c r="K3654">
        <v>12</v>
      </c>
      <c r="L3654">
        <v>6</v>
      </c>
      <c r="M3654" s="2">
        <v>2</v>
      </c>
      <c r="N3654">
        <v>2.52</v>
      </c>
      <c r="O3654">
        <v>0</v>
      </c>
      <c r="P3654">
        <v>12</v>
      </c>
      <c r="Q3654" t="s">
        <v>575</v>
      </c>
      <c r="R3654" s="8" t="s">
        <v>535</v>
      </c>
      <c r="S3654" t="str">
        <f t="shared" si="506"/>
        <v>FA</v>
      </c>
    </row>
    <row r="3655" spans="1:19" x14ac:dyDescent="0.3">
      <c r="A3655" t="s">
        <v>8</v>
      </c>
      <c r="B3655">
        <v>2016210019</v>
      </c>
      <c r="C3655" t="s">
        <v>56</v>
      </c>
      <c r="E3655" t="s">
        <v>67</v>
      </c>
      <c r="F3655" t="s">
        <v>11</v>
      </c>
      <c r="G3655">
        <v>2</v>
      </c>
      <c r="I3655" s="4"/>
      <c r="J3655">
        <f t="shared" ref="J3655:J3673" si="509">G3655*I3655</f>
        <v>0</v>
      </c>
      <c r="K3655">
        <v>0</v>
      </c>
      <c r="L3655">
        <v>6</v>
      </c>
      <c r="M3655" s="2">
        <v>0</v>
      </c>
      <c r="N3655">
        <v>2.52</v>
      </c>
      <c r="O3655">
        <v>0</v>
      </c>
      <c r="P3655">
        <v>11</v>
      </c>
      <c r="Q3655" t="s">
        <v>573</v>
      </c>
      <c r="R3655" s="8" t="s">
        <v>260</v>
      </c>
      <c r="S3655" t="s">
        <v>595</v>
      </c>
    </row>
    <row r="3656" spans="1:19" x14ac:dyDescent="0.3">
      <c r="A3656" t="s">
        <v>8</v>
      </c>
      <c r="B3656">
        <v>2016210019</v>
      </c>
      <c r="C3656" t="s">
        <v>56</v>
      </c>
      <c r="E3656" t="s">
        <v>105</v>
      </c>
      <c r="F3656" t="s">
        <v>106</v>
      </c>
      <c r="G3656">
        <v>2</v>
      </c>
      <c r="I3656" s="4"/>
      <c r="J3656">
        <f t="shared" si="509"/>
        <v>0</v>
      </c>
      <c r="K3656">
        <v>0</v>
      </c>
      <c r="L3656">
        <v>6</v>
      </c>
      <c r="M3656" s="2">
        <v>0</v>
      </c>
      <c r="N3656">
        <v>2.52</v>
      </c>
      <c r="O3656">
        <v>0</v>
      </c>
      <c r="P3656">
        <v>11</v>
      </c>
      <c r="Q3656" t="s">
        <v>573</v>
      </c>
      <c r="R3656" s="8" t="s">
        <v>260</v>
      </c>
      <c r="S3656" t="s">
        <v>595</v>
      </c>
    </row>
    <row r="3657" spans="1:19" x14ac:dyDescent="0.3">
      <c r="A3657" t="s">
        <v>8</v>
      </c>
      <c r="B3657">
        <v>2016210019</v>
      </c>
      <c r="C3657" t="s">
        <v>56</v>
      </c>
      <c r="E3657" t="s">
        <v>176</v>
      </c>
      <c r="F3657" t="s">
        <v>177</v>
      </c>
      <c r="G3657">
        <v>4</v>
      </c>
      <c r="I3657" s="4"/>
      <c r="J3657">
        <f t="shared" si="509"/>
        <v>0</v>
      </c>
      <c r="K3657">
        <v>12</v>
      </c>
      <c r="L3657">
        <v>8</v>
      </c>
      <c r="M3657" s="2">
        <v>1.5</v>
      </c>
      <c r="N3657">
        <v>2.52</v>
      </c>
      <c r="O3657">
        <v>0</v>
      </c>
      <c r="P3657">
        <v>9</v>
      </c>
      <c r="Q3657" t="s">
        <v>570</v>
      </c>
      <c r="R3657" s="8" t="s">
        <v>260</v>
      </c>
      <c r="S3657" t="s">
        <v>595</v>
      </c>
    </row>
    <row r="3658" spans="1:19" x14ac:dyDescent="0.3">
      <c r="A3658" t="s">
        <v>8</v>
      </c>
      <c r="B3658">
        <v>2016210019</v>
      </c>
      <c r="C3658" t="s">
        <v>56</v>
      </c>
      <c r="E3658" t="s">
        <v>136</v>
      </c>
      <c r="F3658" t="s">
        <v>137</v>
      </c>
      <c r="G3658">
        <v>4</v>
      </c>
      <c r="H3658" t="s">
        <v>539</v>
      </c>
      <c r="I3658" s="4">
        <f t="shared" ref="I3658:I3673" si="510">IF(H3658="A",4,IF(H3658="B",3,IF(H3658="C",2,IF(H3658="D",1,0))))</f>
        <v>0</v>
      </c>
      <c r="J3658">
        <f t="shared" si="509"/>
        <v>0</v>
      </c>
      <c r="K3658">
        <v>4</v>
      </c>
      <c r="L3658">
        <v>12</v>
      </c>
      <c r="M3658">
        <v>0.33</v>
      </c>
      <c r="N3658">
        <v>2.52</v>
      </c>
      <c r="O3658">
        <v>1</v>
      </c>
      <c r="P3658">
        <v>8</v>
      </c>
      <c r="Q3658" t="s">
        <v>589</v>
      </c>
      <c r="R3658" s="8" t="s">
        <v>260</v>
      </c>
      <c r="S3658" t="str">
        <f>IF(OR(H3658="A",H3658="B",H3658="C"),"PA","FA")</f>
        <v>FA</v>
      </c>
    </row>
    <row r="3659" spans="1:19" x14ac:dyDescent="0.3">
      <c r="A3659" t="s">
        <v>8</v>
      </c>
      <c r="B3659">
        <v>2016210019</v>
      </c>
      <c r="C3659" t="s">
        <v>56</v>
      </c>
      <c r="E3659" t="s">
        <v>136</v>
      </c>
      <c r="F3659" t="s">
        <v>137</v>
      </c>
      <c r="G3659">
        <v>4</v>
      </c>
      <c r="I3659" s="4"/>
      <c r="J3659">
        <f t="shared" ref="J3659" si="511">G3659*I3659</f>
        <v>0</v>
      </c>
      <c r="K3659">
        <v>24</v>
      </c>
      <c r="L3659">
        <v>10</v>
      </c>
      <c r="M3659" s="2">
        <v>2.4</v>
      </c>
      <c r="N3659">
        <v>2.52</v>
      </c>
      <c r="O3659">
        <v>0</v>
      </c>
      <c r="P3659">
        <v>6</v>
      </c>
      <c r="Q3659" t="s">
        <v>590</v>
      </c>
      <c r="R3659" s="8" t="s">
        <v>260</v>
      </c>
      <c r="S3659" t="s">
        <v>595</v>
      </c>
    </row>
    <row r="3660" spans="1:19" x14ac:dyDescent="0.3">
      <c r="A3660" t="s">
        <v>8</v>
      </c>
      <c r="B3660">
        <v>2016210019</v>
      </c>
      <c r="C3660" t="s">
        <v>56</v>
      </c>
      <c r="E3660" t="s">
        <v>136</v>
      </c>
      <c r="F3660" t="s">
        <v>137</v>
      </c>
      <c r="G3660">
        <v>4</v>
      </c>
      <c r="H3660" t="s">
        <v>524</v>
      </c>
      <c r="I3660" s="4">
        <f t="shared" si="510"/>
        <v>2</v>
      </c>
      <c r="J3660">
        <f t="shared" si="509"/>
        <v>8</v>
      </c>
      <c r="K3660">
        <v>112</v>
      </c>
      <c r="L3660">
        <v>36</v>
      </c>
      <c r="M3660" s="2">
        <v>3.11</v>
      </c>
      <c r="N3660">
        <v>2.52</v>
      </c>
      <c r="O3660">
        <v>2</v>
      </c>
      <c r="P3660">
        <v>10</v>
      </c>
      <c r="Q3660" t="s">
        <v>578</v>
      </c>
      <c r="R3660" s="8" t="s">
        <v>260</v>
      </c>
      <c r="S3660" t="str">
        <f>IF(OR(H3660="A",H3660="B",H3660="C"),"PA","FA")</f>
        <v>PA</v>
      </c>
    </row>
    <row r="3661" spans="1:19" x14ac:dyDescent="0.3">
      <c r="A3661" t="s">
        <v>8</v>
      </c>
      <c r="B3661">
        <v>2016210019</v>
      </c>
      <c r="C3661" t="s">
        <v>56</v>
      </c>
      <c r="E3661" t="s">
        <v>219</v>
      </c>
      <c r="F3661" t="s">
        <v>220</v>
      </c>
      <c r="G3661">
        <v>2</v>
      </c>
      <c r="I3661" s="4"/>
      <c r="J3661">
        <f t="shared" si="509"/>
        <v>0</v>
      </c>
      <c r="K3661">
        <v>0</v>
      </c>
      <c r="L3661">
        <v>6</v>
      </c>
      <c r="M3661" s="2">
        <v>0</v>
      </c>
      <c r="N3661">
        <v>2.52</v>
      </c>
      <c r="O3661">
        <v>0</v>
      </c>
      <c r="P3661">
        <v>11</v>
      </c>
      <c r="Q3661" t="s">
        <v>573</v>
      </c>
      <c r="R3661" s="8" t="s">
        <v>260</v>
      </c>
      <c r="S3661" t="s">
        <v>595</v>
      </c>
    </row>
    <row r="3662" spans="1:19" x14ac:dyDescent="0.3">
      <c r="A3662" t="s">
        <v>8</v>
      </c>
      <c r="B3662">
        <v>2016210019</v>
      </c>
      <c r="C3662" t="s">
        <v>56</v>
      </c>
      <c r="E3662" t="s">
        <v>119</v>
      </c>
      <c r="F3662" t="s">
        <v>120</v>
      </c>
      <c r="G3662">
        <v>2</v>
      </c>
      <c r="H3662" t="s">
        <v>535</v>
      </c>
      <c r="I3662" s="4">
        <f t="shared" si="510"/>
        <v>1</v>
      </c>
      <c r="J3662">
        <f t="shared" si="509"/>
        <v>2</v>
      </c>
      <c r="K3662">
        <v>10</v>
      </c>
      <c r="L3662">
        <v>4</v>
      </c>
      <c r="M3662" s="2">
        <v>2.5</v>
      </c>
      <c r="N3662">
        <v>2.52</v>
      </c>
      <c r="O3662">
        <v>1</v>
      </c>
      <c r="P3662">
        <v>10</v>
      </c>
      <c r="Q3662" t="s">
        <v>560</v>
      </c>
      <c r="R3662" s="8" t="s">
        <v>260</v>
      </c>
      <c r="S3662" t="str">
        <f>IF(OR(H3662="A",H3662="B",H3662="C"),"PA","FA")</f>
        <v>FA</v>
      </c>
    </row>
    <row r="3663" spans="1:19" x14ac:dyDescent="0.3">
      <c r="A3663" t="s">
        <v>8</v>
      </c>
      <c r="B3663">
        <v>2016210019</v>
      </c>
      <c r="C3663" t="s">
        <v>56</v>
      </c>
      <c r="E3663" t="s">
        <v>119</v>
      </c>
      <c r="F3663" t="s">
        <v>120</v>
      </c>
      <c r="G3663">
        <v>2</v>
      </c>
      <c r="I3663" s="4"/>
      <c r="J3663">
        <f t="shared" si="509"/>
        <v>0</v>
      </c>
      <c r="K3663">
        <v>24</v>
      </c>
      <c r="L3663">
        <v>10</v>
      </c>
      <c r="M3663" s="2">
        <v>2.4</v>
      </c>
      <c r="N3663">
        <v>2.52</v>
      </c>
      <c r="O3663">
        <v>0</v>
      </c>
      <c r="P3663">
        <v>6</v>
      </c>
      <c r="Q3663" t="s">
        <v>590</v>
      </c>
      <c r="R3663" s="8" t="s">
        <v>260</v>
      </c>
      <c r="S3663" t="s">
        <v>595</v>
      </c>
    </row>
    <row r="3664" spans="1:19" x14ac:dyDescent="0.3">
      <c r="A3664" t="s">
        <v>8</v>
      </c>
      <c r="B3664">
        <v>2016210019</v>
      </c>
      <c r="C3664" t="s">
        <v>56</v>
      </c>
      <c r="E3664" t="s">
        <v>246</v>
      </c>
      <c r="F3664" t="s">
        <v>247</v>
      </c>
      <c r="G3664">
        <v>4</v>
      </c>
      <c r="I3664" s="4"/>
      <c r="J3664">
        <f t="shared" si="509"/>
        <v>0</v>
      </c>
      <c r="K3664">
        <v>10</v>
      </c>
      <c r="L3664">
        <v>4</v>
      </c>
      <c r="M3664" s="2">
        <v>2.5</v>
      </c>
      <c r="N3664">
        <v>2.52</v>
      </c>
      <c r="O3664">
        <v>0</v>
      </c>
      <c r="P3664">
        <v>10</v>
      </c>
      <c r="Q3664" t="s">
        <v>560</v>
      </c>
      <c r="R3664" s="8" t="s">
        <v>260</v>
      </c>
      <c r="S3664" t="s">
        <v>595</v>
      </c>
    </row>
    <row r="3665" spans="1:19" x14ac:dyDescent="0.3">
      <c r="A3665" t="s">
        <v>8</v>
      </c>
      <c r="B3665">
        <v>2016210019</v>
      </c>
      <c r="C3665" t="s">
        <v>56</v>
      </c>
      <c r="E3665" t="s">
        <v>246</v>
      </c>
      <c r="F3665" t="s">
        <v>247</v>
      </c>
      <c r="G3665">
        <v>4</v>
      </c>
      <c r="I3665" s="4"/>
      <c r="J3665">
        <f t="shared" si="509"/>
        <v>0</v>
      </c>
      <c r="K3665">
        <v>12</v>
      </c>
      <c r="L3665">
        <v>6</v>
      </c>
      <c r="M3665" s="2">
        <v>2</v>
      </c>
      <c r="N3665">
        <v>2.52</v>
      </c>
      <c r="O3665">
        <v>1</v>
      </c>
      <c r="P3665">
        <v>12</v>
      </c>
      <c r="Q3665" t="s">
        <v>575</v>
      </c>
      <c r="R3665" s="8" t="s">
        <v>535</v>
      </c>
      <c r="S3665" t="s">
        <v>595</v>
      </c>
    </row>
    <row r="3666" spans="1:19" x14ac:dyDescent="0.3">
      <c r="A3666" t="s">
        <v>8</v>
      </c>
      <c r="B3666">
        <v>2016210019</v>
      </c>
      <c r="C3666" t="s">
        <v>56</v>
      </c>
      <c r="E3666" t="s">
        <v>107</v>
      </c>
      <c r="F3666" t="s">
        <v>108</v>
      </c>
      <c r="G3666">
        <v>2</v>
      </c>
      <c r="I3666" s="4"/>
      <c r="J3666">
        <f t="shared" si="509"/>
        <v>0</v>
      </c>
      <c r="K3666">
        <v>10</v>
      </c>
      <c r="L3666">
        <v>4</v>
      </c>
      <c r="M3666" s="2">
        <v>2.5</v>
      </c>
      <c r="N3666">
        <v>2.52</v>
      </c>
      <c r="O3666">
        <v>2</v>
      </c>
      <c r="P3666">
        <v>10</v>
      </c>
      <c r="Q3666" t="s">
        <v>560</v>
      </c>
      <c r="R3666" s="8" t="s">
        <v>260</v>
      </c>
      <c r="S3666" t="s">
        <v>595</v>
      </c>
    </row>
    <row r="3667" spans="1:19" x14ac:dyDescent="0.3">
      <c r="A3667" t="s">
        <v>8</v>
      </c>
      <c r="B3667">
        <v>2016210019</v>
      </c>
      <c r="C3667" t="s">
        <v>56</v>
      </c>
      <c r="E3667" t="s">
        <v>107</v>
      </c>
      <c r="F3667" t="s">
        <v>108</v>
      </c>
      <c r="G3667">
        <v>2</v>
      </c>
      <c r="H3667" t="s">
        <v>539</v>
      </c>
      <c r="I3667" s="4">
        <f t="shared" ref="I3667" si="512">IF(H3667="A",4,IF(H3667="B",3,IF(H3667="C",2,IF(H3667="D",1,0))))</f>
        <v>0</v>
      </c>
      <c r="J3667">
        <f t="shared" si="509"/>
        <v>0</v>
      </c>
      <c r="K3667">
        <v>12</v>
      </c>
      <c r="L3667">
        <v>6</v>
      </c>
      <c r="M3667" s="2">
        <v>2</v>
      </c>
      <c r="N3667">
        <v>2.52</v>
      </c>
      <c r="O3667">
        <v>3</v>
      </c>
      <c r="P3667">
        <v>12</v>
      </c>
      <c r="Q3667" t="s">
        <v>575</v>
      </c>
      <c r="R3667" s="8" t="s">
        <v>260</v>
      </c>
      <c r="S3667" t="str">
        <f>IF(OR(H3667="A",H3667="B",H3667="C"),"PA","FA")</f>
        <v>FA</v>
      </c>
    </row>
    <row r="3668" spans="1:19" x14ac:dyDescent="0.3">
      <c r="A3668" t="s">
        <v>8</v>
      </c>
      <c r="B3668">
        <v>2016210019</v>
      </c>
      <c r="C3668" t="s">
        <v>56</v>
      </c>
      <c r="E3668" t="s">
        <v>107</v>
      </c>
      <c r="F3668" t="s">
        <v>108</v>
      </c>
      <c r="G3668">
        <v>2</v>
      </c>
      <c r="I3668" s="4"/>
      <c r="J3668">
        <f t="shared" si="509"/>
        <v>0</v>
      </c>
      <c r="K3668">
        <v>4</v>
      </c>
      <c r="L3668">
        <v>12</v>
      </c>
      <c r="M3668">
        <v>0.33</v>
      </c>
      <c r="N3668">
        <v>2.52</v>
      </c>
      <c r="O3668">
        <v>1</v>
      </c>
      <c r="P3668">
        <v>8</v>
      </c>
      <c r="Q3668" t="s">
        <v>589</v>
      </c>
      <c r="R3668" s="8" t="s">
        <v>260</v>
      </c>
      <c r="S3668" t="s">
        <v>595</v>
      </c>
    </row>
    <row r="3669" spans="1:19" x14ac:dyDescent="0.3">
      <c r="A3669" t="s">
        <v>8</v>
      </c>
      <c r="B3669">
        <v>2016210019</v>
      </c>
      <c r="C3669" t="s">
        <v>56</v>
      </c>
      <c r="E3669" t="s">
        <v>107</v>
      </c>
      <c r="F3669" t="s">
        <v>108</v>
      </c>
      <c r="G3669">
        <v>2</v>
      </c>
      <c r="I3669" s="4"/>
      <c r="J3669">
        <f t="shared" si="509"/>
        <v>0</v>
      </c>
      <c r="K3669">
        <v>24</v>
      </c>
      <c r="L3669">
        <v>10</v>
      </c>
      <c r="M3669" s="2">
        <v>2.4</v>
      </c>
      <c r="N3669">
        <v>2.52</v>
      </c>
      <c r="O3669">
        <v>0</v>
      </c>
      <c r="P3669">
        <v>6</v>
      </c>
      <c r="Q3669" t="s">
        <v>590</v>
      </c>
      <c r="R3669" s="8" t="s">
        <v>260</v>
      </c>
      <c r="S3669" t="s">
        <v>595</v>
      </c>
    </row>
    <row r="3670" spans="1:19" x14ac:dyDescent="0.3">
      <c r="A3670" t="s">
        <v>8</v>
      </c>
      <c r="B3670">
        <v>2016210019</v>
      </c>
      <c r="C3670" t="s">
        <v>56</v>
      </c>
      <c r="E3670" t="s">
        <v>250</v>
      </c>
      <c r="F3670" t="s">
        <v>251</v>
      </c>
      <c r="G3670">
        <v>2</v>
      </c>
      <c r="I3670" s="4"/>
      <c r="J3670">
        <f t="shared" si="509"/>
        <v>0</v>
      </c>
      <c r="K3670">
        <v>10</v>
      </c>
      <c r="L3670">
        <v>4</v>
      </c>
      <c r="M3670" s="2">
        <v>2.5</v>
      </c>
      <c r="N3670">
        <v>2.52</v>
      </c>
      <c r="O3670">
        <v>0</v>
      </c>
      <c r="P3670">
        <v>10</v>
      </c>
      <c r="Q3670" t="s">
        <v>560</v>
      </c>
      <c r="R3670" s="8" t="s">
        <v>260</v>
      </c>
      <c r="S3670" t="s">
        <v>595</v>
      </c>
    </row>
    <row r="3671" spans="1:19" x14ac:dyDescent="0.3">
      <c r="A3671" t="s">
        <v>8</v>
      </c>
      <c r="B3671">
        <v>2016210019</v>
      </c>
      <c r="C3671" t="s">
        <v>56</v>
      </c>
      <c r="E3671" t="s">
        <v>227</v>
      </c>
      <c r="F3671" t="s">
        <v>228</v>
      </c>
      <c r="G3671">
        <v>2</v>
      </c>
      <c r="I3671" s="4"/>
      <c r="J3671">
        <f t="shared" si="509"/>
        <v>0</v>
      </c>
      <c r="K3671">
        <v>20</v>
      </c>
      <c r="L3671">
        <v>16</v>
      </c>
      <c r="M3671">
        <v>1.25</v>
      </c>
      <c r="N3671">
        <v>2.52</v>
      </c>
      <c r="O3671">
        <v>0</v>
      </c>
      <c r="P3671">
        <v>3</v>
      </c>
      <c r="Q3671" t="s">
        <v>563</v>
      </c>
      <c r="R3671" s="8" t="s">
        <v>260</v>
      </c>
      <c r="S3671" t="s">
        <v>595</v>
      </c>
    </row>
    <row r="3672" spans="1:19" x14ac:dyDescent="0.3">
      <c r="A3672" t="s">
        <v>8</v>
      </c>
      <c r="B3672">
        <v>2016210019</v>
      </c>
      <c r="C3672" t="s">
        <v>56</v>
      </c>
      <c r="E3672" t="s">
        <v>227</v>
      </c>
      <c r="F3672" t="s">
        <v>228</v>
      </c>
      <c r="G3672">
        <v>2</v>
      </c>
      <c r="I3672" s="4"/>
      <c r="J3672">
        <f t="shared" si="509"/>
        <v>0</v>
      </c>
      <c r="K3672">
        <v>0</v>
      </c>
      <c r="L3672">
        <v>6</v>
      </c>
      <c r="M3672" s="2">
        <v>0</v>
      </c>
      <c r="N3672">
        <v>2.52</v>
      </c>
      <c r="O3672">
        <v>0</v>
      </c>
      <c r="P3672">
        <v>11</v>
      </c>
      <c r="Q3672" t="s">
        <v>573</v>
      </c>
      <c r="R3672" s="8" t="s">
        <v>260</v>
      </c>
      <c r="S3672" t="s">
        <v>595</v>
      </c>
    </row>
    <row r="3673" spans="1:19" x14ac:dyDescent="0.3">
      <c r="A3673" t="s">
        <v>8</v>
      </c>
      <c r="B3673">
        <v>2016210019</v>
      </c>
      <c r="C3673" t="s">
        <v>56</v>
      </c>
      <c r="E3673" t="s">
        <v>356</v>
      </c>
      <c r="F3673" t="s">
        <v>166</v>
      </c>
      <c r="G3673">
        <v>2</v>
      </c>
      <c r="H3673" t="s">
        <v>260</v>
      </c>
      <c r="I3673" s="4">
        <f t="shared" si="510"/>
        <v>4</v>
      </c>
      <c r="J3673">
        <f t="shared" si="509"/>
        <v>8</v>
      </c>
      <c r="K3673">
        <v>10</v>
      </c>
      <c r="L3673">
        <v>4</v>
      </c>
      <c r="M3673" s="2">
        <v>2.5</v>
      </c>
      <c r="N3673">
        <v>2.52</v>
      </c>
      <c r="O3673">
        <v>0</v>
      </c>
      <c r="P3673">
        <v>10</v>
      </c>
      <c r="Q3673" t="s">
        <v>560</v>
      </c>
      <c r="R3673" s="8" t="s">
        <v>260</v>
      </c>
      <c r="S3673" t="str">
        <f t="shared" ref="S3673:S3736" si="513">IF(OR(H3673="A",H3673="B",H3673="C"),"PA","FA")</f>
        <v>PA</v>
      </c>
    </row>
    <row r="3674" spans="1:19" x14ac:dyDescent="0.3">
      <c r="A3674" t="s">
        <v>8</v>
      </c>
      <c r="B3674">
        <v>2016210019</v>
      </c>
      <c r="C3674" t="s">
        <v>56</v>
      </c>
      <c r="E3674" t="s">
        <v>597</v>
      </c>
      <c r="F3674" t="s">
        <v>275</v>
      </c>
      <c r="G3674">
        <v>2</v>
      </c>
      <c r="H3674" t="s">
        <v>260</v>
      </c>
      <c r="I3674" s="4">
        <f t="shared" ref="I3674:I3737" si="514">IF(H3674="A",4,IF(H3674="B",3,IF(H3674="C",2,IF(H3674="D",1,0))))</f>
        <v>4</v>
      </c>
      <c r="J3674">
        <f t="shared" ref="J3674:J3737" si="515">G3674*I3674</f>
        <v>8</v>
      </c>
      <c r="K3674">
        <v>24</v>
      </c>
      <c r="L3674">
        <v>10</v>
      </c>
      <c r="M3674" s="2">
        <v>2.4</v>
      </c>
      <c r="N3674">
        <v>2.52</v>
      </c>
      <c r="O3674">
        <v>0</v>
      </c>
      <c r="P3674">
        <v>6</v>
      </c>
      <c r="Q3674" t="s">
        <v>590</v>
      </c>
      <c r="R3674" s="8" t="s">
        <v>260</v>
      </c>
      <c r="S3674" t="str">
        <f t="shared" si="513"/>
        <v>PA</v>
      </c>
    </row>
    <row r="3675" spans="1:19" x14ac:dyDescent="0.3">
      <c r="A3675" t="s">
        <v>8</v>
      </c>
      <c r="B3675">
        <v>2016210019</v>
      </c>
      <c r="C3675" t="s">
        <v>56</v>
      </c>
      <c r="E3675" t="s">
        <v>352</v>
      </c>
      <c r="F3675" t="s">
        <v>353</v>
      </c>
      <c r="G3675">
        <v>2</v>
      </c>
      <c r="H3675" t="s">
        <v>260</v>
      </c>
      <c r="I3675" s="4">
        <f t="shared" si="514"/>
        <v>4</v>
      </c>
      <c r="J3675">
        <f t="shared" si="515"/>
        <v>8</v>
      </c>
      <c r="K3675">
        <v>12</v>
      </c>
      <c r="L3675">
        <v>8</v>
      </c>
      <c r="M3675" s="2">
        <v>1.5</v>
      </c>
      <c r="N3675">
        <v>2.52</v>
      </c>
      <c r="O3675">
        <v>0</v>
      </c>
      <c r="P3675">
        <v>9</v>
      </c>
      <c r="Q3675" t="s">
        <v>570</v>
      </c>
      <c r="R3675" s="8" t="s">
        <v>260</v>
      </c>
      <c r="S3675" t="str">
        <f t="shared" si="513"/>
        <v>PA</v>
      </c>
    </row>
    <row r="3676" spans="1:19" x14ac:dyDescent="0.3">
      <c r="A3676" t="s">
        <v>8</v>
      </c>
      <c r="B3676">
        <v>2016210019</v>
      </c>
      <c r="C3676" t="s">
        <v>56</v>
      </c>
      <c r="E3676" t="s">
        <v>266</v>
      </c>
      <c r="F3676" t="s">
        <v>91</v>
      </c>
      <c r="G3676">
        <v>2</v>
      </c>
      <c r="H3676" t="s">
        <v>260</v>
      </c>
      <c r="I3676" s="4">
        <f t="shared" si="514"/>
        <v>4</v>
      </c>
      <c r="J3676">
        <f t="shared" si="515"/>
        <v>8</v>
      </c>
      <c r="K3676">
        <v>40</v>
      </c>
      <c r="L3676">
        <v>20</v>
      </c>
      <c r="M3676" s="2">
        <v>2</v>
      </c>
      <c r="N3676">
        <v>2.52</v>
      </c>
      <c r="O3676">
        <v>0</v>
      </c>
      <c r="P3676">
        <v>2</v>
      </c>
      <c r="Q3676" t="s">
        <v>559</v>
      </c>
      <c r="R3676" s="8" t="s">
        <v>260</v>
      </c>
      <c r="S3676" t="str">
        <f t="shared" si="513"/>
        <v>PA</v>
      </c>
    </row>
    <row r="3677" spans="1:19" x14ac:dyDescent="0.3">
      <c r="A3677" t="s">
        <v>8</v>
      </c>
      <c r="B3677">
        <v>2016210019</v>
      </c>
      <c r="C3677" t="s">
        <v>56</v>
      </c>
      <c r="E3677" t="s">
        <v>369</v>
      </c>
      <c r="F3677" t="s">
        <v>307</v>
      </c>
      <c r="G3677">
        <v>2</v>
      </c>
      <c r="H3677" t="s">
        <v>260</v>
      </c>
      <c r="I3677" s="4">
        <f t="shared" si="514"/>
        <v>4</v>
      </c>
      <c r="J3677">
        <f t="shared" si="515"/>
        <v>8</v>
      </c>
      <c r="K3677">
        <v>24</v>
      </c>
      <c r="L3677">
        <v>10</v>
      </c>
      <c r="M3677" s="2">
        <v>2.4</v>
      </c>
      <c r="N3677">
        <v>2.52</v>
      </c>
      <c r="O3677">
        <v>0</v>
      </c>
      <c r="P3677">
        <v>6</v>
      </c>
      <c r="Q3677" t="s">
        <v>590</v>
      </c>
      <c r="R3677" s="8" t="s">
        <v>260</v>
      </c>
      <c r="S3677" t="str">
        <f t="shared" si="513"/>
        <v>PA</v>
      </c>
    </row>
    <row r="3678" spans="1:19" x14ac:dyDescent="0.3">
      <c r="A3678" t="s">
        <v>8</v>
      </c>
      <c r="B3678">
        <v>2016210019</v>
      </c>
      <c r="C3678" t="s">
        <v>56</v>
      </c>
      <c r="E3678" t="s">
        <v>93</v>
      </c>
      <c r="F3678" t="s">
        <v>94</v>
      </c>
      <c r="G3678">
        <v>4</v>
      </c>
      <c r="H3678" t="s">
        <v>438</v>
      </c>
      <c r="I3678" s="4">
        <f t="shared" si="514"/>
        <v>3</v>
      </c>
      <c r="J3678">
        <f t="shared" si="515"/>
        <v>12</v>
      </c>
      <c r="K3678">
        <v>20</v>
      </c>
      <c r="L3678">
        <v>16</v>
      </c>
      <c r="M3678">
        <v>1.25</v>
      </c>
      <c r="N3678">
        <v>2.52</v>
      </c>
      <c r="O3678">
        <v>0</v>
      </c>
      <c r="P3678">
        <v>3</v>
      </c>
      <c r="Q3678" t="s">
        <v>563</v>
      </c>
      <c r="R3678" s="8" t="s">
        <v>260</v>
      </c>
      <c r="S3678" t="str">
        <f t="shared" si="513"/>
        <v>PA</v>
      </c>
    </row>
    <row r="3679" spans="1:19" x14ac:dyDescent="0.3">
      <c r="A3679" t="s">
        <v>8</v>
      </c>
      <c r="B3679">
        <v>2016210019</v>
      </c>
      <c r="C3679" t="s">
        <v>56</v>
      </c>
      <c r="E3679" t="s">
        <v>163</v>
      </c>
      <c r="F3679" t="s">
        <v>164</v>
      </c>
      <c r="G3679">
        <v>2</v>
      </c>
      <c r="H3679" t="s">
        <v>438</v>
      </c>
      <c r="I3679" s="4">
        <f t="shared" si="514"/>
        <v>3</v>
      </c>
      <c r="J3679">
        <f t="shared" si="515"/>
        <v>6</v>
      </c>
      <c r="K3679">
        <v>46</v>
      </c>
      <c r="L3679">
        <v>20</v>
      </c>
      <c r="M3679" s="2">
        <v>2.2999999999999998</v>
      </c>
      <c r="N3679">
        <v>2.52</v>
      </c>
      <c r="O3679">
        <v>0</v>
      </c>
      <c r="P3679">
        <v>1</v>
      </c>
      <c r="Q3679" t="s">
        <v>558</v>
      </c>
      <c r="R3679" s="8" t="s">
        <v>260</v>
      </c>
      <c r="S3679" t="str">
        <f t="shared" si="513"/>
        <v>PA</v>
      </c>
    </row>
    <row r="3680" spans="1:19" x14ac:dyDescent="0.3">
      <c r="A3680" t="s">
        <v>8</v>
      </c>
      <c r="B3680">
        <v>2016210019</v>
      </c>
      <c r="C3680" t="s">
        <v>56</v>
      </c>
      <c r="E3680" t="s">
        <v>147</v>
      </c>
      <c r="F3680" t="s">
        <v>148</v>
      </c>
      <c r="G3680">
        <v>4</v>
      </c>
      <c r="H3680" t="s">
        <v>438</v>
      </c>
      <c r="I3680" s="4">
        <f t="shared" si="514"/>
        <v>3</v>
      </c>
      <c r="J3680">
        <f t="shared" si="515"/>
        <v>12</v>
      </c>
      <c r="K3680">
        <v>46</v>
      </c>
      <c r="L3680">
        <v>20</v>
      </c>
      <c r="M3680" s="2">
        <v>2.2999999999999998</v>
      </c>
      <c r="N3680">
        <v>2.52</v>
      </c>
      <c r="O3680">
        <v>0</v>
      </c>
      <c r="P3680">
        <v>1</v>
      </c>
      <c r="Q3680" t="s">
        <v>558</v>
      </c>
      <c r="R3680" s="8" t="s">
        <v>260</v>
      </c>
      <c r="S3680" t="str">
        <f t="shared" si="513"/>
        <v>PA</v>
      </c>
    </row>
    <row r="3681" spans="1:19" x14ac:dyDescent="0.3">
      <c r="A3681" t="s">
        <v>8</v>
      </c>
      <c r="B3681">
        <v>2016210019</v>
      </c>
      <c r="C3681" t="s">
        <v>56</v>
      </c>
      <c r="E3681" t="s">
        <v>407</v>
      </c>
      <c r="F3681" t="s">
        <v>312</v>
      </c>
      <c r="G3681">
        <v>2</v>
      </c>
      <c r="H3681" t="s">
        <v>438</v>
      </c>
      <c r="I3681" s="4">
        <f t="shared" si="514"/>
        <v>3</v>
      </c>
      <c r="J3681">
        <f t="shared" si="515"/>
        <v>6</v>
      </c>
      <c r="K3681">
        <v>18</v>
      </c>
      <c r="L3681">
        <v>8</v>
      </c>
      <c r="M3681">
        <v>2.25</v>
      </c>
      <c r="N3681">
        <v>2.52</v>
      </c>
      <c r="O3681">
        <v>0</v>
      </c>
      <c r="P3681">
        <v>7</v>
      </c>
      <c r="Q3681" t="s">
        <v>568</v>
      </c>
      <c r="R3681" s="8" t="s">
        <v>260</v>
      </c>
      <c r="S3681" t="str">
        <f t="shared" si="513"/>
        <v>PA</v>
      </c>
    </row>
    <row r="3682" spans="1:19" x14ac:dyDescent="0.3">
      <c r="A3682" t="s">
        <v>8</v>
      </c>
      <c r="B3682">
        <v>2016210019</v>
      </c>
      <c r="C3682" t="s">
        <v>56</v>
      </c>
      <c r="E3682" t="s">
        <v>80</v>
      </c>
      <c r="F3682" t="s">
        <v>81</v>
      </c>
      <c r="G3682">
        <v>4</v>
      </c>
      <c r="H3682" t="s">
        <v>438</v>
      </c>
      <c r="I3682" s="4">
        <f t="shared" si="514"/>
        <v>3</v>
      </c>
      <c r="J3682">
        <f t="shared" si="515"/>
        <v>12</v>
      </c>
      <c r="K3682">
        <v>12</v>
      </c>
      <c r="L3682">
        <v>6</v>
      </c>
      <c r="M3682" s="2">
        <v>2</v>
      </c>
      <c r="N3682">
        <v>2.52</v>
      </c>
      <c r="O3682">
        <v>0</v>
      </c>
      <c r="P3682">
        <v>12</v>
      </c>
      <c r="Q3682" t="s">
        <v>575</v>
      </c>
      <c r="R3682" s="8" t="s">
        <v>535</v>
      </c>
      <c r="S3682" t="str">
        <f t="shared" si="513"/>
        <v>PA</v>
      </c>
    </row>
    <row r="3683" spans="1:19" x14ac:dyDescent="0.3">
      <c r="A3683" t="s">
        <v>8</v>
      </c>
      <c r="B3683">
        <v>2016210019</v>
      </c>
      <c r="C3683" t="s">
        <v>56</v>
      </c>
      <c r="E3683" t="s">
        <v>117</v>
      </c>
      <c r="F3683" t="s">
        <v>118</v>
      </c>
      <c r="G3683">
        <v>2</v>
      </c>
      <c r="H3683" t="s">
        <v>438</v>
      </c>
      <c r="I3683" s="4">
        <f t="shared" si="514"/>
        <v>3</v>
      </c>
      <c r="J3683">
        <f t="shared" si="515"/>
        <v>6</v>
      </c>
      <c r="K3683">
        <v>40</v>
      </c>
      <c r="L3683">
        <v>20</v>
      </c>
      <c r="M3683" s="2">
        <v>2</v>
      </c>
      <c r="N3683">
        <v>2.52</v>
      </c>
      <c r="O3683">
        <v>0</v>
      </c>
      <c r="P3683">
        <v>2</v>
      </c>
      <c r="Q3683" t="s">
        <v>559</v>
      </c>
      <c r="R3683" s="8" t="s">
        <v>260</v>
      </c>
      <c r="S3683" t="str">
        <f t="shared" si="513"/>
        <v>PA</v>
      </c>
    </row>
    <row r="3684" spans="1:19" x14ac:dyDescent="0.3">
      <c r="A3684" t="s">
        <v>8</v>
      </c>
      <c r="B3684">
        <v>2016210019</v>
      </c>
      <c r="C3684" t="s">
        <v>56</v>
      </c>
      <c r="E3684" t="s">
        <v>22</v>
      </c>
      <c r="F3684" t="s">
        <v>23</v>
      </c>
      <c r="G3684">
        <v>2</v>
      </c>
      <c r="H3684" t="s">
        <v>438</v>
      </c>
      <c r="I3684" s="4">
        <f t="shared" si="514"/>
        <v>3</v>
      </c>
      <c r="J3684">
        <f t="shared" si="515"/>
        <v>6</v>
      </c>
      <c r="K3684">
        <v>40</v>
      </c>
      <c r="L3684">
        <v>20</v>
      </c>
      <c r="M3684" s="2">
        <v>2</v>
      </c>
      <c r="N3684">
        <v>2.52</v>
      </c>
      <c r="O3684">
        <v>0</v>
      </c>
      <c r="P3684">
        <v>2</v>
      </c>
      <c r="Q3684" t="s">
        <v>559</v>
      </c>
      <c r="R3684" s="8" t="s">
        <v>260</v>
      </c>
      <c r="S3684" t="str">
        <f t="shared" si="513"/>
        <v>PA</v>
      </c>
    </row>
    <row r="3685" spans="1:19" x14ac:dyDescent="0.3">
      <c r="A3685" t="s">
        <v>8</v>
      </c>
      <c r="B3685">
        <v>2016210019</v>
      </c>
      <c r="C3685" t="s">
        <v>56</v>
      </c>
      <c r="E3685" t="s">
        <v>232</v>
      </c>
      <c r="F3685" t="s">
        <v>245</v>
      </c>
      <c r="G3685">
        <v>2</v>
      </c>
      <c r="H3685" t="s">
        <v>438</v>
      </c>
      <c r="I3685" s="4">
        <f t="shared" si="514"/>
        <v>3</v>
      </c>
      <c r="J3685">
        <f t="shared" si="515"/>
        <v>6</v>
      </c>
      <c r="K3685">
        <v>40</v>
      </c>
      <c r="L3685">
        <v>20</v>
      </c>
      <c r="M3685" s="2">
        <v>2</v>
      </c>
      <c r="N3685">
        <v>2.52</v>
      </c>
      <c r="O3685">
        <v>0</v>
      </c>
      <c r="P3685">
        <v>2</v>
      </c>
      <c r="Q3685" t="s">
        <v>559</v>
      </c>
      <c r="R3685" s="8" t="s">
        <v>260</v>
      </c>
      <c r="S3685" t="str">
        <f t="shared" si="513"/>
        <v>PA</v>
      </c>
    </row>
    <row r="3686" spans="1:19" x14ac:dyDescent="0.3">
      <c r="A3686" t="s">
        <v>8</v>
      </c>
      <c r="B3686">
        <v>2016210019</v>
      </c>
      <c r="C3686" t="s">
        <v>56</v>
      </c>
      <c r="E3686" t="s">
        <v>295</v>
      </c>
      <c r="F3686" t="s">
        <v>296</v>
      </c>
      <c r="G3686">
        <v>2</v>
      </c>
      <c r="H3686" t="s">
        <v>438</v>
      </c>
      <c r="I3686" s="4">
        <f t="shared" si="514"/>
        <v>3</v>
      </c>
      <c r="J3686">
        <f t="shared" si="515"/>
        <v>6</v>
      </c>
      <c r="K3686">
        <v>20</v>
      </c>
      <c r="L3686">
        <v>16</v>
      </c>
      <c r="M3686">
        <v>1.25</v>
      </c>
      <c r="N3686">
        <v>2.52</v>
      </c>
      <c r="O3686">
        <v>0</v>
      </c>
      <c r="P3686">
        <v>3</v>
      </c>
      <c r="Q3686" t="s">
        <v>563</v>
      </c>
      <c r="R3686" s="8" t="s">
        <v>260</v>
      </c>
      <c r="S3686" t="str">
        <f t="shared" si="513"/>
        <v>PA</v>
      </c>
    </row>
    <row r="3687" spans="1:19" x14ac:dyDescent="0.3">
      <c r="A3687" t="s">
        <v>8</v>
      </c>
      <c r="B3687">
        <v>2016210019</v>
      </c>
      <c r="C3687" t="s">
        <v>56</v>
      </c>
      <c r="E3687" t="s">
        <v>202</v>
      </c>
      <c r="F3687" t="s">
        <v>203</v>
      </c>
      <c r="G3687">
        <v>4</v>
      </c>
      <c r="H3687" t="s">
        <v>438</v>
      </c>
      <c r="I3687" s="4">
        <f t="shared" si="514"/>
        <v>3</v>
      </c>
      <c r="J3687">
        <f t="shared" si="515"/>
        <v>12</v>
      </c>
      <c r="K3687">
        <v>46</v>
      </c>
      <c r="L3687">
        <v>20</v>
      </c>
      <c r="M3687" s="2">
        <v>2.2999999999999998</v>
      </c>
      <c r="N3687">
        <v>2.52</v>
      </c>
      <c r="O3687">
        <v>0</v>
      </c>
      <c r="P3687">
        <v>1</v>
      </c>
      <c r="Q3687" t="s">
        <v>558</v>
      </c>
      <c r="R3687" s="8" t="s">
        <v>260</v>
      </c>
      <c r="S3687" t="str">
        <f t="shared" si="513"/>
        <v>PA</v>
      </c>
    </row>
    <row r="3688" spans="1:19" x14ac:dyDescent="0.3">
      <c r="A3688" t="s">
        <v>8</v>
      </c>
      <c r="B3688">
        <v>2016210019</v>
      </c>
      <c r="C3688" t="s">
        <v>56</v>
      </c>
      <c r="E3688" t="s">
        <v>131</v>
      </c>
      <c r="F3688" t="s">
        <v>132</v>
      </c>
      <c r="G3688">
        <v>2</v>
      </c>
      <c r="H3688" t="s">
        <v>438</v>
      </c>
      <c r="I3688" s="4">
        <f t="shared" si="514"/>
        <v>3</v>
      </c>
      <c r="J3688">
        <f t="shared" si="515"/>
        <v>6</v>
      </c>
      <c r="K3688">
        <v>46</v>
      </c>
      <c r="L3688">
        <v>20</v>
      </c>
      <c r="M3688" s="2">
        <v>2.2999999999999998</v>
      </c>
      <c r="N3688">
        <v>2.52</v>
      </c>
      <c r="O3688">
        <v>0</v>
      </c>
      <c r="P3688">
        <v>1</v>
      </c>
      <c r="Q3688" t="s">
        <v>558</v>
      </c>
      <c r="R3688" s="8" t="s">
        <v>260</v>
      </c>
      <c r="S3688" t="str">
        <f t="shared" si="513"/>
        <v>PA</v>
      </c>
    </row>
    <row r="3689" spans="1:19" x14ac:dyDescent="0.3">
      <c r="A3689" t="s">
        <v>8</v>
      </c>
      <c r="B3689">
        <v>2016210019</v>
      </c>
      <c r="C3689" t="s">
        <v>56</v>
      </c>
      <c r="E3689" t="s">
        <v>182</v>
      </c>
      <c r="F3689" t="s">
        <v>171</v>
      </c>
      <c r="G3689">
        <v>2</v>
      </c>
      <c r="H3689" t="s">
        <v>438</v>
      </c>
      <c r="I3689" s="4">
        <f t="shared" si="514"/>
        <v>3</v>
      </c>
      <c r="J3689">
        <f t="shared" si="515"/>
        <v>6</v>
      </c>
      <c r="K3689">
        <v>26</v>
      </c>
      <c r="L3689">
        <v>12</v>
      </c>
      <c r="M3689">
        <v>2.17</v>
      </c>
      <c r="N3689">
        <v>2.52</v>
      </c>
      <c r="O3689">
        <v>0</v>
      </c>
      <c r="P3689">
        <v>5</v>
      </c>
      <c r="Q3689" t="s">
        <v>566</v>
      </c>
      <c r="R3689" s="8" t="s">
        <v>260</v>
      </c>
      <c r="S3689" t="str">
        <f t="shared" si="513"/>
        <v>PA</v>
      </c>
    </row>
    <row r="3690" spans="1:19" x14ac:dyDescent="0.3">
      <c r="A3690" t="s">
        <v>8</v>
      </c>
      <c r="B3690">
        <v>2016210019</v>
      </c>
      <c r="C3690" t="s">
        <v>56</v>
      </c>
      <c r="E3690" t="s">
        <v>185</v>
      </c>
      <c r="F3690" t="s">
        <v>186</v>
      </c>
      <c r="G3690">
        <v>4</v>
      </c>
      <c r="H3690" t="s">
        <v>524</v>
      </c>
      <c r="I3690" s="4">
        <f t="shared" si="514"/>
        <v>2</v>
      </c>
      <c r="J3690">
        <f t="shared" si="515"/>
        <v>8</v>
      </c>
      <c r="K3690">
        <v>18</v>
      </c>
      <c r="L3690">
        <v>8</v>
      </c>
      <c r="M3690">
        <v>2.25</v>
      </c>
      <c r="N3690">
        <v>2.52</v>
      </c>
      <c r="O3690">
        <v>0</v>
      </c>
      <c r="P3690">
        <v>7</v>
      </c>
      <c r="Q3690" t="s">
        <v>568</v>
      </c>
      <c r="R3690" s="8" t="s">
        <v>260</v>
      </c>
      <c r="S3690" t="str">
        <f t="shared" si="513"/>
        <v>PA</v>
      </c>
    </row>
    <row r="3691" spans="1:19" x14ac:dyDescent="0.3">
      <c r="A3691" t="s">
        <v>8</v>
      </c>
      <c r="B3691">
        <v>2016210019</v>
      </c>
      <c r="C3691" t="s">
        <v>56</v>
      </c>
      <c r="E3691" t="s">
        <v>180</v>
      </c>
      <c r="F3691" t="s">
        <v>181</v>
      </c>
      <c r="G3691">
        <v>4</v>
      </c>
      <c r="H3691" t="s">
        <v>524</v>
      </c>
      <c r="I3691" s="4">
        <f t="shared" si="514"/>
        <v>2</v>
      </c>
      <c r="J3691">
        <f t="shared" si="515"/>
        <v>8</v>
      </c>
      <c r="K3691">
        <v>14</v>
      </c>
      <c r="L3691">
        <v>12</v>
      </c>
      <c r="M3691">
        <v>1.17</v>
      </c>
      <c r="N3691">
        <v>2.52</v>
      </c>
      <c r="O3691">
        <v>0</v>
      </c>
      <c r="P3691">
        <v>4</v>
      </c>
      <c r="Q3691" t="s">
        <v>565</v>
      </c>
      <c r="R3691" s="8" t="s">
        <v>260</v>
      </c>
      <c r="S3691" t="str">
        <f t="shared" si="513"/>
        <v>PA</v>
      </c>
    </row>
    <row r="3692" spans="1:19" x14ac:dyDescent="0.3">
      <c r="A3692" t="s">
        <v>8</v>
      </c>
      <c r="B3692">
        <v>2016210019</v>
      </c>
      <c r="C3692" t="s">
        <v>56</v>
      </c>
      <c r="E3692" t="s">
        <v>188</v>
      </c>
      <c r="F3692" t="s">
        <v>189</v>
      </c>
      <c r="G3692">
        <v>4</v>
      </c>
      <c r="H3692" t="s">
        <v>524</v>
      </c>
      <c r="I3692" s="4">
        <f t="shared" si="514"/>
        <v>2</v>
      </c>
      <c r="J3692">
        <f t="shared" si="515"/>
        <v>8</v>
      </c>
      <c r="K3692">
        <v>26</v>
      </c>
      <c r="L3692">
        <v>12</v>
      </c>
      <c r="M3692">
        <v>2.17</v>
      </c>
      <c r="N3692">
        <v>2.52</v>
      </c>
      <c r="O3692">
        <v>0</v>
      </c>
      <c r="P3692">
        <v>5</v>
      </c>
      <c r="Q3692" t="s">
        <v>566</v>
      </c>
      <c r="R3692" s="8" t="s">
        <v>260</v>
      </c>
      <c r="S3692" t="str">
        <f t="shared" si="513"/>
        <v>PA</v>
      </c>
    </row>
    <row r="3693" spans="1:19" x14ac:dyDescent="0.3">
      <c r="A3693" t="s">
        <v>8</v>
      </c>
      <c r="B3693">
        <v>2016210019</v>
      </c>
      <c r="C3693" t="s">
        <v>56</v>
      </c>
      <c r="E3693" t="s">
        <v>279</v>
      </c>
      <c r="F3693" t="s">
        <v>280</v>
      </c>
      <c r="G3693">
        <v>2</v>
      </c>
      <c r="H3693" t="s">
        <v>524</v>
      </c>
      <c r="I3693" s="4">
        <f t="shared" si="514"/>
        <v>2</v>
      </c>
      <c r="J3693">
        <f t="shared" si="515"/>
        <v>4</v>
      </c>
      <c r="K3693">
        <v>40</v>
      </c>
      <c r="L3693">
        <v>20</v>
      </c>
      <c r="M3693" s="2">
        <v>2</v>
      </c>
      <c r="N3693">
        <v>2.52</v>
      </c>
      <c r="O3693">
        <v>0</v>
      </c>
      <c r="P3693">
        <v>2</v>
      </c>
      <c r="Q3693" t="s">
        <v>559</v>
      </c>
      <c r="R3693" s="8" t="s">
        <v>260</v>
      </c>
      <c r="S3693" t="str">
        <f t="shared" si="513"/>
        <v>PA</v>
      </c>
    </row>
    <row r="3694" spans="1:19" x14ac:dyDescent="0.3">
      <c r="A3694" t="s">
        <v>8</v>
      </c>
      <c r="B3694">
        <v>2016210019</v>
      </c>
      <c r="C3694" t="s">
        <v>56</v>
      </c>
      <c r="E3694" t="s">
        <v>391</v>
      </c>
      <c r="F3694" t="s">
        <v>392</v>
      </c>
      <c r="G3694">
        <v>2</v>
      </c>
      <c r="H3694" t="s">
        <v>524</v>
      </c>
      <c r="I3694" s="4">
        <f t="shared" si="514"/>
        <v>2</v>
      </c>
      <c r="J3694">
        <f t="shared" si="515"/>
        <v>4</v>
      </c>
      <c r="K3694">
        <v>26</v>
      </c>
      <c r="L3694">
        <v>12</v>
      </c>
      <c r="M3694">
        <v>2.17</v>
      </c>
      <c r="N3694">
        <v>2.52</v>
      </c>
      <c r="O3694">
        <v>0</v>
      </c>
      <c r="P3694">
        <v>5</v>
      </c>
      <c r="Q3694" t="s">
        <v>566</v>
      </c>
      <c r="R3694" s="8" t="s">
        <v>260</v>
      </c>
      <c r="S3694" t="str">
        <f t="shared" si="513"/>
        <v>PA</v>
      </c>
    </row>
    <row r="3695" spans="1:19" x14ac:dyDescent="0.3">
      <c r="A3695" t="s">
        <v>8</v>
      </c>
      <c r="B3695">
        <v>2016210019</v>
      </c>
      <c r="C3695" t="s">
        <v>56</v>
      </c>
      <c r="E3695" t="s">
        <v>318</v>
      </c>
      <c r="F3695" t="s">
        <v>319</v>
      </c>
      <c r="G3695">
        <v>2</v>
      </c>
      <c r="H3695" t="s">
        <v>524</v>
      </c>
      <c r="I3695" s="4">
        <f t="shared" si="514"/>
        <v>2</v>
      </c>
      <c r="J3695">
        <f t="shared" si="515"/>
        <v>4</v>
      </c>
      <c r="K3695">
        <v>12</v>
      </c>
      <c r="L3695">
        <v>8</v>
      </c>
      <c r="M3695" s="2">
        <v>1.5</v>
      </c>
      <c r="N3695">
        <v>2.52</v>
      </c>
      <c r="O3695">
        <v>0</v>
      </c>
      <c r="P3695">
        <v>9</v>
      </c>
      <c r="Q3695" t="s">
        <v>570</v>
      </c>
      <c r="R3695" s="8" t="s">
        <v>260</v>
      </c>
      <c r="S3695" t="str">
        <f t="shared" si="513"/>
        <v>PA</v>
      </c>
    </row>
    <row r="3696" spans="1:19" x14ac:dyDescent="0.3">
      <c r="A3696" t="s">
        <v>8</v>
      </c>
      <c r="B3696">
        <v>2016210019</v>
      </c>
      <c r="C3696" t="s">
        <v>56</v>
      </c>
      <c r="E3696" t="s">
        <v>238</v>
      </c>
      <c r="F3696" t="s">
        <v>239</v>
      </c>
      <c r="G3696">
        <v>4</v>
      </c>
      <c r="H3696" t="s">
        <v>524</v>
      </c>
      <c r="I3696" s="4">
        <f t="shared" si="514"/>
        <v>2</v>
      </c>
      <c r="J3696">
        <f t="shared" si="515"/>
        <v>8</v>
      </c>
      <c r="K3696">
        <v>24</v>
      </c>
      <c r="L3696">
        <v>10</v>
      </c>
      <c r="M3696" s="2">
        <v>2.4</v>
      </c>
      <c r="N3696">
        <v>2.52</v>
      </c>
      <c r="O3696">
        <v>0</v>
      </c>
      <c r="P3696">
        <v>6</v>
      </c>
      <c r="Q3696" t="s">
        <v>590</v>
      </c>
      <c r="R3696" s="8" t="s">
        <v>260</v>
      </c>
      <c r="S3696" t="str">
        <f t="shared" si="513"/>
        <v>PA</v>
      </c>
    </row>
    <row r="3697" spans="1:19" x14ac:dyDescent="0.3">
      <c r="A3697" t="s">
        <v>8</v>
      </c>
      <c r="B3697">
        <v>2016210019</v>
      </c>
      <c r="C3697" t="s">
        <v>56</v>
      </c>
      <c r="E3697" t="s">
        <v>515</v>
      </c>
      <c r="F3697" t="s">
        <v>78</v>
      </c>
      <c r="G3697">
        <v>2</v>
      </c>
      <c r="H3697" t="s">
        <v>524</v>
      </c>
      <c r="I3697" s="4">
        <f t="shared" si="514"/>
        <v>2</v>
      </c>
      <c r="J3697">
        <f t="shared" si="515"/>
        <v>4</v>
      </c>
      <c r="K3697">
        <v>18</v>
      </c>
      <c r="L3697">
        <v>8</v>
      </c>
      <c r="M3697">
        <v>2.25</v>
      </c>
      <c r="N3697">
        <v>2.52</v>
      </c>
      <c r="O3697">
        <v>0</v>
      </c>
      <c r="P3697">
        <v>7</v>
      </c>
      <c r="Q3697" t="s">
        <v>568</v>
      </c>
      <c r="R3697" s="8" t="s">
        <v>260</v>
      </c>
      <c r="S3697" t="str">
        <f t="shared" si="513"/>
        <v>PA</v>
      </c>
    </row>
    <row r="3698" spans="1:19" x14ac:dyDescent="0.3">
      <c r="A3698" t="s">
        <v>8</v>
      </c>
      <c r="B3698">
        <v>2016210019</v>
      </c>
      <c r="C3698" t="s">
        <v>56</v>
      </c>
      <c r="E3698" t="s">
        <v>515</v>
      </c>
      <c r="F3698" t="s">
        <v>78</v>
      </c>
      <c r="G3698">
        <v>2</v>
      </c>
      <c r="H3698" t="s">
        <v>524</v>
      </c>
      <c r="I3698" s="4">
        <f t="shared" si="514"/>
        <v>2</v>
      </c>
      <c r="J3698">
        <f t="shared" si="515"/>
        <v>4</v>
      </c>
      <c r="K3698">
        <v>46</v>
      </c>
      <c r="L3698">
        <v>20</v>
      </c>
      <c r="M3698" s="2">
        <v>2.2999999999999998</v>
      </c>
      <c r="N3698">
        <v>2.52</v>
      </c>
      <c r="O3698">
        <v>0</v>
      </c>
      <c r="P3698">
        <v>1</v>
      </c>
      <c r="Q3698" t="s">
        <v>558</v>
      </c>
      <c r="R3698" s="8" t="s">
        <v>260</v>
      </c>
      <c r="S3698" t="str">
        <f t="shared" si="513"/>
        <v>PA</v>
      </c>
    </row>
    <row r="3699" spans="1:19" x14ac:dyDescent="0.3">
      <c r="A3699" t="s">
        <v>8</v>
      </c>
      <c r="B3699">
        <v>2016210019</v>
      </c>
      <c r="C3699" t="s">
        <v>56</v>
      </c>
      <c r="E3699" t="s">
        <v>115</v>
      </c>
      <c r="F3699" t="s">
        <v>116</v>
      </c>
      <c r="G3699">
        <v>4</v>
      </c>
      <c r="H3699" t="s">
        <v>524</v>
      </c>
      <c r="I3699" s="4">
        <f t="shared" si="514"/>
        <v>2</v>
      </c>
      <c r="J3699">
        <f t="shared" si="515"/>
        <v>8</v>
      </c>
      <c r="K3699">
        <v>40</v>
      </c>
      <c r="L3699">
        <v>20</v>
      </c>
      <c r="M3699" s="2">
        <v>2</v>
      </c>
      <c r="N3699">
        <v>2.52</v>
      </c>
      <c r="O3699">
        <v>0</v>
      </c>
      <c r="P3699">
        <v>2</v>
      </c>
      <c r="Q3699" t="s">
        <v>559</v>
      </c>
      <c r="R3699" s="8" t="s">
        <v>260</v>
      </c>
      <c r="S3699" t="str">
        <f t="shared" si="513"/>
        <v>PA</v>
      </c>
    </row>
    <row r="3700" spans="1:19" x14ac:dyDescent="0.3">
      <c r="A3700" t="s">
        <v>8</v>
      </c>
      <c r="B3700">
        <v>2016210019</v>
      </c>
      <c r="C3700" t="s">
        <v>56</v>
      </c>
      <c r="E3700" t="s">
        <v>213</v>
      </c>
      <c r="F3700" t="s">
        <v>214</v>
      </c>
      <c r="G3700">
        <v>4</v>
      </c>
      <c r="H3700" t="s">
        <v>524</v>
      </c>
      <c r="I3700" s="4">
        <f t="shared" si="514"/>
        <v>2</v>
      </c>
      <c r="J3700">
        <f t="shared" si="515"/>
        <v>8</v>
      </c>
      <c r="K3700">
        <v>26</v>
      </c>
      <c r="L3700">
        <v>12</v>
      </c>
      <c r="M3700">
        <v>2.17</v>
      </c>
      <c r="N3700">
        <v>2.52</v>
      </c>
      <c r="O3700">
        <v>0</v>
      </c>
      <c r="P3700">
        <v>5</v>
      </c>
      <c r="Q3700" t="s">
        <v>566</v>
      </c>
      <c r="R3700" s="8" t="s">
        <v>260</v>
      </c>
      <c r="S3700" t="str">
        <f t="shared" si="513"/>
        <v>PA</v>
      </c>
    </row>
    <row r="3701" spans="1:19" x14ac:dyDescent="0.3">
      <c r="A3701" t="s">
        <v>8</v>
      </c>
      <c r="B3701">
        <v>2016210019</v>
      </c>
      <c r="C3701" t="s">
        <v>56</v>
      </c>
      <c r="E3701" t="s">
        <v>110</v>
      </c>
      <c r="F3701" t="s">
        <v>111</v>
      </c>
      <c r="G3701">
        <v>4</v>
      </c>
      <c r="H3701" t="s">
        <v>524</v>
      </c>
      <c r="I3701" s="4">
        <f t="shared" si="514"/>
        <v>2</v>
      </c>
      <c r="J3701">
        <f t="shared" si="515"/>
        <v>8</v>
      </c>
      <c r="K3701">
        <v>46</v>
      </c>
      <c r="L3701">
        <v>20</v>
      </c>
      <c r="M3701" s="2">
        <v>2.2999999999999998</v>
      </c>
      <c r="N3701">
        <v>2.52</v>
      </c>
      <c r="O3701">
        <v>0</v>
      </c>
      <c r="P3701">
        <v>1</v>
      </c>
      <c r="Q3701" t="s">
        <v>558</v>
      </c>
      <c r="R3701" s="8" t="s">
        <v>260</v>
      </c>
      <c r="S3701" t="str">
        <f t="shared" si="513"/>
        <v>PA</v>
      </c>
    </row>
    <row r="3702" spans="1:19" x14ac:dyDescent="0.3">
      <c r="A3702" t="s">
        <v>8</v>
      </c>
      <c r="B3702">
        <v>2016210019</v>
      </c>
      <c r="C3702" t="s">
        <v>56</v>
      </c>
      <c r="E3702" t="s">
        <v>395</v>
      </c>
      <c r="F3702" t="s">
        <v>396</v>
      </c>
      <c r="G3702">
        <v>2</v>
      </c>
      <c r="H3702" t="s">
        <v>535</v>
      </c>
      <c r="I3702" s="4">
        <f t="shared" si="514"/>
        <v>1</v>
      </c>
      <c r="J3702">
        <f t="shared" si="515"/>
        <v>2</v>
      </c>
      <c r="K3702">
        <v>46</v>
      </c>
      <c r="L3702">
        <v>20</v>
      </c>
      <c r="M3702" s="2">
        <v>2.2999999999999998</v>
      </c>
      <c r="N3702">
        <v>2.52</v>
      </c>
      <c r="O3702">
        <v>0</v>
      </c>
      <c r="P3702">
        <v>1</v>
      </c>
      <c r="Q3702" t="s">
        <v>558</v>
      </c>
      <c r="R3702" s="8" t="s">
        <v>260</v>
      </c>
      <c r="S3702" t="str">
        <f t="shared" si="513"/>
        <v>FA</v>
      </c>
    </row>
    <row r="3703" spans="1:19" x14ac:dyDescent="0.3">
      <c r="A3703" t="s">
        <v>8</v>
      </c>
      <c r="B3703">
        <v>2016210019</v>
      </c>
      <c r="C3703" t="s">
        <v>56</v>
      </c>
      <c r="E3703" t="s">
        <v>449</v>
      </c>
      <c r="F3703" t="s">
        <v>460</v>
      </c>
      <c r="G3703">
        <v>4</v>
      </c>
      <c r="H3703" t="s">
        <v>535</v>
      </c>
      <c r="I3703" s="4">
        <f t="shared" si="514"/>
        <v>1</v>
      </c>
      <c r="J3703">
        <f t="shared" si="515"/>
        <v>4</v>
      </c>
      <c r="K3703">
        <v>14</v>
      </c>
      <c r="L3703">
        <v>12</v>
      </c>
      <c r="M3703">
        <v>1.17</v>
      </c>
      <c r="N3703">
        <v>2.52</v>
      </c>
      <c r="O3703">
        <v>0</v>
      </c>
      <c r="P3703">
        <v>4</v>
      </c>
      <c r="Q3703" t="s">
        <v>565</v>
      </c>
      <c r="R3703" s="8" t="s">
        <v>260</v>
      </c>
      <c r="S3703" t="str">
        <f t="shared" si="513"/>
        <v>FA</v>
      </c>
    </row>
    <row r="3704" spans="1:19" x14ac:dyDescent="0.3">
      <c r="A3704" t="s">
        <v>8</v>
      </c>
      <c r="B3704">
        <v>2016210019</v>
      </c>
      <c r="C3704" t="s">
        <v>56</v>
      </c>
      <c r="E3704" t="s">
        <v>157</v>
      </c>
      <c r="F3704" t="s">
        <v>158</v>
      </c>
      <c r="G3704">
        <v>2</v>
      </c>
      <c r="H3704" t="s">
        <v>535</v>
      </c>
      <c r="I3704" s="4">
        <f t="shared" si="514"/>
        <v>1</v>
      </c>
      <c r="J3704">
        <f t="shared" si="515"/>
        <v>2</v>
      </c>
      <c r="K3704">
        <v>20</v>
      </c>
      <c r="L3704">
        <v>16</v>
      </c>
      <c r="M3704">
        <v>1.25</v>
      </c>
      <c r="N3704">
        <v>2.52</v>
      </c>
      <c r="O3704">
        <v>0</v>
      </c>
      <c r="P3704">
        <v>3</v>
      </c>
      <c r="Q3704" t="s">
        <v>563</v>
      </c>
      <c r="R3704" s="8" t="s">
        <v>260</v>
      </c>
      <c r="S3704" t="str">
        <f t="shared" si="513"/>
        <v>FA</v>
      </c>
    </row>
    <row r="3705" spans="1:19" x14ac:dyDescent="0.3">
      <c r="A3705" t="s">
        <v>8</v>
      </c>
      <c r="B3705">
        <v>2016210019</v>
      </c>
      <c r="C3705" t="s">
        <v>56</v>
      </c>
      <c r="E3705" t="s">
        <v>216</v>
      </c>
      <c r="F3705" t="s">
        <v>217</v>
      </c>
      <c r="G3705">
        <v>2</v>
      </c>
      <c r="H3705" t="s">
        <v>535</v>
      </c>
      <c r="I3705" s="4">
        <f t="shared" si="514"/>
        <v>1</v>
      </c>
      <c r="J3705">
        <f t="shared" si="515"/>
        <v>2</v>
      </c>
      <c r="K3705">
        <v>14</v>
      </c>
      <c r="L3705">
        <v>12</v>
      </c>
      <c r="M3705">
        <v>1.17</v>
      </c>
      <c r="N3705">
        <v>2.52</v>
      </c>
      <c r="O3705">
        <v>0</v>
      </c>
      <c r="P3705">
        <v>4</v>
      </c>
      <c r="Q3705" t="s">
        <v>565</v>
      </c>
      <c r="R3705" s="8" t="s">
        <v>260</v>
      </c>
      <c r="S3705" t="str">
        <f t="shared" si="513"/>
        <v>FA</v>
      </c>
    </row>
    <row r="3706" spans="1:19" x14ac:dyDescent="0.3">
      <c r="A3706" t="s">
        <v>8</v>
      </c>
      <c r="B3706">
        <v>2016210019</v>
      </c>
      <c r="C3706" t="s">
        <v>56</v>
      </c>
      <c r="E3706" t="s">
        <v>44</v>
      </c>
      <c r="F3706" t="s">
        <v>45</v>
      </c>
      <c r="G3706">
        <v>2</v>
      </c>
      <c r="H3706" t="s">
        <v>535</v>
      </c>
      <c r="I3706" s="4">
        <f t="shared" si="514"/>
        <v>1</v>
      </c>
      <c r="J3706">
        <f t="shared" si="515"/>
        <v>2</v>
      </c>
      <c r="K3706">
        <v>40</v>
      </c>
      <c r="L3706">
        <v>20</v>
      </c>
      <c r="M3706" s="2">
        <v>2</v>
      </c>
      <c r="N3706">
        <v>2.52</v>
      </c>
      <c r="O3706">
        <v>0</v>
      </c>
      <c r="P3706">
        <v>2</v>
      </c>
      <c r="Q3706" t="s">
        <v>559</v>
      </c>
      <c r="R3706" s="8" t="s">
        <v>260</v>
      </c>
      <c r="S3706" t="str">
        <f t="shared" si="513"/>
        <v>FA</v>
      </c>
    </row>
    <row r="3707" spans="1:19" x14ac:dyDescent="0.3">
      <c r="A3707" t="s">
        <v>8</v>
      </c>
      <c r="B3707">
        <v>2016210019</v>
      </c>
      <c r="C3707" t="s">
        <v>56</v>
      </c>
      <c r="E3707" t="s">
        <v>395</v>
      </c>
      <c r="F3707" t="s">
        <v>396</v>
      </c>
      <c r="G3707">
        <v>2</v>
      </c>
      <c r="H3707" t="s">
        <v>260</v>
      </c>
      <c r="I3707" s="4">
        <f t="shared" si="514"/>
        <v>4</v>
      </c>
      <c r="J3707">
        <f t="shared" si="515"/>
        <v>8</v>
      </c>
      <c r="K3707">
        <v>112</v>
      </c>
      <c r="L3707">
        <v>36</v>
      </c>
      <c r="M3707" s="2">
        <v>3.11</v>
      </c>
      <c r="N3707">
        <v>2.52</v>
      </c>
      <c r="O3707">
        <v>1</v>
      </c>
      <c r="P3707">
        <v>10</v>
      </c>
      <c r="Q3707" t="s">
        <v>578</v>
      </c>
      <c r="R3707" s="8" t="s">
        <v>260</v>
      </c>
      <c r="S3707" t="str">
        <f t="shared" si="513"/>
        <v>PA</v>
      </c>
    </row>
    <row r="3708" spans="1:19" x14ac:dyDescent="0.3">
      <c r="A3708" t="s">
        <v>8</v>
      </c>
      <c r="B3708">
        <v>2016210019</v>
      </c>
      <c r="C3708" t="s">
        <v>56</v>
      </c>
      <c r="E3708" t="s">
        <v>449</v>
      </c>
      <c r="F3708" t="s">
        <v>460</v>
      </c>
      <c r="G3708">
        <v>4</v>
      </c>
      <c r="H3708" t="s">
        <v>260</v>
      </c>
      <c r="I3708" s="4">
        <f t="shared" si="514"/>
        <v>4</v>
      </c>
      <c r="J3708">
        <f t="shared" si="515"/>
        <v>16</v>
      </c>
      <c r="K3708">
        <v>112</v>
      </c>
      <c r="L3708">
        <v>36</v>
      </c>
      <c r="M3708" s="2">
        <v>3.11</v>
      </c>
      <c r="N3708">
        <v>2.52</v>
      </c>
      <c r="O3708">
        <v>1</v>
      </c>
      <c r="P3708">
        <v>10</v>
      </c>
      <c r="Q3708" t="s">
        <v>578</v>
      </c>
      <c r="R3708" s="8" t="s">
        <v>260</v>
      </c>
      <c r="S3708" t="str">
        <f t="shared" si="513"/>
        <v>PA</v>
      </c>
    </row>
    <row r="3709" spans="1:19" x14ac:dyDescent="0.3">
      <c r="A3709" t="s">
        <v>8</v>
      </c>
      <c r="B3709">
        <v>2016210019</v>
      </c>
      <c r="C3709" t="s">
        <v>56</v>
      </c>
      <c r="E3709" t="s">
        <v>157</v>
      </c>
      <c r="F3709" t="s">
        <v>158</v>
      </c>
      <c r="G3709">
        <v>2</v>
      </c>
      <c r="H3709" t="s">
        <v>524</v>
      </c>
      <c r="I3709" s="4">
        <f t="shared" si="514"/>
        <v>2</v>
      </c>
      <c r="J3709">
        <f t="shared" si="515"/>
        <v>4</v>
      </c>
      <c r="K3709">
        <v>112</v>
      </c>
      <c r="L3709">
        <v>36</v>
      </c>
      <c r="M3709" s="2">
        <v>3.11</v>
      </c>
      <c r="N3709">
        <v>2.52</v>
      </c>
      <c r="O3709">
        <v>1</v>
      </c>
      <c r="P3709">
        <v>10</v>
      </c>
      <c r="Q3709" t="s">
        <v>578</v>
      </c>
      <c r="R3709" s="8" t="s">
        <v>260</v>
      </c>
      <c r="S3709" t="str">
        <f t="shared" si="513"/>
        <v>PA</v>
      </c>
    </row>
    <row r="3710" spans="1:19" x14ac:dyDescent="0.3">
      <c r="A3710" t="s">
        <v>8</v>
      </c>
      <c r="B3710">
        <v>2016210019</v>
      </c>
      <c r="C3710" t="s">
        <v>56</v>
      </c>
      <c r="E3710" t="s">
        <v>216</v>
      </c>
      <c r="F3710" t="s">
        <v>217</v>
      </c>
      <c r="G3710">
        <v>2</v>
      </c>
      <c r="H3710" t="s">
        <v>524</v>
      </c>
      <c r="I3710" s="4">
        <f t="shared" si="514"/>
        <v>2</v>
      </c>
      <c r="J3710">
        <f t="shared" si="515"/>
        <v>4</v>
      </c>
      <c r="K3710">
        <v>112</v>
      </c>
      <c r="L3710">
        <v>36</v>
      </c>
      <c r="M3710" s="2">
        <v>3.11</v>
      </c>
      <c r="N3710">
        <v>2.52</v>
      </c>
      <c r="O3710">
        <v>1</v>
      </c>
      <c r="P3710">
        <v>10</v>
      </c>
      <c r="Q3710" t="s">
        <v>578</v>
      </c>
      <c r="R3710" s="8" t="s">
        <v>260</v>
      </c>
      <c r="S3710" t="str">
        <f t="shared" si="513"/>
        <v>PA</v>
      </c>
    </row>
    <row r="3711" spans="1:19" x14ac:dyDescent="0.3">
      <c r="A3711" t="s">
        <v>8</v>
      </c>
      <c r="B3711">
        <v>2016210019</v>
      </c>
      <c r="C3711" t="s">
        <v>56</v>
      </c>
      <c r="E3711" t="s">
        <v>44</v>
      </c>
      <c r="F3711" t="s">
        <v>45</v>
      </c>
      <c r="G3711">
        <v>2</v>
      </c>
      <c r="H3711" t="s">
        <v>260</v>
      </c>
      <c r="I3711" s="4">
        <f t="shared" si="514"/>
        <v>4</v>
      </c>
      <c r="J3711">
        <f t="shared" si="515"/>
        <v>8</v>
      </c>
      <c r="K3711">
        <v>112</v>
      </c>
      <c r="L3711">
        <v>36</v>
      </c>
      <c r="M3711" s="2">
        <v>3.11</v>
      </c>
      <c r="N3711">
        <v>2.52</v>
      </c>
      <c r="O3711">
        <v>1</v>
      </c>
      <c r="P3711">
        <v>10</v>
      </c>
      <c r="Q3711" t="s">
        <v>578</v>
      </c>
      <c r="R3711" s="8" t="s">
        <v>260</v>
      </c>
      <c r="S3711" t="str">
        <f t="shared" si="513"/>
        <v>PA</v>
      </c>
    </row>
    <row r="3712" spans="1:19" x14ac:dyDescent="0.3">
      <c r="A3712" t="s">
        <v>8</v>
      </c>
      <c r="B3712">
        <v>2016210019</v>
      </c>
      <c r="C3712" t="s">
        <v>56</v>
      </c>
      <c r="E3712" t="s">
        <v>87</v>
      </c>
      <c r="F3712" t="s">
        <v>88</v>
      </c>
      <c r="G3712">
        <v>2</v>
      </c>
      <c r="H3712" t="s">
        <v>524</v>
      </c>
      <c r="I3712" s="4">
        <f t="shared" si="514"/>
        <v>2</v>
      </c>
      <c r="J3712">
        <f t="shared" si="515"/>
        <v>4</v>
      </c>
      <c r="K3712">
        <v>4</v>
      </c>
      <c r="L3712">
        <v>12</v>
      </c>
      <c r="M3712">
        <v>0.33</v>
      </c>
      <c r="N3712">
        <v>2.52</v>
      </c>
      <c r="O3712">
        <v>1</v>
      </c>
      <c r="P3712">
        <v>8</v>
      </c>
      <c r="Q3712" t="s">
        <v>589</v>
      </c>
      <c r="R3712" s="8" t="s">
        <v>260</v>
      </c>
      <c r="S3712" t="str">
        <f t="shared" si="513"/>
        <v>PA</v>
      </c>
    </row>
    <row r="3713" spans="1:19" x14ac:dyDescent="0.3">
      <c r="A3713" t="s">
        <v>8</v>
      </c>
      <c r="B3713">
        <v>2016210019</v>
      </c>
      <c r="C3713" t="s">
        <v>56</v>
      </c>
      <c r="E3713" t="s">
        <v>87</v>
      </c>
      <c r="F3713" t="s">
        <v>88</v>
      </c>
      <c r="G3713">
        <v>2</v>
      </c>
      <c r="H3713" t="s">
        <v>539</v>
      </c>
      <c r="I3713" s="4">
        <f t="shared" si="514"/>
        <v>0</v>
      </c>
      <c r="J3713">
        <f t="shared" si="515"/>
        <v>0</v>
      </c>
      <c r="K3713">
        <v>24</v>
      </c>
      <c r="L3713">
        <v>10</v>
      </c>
      <c r="M3713" s="2">
        <v>2.4</v>
      </c>
      <c r="N3713">
        <v>2.52</v>
      </c>
      <c r="O3713">
        <v>0</v>
      </c>
      <c r="P3713">
        <v>6</v>
      </c>
      <c r="Q3713" t="s">
        <v>590</v>
      </c>
      <c r="R3713" s="8" t="s">
        <v>260</v>
      </c>
      <c r="S3713" t="str">
        <f t="shared" si="513"/>
        <v>FA</v>
      </c>
    </row>
    <row r="3714" spans="1:19" x14ac:dyDescent="0.3">
      <c r="A3714" t="s">
        <v>8</v>
      </c>
      <c r="B3714">
        <v>2016210019</v>
      </c>
      <c r="C3714" t="s">
        <v>56</v>
      </c>
      <c r="E3714" t="s">
        <v>193</v>
      </c>
      <c r="F3714" t="s">
        <v>194</v>
      </c>
      <c r="G3714">
        <v>4</v>
      </c>
      <c r="H3714" t="s">
        <v>539</v>
      </c>
      <c r="I3714" s="4">
        <f t="shared" si="514"/>
        <v>0</v>
      </c>
      <c r="J3714">
        <f t="shared" si="515"/>
        <v>0</v>
      </c>
      <c r="K3714">
        <v>0</v>
      </c>
      <c r="L3714">
        <v>6</v>
      </c>
      <c r="M3714" s="2">
        <v>0</v>
      </c>
      <c r="N3714">
        <v>2.52</v>
      </c>
      <c r="O3714">
        <v>0</v>
      </c>
      <c r="P3714">
        <v>11</v>
      </c>
      <c r="Q3714" t="s">
        <v>573</v>
      </c>
      <c r="R3714" s="8" t="s">
        <v>260</v>
      </c>
      <c r="S3714" t="str">
        <f t="shared" si="513"/>
        <v>FA</v>
      </c>
    </row>
    <row r="3715" spans="1:19" x14ac:dyDescent="0.3">
      <c r="A3715" t="s">
        <v>8</v>
      </c>
      <c r="B3715">
        <v>2016210019</v>
      </c>
      <c r="C3715" t="s">
        <v>56</v>
      </c>
      <c r="E3715" t="s">
        <v>355</v>
      </c>
      <c r="F3715" t="s">
        <v>274</v>
      </c>
      <c r="G3715">
        <v>2</v>
      </c>
      <c r="H3715" t="s">
        <v>539</v>
      </c>
      <c r="I3715" s="4">
        <f t="shared" si="514"/>
        <v>0</v>
      </c>
      <c r="J3715">
        <f t="shared" si="515"/>
        <v>0</v>
      </c>
      <c r="K3715">
        <v>4</v>
      </c>
      <c r="L3715">
        <v>12</v>
      </c>
      <c r="M3715">
        <v>0.33</v>
      </c>
      <c r="N3715">
        <v>2.52</v>
      </c>
      <c r="O3715">
        <v>0</v>
      </c>
      <c r="P3715">
        <v>8</v>
      </c>
      <c r="Q3715" t="s">
        <v>589</v>
      </c>
      <c r="R3715" s="8" t="s">
        <v>260</v>
      </c>
      <c r="S3715" t="str">
        <f t="shared" si="513"/>
        <v>FA</v>
      </c>
    </row>
    <row r="3716" spans="1:19" x14ac:dyDescent="0.3">
      <c r="A3716" t="s">
        <v>8</v>
      </c>
      <c r="B3716">
        <v>2016210019</v>
      </c>
      <c r="C3716" t="s">
        <v>56</v>
      </c>
      <c r="E3716" t="s">
        <v>355</v>
      </c>
      <c r="F3716" t="s">
        <v>274</v>
      </c>
      <c r="G3716">
        <v>2</v>
      </c>
      <c r="H3716" t="s">
        <v>438</v>
      </c>
      <c r="I3716" s="4">
        <f t="shared" si="514"/>
        <v>3</v>
      </c>
      <c r="J3716">
        <f t="shared" si="515"/>
        <v>6</v>
      </c>
      <c r="K3716">
        <v>112</v>
      </c>
      <c r="L3716">
        <v>36</v>
      </c>
      <c r="M3716" s="2">
        <v>3.11</v>
      </c>
      <c r="N3716">
        <v>2.52</v>
      </c>
      <c r="O3716">
        <v>1</v>
      </c>
      <c r="P3716">
        <v>10</v>
      </c>
      <c r="Q3716" t="s">
        <v>578</v>
      </c>
      <c r="R3716" s="8" t="s">
        <v>260</v>
      </c>
      <c r="S3716" t="str">
        <f t="shared" si="513"/>
        <v>PA</v>
      </c>
    </row>
    <row r="3717" spans="1:19" x14ac:dyDescent="0.3">
      <c r="A3717" t="s">
        <v>8</v>
      </c>
      <c r="B3717">
        <v>2016210019</v>
      </c>
      <c r="C3717" t="s">
        <v>56</v>
      </c>
      <c r="E3717" t="s">
        <v>77</v>
      </c>
      <c r="F3717" t="s">
        <v>78</v>
      </c>
      <c r="G3717">
        <v>2</v>
      </c>
      <c r="H3717" t="s">
        <v>539</v>
      </c>
      <c r="I3717" s="4">
        <f t="shared" si="514"/>
        <v>0</v>
      </c>
      <c r="J3717">
        <f t="shared" si="515"/>
        <v>0</v>
      </c>
      <c r="K3717">
        <v>12</v>
      </c>
      <c r="L3717">
        <v>8</v>
      </c>
      <c r="M3717" s="2">
        <v>1.5</v>
      </c>
      <c r="N3717">
        <v>2.52</v>
      </c>
      <c r="O3717">
        <v>0</v>
      </c>
      <c r="P3717">
        <v>9</v>
      </c>
      <c r="Q3717" t="s">
        <v>570</v>
      </c>
      <c r="R3717" s="8" t="s">
        <v>260</v>
      </c>
      <c r="S3717" t="str">
        <f t="shared" si="513"/>
        <v>FA</v>
      </c>
    </row>
    <row r="3718" spans="1:19" x14ac:dyDescent="0.3">
      <c r="A3718" t="s">
        <v>8</v>
      </c>
      <c r="B3718">
        <v>2016210019</v>
      </c>
      <c r="C3718" t="s">
        <v>56</v>
      </c>
      <c r="E3718" t="s">
        <v>112</v>
      </c>
      <c r="F3718" t="s">
        <v>113</v>
      </c>
      <c r="G3718">
        <v>4</v>
      </c>
      <c r="H3718" t="s">
        <v>539</v>
      </c>
      <c r="I3718" s="4">
        <f t="shared" si="514"/>
        <v>0</v>
      </c>
      <c r="J3718">
        <f t="shared" si="515"/>
        <v>0</v>
      </c>
      <c r="K3718">
        <v>20</v>
      </c>
      <c r="L3718">
        <v>16</v>
      </c>
      <c r="M3718">
        <v>1.25</v>
      </c>
      <c r="N3718">
        <v>2.52</v>
      </c>
      <c r="O3718">
        <v>0</v>
      </c>
      <c r="P3718">
        <v>3</v>
      </c>
      <c r="Q3718" t="s">
        <v>563</v>
      </c>
      <c r="R3718" s="8" t="s">
        <v>260</v>
      </c>
      <c r="S3718" t="str">
        <f t="shared" si="513"/>
        <v>FA</v>
      </c>
    </row>
    <row r="3719" spans="1:19" x14ac:dyDescent="0.3">
      <c r="A3719" t="s">
        <v>8</v>
      </c>
      <c r="B3719">
        <v>2016210019</v>
      </c>
      <c r="C3719" t="s">
        <v>56</v>
      </c>
      <c r="E3719" t="s">
        <v>112</v>
      </c>
      <c r="F3719" t="s">
        <v>113</v>
      </c>
      <c r="G3719">
        <v>4</v>
      </c>
      <c r="H3719" t="s">
        <v>438</v>
      </c>
      <c r="I3719" s="4">
        <f t="shared" si="514"/>
        <v>3</v>
      </c>
      <c r="J3719">
        <f t="shared" si="515"/>
        <v>12</v>
      </c>
      <c r="K3719">
        <v>112</v>
      </c>
      <c r="L3719">
        <v>36</v>
      </c>
      <c r="M3719" s="2">
        <v>3.11</v>
      </c>
      <c r="N3719">
        <v>2.52</v>
      </c>
      <c r="O3719">
        <v>2</v>
      </c>
      <c r="P3719">
        <v>10</v>
      </c>
      <c r="Q3719" t="s">
        <v>578</v>
      </c>
      <c r="R3719" s="8" t="s">
        <v>260</v>
      </c>
      <c r="S3719" t="str">
        <f t="shared" si="513"/>
        <v>PA</v>
      </c>
    </row>
    <row r="3720" spans="1:19" x14ac:dyDescent="0.3">
      <c r="A3720" t="s">
        <v>8</v>
      </c>
      <c r="B3720">
        <v>2016210019</v>
      </c>
      <c r="C3720" t="s">
        <v>56</v>
      </c>
      <c r="E3720" t="s">
        <v>112</v>
      </c>
      <c r="F3720" t="s">
        <v>113</v>
      </c>
      <c r="G3720">
        <v>4</v>
      </c>
      <c r="H3720" t="s">
        <v>539</v>
      </c>
      <c r="I3720" s="4">
        <f t="shared" si="514"/>
        <v>0</v>
      </c>
      <c r="J3720">
        <f t="shared" si="515"/>
        <v>0</v>
      </c>
      <c r="K3720">
        <v>12</v>
      </c>
      <c r="L3720">
        <v>8</v>
      </c>
      <c r="M3720" s="2">
        <v>1.5</v>
      </c>
      <c r="N3720">
        <v>2.52</v>
      </c>
      <c r="O3720">
        <v>1</v>
      </c>
      <c r="P3720">
        <v>9</v>
      </c>
      <c r="Q3720" t="s">
        <v>570</v>
      </c>
      <c r="R3720" s="8" t="s">
        <v>260</v>
      </c>
      <c r="S3720" t="str">
        <f t="shared" si="513"/>
        <v>FA</v>
      </c>
    </row>
    <row r="3721" spans="1:19" x14ac:dyDescent="0.3">
      <c r="A3721" t="s">
        <v>8</v>
      </c>
      <c r="B3721">
        <v>2016210019</v>
      </c>
      <c r="C3721" t="s">
        <v>56</v>
      </c>
      <c r="E3721" t="s">
        <v>540</v>
      </c>
      <c r="F3721" t="s">
        <v>541</v>
      </c>
      <c r="G3721">
        <v>2</v>
      </c>
      <c r="H3721" t="s">
        <v>539</v>
      </c>
      <c r="I3721" s="4">
        <f t="shared" si="514"/>
        <v>0</v>
      </c>
      <c r="J3721">
        <f t="shared" si="515"/>
        <v>0</v>
      </c>
      <c r="K3721">
        <v>0</v>
      </c>
      <c r="L3721">
        <v>6</v>
      </c>
      <c r="M3721" s="2">
        <v>0</v>
      </c>
      <c r="N3721">
        <v>2.52</v>
      </c>
      <c r="O3721">
        <v>0</v>
      </c>
      <c r="P3721">
        <v>11</v>
      </c>
      <c r="Q3721" t="s">
        <v>573</v>
      </c>
      <c r="R3721" s="8" t="s">
        <v>260</v>
      </c>
      <c r="S3721" t="str">
        <f t="shared" si="513"/>
        <v>FA</v>
      </c>
    </row>
    <row r="3722" spans="1:19" x14ac:dyDescent="0.3">
      <c r="A3722" t="s">
        <v>8</v>
      </c>
      <c r="B3722">
        <v>2016210019</v>
      </c>
      <c r="C3722" t="s">
        <v>56</v>
      </c>
      <c r="E3722" t="s">
        <v>253</v>
      </c>
      <c r="F3722" t="s">
        <v>254</v>
      </c>
      <c r="G3722">
        <v>2</v>
      </c>
      <c r="H3722" t="s">
        <v>539</v>
      </c>
      <c r="I3722" s="4">
        <f t="shared" si="514"/>
        <v>0</v>
      </c>
      <c r="J3722">
        <f t="shared" si="515"/>
        <v>0</v>
      </c>
      <c r="K3722">
        <v>14</v>
      </c>
      <c r="L3722">
        <v>12</v>
      </c>
      <c r="M3722">
        <v>1.17</v>
      </c>
      <c r="N3722">
        <v>2.52</v>
      </c>
      <c r="O3722">
        <v>0</v>
      </c>
      <c r="P3722">
        <v>4</v>
      </c>
      <c r="Q3722" t="s">
        <v>565</v>
      </c>
      <c r="R3722" s="8" t="s">
        <v>260</v>
      </c>
      <c r="S3722" t="str">
        <f t="shared" si="513"/>
        <v>FA</v>
      </c>
    </row>
    <row r="3723" spans="1:19" x14ac:dyDescent="0.3">
      <c r="A3723" t="s">
        <v>8</v>
      </c>
      <c r="B3723">
        <v>2016210019</v>
      </c>
      <c r="C3723" t="s">
        <v>56</v>
      </c>
      <c r="E3723" t="s">
        <v>222</v>
      </c>
      <c r="F3723" t="s">
        <v>223</v>
      </c>
      <c r="G3723">
        <v>2</v>
      </c>
      <c r="H3723" t="s">
        <v>539</v>
      </c>
      <c r="I3723" s="4">
        <f t="shared" si="514"/>
        <v>0</v>
      </c>
      <c r="J3723">
        <f t="shared" si="515"/>
        <v>0</v>
      </c>
      <c r="K3723">
        <v>4</v>
      </c>
      <c r="L3723">
        <v>12</v>
      </c>
      <c r="M3723">
        <v>0.33</v>
      </c>
      <c r="N3723">
        <v>2.52</v>
      </c>
      <c r="O3723">
        <v>0</v>
      </c>
      <c r="P3723">
        <v>8</v>
      </c>
      <c r="Q3723" t="s">
        <v>589</v>
      </c>
      <c r="R3723" s="8" t="s">
        <v>260</v>
      </c>
      <c r="S3723" t="str">
        <f t="shared" si="513"/>
        <v>FA</v>
      </c>
    </row>
    <row r="3724" spans="1:19" x14ac:dyDescent="0.3">
      <c r="A3724" t="s">
        <v>8</v>
      </c>
      <c r="B3724">
        <v>2016210019</v>
      </c>
      <c r="C3724" t="s">
        <v>56</v>
      </c>
      <c r="E3724" t="s">
        <v>439</v>
      </c>
      <c r="F3724" t="s">
        <v>504</v>
      </c>
      <c r="G3724">
        <v>2</v>
      </c>
      <c r="H3724" t="s">
        <v>539</v>
      </c>
      <c r="I3724" s="4">
        <f t="shared" si="514"/>
        <v>0</v>
      </c>
      <c r="J3724">
        <f t="shared" si="515"/>
        <v>0</v>
      </c>
      <c r="K3724">
        <v>4</v>
      </c>
      <c r="L3724">
        <v>12</v>
      </c>
      <c r="M3724">
        <v>0.33</v>
      </c>
      <c r="N3724">
        <v>2.52</v>
      </c>
      <c r="O3724">
        <v>0</v>
      </c>
      <c r="P3724">
        <v>8</v>
      </c>
      <c r="Q3724" t="s">
        <v>589</v>
      </c>
      <c r="R3724" s="8" t="s">
        <v>260</v>
      </c>
      <c r="S3724" t="str">
        <f t="shared" si="513"/>
        <v>FA</v>
      </c>
    </row>
    <row r="3725" spans="1:19" x14ac:dyDescent="0.3">
      <c r="A3725" t="s">
        <v>8</v>
      </c>
      <c r="B3725">
        <v>2016210019</v>
      </c>
      <c r="C3725" t="s">
        <v>56</v>
      </c>
      <c r="E3725" t="s">
        <v>125</v>
      </c>
      <c r="F3725" t="s">
        <v>126</v>
      </c>
      <c r="G3725">
        <v>4</v>
      </c>
      <c r="H3725" t="s">
        <v>539</v>
      </c>
      <c r="I3725" s="4">
        <f t="shared" si="514"/>
        <v>0</v>
      </c>
      <c r="J3725">
        <f t="shared" si="515"/>
        <v>0</v>
      </c>
      <c r="K3725">
        <v>40</v>
      </c>
      <c r="L3725">
        <v>20</v>
      </c>
      <c r="M3725" s="2">
        <v>2</v>
      </c>
      <c r="N3725">
        <v>2.52</v>
      </c>
      <c r="O3725">
        <v>0</v>
      </c>
      <c r="P3725">
        <v>2</v>
      </c>
      <c r="Q3725" t="s">
        <v>559</v>
      </c>
      <c r="R3725" s="8" t="s">
        <v>260</v>
      </c>
      <c r="S3725" t="str">
        <f t="shared" si="513"/>
        <v>FA</v>
      </c>
    </row>
    <row r="3726" spans="1:19" x14ac:dyDescent="0.3">
      <c r="A3726" t="s">
        <v>8</v>
      </c>
      <c r="B3726">
        <v>2016210019</v>
      </c>
      <c r="C3726" t="s">
        <v>56</v>
      </c>
      <c r="E3726" t="s">
        <v>401</v>
      </c>
      <c r="F3726" t="s">
        <v>258</v>
      </c>
      <c r="G3726">
        <v>4</v>
      </c>
      <c r="H3726" t="s">
        <v>539</v>
      </c>
      <c r="I3726" s="4">
        <f t="shared" si="514"/>
        <v>0</v>
      </c>
      <c r="J3726">
        <f t="shared" si="515"/>
        <v>0</v>
      </c>
      <c r="K3726">
        <v>20</v>
      </c>
      <c r="L3726">
        <v>16</v>
      </c>
      <c r="M3726">
        <v>1.25</v>
      </c>
      <c r="N3726">
        <v>2.52</v>
      </c>
      <c r="O3726">
        <v>0</v>
      </c>
      <c r="P3726">
        <v>3</v>
      </c>
      <c r="Q3726" t="s">
        <v>563</v>
      </c>
      <c r="R3726" s="8" t="s">
        <v>260</v>
      </c>
      <c r="S3726" t="str">
        <f t="shared" si="513"/>
        <v>FA</v>
      </c>
    </row>
    <row r="3727" spans="1:19" x14ac:dyDescent="0.3">
      <c r="A3727" t="s">
        <v>8</v>
      </c>
      <c r="B3727">
        <v>2016210019</v>
      </c>
      <c r="C3727" t="s">
        <v>56</v>
      </c>
      <c r="E3727" t="s">
        <v>253</v>
      </c>
      <c r="F3727" t="s">
        <v>254</v>
      </c>
      <c r="G3727">
        <v>2</v>
      </c>
      <c r="H3727" t="s">
        <v>524</v>
      </c>
      <c r="I3727" s="4">
        <f t="shared" si="514"/>
        <v>2</v>
      </c>
      <c r="J3727">
        <f t="shared" si="515"/>
        <v>4</v>
      </c>
      <c r="K3727">
        <v>112</v>
      </c>
      <c r="L3727">
        <v>36</v>
      </c>
      <c r="M3727" s="2">
        <v>3.11</v>
      </c>
      <c r="N3727">
        <v>2.52</v>
      </c>
      <c r="O3727">
        <v>1</v>
      </c>
      <c r="P3727">
        <v>10</v>
      </c>
      <c r="Q3727" t="s">
        <v>578</v>
      </c>
      <c r="R3727" s="8" t="s">
        <v>260</v>
      </c>
      <c r="S3727" t="str">
        <f t="shared" si="513"/>
        <v>PA</v>
      </c>
    </row>
    <row r="3728" spans="1:19" x14ac:dyDescent="0.3">
      <c r="A3728" t="s">
        <v>8</v>
      </c>
      <c r="B3728">
        <v>2016210019</v>
      </c>
      <c r="C3728" t="s">
        <v>56</v>
      </c>
      <c r="E3728" t="s">
        <v>222</v>
      </c>
      <c r="F3728" t="s">
        <v>223</v>
      </c>
      <c r="G3728">
        <v>2</v>
      </c>
      <c r="H3728" t="s">
        <v>438</v>
      </c>
      <c r="I3728" s="4">
        <f t="shared" si="514"/>
        <v>3</v>
      </c>
      <c r="J3728">
        <f t="shared" si="515"/>
        <v>6</v>
      </c>
      <c r="K3728">
        <v>112</v>
      </c>
      <c r="L3728">
        <v>36</v>
      </c>
      <c r="M3728" s="2">
        <v>3.11</v>
      </c>
      <c r="N3728">
        <v>2.52</v>
      </c>
      <c r="O3728">
        <v>1</v>
      </c>
      <c r="P3728">
        <v>10</v>
      </c>
      <c r="Q3728" t="s">
        <v>578</v>
      </c>
      <c r="R3728" s="8" t="s">
        <v>260</v>
      </c>
      <c r="S3728" t="str">
        <f t="shared" si="513"/>
        <v>PA</v>
      </c>
    </row>
    <row r="3729" spans="1:19" x14ac:dyDescent="0.3">
      <c r="A3729" t="s">
        <v>8</v>
      </c>
      <c r="B3729">
        <v>2016210019</v>
      </c>
      <c r="C3729" t="s">
        <v>56</v>
      </c>
      <c r="E3729" t="s">
        <v>439</v>
      </c>
      <c r="F3729" t="s">
        <v>504</v>
      </c>
      <c r="G3729">
        <v>2</v>
      </c>
      <c r="H3729" t="s">
        <v>524</v>
      </c>
      <c r="I3729" s="4">
        <f t="shared" si="514"/>
        <v>2</v>
      </c>
      <c r="J3729">
        <f t="shared" si="515"/>
        <v>4</v>
      </c>
      <c r="K3729">
        <v>112</v>
      </c>
      <c r="L3729">
        <v>36</v>
      </c>
      <c r="M3729" s="2">
        <v>3.11</v>
      </c>
      <c r="N3729">
        <v>2.52</v>
      </c>
      <c r="O3729">
        <v>1</v>
      </c>
      <c r="P3729">
        <v>10</v>
      </c>
      <c r="Q3729" t="s">
        <v>578</v>
      </c>
      <c r="R3729" s="8" t="s">
        <v>260</v>
      </c>
      <c r="S3729" t="str">
        <f t="shared" si="513"/>
        <v>PA</v>
      </c>
    </row>
    <row r="3730" spans="1:19" x14ac:dyDescent="0.3">
      <c r="A3730" t="s">
        <v>8</v>
      </c>
      <c r="B3730">
        <v>2016210019</v>
      </c>
      <c r="C3730" t="s">
        <v>56</v>
      </c>
      <c r="E3730" t="s">
        <v>125</v>
      </c>
      <c r="F3730" t="s">
        <v>126</v>
      </c>
      <c r="G3730">
        <v>4</v>
      </c>
      <c r="H3730" t="s">
        <v>438</v>
      </c>
      <c r="I3730" s="4">
        <f t="shared" si="514"/>
        <v>3</v>
      </c>
      <c r="J3730">
        <f t="shared" si="515"/>
        <v>12</v>
      </c>
      <c r="K3730">
        <v>112</v>
      </c>
      <c r="L3730">
        <v>36</v>
      </c>
      <c r="M3730" s="2">
        <v>3.11</v>
      </c>
      <c r="N3730">
        <v>2.52</v>
      </c>
      <c r="O3730">
        <v>1</v>
      </c>
      <c r="P3730">
        <v>10</v>
      </c>
      <c r="Q3730" t="s">
        <v>578</v>
      </c>
      <c r="R3730" s="8" t="s">
        <v>260</v>
      </c>
      <c r="S3730" t="str">
        <f t="shared" si="513"/>
        <v>PA</v>
      </c>
    </row>
    <row r="3731" spans="1:19" x14ac:dyDescent="0.3">
      <c r="A3731" t="s">
        <v>8</v>
      </c>
      <c r="B3731">
        <v>2016210019</v>
      </c>
      <c r="C3731" t="s">
        <v>56</v>
      </c>
      <c r="E3731" t="s">
        <v>401</v>
      </c>
      <c r="F3731" t="s">
        <v>258</v>
      </c>
      <c r="G3731">
        <v>4</v>
      </c>
      <c r="H3731" t="s">
        <v>438</v>
      </c>
      <c r="I3731" s="4">
        <f t="shared" si="514"/>
        <v>3</v>
      </c>
      <c r="J3731">
        <f t="shared" si="515"/>
        <v>12</v>
      </c>
      <c r="K3731">
        <v>112</v>
      </c>
      <c r="L3731">
        <v>36</v>
      </c>
      <c r="M3731" s="2">
        <v>3.11</v>
      </c>
      <c r="N3731">
        <v>2.52</v>
      </c>
      <c r="O3731">
        <v>1</v>
      </c>
      <c r="P3731">
        <v>10</v>
      </c>
      <c r="Q3731" t="s">
        <v>578</v>
      </c>
      <c r="R3731" s="8" t="s">
        <v>260</v>
      </c>
      <c r="S3731" t="str">
        <f t="shared" si="513"/>
        <v>PA</v>
      </c>
    </row>
    <row r="3732" spans="1:19" x14ac:dyDescent="0.3">
      <c r="A3732" t="s">
        <v>8</v>
      </c>
      <c r="B3732">
        <v>2016210020</v>
      </c>
      <c r="C3732" t="s">
        <v>27</v>
      </c>
      <c r="E3732" t="s">
        <v>17</v>
      </c>
      <c r="F3732" t="s">
        <v>11</v>
      </c>
      <c r="G3732">
        <v>2</v>
      </c>
      <c r="H3732" t="s">
        <v>260</v>
      </c>
      <c r="I3732" s="4">
        <f t="shared" si="514"/>
        <v>4</v>
      </c>
      <c r="J3732">
        <f t="shared" si="515"/>
        <v>8</v>
      </c>
      <c r="K3732">
        <v>42</v>
      </c>
      <c r="L3732">
        <v>12</v>
      </c>
      <c r="M3732" s="2">
        <v>3.5</v>
      </c>
      <c r="N3732">
        <v>3.38</v>
      </c>
      <c r="O3732">
        <v>0</v>
      </c>
      <c r="P3732">
        <v>7</v>
      </c>
      <c r="Q3732" t="s">
        <v>568</v>
      </c>
      <c r="R3732" s="8" t="s">
        <v>260</v>
      </c>
      <c r="S3732" t="str">
        <f t="shared" si="513"/>
        <v>PA</v>
      </c>
    </row>
    <row r="3733" spans="1:19" x14ac:dyDescent="0.3">
      <c r="A3733" t="s">
        <v>8</v>
      </c>
      <c r="B3733">
        <v>2016210020</v>
      </c>
      <c r="C3733" t="s">
        <v>27</v>
      </c>
      <c r="E3733" t="s">
        <v>93</v>
      </c>
      <c r="F3733" t="s">
        <v>94</v>
      </c>
      <c r="G3733">
        <v>4</v>
      </c>
      <c r="H3733" t="s">
        <v>260</v>
      </c>
      <c r="I3733" s="4">
        <f t="shared" si="514"/>
        <v>4</v>
      </c>
      <c r="J3733">
        <f t="shared" si="515"/>
        <v>16</v>
      </c>
      <c r="K3733">
        <v>62</v>
      </c>
      <c r="L3733">
        <v>18</v>
      </c>
      <c r="M3733">
        <v>3.44</v>
      </c>
      <c r="N3733">
        <v>3.38</v>
      </c>
      <c r="O3733">
        <v>0</v>
      </c>
      <c r="P3733">
        <v>3</v>
      </c>
      <c r="Q3733" t="s">
        <v>563</v>
      </c>
      <c r="R3733" s="8" t="s">
        <v>260</v>
      </c>
      <c r="S3733" t="str">
        <f t="shared" si="513"/>
        <v>PA</v>
      </c>
    </row>
    <row r="3734" spans="1:19" x14ac:dyDescent="0.3">
      <c r="A3734" t="s">
        <v>8</v>
      </c>
      <c r="B3734">
        <v>2016210020</v>
      </c>
      <c r="C3734" t="s">
        <v>27</v>
      </c>
      <c r="E3734" t="s">
        <v>176</v>
      </c>
      <c r="F3734" t="s">
        <v>177</v>
      </c>
      <c r="G3734">
        <v>4</v>
      </c>
      <c r="H3734" t="s">
        <v>260</v>
      </c>
      <c r="I3734" s="4">
        <f t="shared" si="514"/>
        <v>4</v>
      </c>
      <c r="J3734">
        <f t="shared" si="515"/>
        <v>16</v>
      </c>
      <c r="K3734">
        <v>80</v>
      </c>
      <c r="L3734">
        <v>24</v>
      </c>
      <c r="M3734">
        <v>3.33</v>
      </c>
      <c r="N3734">
        <v>3.38</v>
      </c>
      <c r="O3734">
        <v>0</v>
      </c>
      <c r="P3734">
        <v>5</v>
      </c>
      <c r="Q3734" t="s">
        <v>566</v>
      </c>
      <c r="R3734" s="8" t="s">
        <v>260</v>
      </c>
      <c r="S3734" t="str">
        <f t="shared" si="513"/>
        <v>PA</v>
      </c>
    </row>
    <row r="3735" spans="1:19" x14ac:dyDescent="0.3">
      <c r="A3735" t="s">
        <v>8</v>
      </c>
      <c r="B3735">
        <v>2016210020</v>
      </c>
      <c r="C3735" t="s">
        <v>27</v>
      </c>
      <c r="E3735" t="s">
        <v>77</v>
      </c>
      <c r="F3735" t="s">
        <v>78</v>
      </c>
      <c r="G3735">
        <v>2</v>
      </c>
      <c r="H3735" t="s">
        <v>260</v>
      </c>
      <c r="I3735" s="4">
        <f t="shared" si="514"/>
        <v>4</v>
      </c>
      <c r="J3735">
        <f t="shared" si="515"/>
        <v>8</v>
      </c>
      <c r="K3735">
        <v>70</v>
      </c>
      <c r="L3735">
        <v>20</v>
      </c>
      <c r="M3735" s="2">
        <v>3.5</v>
      </c>
      <c r="N3735">
        <v>3.38</v>
      </c>
      <c r="O3735">
        <v>0</v>
      </c>
      <c r="P3735">
        <v>1</v>
      </c>
      <c r="Q3735" t="s">
        <v>558</v>
      </c>
      <c r="R3735" s="8" t="s">
        <v>260</v>
      </c>
      <c r="S3735" t="str">
        <f t="shared" si="513"/>
        <v>PA</v>
      </c>
    </row>
    <row r="3736" spans="1:19" x14ac:dyDescent="0.3">
      <c r="A3736" t="s">
        <v>8</v>
      </c>
      <c r="B3736">
        <v>2016210020</v>
      </c>
      <c r="C3736" t="s">
        <v>27</v>
      </c>
      <c r="E3736" t="s">
        <v>318</v>
      </c>
      <c r="F3736" t="s">
        <v>319</v>
      </c>
      <c r="G3736">
        <v>2</v>
      </c>
      <c r="H3736" t="s">
        <v>260</v>
      </c>
      <c r="I3736" s="4">
        <f t="shared" si="514"/>
        <v>4</v>
      </c>
      <c r="J3736">
        <f t="shared" si="515"/>
        <v>8</v>
      </c>
      <c r="K3736">
        <v>80</v>
      </c>
      <c r="L3736">
        <v>24</v>
      </c>
      <c r="M3736">
        <v>3.33</v>
      </c>
      <c r="N3736">
        <v>3.38</v>
      </c>
      <c r="O3736">
        <v>0</v>
      </c>
      <c r="P3736">
        <v>5</v>
      </c>
      <c r="Q3736" t="s">
        <v>566</v>
      </c>
      <c r="R3736" s="8" t="s">
        <v>260</v>
      </c>
      <c r="S3736" t="str">
        <f t="shared" si="513"/>
        <v>PA</v>
      </c>
    </row>
    <row r="3737" spans="1:19" x14ac:dyDescent="0.3">
      <c r="A3737" t="s">
        <v>8</v>
      </c>
      <c r="B3737">
        <v>2016210020</v>
      </c>
      <c r="C3737" t="s">
        <v>27</v>
      </c>
      <c r="E3737" t="s">
        <v>202</v>
      </c>
      <c r="F3737" t="s">
        <v>203</v>
      </c>
      <c r="G3737">
        <v>4</v>
      </c>
      <c r="H3737" t="s">
        <v>260</v>
      </c>
      <c r="I3737" s="4">
        <f t="shared" si="514"/>
        <v>4</v>
      </c>
      <c r="J3737">
        <f t="shared" si="515"/>
        <v>16</v>
      </c>
      <c r="K3737">
        <v>70</v>
      </c>
      <c r="L3737">
        <v>20</v>
      </c>
      <c r="M3737" s="2">
        <v>3.5</v>
      </c>
      <c r="N3737">
        <v>3.38</v>
      </c>
      <c r="O3737">
        <v>0</v>
      </c>
      <c r="P3737">
        <v>1</v>
      </c>
      <c r="Q3737" t="s">
        <v>558</v>
      </c>
      <c r="R3737" s="8" t="s">
        <v>260</v>
      </c>
      <c r="S3737" t="str">
        <f t="shared" ref="S3737:S3786" si="516">IF(OR(H3737="A",H3737="B",H3737="C"),"PA","FA")</f>
        <v>PA</v>
      </c>
    </row>
    <row r="3738" spans="1:19" x14ac:dyDescent="0.3">
      <c r="A3738" t="s">
        <v>8</v>
      </c>
      <c r="B3738">
        <v>2016210020</v>
      </c>
      <c r="C3738" t="s">
        <v>27</v>
      </c>
      <c r="E3738" t="s">
        <v>242</v>
      </c>
      <c r="F3738" t="s">
        <v>166</v>
      </c>
      <c r="G3738">
        <v>2</v>
      </c>
      <c r="H3738" t="s">
        <v>260</v>
      </c>
      <c r="I3738" s="4">
        <f t="shared" ref="I3738:I3786" si="517">IF(H3738="A",4,IF(H3738="B",3,IF(H3738="C",2,IF(H3738="D",1,0))))</f>
        <v>4</v>
      </c>
      <c r="J3738">
        <f t="shared" ref="J3738:J3786" si="518">G3738*I3738</f>
        <v>8</v>
      </c>
      <c r="K3738">
        <v>82</v>
      </c>
      <c r="L3738">
        <v>24</v>
      </c>
      <c r="M3738">
        <v>3.42</v>
      </c>
      <c r="N3738">
        <v>3.38</v>
      </c>
      <c r="O3738">
        <v>0</v>
      </c>
      <c r="P3738">
        <v>4</v>
      </c>
      <c r="Q3738" t="s">
        <v>565</v>
      </c>
      <c r="R3738" s="8" t="s">
        <v>260</v>
      </c>
      <c r="S3738" t="str">
        <f t="shared" si="516"/>
        <v>PA</v>
      </c>
    </row>
    <row r="3739" spans="1:19" x14ac:dyDescent="0.3">
      <c r="A3739" t="s">
        <v>8</v>
      </c>
      <c r="B3739">
        <v>2016210020</v>
      </c>
      <c r="C3739" t="s">
        <v>27</v>
      </c>
      <c r="E3739" t="s">
        <v>180</v>
      </c>
      <c r="F3739" t="s">
        <v>181</v>
      </c>
      <c r="G3739">
        <v>4</v>
      </c>
      <c r="H3739" t="s">
        <v>260</v>
      </c>
      <c r="I3739" s="4">
        <f t="shared" si="517"/>
        <v>4</v>
      </c>
      <c r="J3739">
        <f t="shared" si="518"/>
        <v>16</v>
      </c>
      <c r="K3739">
        <v>82</v>
      </c>
      <c r="L3739">
        <v>24</v>
      </c>
      <c r="M3739">
        <v>3.42</v>
      </c>
      <c r="N3739">
        <v>3.38</v>
      </c>
      <c r="O3739">
        <v>0</v>
      </c>
      <c r="P3739">
        <v>4</v>
      </c>
      <c r="Q3739" t="s">
        <v>565</v>
      </c>
      <c r="R3739" s="8" t="s">
        <v>260</v>
      </c>
      <c r="S3739" t="str">
        <f t="shared" si="516"/>
        <v>PA</v>
      </c>
    </row>
    <row r="3740" spans="1:19" x14ac:dyDescent="0.3">
      <c r="A3740" t="s">
        <v>8</v>
      </c>
      <c r="B3740">
        <v>2016210020</v>
      </c>
      <c r="C3740" t="s">
        <v>27</v>
      </c>
      <c r="E3740" t="s">
        <v>216</v>
      </c>
      <c r="F3740" t="s">
        <v>217</v>
      </c>
      <c r="G3740">
        <v>2</v>
      </c>
      <c r="H3740" t="s">
        <v>260</v>
      </c>
      <c r="I3740" s="4">
        <f t="shared" si="517"/>
        <v>4</v>
      </c>
      <c r="J3740">
        <f t="shared" si="518"/>
        <v>8</v>
      </c>
      <c r="K3740">
        <v>82</v>
      </c>
      <c r="L3740">
        <v>24</v>
      </c>
      <c r="M3740">
        <v>3.42</v>
      </c>
      <c r="N3740">
        <v>3.38</v>
      </c>
      <c r="O3740">
        <v>0</v>
      </c>
      <c r="P3740">
        <v>4</v>
      </c>
      <c r="Q3740" t="s">
        <v>565</v>
      </c>
      <c r="R3740" s="8" t="s">
        <v>260</v>
      </c>
      <c r="S3740" t="str">
        <f t="shared" si="516"/>
        <v>PA</v>
      </c>
    </row>
    <row r="3741" spans="1:19" x14ac:dyDescent="0.3">
      <c r="A3741" t="s">
        <v>8</v>
      </c>
      <c r="B3741">
        <v>2016210020</v>
      </c>
      <c r="C3741" t="s">
        <v>27</v>
      </c>
      <c r="E3741" t="s">
        <v>10</v>
      </c>
      <c r="F3741" t="s">
        <v>11</v>
      </c>
      <c r="G3741">
        <v>2</v>
      </c>
      <c r="H3741" t="s">
        <v>260</v>
      </c>
      <c r="I3741" s="4">
        <f t="shared" si="517"/>
        <v>4</v>
      </c>
      <c r="J3741">
        <f t="shared" si="518"/>
        <v>8</v>
      </c>
      <c r="K3741">
        <v>60</v>
      </c>
      <c r="L3741">
        <v>22</v>
      </c>
      <c r="M3741">
        <v>2.73</v>
      </c>
      <c r="N3741">
        <v>3.38</v>
      </c>
      <c r="O3741">
        <v>0</v>
      </c>
      <c r="P3741">
        <v>6</v>
      </c>
      <c r="Q3741" t="s">
        <v>567</v>
      </c>
      <c r="R3741" s="8" t="s">
        <v>260</v>
      </c>
      <c r="S3741" t="str">
        <f t="shared" si="516"/>
        <v>PA</v>
      </c>
    </row>
    <row r="3742" spans="1:19" x14ac:dyDescent="0.3">
      <c r="A3742" t="s">
        <v>8</v>
      </c>
      <c r="B3742">
        <v>2016210020</v>
      </c>
      <c r="C3742" t="s">
        <v>27</v>
      </c>
      <c r="E3742" t="s">
        <v>597</v>
      </c>
      <c r="F3742" t="s">
        <v>275</v>
      </c>
      <c r="G3742">
        <v>2</v>
      </c>
      <c r="H3742" t="s">
        <v>260</v>
      </c>
      <c r="I3742" s="4">
        <f t="shared" si="517"/>
        <v>4</v>
      </c>
      <c r="J3742">
        <f t="shared" si="518"/>
        <v>8</v>
      </c>
      <c r="K3742">
        <v>60</v>
      </c>
      <c r="L3742">
        <v>22</v>
      </c>
      <c r="M3742">
        <v>2.73</v>
      </c>
      <c r="N3742">
        <v>3.38</v>
      </c>
      <c r="O3742">
        <v>0</v>
      </c>
      <c r="P3742">
        <v>6</v>
      </c>
      <c r="Q3742" t="s">
        <v>567</v>
      </c>
      <c r="R3742" s="8" t="s">
        <v>260</v>
      </c>
      <c r="S3742" t="str">
        <f t="shared" si="516"/>
        <v>PA</v>
      </c>
    </row>
    <row r="3743" spans="1:19" x14ac:dyDescent="0.3">
      <c r="A3743" t="s">
        <v>8</v>
      </c>
      <c r="B3743">
        <v>2016210020</v>
      </c>
      <c r="C3743" t="s">
        <v>27</v>
      </c>
      <c r="E3743" t="s">
        <v>232</v>
      </c>
      <c r="F3743" t="s">
        <v>233</v>
      </c>
      <c r="G3743">
        <v>2</v>
      </c>
      <c r="H3743" t="s">
        <v>260</v>
      </c>
      <c r="I3743" s="4">
        <f t="shared" si="517"/>
        <v>4</v>
      </c>
      <c r="J3743">
        <f t="shared" si="518"/>
        <v>8</v>
      </c>
      <c r="K3743">
        <v>82</v>
      </c>
      <c r="L3743">
        <v>24</v>
      </c>
      <c r="M3743">
        <v>3.42</v>
      </c>
      <c r="N3743">
        <v>3.38</v>
      </c>
      <c r="O3743">
        <v>0</v>
      </c>
      <c r="P3743">
        <v>4</v>
      </c>
      <c r="Q3743" t="s">
        <v>565</v>
      </c>
      <c r="R3743" s="8" t="s">
        <v>260</v>
      </c>
      <c r="S3743" t="str">
        <f t="shared" si="516"/>
        <v>PA</v>
      </c>
    </row>
    <row r="3744" spans="1:19" x14ac:dyDescent="0.3">
      <c r="A3744" t="s">
        <v>8</v>
      </c>
      <c r="B3744">
        <v>2016210020</v>
      </c>
      <c r="C3744" t="s">
        <v>27</v>
      </c>
      <c r="E3744" t="s">
        <v>213</v>
      </c>
      <c r="F3744" t="s">
        <v>214</v>
      </c>
      <c r="G3744">
        <v>4</v>
      </c>
      <c r="H3744" t="s">
        <v>260</v>
      </c>
      <c r="I3744" s="4">
        <f t="shared" si="517"/>
        <v>4</v>
      </c>
      <c r="J3744">
        <f t="shared" si="518"/>
        <v>16</v>
      </c>
      <c r="K3744">
        <v>80</v>
      </c>
      <c r="L3744">
        <v>24</v>
      </c>
      <c r="M3744">
        <v>3.33</v>
      </c>
      <c r="N3744">
        <v>3.38</v>
      </c>
      <c r="O3744">
        <v>0</v>
      </c>
      <c r="P3744">
        <v>5</v>
      </c>
      <c r="Q3744" t="s">
        <v>566</v>
      </c>
      <c r="R3744" s="8" t="s">
        <v>260</v>
      </c>
      <c r="S3744" t="str">
        <f t="shared" si="516"/>
        <v>PA</v>
      </c>
    </row>
    <row r="3745" spans="1:19" x14ac:dyDescent="0.3">
      <c r="A3745" t="s">
        <v>8</v>
      </c>
      <c r="B3745">
        <v>2016210020</v>
      </c>
      <c r="C3745" t="s">
        <v>27</v>
      </c>
      <c r="E3745" t="s">
        <v>185</v>
      </c>
      <c r="F3745" t="s">
        <v>186</v>
      </c>
      <c r="G3745">
        <v>4</v>
      </c>
      <c r="H3745" t="s">
        <v>260</v>
      </c>
      <c r="I3745" s="4">
        <f t="shared" si="517"/>
        <v>4</v>
      </c>
      <c r="J3745">
        <f t="shared" si="518"/>
        <v>16</v>
      </c>
      <c r="K3745">
        <v>42</v>
      </c>
      <c r="L3745">
        <v>12</v>
      </c>
      <c r="M3745" s="2">
        <v>3.5</v>
      </c>
      <c r="N3745">
        <v>3.38</v>
      </c>
      <c r="O3745">
        <v>0</v>
      </c>
      <c r="P3745">
        <v>7</v>
      </c>
      <c r="Q3745" t="s">
        <v>568</v>
      </c>
      <c r="R3745" s="8" t="s">
        <v>260</v>
      </c>
      <c r="S3745" t="str">
        <f t="shared" si="516"/>
        <v>PA</v>
      </c>
    </row>
    <row r="3746" spans="1:19" x14ac:dyDescent="0.3">
      <c r="A3746" t="s">
        <v>8</v>
      </c>
      <c r="B3746">
        <v>2016210020</v>
      </c>
      <c r="C3746" t="s">
        <v>27</v>
      </c>
      <c r="E3746" t="s">
        <v>401</v>
      </c>
      <c r="F3746" t="s">
        <v>258</v>
      </c>
      <c r="G3746">
        <v>4</v>
      </c>
      <c r="H3746" t="s">
        <v>260</v>
      </c>
      <c r="I3746" s="4">
        <f t="shared" si="517"/>
        <v>4</v>
      </c>
      <c r="J3746">
        <f t="shared" si="518"/>
        <v>16</v>
      </c>
      <c r="K3746">
        <v>62</v>
      </c>
      <c r="L3746">
        <v>18</v>
      </c>
      <c r="M3746">
        <v>3.44</v>
      </c>
      <c r="N3746">
        <v>3.38</v>
      </c>
      <c r="O3746">
        <v>0</v>
      </c>
      <c r="P3746">
        <v>3</v>
      </c>
      <c r="Q3746" t="s">
        <v>563</v>
      </c>
      <c r="R3746" s="8" t="s">
        <v>260</v>
      </c>
      <c r="S3746" t="str">
        <f t="shared" si="516"/>
        <v>PA</v>
      </c>
    </row>
    <row r="3747" spans="1:19" x14ac:dyDescent="0.3">
      <c r="A3747" t="s">
        <v>8</v>
      </c>
      <c r="B3747">
        <v>2016210020</v>
      </c>
      <c r="C3747" t="s">
        <v>27</v>
      </c>
      <c r="E3747" t="s">
        <v>147</v>
      </c>
      <c r="F3747" t="s">
        <v>148</v>
      </c>
      <c r="G3747">
        <v>4</v>
      </c>
      <c r="H3747" t="s">
        <v>260</v>
      </c>
      <c r="I3747" s="4">
        <f t="shared" si="517"/>
        <v>4</v>
      </c>
      <c r="J3747">
        <f t="shared" si="518"/>
        <v>16</v>
      </c>
      <c r="K3747">
        <v>70</v>
      </c>
      <c r="L3747">
        <v>20</v>
      </c>
      <c r="M3747" s="2">
        <v>3.5</v>
      </c>
      <c r="N3747">
        <v>3.38</v>
      </c>
      <c r="O3747">
        <v>0</v>
      </c>
      <c r="P3747">
        <v>1</v>
      </c>
      <c r="Q3747" t="s">
        <v>558</v>
      </c>
      <c r="R3747" s="8" t="s">
        <v>260</v>
      </c>
      <c r="S3747" t="str">
        <f t="shared" si="516"/>
        <v>PA</v>
      </c>
    </row>
    <row r="3748" spans="1:19" x14ac:dyDescent="0.3">
      <c r="A3748" t="s">
        <v>8</v>
      </c>
      <c r="B3748">
        <v>2016210020</v>
      </c>
      <c r="C3748" t="s">
        <v>27</v>
      </c>
      <c r="E3748" t="s">
        <v>87</v>
      </c>
      <c r="F3748" t="s">
        <v>88</v>
      </c>
      <c r="G3748">
        <v>2</v>
      </c>
      <c r="H3748" t="s">
        <v>260</v>
      </c>
      <c r="I3748" s="4">
        <f t="shared" si="517"/>
        <v>4</v>
      </c>
      <c r="J3748">
        <f t="shared" si="518"/>
        <v>8</v>
      </c>
      <c r="K3748">
        <v>60</v>
      </c>
      <c r="L3748">
        <v>22</v>
      </c>
      <c r="M3748">
        <v>2.73</v>
      </c>
      <c r="N3748">
        <v>3.38</v>
      </c>
      <c r="O3748">
        <v>0</v>
      </c>
      <c r="P3748">
        <v>6</v>
      </c>
      <c r="Q3748" t="s">
        <v>567</v>
      </c>
      <c r="R3748" s="8" t="s">
        <v>260</v>
      </c>
      <c r="S3748" t="str">
        <f t="shared" si="516"/>
        <v>PA</v>
      </c>
    </row>
    <row r="3749" spans="1:19" x14ac:dyDescent="0.3">
      <c r="A3749" t="s">
        <v>8</v>
      </c>
      <c r="B3749">
        <v>2016210020</v>
      </c>
      <c r="C3749" t="s">
        <v>27</v>
      </c>
      <c r="E3749" t="s">
        <v>246</v>
      </c>
      <c r="F3749" t="s">
        <v>247</v>
      </c>
      <c r="G3749">
        <v>4</v>
      </c>
      <c r="H3749" t="s">
        <v>260</v>
      </c>
      <c r="I3749" s="4">
        <f t="shared" si="517"/>
        <v>4</v>
      </c>
      <c r="J3749">
        <f t="shared" si="518"/>
        <v>16</v>
      </c>
      <c r="K3749">
        <v>82</v>
      </c>
      <c r="L3749">
        <v>24</v>
      </c>
      <c r="M3749">
        <v>3.42</v>
      </c>
      <c r="N3749">
        <v>3.38</v>
      </c>
      <c r="O3749">
        <v>0</v>
      </c>
      <c r="P3749">
        <v>4</v>
      </c>
      <c r="Q3749" t="s">
        <v>565</v>
      </c>
      <c r="R3749" s="8" t="s">
        <v>260</v>
      </c>
      <c r="S3749" t="str">
        <f t="shared" si="516"/>
        <v>PA</v>
      </c>
    </row>
    <row r="3750" spans="1:19" x14ac:dyDescent="0.3">
      <c r="A3750" t="s">
        <v>8</v>
      </c>
      <c r="B3750">
        <v>2016210020</v>
      </c>
      <c r="C3750" t="s">
        <v>27</v>
      </c>
      <c r="E3750" t="s">
        <v>117</v>
      </c>
      <c r="F3750" t="s">
        <v>118</v>
      </c>
      <c r="G3750">
        <v>2</v>
      </c>
      <c r="H3750" t="s">
        <v>260</v>
      </c>
      <c r="I3750" s="4">
        <f t="shared" si="517"/>
        <v>4</v>
      </c>
      <c r="J3750">
        <f t="shared" si="518"/>
        <v>8</v>
      </c>
      <c r="K3750">
        <v>48</v>
      </c>
      <c r="L3750">
        <v>18</v>
      </c>
      <c r="M3750">
        <v>2.67</v>
      </c>
      <c r="N3750">
        <v>3.38</v>
      </c>
      <c r="O3750">
        <v>0</v>
      </c>
      <c r="P3750">
        <v>2</v>
      </c>
      <c r="Q3750" t="s">
        <v>559</v>
      </c>
      <c r="R3750" s="8" t="s">
        <v>260</v>
      </c>
      <c r="S3750" t="str">
        <f t="shared" si="516"/>
        <v>PA</v>
      </c>
    </row>
    <row r="3751" spans="1:19" x14ac:dyDescent="0.3">
      <c r="A3751" t="s">
        <v>8</v>
      </c>
      <c r="B3751">
        <v>2016210020</v>
      </c>
      <c r="C3751" t="s">
        <v>27</v>
      </c>
      <c r="E3751" t="s">
        <v>22</v>
      </c>
      <c r="F3751" t="s">
        <v>23</v>
      </c>
      <c r="G3751">
        <v>2</v>
      </c>
      <c r="H3751" t="s">
        <v>438</v>
      </c>
      <c r="I3751" s="4">
        <f t="shared" si="517"/>
        <v>3</v>
      </c>
      <c r="J3751">
        <f t="shared" si="518"/>
        <v>6</v>
      </c>
      <c r="K3751">
        <v>48</v>
      </c>
      <c r="L3751">
        <v>18</v>
      </c>
      <c r="M3751">
        <v>2.67</v>
      </c>
      <c r="N3751">
        <v>3.38</v>
      </c>
      <c r="O3751">
        <v>0</v>
      </c>
      <c r="P3751">
        <v>2</v>
      </c>
      <c r="Q3751" t="s">
        <v>559</v>
      </c>
      <c r="R3751" s="8" t="s">
        <v>260</v>
      </c>
      <c r="S3751" t="str">
        <f t="shared" si="516"/>
        <v>PA</v>
      </c>
    </row>
    <row r="3752" spans="1:19" x14ac:dyDescent="0.3">
      <c r="A3752" t="s">
        <v>8</v>
      </c>
      <c r="B3752">
        <v>2016210020</v>
      </c>
      <c r="C3752" t="s">
        <v>27</v>
      </c>
      <c r="E3752" t="s">
        <v>439</v>
      </c>
      <c r="F3752" t="s">
        <v>440</v>
      </c>
      <c r="G3752">
        <v>2</v>
      </c>
      <c r="H3752" t="s">
        <v>438</v>
      </c>
      <c r="I3752" s="4">
        <f t="shared" si="517"/>
        <v>3</v>
      </c>
      <c r="J3752">
        <f t="shared" si="518"/>
        <v>6</v>
      </c>
      <c r="K3752">
        <v>60</v>
      </c>
      <c r="L3752">
        <v>22</v>
      </c>
      <c r="M3752">
        <v>2.73</v>
      </c>
      <c r="N3752">
        <v>3.38</v>
      </c>
      <c r="O3752">
        <v>0</v>
      </c>
      <c r="P3752">
        <v>6</v>
      </c>
      <c r="Q3752" t="s">
        <v>567</v>
      </c>
      <c r="R3752" s="8" t="s">
        <v>260</v>
      </c>
      <c r="S3752" t="str">
        <f t="shared" si="516"/>
        <v>PA</v>
      </c>
    </row>
    <row r="3753" spans="1:19" x14ac:dyDescent="0.3">
      <c r="A3753" t="s">
        <v>8</v>
      </c>
      <c r="B3753">
        <v>2016210020</v>
      </c>
      <c r="C3753" t="s">
        <v>27</v>
      </c>
      <c r="E3753" t="s">
        <v>355</v>
      </c>
      <c r="F3753" t="s">
        <v>274</v>
      </c>
      <c r="G3753">
        <v>2</v>
      </c>
      <c r="H3753" t="s">
        <v>438</v>
      </c>
      <c r="I3753" s="4">
        <f t="shared" si="517"/>
        <v>3</v>
      </c>
      <c r="J3753">
        <f t="shared" si="518"/>
        <v>6</v>
      </c>
      <c r="K3753">
        <v>82</v>
      </c>
      <c r="L3753">
        <v>24</v>
      </c>
      <c r="M3753">
        <v>3.42</v>
      </c>
      <c r="N3753">
        <v>3.38</v>
      </c>
      <c r="O3753">
        <v>0</v>
      </c>
      <c r="P3753">
        <v>4</v>
      </c>
      <c r="Q3753" t="s">
        <v>565</v>
      </c>
      <c r="R3753" s="8" t="s">
        <v>260</v>
      </c>
      <c r="S3753" t="str">
        <f t="shared" si="516"/>
        <v>PA</v>
      </c>
    </row>
    <row r="3754" spans="1:19" x14ac:dyDescent="0.3">
      <c r="A3754" t="s">
        <v>8</v>
      </c>
      <c r="B3754">
        <v>2016210020</v>
      </c>
      <c r="C3754" t="s">
        <v>27</v>
      </c>
      <c r="E3754" t="s">
        <v>279</v>
      </c>
      <c r="F3754" t="s">
        <v>280</v>
      </c>
      <c r="G3754">
        <v>2</v>
      </c>
      <c r="H3754" t="s">
        <v>438</v>
      </c>
      <c r="I3754" s="4">
        <f t="shared" si="517"/>
        <v>3</v>
      </c>
      <c r="J3754">
        <f t="shared" si="518"/>
        <v>6</v>
      </c>
      <c r="K3754">
        <v>48</v>
      </c>
      <c r="L3754">
        <v>18</v>
      </c>
      <c r="M3754">
        <v>2.67</v>
      </c>
      <c r="N3754">
        <v>3.38</v>
      </c>
      <c r="O3754">
        <v>0</v>
      </c>
      <c r="P3754">
        <v>2</v>
      </c>
      <c r="Q3754" t="s">
        <v>559</v>
      </c>
      <c r="R3754" s="8" t="s">
        <v>260</v>
      </c>
      <c r="S3754" t="str">
        <f t="shared" si="516"/>
        <v>PA</v>
      </c>
    </row>
    <row r="3755" spans="1:19" x14ac:dyDescent="0.3">
      <c r="A3755" t="s">
        <v>8</v>
      </c>
      <c r="B3755">
        <v>2016210020</v>
      </c>
      <c r="C3755" t="s">
        <v>27</v>
      </c>
      <c r="E3755" t="s">
        <v>105</v>
      </c>
      <c r="F3755" t="s">
        <v>106</v>
      </c>
      <c r="G3755">
        <v>2</v>
      </c>
      <c r="H3755" t="s">
        <v>438</v>
      </c>
      <c r="I3755" s="4">
        <f t="shared" si="517"/>
        <v>3</v>
      </c>
      <c r="J3755">
        <f t="shared" si="518"/>
        <v>6</v>
      </c>
      <c r="K3755">
        <v>62</v>
      </c>
      <c r="L3755">
        <v>18</v>
      </c>
      <c r="M3755">
        <v>3.44</v>
      </c>
      <c r="N3755">
        <v>3.38</v>
      </c>
      <c r="O3755">
        <v>0</v>
      </c>
      <c r="P3755">
        <v>3</v>
      </c>
      <c r="Q3755" t="s">
        <v>563</v>
      </c>
      <c r="R3755" s="8" t="s">
        <v>260</v>
      </c>
      <c r="S3755" t="str">
        <f t="shared" si="516"/>
        <v>PA</v>
      </c>
    </row>
    <row r="3756" spans="1:19" x14ac:dyDescent="0.3">
      <c r="A3756" t="s">
        <v>8</v>
      </c>
      <c r="B3756">
        <v>2016210020</v>
      </c>
      <c r="C3756" t="s">
        <v>27</v>
      </c>
      <c r="E3756" t="s">
        <v>193</v>
      </c>
      <c r="F3756" t="s">
        <v>194</v>
      </c>
      <c r="G3756">
        <v>4</v>
      </c>
      <c r="H3756" t="s">
        <v>438</v>
      </c>
      <c r="I3756" s="4">
        <f t="shared" si="517"/>
        <v>3</v>
      </c>
      <c r="J3756">
        <f t="shared" si="518"/>
        <v>12</v>
      </c>
      <c r="K3756">
        <v>42</v>
      </c>
      <c r="L3756">
        <v>12</v>
      </c>
      <c r="M3756" s="2">
        <v>3.5</v>
      </c>
      <c r="N3756">
        <v>3.38</v>
      </c>
      <c r="O3756">
        <v>0</v>
      </c>
      <c r="P3756">
        <v>7</v>
      </c>
      <c r="Q3756" t="s">
        <v>568</v>
      </c>
      <c r="R3756" s="8" t="s">
        <v>260</v>
      </c>
      <c r="S3756" t="str">
        <f t="shared" si="516"/>
        <v>PA</v>
      </c>
    </row>
    <row r="3757" spans="1:19" x14ac:dyDescent="0.3">
      <c r="A3757" t="s">
        <v>8</v>
      </c>
      <c r="B3757">
        <v>2016210020</v>
      </c>
      <c r="C3757" t="s">
        <v>27</v>
      </c>
      <c r="E3757" t="s">
        <v>227</v>
      </c>
      <c r="F3757" t="s">
        <v>228</v>
      </c>
      <c r="G3757">
        <v>2</v>
      </c>
      <c r="H3757" t="s">
        <v>438</v>
      </c>
      <c r="I3757" s="4">
        <f t="shared" si="517"/>
        <v>3</v>
      </c>
      <c r="J3757">
        <f t="shared" si="518"/>
        <v>6</v>
      </c>
      <c r="K3757">
        <v>62</v>
      </c>
      <c r="L3757">
        <v>18</v>
      </c>
      <c r="M3757">
        <v>3.44</v>
      </c>
      <c r="N3757">
        <v>3.38</v>
      </c>
      <c r="O3757">
        <v>0</v>
      </c>
      <c r="P3757">
        <v>3</v>
      </c>
      <c r="Q3757" t="s">
        <v>563</v>
      </c>
      <c r="R3757" s="8" t="s">
        <v>260</v>
      </c>
      <c r="S3757" t="str">
        <f t="shared" si="516"/>
        <v>PA</v>
      </c>
    </row>
    <row r="3758" spans="1:19" x14ac:dyDescent="0.3">
      <c r="A3758" t="s">
        <v>8</v>
      </c>
      <c r="B3758">
        <v>2016210020</v>
      </c>
      <c r="C3758" t="s">
        <v>27</v>
      </c>
      <c r="E3758" t="s">
        <v>182</v>
      </c>
      <c r="F3758" t="s">
        <v>171</v>
      </c>
      <c r="G3758">
        <v>2</v>
      </c>
      <c r="H3758" t="s">
        <v>438</v>
      </c>
      <c r="I3758" s="4">
        <f t="shared" si="517"/>
        <v>3</v>
      </c>
      <c r="J3758">
        <f t="shared" si="518"/>
        <v>6</v>
      </c>
      <c r="K3758">
        <v>80</v>
      </c>
      <c r="L3758">
        <v>24</v>
      </c>
      <c r="M3758">
        <v>3.33</v>
      </c>
      <c r="N3758">
        <v>3.38</v>
      </c>
      <c r="O3758">
        <v>0</v>
      </c>
      <c r="P3758">
        <v>5</v>
      </c>
      <c r="Q3758" t="s">
        <v>566</v>
      </c>
      <c r="R3758" s="8" t="s">
        <v>260</v>
      </c>
      <c r="S3758" t="str">
        <f t="shared" si="516"/>
        <v>PA</v>
      </c>
    </row>
    <row r="3759" spans="1:19" x14ac:dyDescent="0.3">
      <c r="A3759" t="s">
        <v>8</v>
      </c>
      <c r="B3759">
        <v>2016210020</v>
      </c>
      <c r="C3759" t="s">
        <v>27</v>
      </c>
      <c r="E3759" t="s">
        <v>131</v>
      </c>
      <c r="F3759" t="s">
        <v>132</v>
      </c>
      <c r="G3759">
        <v>2</v>
      </c>
      <c r="H3759" t="s">
        <v>438</v>
      </c>
      <c r="I3759" s="4">
        <f t="shared" si="517"/>
        <v>3</v>
      </c>
      <c r="J3759">
        <f t="shared" si="518"/>
        <v>6</v>
      </c>
      <c r="K3759">
        <v>70</v>
      </c>
      <c r="L3759">
        <v>20</v>
      </c>
      <c r="M3759" s="2">
        <v>3.5</v>
      </c>
      <c r="N3759">
        <v>3.38</v>
      </c>
      <c r="O3759">
        <v>0</v>
      </c>
      <c r="P3759">
        <v>1</v>
      </c>
      <c r="Q3759" t="s">
        <v>558</v>
      </c>
      <c r="R3759" s="8" t="s">
        <v>260</v>
      </c>
      <c r="S3759" t="str">
        <f t="shared" si="516"/>
        <v>PA</v>
      </c>
    </row>
    <row r="3760" spans="1:19" x14ac:dyDescent="0.3">
      <c r="A3760" t="s">
        <v>8</v>
      </c>
      <c r="B3760">
        <v>2016210020</v>
      </c>
      <c r="C3760" t="s">
        <v>27</v>
      </c>
      <c r="E3760" t="s">
        <v>407</v>
      </c>
      <c r="F3760" t="s">
        <v>312</v>
      </c>
      <c r="G3760">
        <v>2</v>
      </c>
      <c r="H3760" t="s">
        <v>438</v>
      </c>
      <c r="I3760" s="4">
        <f t="shared" si="517"/>
        <v>3</v>
      </c>
      <c r="J3760">
        <f t="shared" si="518"/>
        <v>6</v>
      </c>
      <c r="K3760">
        <v>80</v>
      </c>
      <c r="L3760">
        <v>24</v>
      </c>
      <c r="M3760">
        <v>3.33</v>
      </c>
      <c r="N3760">
        <v>3.38</v>
      </c>
      <c r="O3760">
        <v>0</v>
      </c>
      <c r="P3760">
        <v>5</v>
      </c>
      <c r="Q3760" t="s">
        <v>566</v>
      </c>
      <c r="R3760" s="8" t="s">
        <v>260</v>
      </c>
      <c r="S3760" t="str">
        <f t="shared" si="516"/>
        <v>PA</v>
      </c>
    </row>
    <row r="3761" spans="1:19" x14ac:dyDescent="0.3">
      <c r="A3761" t="s">
        <v>8</v>
      </c>
      <c r="B3761">
        <v>2016210020</v>
      </c>
      <c r="C3761" t="s">
        <v>27</v>
      </c>
      <c r="E3761" t="s">
        <v>115</v>
      </c>
      <c r="F3761" t="s">
        <v>116</v>
      </c>
      <c r="G3761">
        <v>4</v>
      </c>
      <c r="H3761" t="s">
        <v>438</v>
      </c>
      <c r="I3761" s="4">
        <f t="shared" si="517"/>
        <v>3</v>
      </c>
      <c r="J3761">
        <f t="shared" si="518"/>
        <v>12</v>
      </c>
      <c r="K3761">
        <v>48</v>
      </c>
      <c r="L3761">
        <v>18</v>
      </c>
      <c r="M3761">
        <v>2.67</v>
      </c>
      <c r="N3761">
        <v>3.38</v>
      </c>
      <c r="O3761">
        <v>0</v>
      </c>
      <c r="P3761">
        <v>2</v>
      </c>
      <c r="Q3761" t="s">
        <v>559</v>
      </c>
      <c r="R3761" s="8" t="s">
        <v>260</v>
      </c>
      <c r="S3761" t="str">
        <f t="shared" si="516"/>
        <v>PA</v>
      </c>
    </row>
    <row r="3762" spans="1:19" x14ac:dyDescent="0.3">
      <c r="A3762" t="s">
        <v>8</v>
      </c>
      <c r="B3762">
        <v>2016210020</v>
      </c>
      <c r="C3762" t="s">
        <v>27</v>
      </c>
      <c r="E3762" t="s">
        <v>238</v>
      </c>
      <c r="F3762" t="s">
        <v>239</v>
      </c>
      <c r="G3762">
        <v>4</v>
      </c>
      <c r="H3762" t="s">
        <v>438</v>
      </c>
      <c r="I3762" s="4">
        <f t="shared" si="517"/>
        <v>3</v>
      </c>
      <c r="J3762">
        <f t="shared" si="518"/>
        <v>12</v>
      </c>
      <c r="K3762">
        <v>60</v>
      </c>
      <c r="L3762">
        <v>22</v>
      </c>
      <c r="M3762">
        <v>2.73</v>
      </c>
      <c r="N3762">
        <v>3.38</v>
      </c>
      <c r="O3762">
        <v>0</v>
      </c>
      <c r="P3762">
        <v>6</v>
      </c>
      <c r="Q3762" t="s">
        <v>567</v>
      </c>
      <c r="R3762" s="8" t="s">
        <v>260</v>
      </c>
      <c r="S3762" t="str">
        <f t="shared" si="516"/>
        <v>PA</v>
      </c>
    </row>
    <row r="3763" spans="1:19" x14ac:dyDescent="0.3">
      <c r="A3763" t="s">
        <v>8</v>
      </c>
      <c r="B3763">
        <v>2016210020</v>
      </c>
      <c r="C3763" t="s">
        <v>27</v>
      </c>
      <c r="E3763" t="s">
        <v>449</v>
      </c>
      <c r="F3763" t="s">
        <v>460</v>
      </c>
      <c r="G3763">
        <v>4</v>
      </c>
      <c r="H3763" t="s">
        <v>438</v>
      </c>
      <c r="I3763" s="4">
        <f t="shared" si="517"/>
        <v>3</v>
      </c>
      <c r="J3763">
        <f t="shared" si="518"/>
        <v>12</v>
      </c>
      <c r="K3763">
        <v>82</v>
      </c>
      <c r="L3763">
        <v>24</v>
      </c>
      <c r="M3763">
        <v>3.42</v>
      </c>
      <c r="N3763">
        <v>3.38</v>
      </c>
      <c r="O3763">
        <v>0</v>
      </c>
      <c r="P3763">
        <v>4</v>
      </c>
      <c r="Q3763" t="s">
        <v>565</v>
      </c>
      <c r="R3763" s="8" t="s">
        <v>260</v>
      </c>
      <c r="S3763" t="str">
        <f t="shared" si="516"/>
        <v>PA</v>
      </c>
    </row>
    <row r="3764" spans="1:19" x14ac:dyDescent="0.3">
      <c r="A3764" t="s">
        <v>8</v>
      </c>
      <c r="B3764">
        <v>2016210020</v>
      </c>
      <c r="C3764" t="s">
        <v>27</v>
      </c>
      <c r="E3764" t="s">
        <v>125</v>
      </c>
      <c r="F3764" t="s">
        <v>126</v>
      </c>
      <c r="G3764">
        <v>4</v>
      </c>
      <c r="H3764" t="s">
        <v>438</v>
      </c>
      <c r="I3764" s="4">
        <f t="shared" si="517"/>
        <v>3</v>
      </c>
      <c r="J3764">
        <f t="shared" si="518"/>
        <v>12</v>
      </c>
      <c r="K3764">
        <v>48</v>
      </c>
      <c r="L3764">
        <v>18</v>
      </c>
      <c r="M3764">
        <v>2.67</v>
      </c>
      <c r="N3764">
        <v>3.38</v>
      </c>
      <c r="O3764">
        <v>0</v>
      </c>
      <c r="P3764">
        <v>2</v>
      </c>
      <c r="Q3764" t="s">
        <v>559</v>
      </c>
      <c r="R3764" s="8" t="s">
        <v>260</v>
      </c>
      <c r="S3764" t="str">
        <f t="shared" si="516"/>
        <v>PA</v>
      </c>
    </row>
    <row r="3765" spans="1:19" x14ac:dyDescent="0.3">
      <c r="A3765" t="s">
        <v>8</v>
      </c>
      <c r="B3765">
        <v>2016210020</v>
      </c>
      <c r="C3765" t="s">
        <v>27</v>
      </c>
      <c r="E3765" t="s">
        <v>107</v>
      </c>
      <c r="F3765" t="s">
        <v>108</v>
      </c>
      <c r="G3765">
        <v>2</v>
      </c>
      <c r="H3765" t="s">
        <v>438</v>
      </c>
      <c r="I3765" s="4">
        <f t="shared" si="517"/>
        <v>3</v>
      </c>
      <c r="J3765">
        <f t="shared" si="518"/>
        <v>6</v>
      </c>
      <c r="K3765">
        <v>60</v>
      </c>
      <c r="L3765">
        <v>22</v>
      </c>
      <c r="M3765">
        <v>2.73</v>
      </c>
      <c r="N3765">
        <v>3.38</v>
      </c>
      <c r="O3765">
        <v>0</v>
      </c>
      <c r="P3765">
        <v>6</v>
      </c>
      <c r="Q3765" t="s">
        <v>567</v>
      </c>
      <c r="R3765" s="8" t="s">
        <v>260</v>
      </c>
      <c r="S3765" t="str">
        <f t="shared" si="516"/>
        <v>PA</v>
      </c>
    </row>
    <row r="3766" spans="1:19" x14ac:dyDescent="0.3">
      <c r="A3766" t="s">
        <v>8</v>
      </c>
      <c r="B3766">
        <v>2016210020</v>
      </c>
      <c r="C3766" t="s">
        <v>27</v>
      </c>
      <c r="E3766" t="s">
        <v>112</v>
      </c>
      <c r="F3766" t="s">
        <v>113</v>
      </c>
      <c r="G3766">
        <v>4</v>
      </c>
      <c r="H3766" t="s">
        <v>438</v>
      </c>
      <c r="I3766" s="4">
        <f t="shared" si="517"/>
        <v>3</v>
      </c>
      <c r="J3766">
        <f t="shared" si="518"/>
        <v>12</v>
      </c>
      <c r="K3766">
        <v>62</v>
      </c>
      <c r="L3766">
        <v>18</v>
      </c>
      <c r="M3766">
        <v>3.44</v>
      </c>
      <c r="N3766">
        <v>3.38</v>
      </c>
      <c r="O3766">
        <v>0</v>
      </c>
      <c r="P3766">
        <v>3</v>
      </c>
      <c r="Q3766" t="s">
        <v>563</v>
      </c>
      <c r="R3766" s="8" t="s">
        <v>260</v>
      </c>
      <c r="S3766" t="str">
        <f t="shared" si="516"/>
        <v>PA</v>
      </c>
    </row>
    <row r="3767" spans="1:19" x14ac:dyDescent="0.3">
      <c r="A3767" t="s">
        <v>8</v>
      </c>
      <c r="B3767">
        <v>2016210020</v>
      </c>
      <c r="C3767" t="s">
        <v>27</v>
      </c>
      <c r="E3767" t="s">
        <v>110</v>
      </c>
      <c r="F3767" t="s">
        <v>111</v>
      </c>
      <c r="G3767">
        <v>4</v>
      </c>
      <c r="H3767" t="s">
        <v>438</v>
      </c>
      <c r="I3767" s="4">
        <f t="shared" si="517"/>
        <v>3</v>
      </c>
      <c r="J3767">
        <f t="shared" si="518"/>
        <v>12</v>
      </c>
      <c r="K3767">
        <v>70</v>
      </c>
      <c r="L3767">
        <v>20</v>
      </c>
      <c r="M3767" s="2">
        <v>3.5</v>
      </c>
      <c r="N3767">
        <v>3.38</v>
      </c>
      <c r="O3767">
        <v>0</v>
      </c>
      <c r="P3767">
        <v>1</v>
      </c>
      <c r="Q3767" t="s">
        <v>558</v>
      </c>
      <c r="R3767" s="8" t="s">
        <v>260</v>
      </c>
      <c r="S3767" t="str">
        <f t="shared" si="516"/>
        <v>PA</v>
      </c>
    </row>
    <row r="3768" spans="1:19" x14ac:dyDescent="0.3">
      <c r="A3768" t="s">
        <v>8</v>
      </c>
      <c r="B3768">
        <v>2016210020</v>
      </c>
      <c r="C3768" t="s">
        <v>27</v>
      </c>
      <c r="E3768" t="s">
        <v>188</v>
      </c>
      <c r="F3768" t="s">
        <v>189</v>
      </c>
      <c r="G3768">
        <v>4</v>
      </c>
      <c r="H3768" t="s">
        <v>438</v>
      </c>
      <c r="I3768" s="4">
        <f t="shared" si="517"/>
        <v>3</v>
      </c>
      <c r="J3768">
        <f t="shared" si="518"/>
        <v>12</v>
      </c>
      <c r="K3768">
        <v>80</v>
      </c>
      <c r="L3768">
        <v>24</v>
      </c>
      <c r="M3768">
        <v>3.33</v>
      </c>
      <c r="N3768">
        <v>3.38</v>
      </c>
      <c r="O3768">
        <v>0</v>
      </c>
      <c r="P3768">
        <v>5</v>
      </c>
      <c r="Q3768" t="s">
        <v>566</v>
      </c>
      <c r="R3768" s="8" t="s">
        <v>260</v>
      </c>
      <c r="S3768" t="str">
        <f t="shared" si="516"/>
        <v>PA</v>
      </c>
    </row>
    <row r="3769" spans="1:19" x14ac:dyDescent="0.3">
      <c r="A3769" t="s">
        <v>8</v>
      </c>
      <c r="B3769">
        <v>2016210020</v>
      </c>
      <c r="C3769" t="s">
        <v>27</v>
      </c>
      <c r="E3769" t="s">
        <v>157</v>
      </c>
      <c r="F3769" t="s">
        <v>158</v>
      </c>
      <c r="G3769">
        <v>2</v>
      </c>
      <c r="H3769" t="s">
        <v>438</v>
      </c>
      <c r="I3769" s="4">
        <f t="shared" si="517"/>
        <v>3</v>
      </c>
      <c r="J3769">
        <f t="shared" si="518"/>
        <v>6</v>
      </c>
      <c r="K3769">
        <v>42</v>
      </c>
      <c r="L3769">
        <v>12</v>
      </c>
      <c r="M3769" s="2">
        <v>3.5</v>
      </c>
      <c r="N3769">
        <v>3.38</v>
      </c>
      <c r="O3769">
        <v>0</v>
      </c>
      <c r="P3769">
        <v>7</v>
      </c>
      <c r="Q3769" t="s">
        <v>568</v>
      </c>
      <c r="R3769" s="8" t="s">
        <v>260</v>
      </c>
      <c r="S3769" t="str">
        <f t="shared" si="516"/>
        <v>PA</v>
      </c>
    </row>
    <row r="3770" spans="1:19" x14ac:dyDescent="0.3">
      <c r="A3770" t="s">
        <v>8</v>
      </c>
      <c r="B3770">
        <v>2016210020</v>
      </c>
      <c r="C3770" t="s">
        <v>27</v>
      </c>
      <c r="E3770" t="s">
        <v>395</v>
      </c>
      <c r="F3770" t="s">
        <v>396</v>
      </c>
      <c r="G3770">
        <v>2</v>
      </c>
      <c r="H3770" t="s">
        <v>438</v>
      </c>
      <c r="I3770" s="4">
        <f t="shared" si="517"/>
        <v>3</v>
      </c>
      <c r="J3770">
        <f t="shared" si="518"/>
        <v>6</v>
      </c>
      <c r="K3770">
        <v>70</v>
      </c>
      <c r="L3770">
        <v>20</v>
      </c>
      <c r="M3770" s="2">
        <v>3.5</v>
      </c>
      <c r="N3770">
        <v>3.38</v>
      </c>
      <c r="O3770">
        <v>0</v>
      </c>
      <c r="P3770">
        <v>1</v>
      </c>
      <c r="Q3770" t="s">
        <v>558</v>
      </c>
      <c r="R3770" s="8" t="s">
        <v>260</v>
      </c>
      <c r="S3770" t="str">
        <f t="shared" si="516"/>
        <v>PA</v>
      </c>
    </row>
    <row r="3771" spans="1:19" x14ac:dyDescent="0.3">
      <c r="A3771" t="s">
        <v>8</v>
      </c>
      <c r="B3771">
        <v>2016210020</v>
      </c>
      <c r="C3771" t="s">
        <v>27</v>
      </c>
      <c r="E3771" t="s">
        <v>352</v>
      </c>
      <c r="F3771" t="s">
        <v>353</v>
      </c>
      <c r="G3771">
        <v>2</v>
      </c>
      <c r="H3771" t="s">
        <v>438</v>
      </c>
      <c r="I3771" s="4">
        <f t="shared" si="517"/>
        <v>3</v>
      </c>
      <c r="J3771">
        <f t="shared" si="518"/>
        <v>6</v>
      </c>
      <c r="K3771">
        <v>80</v>
      </c>
      <c r="L3771">
        <v>24</v>
      </c>
      <c r="M3771">
        <v>3.33</v>
      </c>
      <c r="N3771">
        <v>3.38</v>
      </c>
      <c r="O3771">
        <v>0</v>
      </c>
      <c r="P3771">
        <v>5</v>
      </c>
      <c r="Q3771" t="s">
        <v>566</v>
      </c>
      <c r="R3771" s="8" t="s">
        <v>260</v>
      </c>
      <c r="S3771" t="str">
        <f t="shared" si="516"/>
        <v>PA</v>
      </c>
    </row>
    <row r="3772" spans="1:19" x14ac:dyDescent="0.3">
      <c r="A3772" t="s">
        <v>8</v>
      </c>
      <c r="B3772">
        <v>2016210020</v>
      </c>
      <c r="C3772" t="s">
        <v>27</v>
      </c>
      <c r="E3772" t="s">
        <v>295</v>
      </c>
      <c r="F3772" t="s">
        <v>296</v>
      </c>
      <c r="G3772">
        <v>2</v>
      </c>
      <c r="H3772" t="s">
        <v>438</v>
      </c>
      <c r="I3772" s="4">
        <f t="shared" si="517"/>
        <v>3</v>
      </c>
      <c r="J3772">
        <f t="shared" si="518"/>
        <v>6</v>
      </c>
      <c r="K3772">
        <v>62</v>
      </c>
      <c r="L3772">
        <v>18</v>
      </c>
      <c r="M3772">
        <v>3.44</v>
      </c>
      <c r="N3772">
        <v>3.38</v>
      </c>
      <c r="O3772">
        <v>0</v>
      </c>
      <c r="P3772">
        <v>3</v>
      </c>
      <c r="Q3772" t="s">
        <v>563</v>
      </c>
      <c r="R3772" s="8" t="s">
        <v>260</v>
      </c>
      <c r="S3772" t="str">
        <f t="shared" si="516"/>
        <v>PA</v>
      </c>
    </row>
    <row r="3773" spans="1:19" x14ac:dyDescent="0.3">
      <c r="A3773" t="s">
        <v>8</v>
      </c>
      <c r="B3773">
        <v>2016210020</v>
      </c>
      <c r="C3773" t="s">
        <v>27</v>
      </c>
      <c r="E3773" t="s">
        <v>163</v>
      </c>
      <c r="F3773" t="s">
        <v>164</v>
      </c>
      <c r="G3773">
        <v>2</v>
      </c>
      <c r="H3773" t="s">
        <v>438</v>
      </c>
      <c r="I3773" s="4">
        <f t="shared" si="517"/>
        <v>3</v>
      </c>
      <c r="J3773">
        <f t="shared" si="518"/>
        <v>6</v>
      </c>
      <c r="K3773">
        <v>70</v>
      </c>
      <c r="L3773">
        <v>20</v>
      </c>
      <c r="M3773" s="2">
        <v>3.5</v>
      </c>
      <c r="N3773">
        <v>3.38</v>
      </c>
      <c r="O3773">
        <v>0</v>
      </c>
      <c r="P3773">
        <v>1</v>
      </c>
      <c r="Q3773" t="s">
        <v>558</v>
      </c>
      <c r="R3773" s="8" t="s">
        <v>260</v>
      </c>
      <c r="S3773" t="str">
        <f t="shared" si="516"/>
        <v>PA</v>
      </c>
    </row>
    <row r="3774" spans="1:19" x14ac:dyDescent="0.3">
      <c r="A3774" t="s">
        <v>8</v>
      </c>
      <c r="B3774">
        <v>2016210020</v>
      </c>
      <c r="C3774" t="s">
        <v>27</v>
      </c>
      <c r="E3774" t="s">
        <v>393</v>
      </c>
      <c r="F3774" t="s">
        <v>436</v>
      </c>
      <c r="G3774">
        <v>2</v>
      </c>
      <c r="H3774" t="s">
        <v>438</v>
      </c>
      <c r="I3774" s="4">
        <f t="shared" si="517"/>
        <v>3</v>
      </c>
      <c r="J3774">
        <f t="shared" si="518"/>
        <v>6</v>
      </c>
      <c r="K3774">
        <v>80</v>
      </c>
      <c r="L3774">
        <v>24</v>
      </c>
      <c r="M3774">
        <v>3.33</v>
      </c>
      <c r="N3774">
        <v>3.38</v>
      </c>
      <c r="O3774">
        <v>0</v>
      </c>
      <c r="P3774">
        <v>5</v>
      </c>
      <c r="Q3774" t="s">
        <v>566</v>
      </c>
      <c r="R3774" s="8" t="s">
        <v>260</v>
      </c>
      <c r="S3774" t="str">
        <f t="shared" si="516"/>
        <v>PA</v>
      </c>
    </row>
    <row r="3775" spans="1:19" x14ac:dyDescent="0.3">
      <c r="A3775" t="s">
        <v>8</v>
      </c>
      <c r="B3775">
        <v>2016210020</v>
      </c>
      <c r="C3775" t="s">
        <v>27</v>
      </c>
      <c r="E3775" t="s">
        <v>136</v>
      </c>
      <c r="F3775" t="s">
        <v>137</v>
      </c>
      <c r="G3775">
        <v>4</v>
      </c>
      <c r="H3775" t="s">
        <v>438</v>
      </c>
      <c r="I3775" s="4">
        <f t="shared" si="517"/>
        <v>3</v>
      </c>
      <c r="J3775">
        <f t="shared" si="518"/>
        <v>12</v>
      </c>
      <c r="K3775">
        <v>60</v>
      </c>
      <c r="L3775">
        <v>22</v>
      </c>
      <c r="M3775">
        <v>2.73</v>
      </c>
      <c r="N3775">
        <v>3.38</v>
      </c>
      <c r="O3775">
        <v>0</v>
      </c>
      <c r="P3775">
        <v>6</v>
      </c>
      <c r="Q3775" t="s">
        <v>567</v>
      </c>
      <c r="R3775" s="8" t="s">
        <v>260</v>
      </c>
      <c r="S3775" t="str">
        <f t="shared" si="516"/>
        <v>PA</v>
      </c>
    </row>
    <row r="3776" spans="1:19" x14ac:dyDescent="0.3">
      <c r="A3776" t="s">
        <v>8</v>
      </c>
      <c r="B3776">
        <v>2016210020</v>
      </c>
      <c r="C3776" t="s">
        <v>27</v>
      </c>
      <c r="E3776" t="s">
        <v>19</v>
      </c>
      <c r="F3776" t="s">
        <v>20</v>
      </c>
      <c r="G3776">
        <v>6</v>
      </c>
      <c r="H3776" t="s">
        <v>438</v>
      </c>
      <c r="I3776" s="4">
        <f t="shared" si="517"/>
        <v>3</v>
      </c>
      <c r="J3776">
        <f t="shared" si="518"/>
        <v>18</v>
      </c>
      <c r="K3776">
        <v>18</v>
      </c>
      <c r="L3776">
        <v>6</v>
      </c>
      <c r="M3776" s="2">
        <v>3</v>
      </c>
      <c r="N3776">
        <v>3.38</v>
      </c>
      <c r="O3776">
        <v>0</v>
      </c>
      <c r="P3776">
        <v>8</v>
      </c>
      <c r="Q3776" t="s">
        <v>569</v>
      </c>
      <c r="R3776" t="s">
        <v>596</v>
      </c>
      <c r="S3776" t="str">
        <f t="shared" si="516"/>
        <v>PA</v>
      </c>
    </row>
    <row r="3777" spans="1:19" x14ac:dyDescent="0.3">
      <c r="A3777" t="s">
        <v>8</v>
      </c>
      <c r="B3777">
        <v>2016210020</v>
      </c>
      <c r="C3777" t="s">
        <v>27</v>
      </c>
      <c r="E3777" t="s">
        <v>391</v>
      </c>
      <c r="F3777" t="s">
        <v>392</v>
      </c>
      <c r="G3777">
        <v>2</v>
      </c>
      <c r="H3777" t="s">
        <v>524</v>
      </c>
      <c r="I3777" s="4">
        <f t="shared" si="517"/>
        <v>2</v>
      </c>
      <c r="J3777">
        <f t="shared" si="518"/>
        <v>4</v>
      </c>
      <c r="K3777">
        <v>80</v>
      </c>
      <c r="L3777">
        <v>24</v>
      </c>
      <c r="M3777">
        <v>3.33</v>
      </c>
      <c r="N3777">
        <v>3.38</v>
      </c>
      <c r="O3777">
        <v>0</v>
      </c>
      <c r="P3777">
        <v>5</v>
      </c>
      <c r="Q3777" t="s">
        <v>566</v>
      </c>
      <c r="R3777" s="8" t="s">
        <v>260</v>
      </c>
      <c r="S3777" t="str">
        <f t="shared" si="516"/>
        <v>PA</v>
      </c>
    </row>
    <row r="3778" spans="1:19" x14ac:dyDescent="0.3">
      <c r="A3778" t="s">
        <v>8</v>
      </c>
      <c r="B3778">
        <v>2016210020</v>
      </c>
      <c r="C3778" t="s">
        <v>27</v>
      </c>
      <c r="E3778" t="s">
        <v>119</v>
      </c>
      <c r="F3778" t="s">
        <v>120</v>
      </c>
      <c r="G3778">
        <v>2</v>
      </c>
      <c r="H3778" t="s">
        <v>524</v>
      </c>
      <c r="I3778" s="4">
        <f t="shared" si="517"/>
        <v>2</v>
      </c>
      <c r="J3778">
        <f t="shared" si="518"/>
        <v>4</v>
      </c>
      <c r="K3778">
        <v>60</v>
      </c>
      <c r="L3778">
        <v>22</v>
      </c>
      <c r="M3778">
        <v>2.73</v>
      </c>
      <c r="N3778">
        <v>3.38</v>
      </c>
      <c r="O3778">
        <v>0</v>
      </c>
      <c r="P3778">
        <v>6</v>
      </c>
      <c r="Q3778" t="s">
        <v>567</v>
      </c>
      <c r="R3778" s="8" t="s">
        <v>260</v>
      </c>
      <c r="S3778" t="str">
        <f t="shared" si="516"/>
        <v>PA</v>
      </c>
    </row>
    <row r="3779" spans="1:19" x14ac:dyDescent="0.3">
      <c r="A3779" t="s">
        <v>8</v>
      </c>
      <c r="B3779">
        <v>2016210020</v>
      </c>
      <c r="C3779" t="s">
        <v>27</v>
      </c>
      <c r="E3779" t="s">
        <v>253</v>
      </c>
      <c r="F3779" t="s">
        <v>254</v>
      </c>
      <c r="G3779">
        <v>2</v>
      </c>
      <c r="H3779" t="s">
        <v>524</v>
      </c>
      <c r="I3779" s="4">
        <f t="shared" si="517"/>
        <v>2</v>
      </c>
      <c r="J3779">
        <f t="shared" si="518"/>
        <v>4</v>
      </c>
      <c r="K3779">
        <v>82</v>
      </c>
      <c r="L3779">
        <v>24</v>
      </c>
      <c r="M3779">
        <v>3.42</v>
      </c>
      <c r="N3779">
        <v>3.38</v>
      </c>
      <c r="O3779">
        <v>0</v>
      </c>
      <c r="P3779">
        <v>4</v>
      </c>
      <c r="Q3779" t="s">
        <v>565</v>
      </c>
      <c r="R3779" s="8" t="s">
        <v>260</v>
      </c>
      <c r="S3779" t="str">
        <f t="shared" si="516"/>
        <v>PA</v>
      </c>
    </row>
    <row r="3780" spans="1:19" x14ac:dyDescent="0.3">
      <c r="A3780" t="s">
        <v>8</v>
      </c>
      <c r="B3780">
        <v>2016210020</v>
      </c>
      <c r="C3780" t="s">
        <v>27</v>
      </c>
      <c r="E3780" t="s">
        <v>369</v>
      </c>
      <c r="F3780" t="s">
        <v>307</v>
      </c>
      <c r="G3780">
        <v>2</v>
      </c>
      <c r="H3780" t="s">
        <v>524</v>
      </c>
      <c r="I3780" s="4">
        <f t="shared" si="517"/>
        <v>2</v>
      </c>
      <c r="J3780">
        <f t="shared" si="518"/>
        <v>4</v>
      </c>
      <c r="K3780">
        <v>82</v>
      </c>
      <c r="L3780">
        <v>24</v>
      </c>
      <c r="M3780">
        <v>3.42</v>
      </c>
      <c r="N3780">
        <v>3.38</v>
      </c>
      <c r="O3780">
        <v>0</v>
      </c>
      <c r="P3780">
        <v>4</v>
      </c>
      <c r="Q3780" t="s">
        <v>565</v>
      </c>
      <c r="R3780" s="8" t="s">
        <v>260</v>
      </c>
      <c r="S3780" t="str">
        <f t="shared" si="516"/>
        <v>PA</v>
      </c>
    </row>
    <row r="3781" spans="1:19" x14ac:dyDescent="0.3">
      <c r="A3781" t="s">
        <v>8</v>
      </c>
      <c r="B3781">
        <v>2016210020</v>
      </c>
      <c r="C3781" t="s">
        <v>27</v>
      </c>
      <c r="E3781" t="s">
        <v>80</v>
      </c>
      <c r="F3781" t="s">
        <v>81</v>
      </c>
      <c r="G3781">
        <v>4</v>
      </c>
      <c r="H3781" t="s">
        <v>535</v>
      </c>
      <c r="I3781" s="4">
        <f t="shared" si="517"/>
        <v>1</v>
      </c>
      <c r="J3781">
        <f t="shared" si="518"/>
        <v>4</v>
      </c>
      <c r="K3781">
        <v>60</v>
      </c>
      <c r="L3781">
        <v>22</v>
      </c>
      <c r="M3781">
        <v>2.73</v>
      </c>
      <c r="N3781">
        <v>3.38</v>
      </c>
      <c r="O3781">
        <v>0</v>
      </c>
      <c r="P3781">
        <v>6</v>
      </c>
      <c r="Q3781" t="s">
        <v>567</v>
      </c>
      <c r="R3781" s="8" t="s">
        <v>260</v>
      </c>
      <c r="S3781" t="str">
        <f t="shared" si="516"/>
        <v>FA</v>
      </c>
    </row>
    <row r="3782" spans="1:19" x14ac:dyDescent="0.3">
      <c r="A3782" t="s">
        <v>8</v>
      </c>
      <c r="B3782">
        <v>2016210020</v>
      </c>
      <c r="C3782" t="s">
        <v>27</v>
      </c>
      <c r="E3782" t="s">
        <v>44</v>
      </c>
      <c r="F3782" t="s">
        <v>45</v>
      </c>
      <c r="G3782">
        <v>2</v>
      </c>
      <c r="H3782" t="s">
        <v>535</v>
      </c>
      <c r="I3782" s="4">
        <f t="shared" si="517"/>
        <v>1</v>
      </c>
      <c r="J3782">
        <f t="shared" si="518"/>
        <v>2</v>
      </c>
      <c r="K3782">
        <v>48</v>
      </c>
      <c r="L3782">
        <v>18</v>
      </c>
      <c r="M3782">
        <v>2.67</v>
      </c>
      <c r="N3782">
        <v>3.38</v>
      </c>
      <c r="O3782">
        <v>0</v>
      </c>
      <c r="P3782">
        <v>2</v>
      </c>
      <c r="Q3782" t="s">
        <v>559</v>
      </c>
      <c r="R3782" s="8" t="s">
        <v>260</v>
      </c>
      <c r="S3782" t="str">
        <f t="shared" si="516"/>
        <v>FA</v>
      </c>
    </row>
    <row r="3783" spans="1:19" x14ac:dyDescent="0.3">
      <c r="A3783" t="s">
        <v>8</v>
      </c>
      <c r="B3783">
        <v>2016210020</v>
      </c>
      <c r="C3783" t="s">
        <v>27</v>
      </c>
      <c r="E3783" t="s">
        <v>266</v>
      </c>
      <c r="F3783" t="s">
        <v>91</v>
      </c>
      <c r="G3783">
        <v>2</v>
      </c>
      <c r="H3783" t="s">
        <v>535</v>
      </c>
      <c r="I3783" s="4">
        <f t="shared" si="517"/>
        <v>1</v>
      </c>
      <c r="J3783">
        <f t="shared" si="518"/>
        <v>2</v>
      </c>
      <c r="K3783">
        <v>48</v>
      </c>
      <c r="L3783">
        <v>18</v>
      </c>
      <c r="M3783">
        <v>2.67</v>
      </c>
      <c r="N3783">
        <v>3.38</v>
      </c>
      <c r="O3783">
        <v>0</v>
      </c>
      <c r="P3783">
        <v>2</v>
      </c>
      <c r="Q3783" t="s">
        <v>559</v>
      </c>
      <c r="R3783" s="8" t="s">
        <v>260</v>
      </c>
      <c r="S3783" t="str">
        <f t="shared" si="516"/>
        <v>FA</v>
      </c>
    </row>
    <row r="3784" spans="1:19" x14ac:dyDescent="0.3">
      <c r="A3784" t="s">
        <v>8</v>
      </c>
      <c r="B3784">
        <v>2016210020</v>
      </c>
      <c r="C3784" t="s">
        <v>27</v>
      </c>
      <c r="E3784" t="s">
        <v>80</v>
      </c>
      <c r="F3784" t="s">
        <v>81</v>
      </c>
      <c r="G3784">
        <v>4</v>
      </c>
      <c r="H3784" t="s">
        <v>260</v>
      </c>
      <c r="I3784" s="4">
        <f t="shared" si="517"/>
        <v>4</v>
      </c>
      <c r="J3784">
        <f t="shared" si="518"/>
        <v>16</v>
      </c>
      <c r="K3784">
        <v>32</v>
      </c>
      <c r="L3784">
        <v>8</v>
      </c>
      <c r="M3784" s="2">
        <v>4</v>
      </c>
      <c r="N3784">
        <v>3.38</v>
      </c>
      <c r="O3784">
        <v>1</v>
      </c>
      <c r="P3784">
        <v>6</v>
      </c>
      <c r="Q3784" t="s">
        <v>567</v>
      </c>
      <c r="R3784" s="8" t="s">
        <v>260</v>
      </c>
      <c r="S3784" t="str">
        <f t="shared" si="516"/>
        <v>PA</v>
      </c>
    </row>
    <row r="3785" spans="1:19" x14ac:dyDescent="0.3">
      <c r="A3785" t="s">
        <v>8</v>
      </c>
      <c r="B3785">
        <v>2016210020</v>
      </c>
      <c r="C3785" t="s">
        <v>27</v>
      </c>
      <c r="E3785" t="s">
        <v>44</v>
      </c>
      <c r="F3785" t="s">
        <v>45</v>
      </c>
      <c r="G3785">
        <v>2</v>
      </c>
      <c r="H3785" t="s">
        <v>260</v>
      </c>
      <c r="I3785" s="4">
        <f t="shared" si="517"/>
        <v>4</v>
      </c>
      <c r="J3785">
        <f t="shared" si="518"/>
        <v>8</v>
      </c>
      <c r="K3785">
        <v>32</v>
      </c>
      <c r="L3785">
        <v>8</v>
      </c>
      <c r="M3785" s="2">
        <v>4</v>
      </c>
      <c r="N3785">
        <v>3.38</v>
      </c>
      <c r="O3785">
        <v>1</v>
      </c>
      <c r="P3785">
        <v>2</v>
      </c>
      <c r="Q3785" t="s">
        <v>559</v>
      </c>
      <c r="R3785" s="8" t="s">
        <v>260</v>
      </c>
      <c r="S3785" t="str">
        <f t="shared" si="516"/>
        <v>PA</v>
      </c>
    </row>
    <row r="3786" spans="1:19" x14ac:dyDescent="0.3">
      <c r="A3786" t="s">
        <v>8</v>
      </c>
      <c r="B3786">
        <v>2016210020</v>
      </c>
      <c r="C3786" t="s">
        <v>27</v>
      </c>
      <c r="E3786" t="s">
        <v>266</v>
      </c>
      <c r="F3786" t="s">
        <v>91</v>
      </c>
      <c r="G3786">
        <v>2</v>
      </c>
      <c r="H3786" t="s">
        <v>260</v>
      </c>
      <c r="I3786" s="4">
        <f t="shared" si="517"/>
        <v>4</v>
      </c>
      <c r="J3786">
        <f t="shared" si="518"/>
        <v>8</v>
      </c>
      <c r="K3786">
        <v>32</v>
      </c>
      <c r="L3786">
        <v>8</v>
      </c>
      <c r="M3786" s="2">
        <v>4</v>
      </c>
      <c r="N3786">
        <v>3.38</v>
      </c>
      <c r="O3786">
        <v>1</v>
      </c>
      <c r="P3786">
        <v>2</v>
      </c>
      <c r="Q3786" t="s">
        <v>559</v>
      </c>
      <c r="R3786" s="8" t="s">
        <v>260</v>
      </c>
      <c r="S3786" t="str">
        <f t="shared" si="516"/>
        <v>PA</v>
      </c>
    </row>
    <row r="3787" spans="1:19" x14ac:dyDescent="0.3">
      <c r="A3787" t="s">
        <v>8</v>
      </c>
      <c r="B3787">
        <v>2016210021</v>
      </c>
      <c r="C3787" t="s">
        <v>207</v>
      </c>
      <c r="E3787" t="s">
        <v>125</v>
      </c>
      <c r="F3787" t="s">
        <v>126</v>
      </c>
      <c r="G3787">
        <v>4</v>
      </c>
      <c r="I3787" s="4"/>
      <c r="J3787">
        <f t="shared" ref="J3787:J3788" si="519">G3787*I3787</f>
        <v>0</v>
      </c>
      <c r="K3787">
        <v>44</v>
      </c>
      <c r="L3787">
        <v>14</v>
      </c>
      <c r="M3787">
        <v>3.14</v>
      </c>
      <c r="N3787">
        <v>3.18</v>
      </c>
      <c r="O3787">
        <v>0</v>
      </c>
      <c r="P3787">
        <v>2</v>
      </c>
      <c r="Q3787" s="4" t="str">
        <f t="shared" ref="Q3787:Q3800" si="520">IF(P3787=1,"2016/2017-Ganjil",IF(P3787=2,"2016/2017-Genap",IF(P3787=3,"2017/2018-Ganjil",IF(P3787=4,"2017/2018-Genap",IF(P3787=5,"2018/2019-Ganjil",IF(P3787=6,"2018/2019-Genap",IF(P3787=7,"2019/2020-Ganjil",IF(P3787=8,"2019/2020-Genap",IF(P3787=9,"2020/2021-Ganjil",IF(P3787=10,"2020/2021-Genap",IF(P3787=11,"2021/2022-Ganjil",IF(P3787=12,"2021/2022-Genap",IF(P3787=13,"2022/2023-Ganjil","2022/2023-Genap")))))))))))))</f>
        <v>2016/2017-Genap</v>
      </c>
      <c r="R3787" s="8" t="s">
        <v>535</v>
      </c>
      <c r="S3787" t="s">
        <v>595</v>
      </c>
    </row>
    <row r="3788" spans="1:19" x14ac:dyDescent="0.3">
      <c r="A3788" t="s">
        <v>8</v>
      </c>
      <c r="B3788">
        <v>2016210021</v>
      </c>
      <c r="C3788" t="s">
        <v>207</v>
      </c>
      <c r="E3788" t="s">
        <v>77</v>
      </c>
      <c r="F3788" t="s">
        <v>78</v>
      </c>
      <c r="G3788">
        <v>2</v>
      </c>
      <c r="H3788" t="s">
        <v>260</v>
      </c>
      <c r="I3788" s="4">
        <f t="shared" ref="I3788" si="521">IF(H3788="A",4,IF(H3788="B",3,IF(H3788="C",2,IF(H3788="D",1,0))))</f>
        <v>4</v>
      </c>
      <c r="J3788">
        <f t="shared" si="519"/>
        <v>8</v>
      </c>
      <c r="K3788">
        <v>64</v>
      </c>
      <c r="L3788">
        <v>20</v>
      </c>
      <c r="M3788" s="2">
        <v>3.2</v>
      </c>
      <c r="N3788">
        <v>3.18</v>
      </c>
      <c r="O3788">
        <v>0</v>
      </c>
      <c r="P3788">
        <v>1</v>
      </c>
      <c r="Q3788" s="4" t="str">
        <f t="shared" si="520"/>
        <v>2016/2017-Ganjil</v>
      </c>
      <c r="R3788" s="8" t="s">
        <v>260</v>
      </c>
      <c r="S3788" t="str">
        <f t="shared" ref="S3788:S3800" si="522">IF(OR(H3788="A",H3788="B",H3788="C"),"PA","FA")</f>
        <v>PA</v>
      </c>
    </row>
    <row r="3789" spans="1:19" x14ac:dyDescent="0.3">
      <c r="A3789" t="s">
        <v>8</v>
      </c>
      <c r="B3789">
        <v>2016210021</v>
      </c>
      <c r="C3789" t="s">
        <v>207</v>
      </c>
      <c r="E3789" t="s">
        <v>131</v>
      </c>
      <c r="F3789" t="s">
        <v>132</v>
      </c>
      <c r="G3789">
        <v>2</v>
      </c>
      <c r="H3789" t="s">
        <v>260</v>
      </c>
      <c r="I3789" s="4">
        <f t="shared" ref="I3789:I3800" si="523">IF(H3789="A",4,IF(H3789="B",3,IF(H3789="C",2,IF(H3789="D",1,0))))</f>
        <v>4</v>
      </c>
      <c r="J3789">
        <f t="shared" ref="J3789:J3800" si="524">G3789*I3789</f>
        <v>8</v>
      </c>
      <c r="K3789">
        <v>64</v>
      </c>
      <c r="L3789">
        <v>20</v>
      </c>
      <c r="M3789" s="2">
        <v>3.2</v>
      </c>
      <c r="N3789">
        <v>3.18</v>
      </c>
      <c r="O3789">
        <v>0</v>
      </c>
      <c r="P3789">
        <v>1</v>
      </c>
      <c r="Q3789" s="4" t="str">
        <f t="shared" si="520"/>
        <v>2016/2017-Ganjil</v>
      </c>
      <c r="R3789" s="8" t="s">
        <v>260</v>
      </c>
      <c r="S3789" t="str">
        <f t="shared" si="522"/>
        <v>PA</v>
      </c>
    </row>
    <row r="3790" spans="1:19" x14ac:dyDescent="0.3">
      <c r="A3790" t="s">
        <v>8</v>
      </c>
      <c r="B3790">
        <v>2016210021</v>
      </c>
      <c r="C3790" t="s">
        <v>207</v>
      </c>
      <c r="E3790" t="s">
        <v>266</v>
      </c>
      <c r="F3790" t="s">
        <v>91</v>
      </c>
      <c r="G3790">
        <v>2</v>
      </c>
      <c r="H3790" t="s">
        <v>260</v>
      </c>
      <c r="I3790" s="4">
        <f t="shared" si="523"/>
        <v>4</v>
      </c>
      <c r="J3790">
        <f t="shared" si="524"/>
        <v>8</v>
      </c>
      <c r="K3790">
        <v>44</v>
      </c>
      <c r="L3790">
        <v>14</v>
      </c>
      <c r="M3790">
        <v>3.14</v>
      </c>
      <c r="N3790">
        <v>3.18</v>
      </c>
      <c r="O3790">
        <v>0</v>
      </c>
      <c r="P3790">
        <v>2</v>
      </c>
      <c r="Q3790" s="4" t="str">
        <f t="shared" si="520"/>
        <v>2016/2017-Genap</v>
      </c>
      <c r="R3790" s="8" t="s">
        <v>535</v>
      </c>
      <c r="S3790" t="str">
        <f t="shared" si="522"/>
        <v>PA</v>
      </c>
    </row>
    <row r="3791" spans="1:19" x14ac:dyDescent="0.3">
      <c r="A3791" t="s">
        <v>8</v>
      </c>
      <c r="B3791">
        <v>2016210021</v>
      </c>
      <c r="C3791" t="s">
        <v>207</v>
      </c>
      <c r="E3791" t="s">
        <v>232</v>
      </c>
      <c r="F3791" t="s">
        <v>245</v>
      </c>
      <c r="G3791">
        <v>2</v>
      </c>
      <c r="H3791" t="s">
        <v>260</v>
      </c>
      <c r="I3791" s="4">
        <f t="shared" si="523"/>
        <v>4</v>
      </c>
      <c r="J3791">
        <f t="shared" si="524"/>
        <v>8</v>
      </c>
      <c r="K3791">
        <v>44</v>
      </c>
      <c r="L3791">
        <v>14</v>
      </c>
      <c r="M3791">
        <v>3.14</v>
      </c>
      <c r="N3791">
        <v>3.18</v>
      </c>
      <c r="O3791">
        <v>0</v>
      </c>
      <c r="P3791">
        <v>2</v>
      </c>
      <c r="Q3791" s="4" t="str">
        <f t="shared" si="520"/>
        <v>2016/2017-Genap</v>
      </c>
      <c r="R3791" s="8" t="s">
        <v>535</v>
      </c>
      <c r="S3791" t="str">
        <f t="shared" si="522"/>
        <v>PA</v>
      </c>
    </row>
    <row r="3792" spans="1:19" x14ac:dyDescent="0.3">
      <c r="A3792" t="s">
        <v>8</v>
      </c>
      <c r="B3792">
        <v>2016210021</v>
      </c>
      <c r="C3792" t="s">
        <v>207</v>
      </c>
      <c r="E3792" t="s">
        <v>147</v>
      </c>
      <c r="F3792" t="s">
        <v>148</v>
      </c>
      <c r="G3792">
        <v>4</v>
      </c>
      <c r="H3792" t="s">
        <v>260</v>
      </c>
      <c r="I3792" s="4">
        <f t="shared" si="523"/>
        <v>4</v>
      </c>
      <c r="J3792">
        <f t="shared" si="524"/>
        <v>16</v>
      </c>
      <c r="K3792">
        <v>64</v>
      </c>
      <c r="L3792">
        <v>20</v>
      </c>
      <c r="M3792" s="2">
        <v>3.2</v>
      </c>
      <c r="N3792">
        <v>3.18</v>
      </c>
      <c r="O3792">
        <v>0</v>
      </c>
      <c r="P3792">
        <v>1</v>
      </c>
      <c r="Q3792" s="4" t="str">
        <f t="shared" si="520"/>
        <v>2016/2017-Ganjil</v>
      </c>
      <c r="R3792" s="8" t="s">
        <v>260</v>
      </c>
      <c r="S3792" t="str">
        <f t="shared" si="522"/>
        <v>PA</v>
      </c>
    </row>
    <row r="3793" spans="1:19" x14ac:dyDescent="0.3">
      <c r="A3793" t="s">
        <v>8</v>
      </c>
      <c r="B3793">
        <v>2016210021</v>
      </c>
      <c r="C3793" t="s">
        <v>207</v>
      </c>
      <c r="E3793" t="s">
        <v>202</v>
      </c>
      <c r="F3793" t="s">
        <v>203</v>
      </c>
      <c r="G3793">
        <v>4</v>
      </c>
      <c r="H3793" t="s">
        <v>438</v>
      </c>
      <c r="I3793" s="4">
        <f t="shared" si="523"/>
        <v>3</v>
      </c>
      <c r="J3793">
        <f t="shared" si="524"/>
        <v>12</v>
      </c>
      <c r="K3793">
        <v>64</v>
      </c>
      <c r="L3793">
        <v>20</v>
      </c>
      <c r="M3793" s="2">
        <v>3.2</v>
      </c>
      <c r="N3793">
        <v>3.18</v>
      </c>
      <c r="O3793">
        <v>0</v>
      </c>
      <c r="P3793">
        <v>1</v>
      </c>
      <c r="Q3793" s="4" t="str">
        <f t="shared" si="520"/>
        <v>2016/2017-Ganjil</v>
      </c>
      <c r="R3793" s="8" t="s">
        <v>260</v>
      </c>
      <c r="S3793" t="str">
        <f t="shared" si="522"/>
        <v>PA</v>
      </c>
    </row>
    <row r="3794" spans="1:19" x14ac:dyDescent="0.3">
      <c r="A3794" t="s">
        <v>8</v>
      </c>
      <c r="B3794">
        <v>2016210021</v>
      </c>
      <c r="C3794" t="s">
        <v>207</v>
      </c>
      <c r="E3794" t="s">
        <v>115</v>
      </c>
      <c r="F3794" t="s">
        <v>116</v>
      </c>
      <c r="G3794">
        <v>4</v>
      </c>
      <c r="H3794" t="s">
        <v>438</v>
      </c>
      <c r="I3794" s="4">
        <f t="shared" si="523"/>
        <v>3</v>
      </c>
      <c r="J3794">
        <f t="shared" si="524"/>
        <v>12</v>
      </c>
      <c r="K3794">
        <v>44</v>
      </c>
      <c r="L3794">
        <v>14</v>
      </c>
      <c r="M3794">
        <v>3.14</v>
      </c>
      <c r="N3794">
        <v>3.18</v>
      </c>
      <c r="O3794">
        <v>0</v>
      </c>
      <c r="P3794">
        <v>2</v>
      </c>
      <c r="Q3794" s="4" t="str">
        <f t="shared" si="520"/>
        <v>2016/2017-Genap</v>
      </c>
      <c r="R3794" s="8" t="s">
        <v>535</v>
      </c>
      <c r="S3794" t="str">
        <f t="shared" si="522"/>
        <v>PA</v>
      </c>
    </row>
    <row r="3795" spans="1:19" x14ac:dyDescent="0.3">
      <c r="A3795" t="s">
        <v>8</v>
      </c>
      <c r="B3795">
        <v>2016210021</v>
      </c>
      <c r="C3795" t="s">
        <v>207</v>
      </c>
      <c r="E3795" t="s">
        <v>395</v>
      </c>
      <c r="F3795" t="s">
        <v>396</v>
      </c>
      <c r="G3795">
        <v>2</v>
      </c>
      <c r="H3795" t="s">
        <v>438</v>
      </c>
      <c r="I3795" s="4">
        <f t="shared" si="523"/>
        <v>3</v>
      </c>
      <c r="J3795">
        <f t="shared" si="524"/>
        <v>6</v>
      </c>
      <c r="K3795">
        <v>64</v>
      </c>
      <c r="L3795">
        <v>20</v>
      </c>
      <c r="M3795" s="2">
        <v>3.2</v>
      </c>
      <c r="N3795">
        <v>3.18</v>
      </c>
      <c r="O3795">
        <v>0</v>
      </c>
      <c r="P3795">
        <v>1</v>
      </c>
      <c r="Q3795" s="4" t="str">
        <f t="shared" si="520"/>
        <v>2016/2017-Ganjil</v>
      </c>
      <c r="R3795" s="8" t="s">
        <v>260</v>
      </c>
      <c r="S3795" t="str">
        <f t="shared" si="522"/>
        <v>PA</v>
      </c>
    </row>
    <row r="3796" spans="1:19" x14ac:dyDescent="0.3">
      <c r="A3796" t="s">
        <v>8</v>
      </c>
      <c r="B3796">
        <v>2016210021</v>
      </c>
      <c r="C3796" t="s">
        <v>207</v>
      </c>
      <c r="E3796" t="s">
        <v>163</v>
      </c>
      <c r="F3796" t="s">
        <v>164</v>
      </c>
      <c r="G3796">
        <v>2</v>
      </c>
      <c r="H3796" t="s">
        <v>438</v>
      </c>
      <c r="I3796" s="4">
        <f t="shared" si="523"/>
        <v>3</v>
      </c>
      <c r="J3796">
        <f t="shared" si="524"/>
        <v>6</v>
      </c>
      <c r="K3796">
        <v>64</v>
      </c>
      <c r="L3796">
        <v>20</v>
      </c>
      <c r="M3796" s="2">
        <v>3.2</v>
      </c>
      <c r="N3796">
        <v>3.18</v>
      </c>
      <c r="O3796">
        <v>0</v>
      </c>
      <c r="P3796">
        <v>1</v>
      </c>
      <c r="Q3796" s="4" t="str">
        <f t="shared" si="520"/>
        <v>2016/2017-Ganjil</v>
      </c>
      <c r="R3796" s="8" t="s">
        <v>260</v>
      </c>
      <c r="S3796" t="str">
        <f t="shared" si="522"/>
        <v>PA</v>
      </c>
    </row>
    <row r="3797" spans="1:19" x14ac:dyDescent="0.3">
      <c r="A3797" t="s">
        <v>8</v>
      </c>
      <c r="B3797">
        <v>2016210021</v>
      </c>
      <c r="C3797" t="s">
        <v>207</v>
      </c>
      <c r="E3797" t="s">
        <v>279</v>
      </c>
      <c r="F3797" t="s">
        <v>280</v>
      </c>
      <c r="G3797">
        <v>2</v>
      </c>
      <c r="H3797" t="s">
        <v>438</v>
      </c>
      <c r="I3797" s="4">
        <f t="shared" si="523"/>
        <v>3</v>
      </c>
      <c r="J3797">
        <f t="shared" si="524"/>
        <v>6</v>
      </c>
      <c r="K3797">
        <v>44</v>
      </c>
      <c r="L3797">
        <v>14</v>
      </c>
      <c r="M3797">
        <v>3.14</v>
      </c>
      <c r="N3797">
        <v>3.18</v>
      </c>
      <c r="O3797">
        <v>0</v>
      </c>
      <c r="P3797">
        <v>2</v>
      </c>
      <c r="Q3797" s="4" t="str">
        <f t="shared" si="520"/>
        <v>2016/2017-Genap</v>
      </c>
      <c r="R3797" s="8" t="s">
        <v>535</v>
      </c>
      <c r="S3797" t="str">
        <f t="shared" si="522"/>
        <v>PA</v>
      </c>
    </row>
    <row r="3798" spans="1:19" x14ac:dyDescent="0.3">
      <c r="A3798" t="s">
        <v>8</v>
      </c>
      <c r="B3798">
        <v>2016210021</v>
      </c>
      <c r="C3798" t="s">
        <v>207</v>
      </c>
      <c r="E3798" t="s">
        <v>117</v>
      </c>
      <c r="F3798" t="s">
        <v>118</v>
      </c>
      <c r="G3798">
        <v>2</v>
      </c>
      <c r="H3798" t="s">
        <v>438</v>
      </c>
      <c r="I3798" s="4">
        <f t="shared" si="523"/>
        <v>3</v>
      </c>
      <c r="J3798">
        <f t="shared" si="524"/>
        <v>6</v>
      </c>
      <c r="K3798">
        <v>44</v>
      </c>
      <c r="L3798">
        <v>14</v>
      </c>
      <c r="M3798">
        <v>3.14</v>
      </c>
      <c r="N3798">
        <v>3.18</v>
      </c>
      <c r="O3798">
        <v>0</v>
      </c>
      <c r="P3798">
        <v>2</v>
      </c>
      <c r="Q3798" s="4" t="str">
        <f t="shared" si="520"/>
        <v>2016/2017-Genap</v>
      </c>
      <c r="R3798" s="8" t="s">
        <v>260</v>
      </c>
      <c r="S3798" t="str">
        <f t="shared" si="522"/>
        <v>PA</v>
      </c>
    </row>
    <row r="3799" spans="1:19" x14ac:dyDescent="0.3">
      <c r="A3799" t="s">
        <v>8</v>
      </c>
      <c r="B3799">
        <v>2016210021</v>
      </c>
      <c r="C3799" t="s">
        <v>207</v>
      </c>
      <c r="E3799" t="s">
        <v>110</v>
      </c>
      <c r="F3799" t="s">
        <v>111</v>
      </c>
      <c r="G3799">
        <v>4</v>
      </c>
      <c r="H3799" t="s">
        <v>524</v>
      </c>
      <c r="I3799" s="4">
        <f t="shared" si="523"/>
        <v>2</v>
      </c>
      <c r="J3799">
        <f t="shared" si="524"/>
        <v>8</v>
      </c>
      <c r="K3799">
        <v>64</v>
      </c>
      <c r="L3799">
        <v>20</v>
      </c>
      <c r="M3799" s="2">
        <v>3.2</v>
      </c>
      <c r="N3799">
        <v>3.18</v>
      </c>
      <c r="O3799">
        <v>0</v>
      </c>
      <c r="P3799">
        <v>1</v>
      </c>
      <c r="Q3799" s="4" t="str">
        <f t="shared" si="520"/>
        <v>2016/2017-Ganjil</v>
      </c>
      <c r="R3799" s="8" t="s">
        <v>260</v>
      </c>
      <c r="S3799" t="str">
        <f t="shared" si="522"/>
        <v>PA</v>
      </c>
    </row>
    <row r="3800" spans="1:19" x14ac:dyDescent="0.3">
      <c r="A3800" t="s">
        <v>8</v>
      </c>
      <c r="B3800">
        <v>2016210021</v>
      </c>
      <c r="C3800" t="s">
        <v>207</v>
      </c>
      <c r="E3800" t="s">
        <v>44</v>
      </c>
      <c r="F3800" t="s">
        <v>45</v>
      </c>
      <c r="G3800">
        <v>2</v>
      </c>
      <c r="H3800" t="s">
        <v>524</v>
      </c>
      <c r="I3800" s="4">
        <f t="shared" si="523"/>
        <v>2</v>
      </c>
      <c r="J3800">
        <f t="shared" si="524"/>
        <v>4</v>
      </c>
      <c r="K3800">
        <v>44</v>
      </c>
      <c r="L3800">
        <v>14</v>
      </c>
      <c r="M3800">
        <v>3.14</v>
      </c>
      <c r="N3800">
        <v>3.18</v>
      </c>
      <c r="O3800">
        <v>0</v>
      </c>
      <c r="P3800">
        <v>2</v>
      </c>
      <c r="Q3800" s="4" t="str">
        <f t="shared" si="520"/>
        <v>2016/2017-Genap</v>
      </c>
      <c r="R3800" s="8" t="s">
        <v>535</v>
      </c>
      <c r="S3800" t="str">
        <f t="shared" si="522"/>
        <v>PA</v>
      </c>
    </row>
    <row r="3801" spans="1:19" x14ac:dyDescent="0.3">
      <c r="A3801" t="s">
        <v>8</v>
      </c>
      <c r="B3801">
        <v>2016210022</v>
      </c>
      <c r="C3801" t="s">
        <v>79</v>
      </c>
      <c r="E3801" t="s">
        <v>80</v>
      </c>
      <c r="F3801" t="s">
        <v>81</v>
      </c>
      <c r="G3801">
        <v>4</v>
      </c>
      <c r="I3801" s="4"/>
      <c r="J3801">
        <f t="shared" ref="J3801:J3872" si="525">G3801*I3801</f>
        <v>0</v>
      </c>
      <c r="K3801">
        <v>42</v>
      </c>
      <c r="L3801">
        <v>14</v>
      </c>
      <c r="M3801" s="2">
        <v>3</v>
      </c>
      <c r="N3801">
        <v>3.17</v>
      </c>
      <c r="O3801">
        <v>1</v>
      </c>
      <c r="P3801">
        <v>8</v>
      </c>
      <c r="Q3801" t="s">
        <v>591</v>
      </c>
      <c r="R3801" s="8" t="s">
        <v>260</v>
      </c>
      <c r="S3801" t="s">
        <v>595</v>
      </c>
    </row>
    <row r="3802" spans="1:19" x14ac:dyDescent="0.3">
      <c r="A3802" t="s">
        <v>8</v>
      </c>
      <c r="B3802">
        <v>2016210022</v>
      </c>
      <c r="C3802" t="s">
        <v>79</v>
      </c>
      <c r="E3802" t="s">
        <v>80</v>
      </c>
      <c r="F3802" t="s">
        <v>81</v>
      </c>
      <c r="G3802">
        <v>4</v>
      </c>
      <c r="I3802" s="4"/>
      <c r="J3802">
        <f t="shared" si="525"/>
        <v>0</v>
      </c>
      <c r="K3802">
        <v>8</v>
      </c>
      <c r="L3802">
        <v>2</v>
      </c>
      <c r="M3802" s="2">
        <v>4</v>
      </c>
      <c r="N3802">
        <v>3.17</v>
      </c>
      <c r="O3802">
        <v>0</v>
      </c>
      <c r="P3802">
        <v>6</v>
      </c>
      <c r="Q3802" t="s">
        <v>567</v>
      </c>
      <c r="R3802" s="8" t="s">
        <v>260</v>
      </c>
      <c r="S3802" t="s">
        <v>595</v>
      </c>
    </row>
    <row r="3803" spans="1:19" x14ac:dyDescent="0.3">
      <c r="A3803" t="s">
        <v>8</v>
      </c>
      <c r="B3803">
        <v>2016210022</v>
      </c>
      <c r="C3803" t="s">
        <v>79</v>
      </c>
      <c r="E3803" t="s">
        <v>80</v>
      </c>
      <c r="F3803" t="s">
        <v>81</v>
      </c>
      <c r="G3803">
        <v>4</v>
      </c>
      <c r="H3803" t="s">
        <v>535</v>
      </c>
      <c r="I3803" s="4">
        <f t="shared" ref="I3803" si="526">IF(H3803="A",4,IF(H3803="B",3,IF(H3803="C",2,IF(H3803="D",1,0))))</f>
        <v>1</v>
      </c>
      <c r="J3803">
        <f t="shared" ref="J3803" si="527">G3803*I3803</f>
        <v>4</v>
      </c>
      <c r="K3803">
        <v>56</v>
      </c>
      <c r="L3803">
        <v>20</v>
      </c>
      <c r="M3803" s="2">
        <v>2.8</v>
      </c>
      <c r="N3803">
        <v>3.17</v>
      </c>
      <c r="O3803">
        <v>2</v>
      </c>
      <c r="P3803">
        <v>10</v>
      </c>
      <c r="Q3803" t="s">
        <v>560</v>
      </c>
      <c r="R3803" s="8" t="s">
        <v>260</v>
      </c>
      <c r="S3803" t="str">
        <f t="shared" ref="S3803:S3804" si="528">IF(OR(H3803="A",H3803="B",H3803="C"),"PA","FA")</f>
        <v>FA</v>
      </c>
    </row>
    <row r="3804" spans="1:19" x14ac:dyDescent="0.3">
      <c r="A3804" t="s">
        <v>8</v>
      </c>
      <c r="B3804">
        <v>2016210022</v>
      </c>
      <c r="C3804" t="s">
        <v>79</v>
      </c>
      <c r="E3804" t="s">
        <v>80</v>
      </c>
      <c r="F3804" t="s">
        <v>81</v>
      </c>
      <c r="G3804">
        <v>4</v>
      </c>
      <c r="H3804" t="s">
        <v>260</v>
      </c>
      <c r="I3804" s="4">
        <f t="shared" ref="I3804:I3872" si="529">IF(H3804="A",4,IF(H3804="B",3,IF(H3804="C",2,IF(H3804="D",1,0))))</f>
        <v>4</v>
      </c>
      <c r="J3804">
        <f t="shared" si="525"/>
        <v>16</v>
      </c>
      <c r="K3804">
        <v>82</v>
      </c>
      <c r="L3804">
        <v>24</v>
      </c>
      <c r="M3804" s="2">
        <v>3.42</v>
      </c>
      <c r="N3804">
        <v>3.17</v>
      </c>
      <c r="O3804">
        <v>3</v>
      </c>
      <c r="P3804">
        <v>10</v>
      </c>
      <c r="Q3804" t="s">
        <v>578</v>
      </c>
      <c r="R3804" s="8" t="s">
        <v>260</v>
      </c>
      <c r="S3804" t="str">
        <f t="shared" si="528"/>
        <v>PA</v>
      </c>
    </row>
    <row r="3805" spans="1:19" x14ac:dyDescent="0.3">
      <c r="A3805" t="s">
        <v>8</v>
      </c>
      <c r="B3805">
        <v>2016210022</v>
      </c>
      <c r="C3805" t="s">
        <v>79</v>
      </c>
      <c r="E3805" t="s">
        <v>119</v>
      </c>
      <c r="F3805" t="s">
        <v>120</v>
      </c>
      <c r="G3805">
        <v>2</v>
      </c>
      <c r="I3805" s="4"/>
      <c r="J3805">
        <f t="shared" si="525"/>
        <v>0</v>
      </c>
      <c r="K3805">
        <v>8</v>
      </c>
      <c r="L3805">
        <v>2</v>
      </c>
      <c r="M3805" s="2">
        <v>4</v>
      </c>
      <c r="N3805">
        <v>3.17</v>
      </c>
      <c r="O3805">
        <v>0</v>
      </c>
      <c r="P3805">
        <v>6</v>
      </c>
      <c r="Q3805" t="s">
        <v>567</v>
      </c>
      <c r="R3805" s="8" t="s">
        <v>260</v>
      </c>
      <c r="S3805" t="s">
        <v>595</v>
      </c>
    </row>
    <row r="3806" spans="1:19" x14ac:dyDescent="0.3">
      <c r="A3806" t="s">
        <v>8</v>
      </c>
      <c r="B3806">
        <v>2016210022</v>
      </c>
      <c r="C3806" t="s">
        <v>79</v>
      </c>
      <c r="E3806" t="s">
        <v>222</v>
      </c>
      <c r="F3806" t="s">
        <v>223</v>
      </c>
      <c r="G3806">
        <v>2</v>
      </c>
      <c r="H3806" t="s">
        <v>438</v>
      </c>
      <c r="I3806" s="4">
        <f t="shared" si="529"/>
        <v>3</v>
      </c>
      <c r="J3806">
        <f t="shared" si="525"/>
        <v>6</v>
      </c>
      <c r="K3806">
        <v>42</v>
      </c>
      <c r="L3806">
        <v>14</v>
      </c>
      <c r="M3806" s="2">
        <v>3</v>
      </c>
      <c r="N3806">
        <v>3.17</v>
      </c>
      <c r="O3806">
        <v>1</v>
      </c>
      <c r="P3806">
        <v>8</v>
      </c>
      <c r="Q3806" t="s">
        <v>591</v>
      </c>
      <c r="R3806" s="8" t="s">
        <v>260</v>
      </c>
      <c r="S3806" t="str">
        <f>IF(OR(H3806="A",H3806="B",H3806="C"),"PA","FA")</f>
        <v>PA</v>
      </c>
    </row>
    <row r="3807" spans="1:19" x14ac:dyDescent="0.3">
      <c r="A3807" t="s">
        <v>8</v>
      </c>
      <c r="B3807">
        <v>2016210022</v>
      </c>
      <c r="C3807" t="s">
        <v>79</v>
      </c>
      <c r="E3807" t="s">
        <v>222</v>
      </c>
      <c r="F3807" t="s">
        <v>223</v>
      </c>
      <c r="G3807">
        <v>2</v>
      </c>
      <c r="I3807" s="4"/>
      <c r="J3807">
        <f t="shared" si="525"/>
        <v>0</v>
      </c>
      <c r="K3807">
        <v>8</v>
      </c>
      <c r="L3807">
        <v>2</v>
      </c>
      <c r="M3807" s="2">
        <v>4</v>
      </c>
      <c r="N3807">
        <v>3.17</v>
      </c>
      <c r="O3807">
        <v>0</v>
      </c>
      <c r="P3807">
        <v>6</v>
      </c>
      <c r="Q3807" t="s">
        <v>567</v>
      </c>
      <c r="R3807" s="8" t="s">
        <v>260</v>
      </c>
      <c r="S3807" t="s">
        <v>595</v>
      </c>
    </row>
    <row r="3808" spans="1:19" x14ac:dyDescent="0.3">
      <c r="A3808" t="s">
        <v>8</v>
      </c>
      <c r="B3808">
        <v>2016210022</v>
      </c>
      <c r="C3808" t="s">
        <v>79</v>
      </c>
      <c r="E3808" t="s">
        <v>238</v>
      </c>
      <c r="F3808" t="s">
        <v>239</v>
      </c>
      <c r="G3808">
        <v>4</v>
      </c>
      <c r="H3808" t="s">
        <v>438</v>
      </c>
      <c r="I3808" s="4">
        <f t="shared" si="529"/>
        <v>3</v>
      </c>
      <c r="J3808">
        <f t="shared" si="525"/>
        <v>12</v>
      </c>
      <c r="K3808">
        <v>42</v>
      </c>
      <c r="L3808">
        <v>14</v>
      </c>
      <c r="M3808" s="2">
        <v>3</v>
      </c>
      <c r="N3808">
        <v>3.17</v>
      </c>
      <c r="O3808">
        <v>1</v>
      </c>
      <c r="P3808">
        <v>8</v>
      </c>
      <c r="Q3808" t="s">
        <v>591</v>
      </c>
      <c r="R3808" s="8" t="s">
        <v>260</v>
      </c>
      <c r="S3808" t="str">
        <f>IF(OR(H3808="A",H3808="B",H3808="C"),"PA","FA")</f>
        <v>PA</v>
      </c>
    </row>
    <row r="3809" spans="1:19" x14ac:dyDescent="0.3">
      <c r="A3809" t="s">
        <v>8</v>
      </c>
      <c r="B3809">
        <v>2016210022</v>
      </c>
      <c r="C3809" t="s">
        <v>79</v>
      </c>
      <c r="E3809" t="s">
        <v>238</v>
      </c>
      <c r="F3809" t="s">
        <v>239</v>
      </c>
      <c r="G3809">
        <v>4</v>
      </c>
      <c r="I3809" s="4"/>
      <c r="J3809">
        <f t="shared" si="525"/>
        <v>0</v>
      </c>
      <c r="K3809">
        <v>24</v>
      </c>
      <c r="L3809">
        <v>16</v>
      </c>
      <c r="M3809" s="2">
        <v>1.5</v>
      </c>
      <c r="N3809">
        <v>3.17</v>
      </c>
      <c r="O3809">
        <v>0</v>
      </c>
      <c r="P3809">
        <v>4</v>
      </c>
      <c r="Q3809" t="s">
        <v>565</v>
      </c>
      <c r="R3809" s="8" t="s">
        <v>260</v>
      </c>
      <c r="S3809" t="s">
        <v>595</v>
      </c>
    </row>
    <row r="3810" spans="1:19" x14ac:dyDescent="0.3">
      <c r="A3810" t="s">
        <v>8</v>
      </c>
      <c r="B3810">
        <v>2016210022</v>
      </c>
      <c r="C3810" t="s">
        <v>79</v>
      </c>
      <c r="E3810" t="s">
        <v>77</v>
      </c>
      <c r="F3810" t="s">
        <v>78</v>
      </c>
      <c r="G3810">
        <v>2</v>
      </c>
      <c r="H3810" t="s">
        <v>260</v>
      </c>
      <c r="I3810" s="4">
        <f t="shared" si="529"/>
        <v>4</v>
      </c>
      <c r="J3810">
        <f t="shared" si="525"/>
        <v>8</v>
      </c>
      <c r="K3810">
        <v>60</v>
      </c>
      <c r="L3810">
        <v>20</v>
      </c>
      <c r="M3810" s="2">
        <v>3</v>
      </c>
      <c r="N3810">
        <v>3.17</v>
      </c>
      <c r="O3810">
        <v>0</v>
      </c>
      <c r="P3810">
        <v>1</v>
      </c>
      <c r="Q3810" t="s">
        <v>558</v>
      </c>
      <c r="R3810" s="8" t="s">
        <v>260</v>
      </c>
      <c r="S3810" t="str">
        <f t="shared" ref="S3810:S3870" si="530">IF(OR(H3810="A",H3810="B",H3810="C"),"PA","FA")</f>
        <v>PA</v>
      </c>
    </row>
    <row r="3811" spans="1:19" x14ac:dyDescent="0.3">
      <c r="A3811" t="s">
        <v>8</v>
      </c>
      <c r="B3811">
        <v>2016210022</v>
      </c>
      <c r="C3811" t="s">
        <v>79</v>
      </c>
      <c r="E3811" t="s">
        <v>242</v>
      </c>
      <c r="F3811" t="s">
        <v>166</v>
      </c>
      <c r="G3811">
        <v>2</v>
      </c>
      <c r="H3811" t="s">
        <v>260</v>
      </c>
      <c r="I3811" s="4">
        <f t="shared" ref="I3811:I3870" si="531">IF(H3811="A",4,IF(H3811="B",3,IF(H3811="C",2,IF(H3811="D",1,0))))</f>
        <v>4</v>
      </c>
      <c r="J3811">
        <f t="shared" ref="J3811:J3870" si="532">G3811*I3811</f>
        <v>8</v>
      </c>
      <c r="K3811">
        <v>24</v>
      </c>
      <c r="L3811">
        <v>16</v>
      </c>
      <c r="M3811" s="2">
        <v>1.5</v>
      </c>
      <c r="N3811">
        <v>3.17</v>
      </c>
      <c r="O3811">
        <v>0</v>
      </c>
      <c r="P3811">
        <v>4</v>
      </c>
      <c r="Q3811" t="s">
        <v>565</v>
      </c>
      <c r="R3811" s="8" t="s">
        <v>260</v>
      </c>
      <c r="S3811" t="str">
        <f t="shared" si="530"/>
        <v>PA</v>
      </c>
    </row>
    <row r="3812" spans="1:19" x14ac:dyDescent="0.3">
      <c r="A3812" t="s">
        <v>8</v>
      </c>
      <c r="B3812">
        <v>2016210022</v>
      </c>
      <c r="C3812" t="s">
        <v>79</v>
      </c>
      <c r="E3812" t="s">
        <v>362</v>
      </c>
      <c r="F3812" t="s">
        <v>363</v>
      </c>
      <c r="G3812">
        <v>2</v>
      </c>
      <c r="H3812" t="s">
        <v>260</v>
      </c>
      <c r="I3812" s="4">
        <f t="shared" si="531"/>
        <v>4</v>
      </c>
      <c r="J3812">
        <f t="shared" si="532"/>
        <v>8</v>
      </c>
      <c r="K3812">
        <v>38</v>
      </c>
      <c r="L3812">
        <v>12</v>
      </c>
      <c r="M3812" s="2">
        <v>3.17</v>
      </c>
      <c r="N3812">
        <v>3.17</v>
      </c>
      <c r="O3812">
        <v>0</v>
      </c>
      <c r="P3812">
        <v>5</v>
      </c>
      <c r="Q3812" t="s">
        <v>566</v>
      </c>
      <c r="R3812" s="8" t="s">
        <v>260</v>
      </c>
      <c r="S3812" t="str">
        <f t="shared" si="530"/>
        <v>PA</v>
      </c>
    </row>
    <row r="3813" spans="1:19" x14ac:dyDescent="0.3">
      <c r="A3813" t="s">
        <v>8</v>
      </c>
      <c r="B3813">
        <v>2016210022</v>
      </c>
      <c r="C3813" t="s">
        <v>79</v>
      </c>
      <c r="E3813" t="s">
        <v>87</v>
      </c>
      <c r="F3813" t="s">
        <v>88</v>
      </c>
      <c r="G3813">
        <v>2</v>
      </c>
      <c r="H3813" t="s">
        <v>260</v>
      </c>
      <c r="I3813" s="4">
        <f t="shared" si="531"/>
        <v>4</v>
      </c>
      <c r="J3813">
        <f t="shared" si="532"/>
        <v>8</v>
      </c>
      <c r="K3813">
        <v>56</v>
      </c>
      <c r="L3813">
        <v>20</v>
      </c>
      <c r="M3813" s="2">
        <v>2.8</v>
      </c>
      <c r="N3813">
        <v>3.17</v>
      </c>
      <c r="O3813">
        <v>0</v>
      </c>
      <c r="P3813">
        <v>10</v>
      </c>
      <c r="Q3813" t="s">
        <v>560</v>
      </c>
      <c r="R3813" s="8" t="s">
        <v>260</v>
      </c>
      <c r="S3813" t="str">
        <f t="shared" si="530"/>
        <v>PA</v>
      </c>
    </row>
    <row r="3814" spans="1:19" x14ac:dyDescent="0.3">
      <c r="A3814" t="s">
        <v>8</v>
      </c>
      <c r="B3814">
        <v>2016210022</v>
      </c>
      <c r="C3814" t="s">
        <v>79</v>
      </c>
      <c r="E3814" t="s">
        <v>597</v>
      </c>
      <c r="F3814" t="s">
        <v>275</v>
      </c>
      <c r="G3814">
        <v>2</v>
      </c>
      <c r="H3814" t="s">
        <v>260</v>
      </c>
      <c r="I3814" s="4">
        <f t="shared" si="531"/>
        <v>4</v>
      </c>
      <c r="J3814">
        <f t="shared" si="532"/>
        <v>8</v>
      </c>
      <c r="K3814">
        <v>8</v>
      </c>
      <c r="L3814">
        <v>2</v>
      </c>
      <c r="M3814" s="2">
        <v>4</v>
      </c>
      <c r="N3814">
        <v>3.17</v>
      </c>
      <c r="O3814">
        <v>0</v>
      </c>
      <c r="P3814">
        <v>6</v>
      </c>
      <c r="Q3814" t="s">
        <v>567</v>
      </c>
      <c r="R3814" s="8" t="s">
        <v>260</v>
      </c>
      <c r="S3814" t="str">
        <f t="shared" si="530"/>
        <v>PA</v>
      </c>
    </row>
    <row r="3815" spans="1:19" x14ac:dyDescent="0.3">
      <c r="A3815" t="s">
        <v>8</v>
      </c>
      <c r="B3815">
        <v>2016210022</v>
      </c>
      <c r="C3815" t="s">
        <v>79</v>
      </c>
      <c r="E3815" t="s">
        <v>131</v>
      </c>
      <c r="F3815" t="s">
        <v>132</v>
      </c>
      <c r="G3815">
        <v>2</v>
      </c>
      <c r="H3815" t="s">
        <v>260</v>
      </c>
      <c r="I3815" s="4">
        <f t="shared" si="531"/>
        <v>4</v>
      </c>
      <c r="J3815">
        <f t="shared" si="532"/>
        <v>8</v>
      </c>
      <c r="K3815">
        <v>60</v>
      </c>
      <c r="L3815">
        <v>20</v>
      </c>
      <c r="M3815" s="2">
        <v>3</v>
      </c>
      <c r="N3815">
        <v>3.17</v>
      </c>
      <c r="O3815">
        <v>0</v>
      </c>
      <c r="P3815">
        <v>1</v>
      </c>
      <c r="Q3815" t="s">
        <v>558</v>
      </c>
      <c r="R3815" s="8" t="s">
        <v>260</v>
      </c>
      <c r="S3815" t="str">
        <f t="shared" si="530"/>
        <v>PA</v>
      </c>
    </row>
    <row r="3816" spans="1:19" x14ac:dyDescent="0.3">
      <c r="A3816" t="s">
        <v>8</v>
      </c>
      <c r="B3816">
        <v>2016210022</v>
      </c>
      <c r="C3816" t="s">
        <v>79</v>
      </c>
      <c r="E3816" t="s">
        <v>136</v>
      </c>
      <c r="F3816" t="s">
        <v>137</v>
      </c>
      <c r="G3816">
        <v>4</v>
      </c>
      <c r="H3816" t="s">
        <v>260</v>
      </c>
      <c r="I3816" s="4">
        <f t="shared" si="531"/>
        <v>4</v>
      </c>
      <c r="J3816">
        <f t="shared" si="532"/>
        <v>16</v>
      </c>
      <c r="K3816">
        <v>56</v>
      </c>
      <c r="L3816">
        <v>20</v>
      </c>
      <c r="M3816" s="2">
        <v>2.8</v>
      </c>
      <c r="N3816">
        <v>3.17</v>
      </c>
      <c r="O3816">
        <v>0</v>
      </c>
      <c r="P3816">
        <v>10</v>
      </c>
      <c r="Q3816" t="s">
        <v>560</v>
      </c>
      <c r="R3816" s="8" t="s">
        <v>260</v>
      </c>
      <c r="S3816" t="str">
        <f t="shared" si="530"/>
        <v>PA</v>
      </c>
    </row>
    <row r="3817" spans="1:19" x14ac:dyDescent="0.3">
      <c r="A3817" t="s">
        <v>8</v>
      </c>
      <c r="B3817">
        <v>2016210022</v>
      </c>
      <c r="C3817" t="s">
        <v>79</v>
      </c>
      <c r="E3817" t="s">
        <v>266</v>
      </c>
      <c r="F3817" t="s">
        <v>91</v>
      </c>
      <c r="G3817">
        <v>2</v>
      </c>
      <c r="H3817" t="s">
        <v>260</v>
      </c>
      <c r="I3817" s="4">
        <f t="shared" si="531"/>
        <v>4</v>
      </c>
      <c r="J3817">
        <f t="shared" si="532"/>
        <v>8</v>
      </c>
      <c r="K3817">
        <v>46</v>
      </c>
      <c r="L3817">
        <v>18</v>
      </c>
      <c r="M3817" s="2">
        <v>2.56</v>
      </c>
      <c r="N3817">
        <v>3.17</v>
      </c>
      <c r="O3817">
        <v>0</v>
      </c>
      <c r="P3817">
        <v>2</v>
      </c>
      <c r="Q3817" t="s">
        <v>559</v>
      </c>
      <c r="R3817" s="8" t="s">
        <v>260</v>
      </c>
      <c r="S3817" t="str">
        <f t="shared" si="530"/>
        <v>PA</v>
      </c>
    </row>
    <row r="3818" spans="1:19" x14ac:dyDescent="0.3">
      <c r="A3818" t="s">
        <v>8</v>
      </c>
      <c r="B3818">
        <v>2016210022</v>
      </c>
      <c r="C3818" t="s">
        <v>79</v>
      </c>
      <c r="E3818" t="s">
        <v>369</v>
      </c>
      <c r="F3818" t="s">
        <v>307</v>
      </c>
      <c r="G3818">
        <v>2</v>
      </c>
      <c r="H3818" t="s">
        <v>260</v>
      </c>
      <c r="I3818" s="4">
        <f t="shared" si="531"/>
        <v>4</v>
      </c>
      <c r="J3818">
        <f t="shared" si="532"/>
        <v>8</v>
      </c>
      <c r="K3818">
        <v>56</v>
      </c>
      <c r="L3818">
        <v>20</v>
      </c>
      <c r="M3818" s="2">
        <v>2.8</v>
      </c>
      <c r="N3818">
        <v>3.17</v>
      </c>
      <c r="O3818">
        <v>0</v>
      </c>
      <c r="P3818">
        <v>10</v>
      </c>
      <c r="Q3818" t="s">
        <v>560</v>
      </c>
      <c r="R3818" s="8" t="s">
        <v>260</v>
      </c>
      <c r="S3818" t="str">
        <f t="shared" si="530"/>
        <v>PA</v>
      </c>
    </row>
    <row r="3819" spans="1:19" x14ac:dyDescent="0.3">
      <c r="A3819" t="s">
        <v>8</v>
      </c>
      <c r="B3819">
        <v>2016210022</v>
      </c>
      <c r="C3819" t="s">
        <v>79</v>
      </c>
      <c r="E3819" t="s">
        <v>147</v>
      </c>
      <c r="F3819" t="s">
        <v>148</v>
      </c>
      <c r="G3819">
        <v>4</v>
      </c>
      <c r="H3819" t="s">
        <v>438</v>
      </c>
      <c r="I3819" s="4">
        <f t="shared" si="531"/>
        <v>3</v>
      </c>
      <c r="J3819">
        <f t="shared" si="532"/>
        <v>12</v>
      </c>
      <c r="K3819">
        <v>60</v>
      </c>
      <c r="L3819">
        <v>20</v>
      </c>
      <c r="M3819" s="2">
        <v>3</v>
      </c>
      <c r="N3819">
        <v>3.17</v>
      </c>
      <c r="O3819">
        <v>0</v>
      </c>
      <c r="P3819">
        <v>1</v>
      </c>
      <c r="Q3819" t="s">
        <v>558</v>
      </c>
      <c r="R3819" s="8" t="s">
        <v>260</v>
      </c>
      <c r="S3819" t="str">
        <f t="shared" si="530"/>
        <v>PA</v>
      </c>
    </row>
    <row r="3820" spans="1:19" x14ac:dyDescent="0.3">
      <c r="A3820" t="s">
        <v>8</v>
      </c>
      <c r="B3820">
        <v>2016210022</v>
      </c>
      <c r="C3820" t="s">
        <v>79</v>
      </c>
      <c r="E3820" t="s">
        <v>157</v>
      </c>
      <c r="F3820" t="s">
        <v>158</v>
      </c>
      <c r="G3820">
        <v>2</v>
      </c>
      <c r="H3820" t="s">
        <v>438</v>
      </c>
      <c r="I3820" s="4">
        <f t="shared" si="531"/>
        <v>3</v>
      </c>
      <c r="J3820">
        <f t="shared" si="532"/>
        <v>6</v>
      </c>
      <c r="K3820">
        <v>54</v>
      </c>
      <c r="L3820">
        <v>22</v>
      </c>
      <c r="M3820" s="2">
        <v>2.4500000000000002</v>
      </c>
      <c r="N3820">
        <v>3.17</v>
      </c>
      <c r="O3820">
        <v>0</v>
      </c>
      <c r="P3820">
        <v>3</v>
      </c>
      <c r="Q3820" t="s">
        <v>563</v>
      </c>
      <c r="R3820" s="8" t="s">
        <v>260</v>
      </c>
      <c r="S3820" t="str">
        <f t="shared" si="530"/>
        <v>PA</v>
      </c>
    </row>
    <row r="3821" spans="1:19" x14ac:dyDescent="0.3">
      <c r="A3821" t="s">
        <v>8</v>
      </c>
      <c r="B3821">
        <v>2016210022</v>
      </c>
      <c r="C3821" t="s">
        <v>79</v>
      </c>
      <c r="E3821" t="s">
        <v>202</v>
      </c>
      <c r="F3821" t="s">
        <v>203</v>
      </c>
      <c r="G3821">
        <v>4</v>
      </c>
      <c r="H3821" t="s">
        <v>438</v>
      </c>
      <c r="I3821" s="4">
        <f t="shared" si="531"/>
        <v>3</v>
      </c>
      <c r="J3821">
        <f t="shared" si="532"/>
        <v>12</v>
      </c>
      <c r="K3821">
        <v>60</v>
      </c>
      <c r="L3821">
        <v>20</v>
      </c>
      <c r="M3821" s="2">
        <v>3</v>
      </c>
      <c r="N3821">
        <v>3.17</v>
      </c>
      <c r="O3821">
        <v>0</v>
      </c>
      <c r="P3821">
        <v>1</v>
      </c>
      <c r="Q3821" t="s">
        <v>558</v>
      </c>
      <c r="R3821" s="8" t="s">
        <v>260</v>
      </c>
      <c r="S3821" t="str">
        <f t="shared" si="530"/>
        <v>PA</v>
      </c>
    </row>
    <row r="3822" spans="1:19" x14ac:dyDescent="0.3">
      <c r="A3822" t="s">
        <v>8</v>
      </c>
      <c r="B3822">
        <v>2016210022</v>
      </c>
      <c r="C3822" t="s">
        <v>79</v>
      </c>
      <c r="E3822" t="s">
        <v>19</v>
      </c>
      <c r="F3822" t="s">
        <v>20</v>
      </c>
      <c r="G3822">
        <v>6</v>
      </c>
      <c r="H3822" t="s">
        <v>438</v>
      </c>
      <c r="I3822" s="4">
        <f t="shared" si="531"/>
        <v>3</v>
      </c>
      <c r="J3822">
        <f t="shared" si="532"/>
        <v>18</v>
      </c>
      <c r="K3822">
        <v>30</v>
      </c>
      <c r="L3822">
        <v>10</v>
      </c>
      <c r="M3822" s="2">
        <v>3</v>
      </c>
      <c r="N3822">
        <v>3.17</v>
      </c>
      <c r="O3822">
        <v>0</v>
      </c>
      <c r="P3822">
        <v>11</v>
      </c>
      <c r="Q3822" t="s">
        <v>573</v>
      </c>
      <c r="R3822" t="s">
        <v>596</v>
      </c>
      <c r="S3822" t="str">
        <f t="shared" si="530"/>
        <v>PA</v>
      </c>
    </row>
    <row r="3823" spans="1:19" x14ac:dyDescent="0.3">
      <c r="A3823" t="s">
        <v>8</v>
      </c>
      <c r="B3823">
        <v>2016210022</v>
      </c>
      <c r="C3823" t="s">
        <v>79</v>
      </c>
      <c r="E3823" t="s">
        <v>185</v>
      </c>
      <c r="F3823" t="s">
        <v>186</v>
      </c>
      <c r="G3823">
        <v>4</v>
      </c>
      <c r="H3823" t="s">
        <v>438</v>
      </c>
      <c r="I3823" s="4">
        <f t="shared" si="531"/>
        <v>3</v>
      </c>
      <c r="J3823">
        <f t="shared" si="532"/>
        <v>12</v>
      </c>
      <c r="K3823">
        <v>30</v>
      </c>
      <c r="L3823">
        <v>12</v>
      </c>
      <c r="M3823" s="2">
        <v>2.5</v>
      </c>
      <c r="N3823">
        <v>3.17</v>
      </c>
      <c r="O3823">
        <v>0</v>
      </c>
      <c r="P3823">
        <v>7</v>
      </c>
      <c r="Q3823" t="s">
        <v>568</v>
      </c>
      <c r="R3823" s="8" t="s">
        <v>260</v>
      </c>
      <c r="S3823" t="str">
        <f t="shared" si="530"/>
        <v>PA</v>
      </c>
    </row>
    <row r="3824" spans="1:19" x14ac:dyDescent="0.3">
      <c r="A3824" t="s">
        <v>8</v>
      </c>
      <c r="B3824">
        <v>2016210022</v>
      </c>
      <c r="C3824" t="s">
        <v>79</v>
      </c>
      <c r="E3824" t="s">
        <v>355</v>
      </c>
      <c r="F3824" t="s">
        <v>274</v>
      </c>
      <c r="G3824">
        <v>2</v>
      </c>
      <c r="H3824" t="s">
        <v>438</v>
      </c>
      <c r="I3824" s="4">
        <f t="shared" si="531"/>
        <v>3</v>
      </c>
      <c r="J3824">
        <f t="shared" si="532"/>
        <v>6</v>
      </c>
      <c r="K3824">
        <v>42</v>
      </c>
      <c r="L3824">
        <v>14</v>
      </c>
      <c r="M3824" s="2">
        <v>3</v>
      </c>
      <c r="N3824">
        <v>3.17</v>
      </c>
      <c r="O3824">
        <v>0</v>
      </c>
      <c r="P3824">
        <v>8</v>
      </c>
      <c r="Q3824" t="s">
        <v>591</v>
      </c>
      <c r="R3824" s="8" t="s">
        <v>260</v>
      </c>
      <c r="S3824" t="str">
        <f t="shared" si="530"/>
        <v>PA</v>
      </c>
    </row>
    <row r="3825" spans="1:19" x14ac:dyDescent="0.3">
      <c r="A3825" t="s">
        <v>8</v>
      </c>
      <c r="B3825">
        <v>2016210022</v>
      </c>
      <c r="C3825" t="s">
        <v>79</v>
      </c>
      <c r="E3825" t="s">
        <v>22</v>
      </c>
      <c r="F3825" t="s">
        <v>23</v>
      </c>
      <c r="G3825">
        <v>2</v>
      </c>
      <c r="H3825" t="s">
        <v>438</v>
      </c>
      <c r="I3825" s="4">
        <f t="shared" si="531"/>
        <v>3</v>
      </c>
      <c r="J3825">
        <f t="shared" si="532"/>
        <v>6</v>
      </c>
      <c r="K3825">
        <v>46</v>
      </c>
      <c r="L3825">
        <v>18</v>
      </c>
      <c r="M3825" s="2">
        <v>2.56</v>
      </c>
      <c r="N3825">
        <v>3.17</v>
      </c>
      <c r="O3825">
        <v>0</v>
      </c>
      <c r="P3825">
        <v>2</v>
      </c>
      <c r="Q3825" t="s">
        <v>559</v>
      </c>
      <c r="R3825" s="8" t="s">
        <v>260</v>
      </c>
      <c r="S3825" t="str">
        <f t="shared" si="530"/>
        <v>PA</v>
      </c>
    </row>
    <row r="3826" spans="1:19" x14ac:dyDescent="0.3">
      <c r="A3826" t="s">
        <v>8</v>
      </c>
      <c r="B3826">
        <v>2016210022</v>
      </c>
      <c r="C3826" t="s">
        <v>79</v>
      </c>
      <c r="E3826" t="s">
        <v>115</v>
      </c>
      <c r="F3826" t="s">
        <v>116</v>
      </c>
      <c r="G3826">
        <v>4</v>
      </c>
      <c r="H3826" t="s">
        <v>438</v>
      </c>
      <c r="I3826" s="4">
        <f t="shared" si="531"/>
        <v>3</v>
      </c>
      <c r="J3826">
        <f t="shared" si="532"/>
        <v>12</v>
      </c>
      <c r="K3826">
        <v>46</v>
      </c>
      <c r="L3826">
        <v>18</v>
      </c>
      <c r="M3826" s="2">
        <v>2.56</v>
      </c>
      <c r="N3826">
        <v>3.17</v>
      </c>
      <c r="O3826">
        <v>0</v>
      </c>
      <c r="P3826">
        <v>2</v>
      </c>
      <c r="Q3826" t="s">
        <v>559</v>
      </c>
      <c r="R3826" s="8" t="s">
        <v>260</v>
      </c>
      <c r="S3826" t="str">
        <f t="shared" si="530"/>
        <v>PA</v>
      </c>
    </row>
    <row r="3827" spans="1:19" x14ac:dyDescent="0.3">
      <c r="A3827" t="s">
        <v>8</v>
      </c>
      <c r="B3827">
        <v>2016210022</v>
      </c>
      <c r="C3827" t="s">
        <v>79</v>
      </c>
      <c r="E3827" t="s">
        <v>213</v>
      </c>
      <c r="F3827" t="s">
        <v>214</v>
      </c>
      <c r="G3827">
        <v>4</v>
      </c>
      <c r="H3827" t="s">
        <v>438</v>
      </c>
      <c r="I3827" s="4">
        <f t="shared" si="531"/>
        <v>3</v>
      </c>
      <c r="J3827">
        <f t="shared" si="532"/>
        <v>12</v>
      </c>
      <c r="K3827">
        <v>54</v>
      </c>
      <c r="L3827">
        <v>18</v>
      </c>
      <c r="M3827" s="2">
        <v>3</v>
      </c>
      <c r="N3827">
        <v>3.17</v>
      </c>
      <c r="O3827">
        <v>0</v>
      </c>
      <c r="P3827">
        <v>9</v>
      </c>
      <c r="Q3827" t="s">
        <v>570</v>
      </c>
      <c r="R3827" s="8" t="s">
        <v>260</v>
      </c>
      <c r="S3827" t="str">
        <f t="shared" si="530"/>
        <v>PA</v>
      </c>
    </row>
    <row r="3828" spans="1:19" x14ac:dyDescent="0.3">
      <c r="A3828" t="s">
        <v>8</v>
      </c>
      <c r="B3828">
        <v>2016210022</v>
      </c>
      <c r="C3828" t="s">
        <v>79</v>
      </c>
      <c r="E3828" t="s">
        <v>295</v>
      </c>
      <c r="F3828" t="s">
        <v>296</v>
      </c>
      <c r="G3828">
        <v>2</v>
      </c>
      <c r="H3828" t="s">
        <v>438</v>
      </c>
      <c r="I3828" s="4">
        <f t="shared" si="531"/>
        <v>3</v>
      </c>
      <c r="J3828">
        <f t="shared" si="532"/>
        <v>6</v>
      </c>
      <c r="K3828">
        <v>54</v>
      </c>
      <c r="L3828">
        <v>22</v>
      </c>
      <c r="M3828" s="2">
        <v>2.4500000000000002</v>
      </c>
      <c r="N3828">
        <v>3.17</v>
      </c>
      <c r="O3828">
        <v>0</v>
      </c>
      <c r="P3828">
        <v>3</v>
      </c>
      <c r="Q3828" t="s">
        <v>563</v>
      </c>
      <c r="R3828" s="8" t="s">
        <v>260</v>
      </c>
      <c r="S3828" t="str">
        <f t="shared" si="530"/>
        <v>PA</v>
      </c>
    </row>
    <row r="3829" spans="1:19" x14ac:dyDescent="0.3">
      <c r="A3829" t="s">
        <v>8</v>
      </c>
      <c r="B3829">
        <v>2016210022</v>
      </c>
      <c r="C3829" t="s">
        <v>79</v>
      </c>
      <c r="E3829" t="s">
        <v>393</v>
      </c>
      <c r="F3829" t="s">
        <v>436</v>
      </c>
      <c r="G3829">
        <v>2</v>
      </c>
      <c r="H3829" t="s">
        <v>438</v>
      </c>
      <c r="I3829" s="4">
        <f t="shared" si="531"/>
        <v>3</v>
      </c>
      <c r="J3829">
        <f t="shared" si="532"/>
        <v>6</v>
      </c>
      <c r="K3829">
        <v>38</v>
      </c>
      <c r="L3829">
        <v>12</v>
      </c>
      <c r="M3829" s="2">
        <v>3.17</v>
      </c>
      <c r="N3829">
        <v>3.17</v>
      </c>
      <c r="O3829">
        <v>0</v>
      </c>
      <c r="P3829">
        <v>5</v>
      </c>
      <c r="Q3829" t="s">
        <v>566</v>
      </c>
      <c r="R3829" s="8" t="s">
        <v>260</v>
      </c>
      <c r="S3829" t="str">
        <f t="shared" si="530"/>
        <v>PA</v>
      </c>
    </row>
    <row r="3830" spans="1:19" x14ac:dyDescent="0.3">
      <c r="A3830" t="s">
        <v>8</v>
      </c>
      <c r="B3830">
        <v>2016210022</v>
      </c>
      <c r="C3830" t="s">
        <v>79</v>
      </c>
      <c r="E3830" t="s">
        <v>112</v>
      </c>
      <c r="F3830" t="s">
        <v>113</v>
      </c>
      <c r="G3830">
        <v>4</v>
      </c>
      <c r="H3830" t="s">
        <v>438</v>
      </c>
      <c r="I3830" s="4">
        <f t="shared" si="531"/>
        <v>3</v>
      </c>
      <c r="J3830">
        <f t="shared" si="532"/>
        <v>12</v>
      </c>
      <c r="K3830">
        <v>54</v>
      </c>
      <c r="L3830">
        <v>22</v>
      </c>
      <c r="M3830" s="2">
        <v>2.4500000000000002</v>
      </c>
      <c r="N3830">
        <v>3.17</v>
      </c>
      <c r="O3830">
        <v>0</v>
      </c>
      <c r="P3830">
        <v>3</v>
      </c>
      <c r="Q3830" t="s">
        <v>563</v>
      </c>
      <c r="R3830" s="8" t="s">
        <v>260</v>
      </c>
      <c r="S3830" t="str">
        <f t="shared" si="530"/>
        <v>PA</v>
      </c>
    </row>
    <row r="3831" spans="1:19" x14ac:dyDescent="0.3">
      <c r="A3831" t="s">
        <v>8</v>
      </c>
      <c r="B3831">
        <v>2016210022</v>
      </c>
      <c r="C3831" t="s">
        <v>79</v>
      </c>
      <c r="E3831" t="s">
        <v>439</v>
      </c>
      <c r="F3831" t="s">
        <v>504</v>
      </c>
      <c r="G3831">
        <v>2</v>
      </c>
      <c r="H3831" t="s">
        <v>438</v>
      </c>
      <c r="I3831" s="4">
        <f t="shared" si="531"/>
        <v>3</v>
      </c>
      <c r="J3831">
        <f t="shared" si="532"/>
        <v>6</v>
      </c>
      <c r="K3831">
        <v>56</v>
      </c>
      <c r="L3831">
        <v>20</v>
      </c>
      <c r="M3831" s="2">
        <v>2.8</v>
      </c>
      <c r="N3831">
        <v>3.17</v>
      </c>
      <c r="O3831">
        <v>0</v>
      </c>
      <c r="P3831">
        <v>10</v>
      </c>
      <c r="Q3831" t="s">
        <v>560</v>
      </c>
      <c r="R3831" s="8" t="s">
        <v>260</v>
      </c>
      <c r="S3831" t="str">
        <f t="shared" si="530"/>
        <v>PA</v>
      </c>
    </row>
    <row r="3832" spans="1:19" x14ac:dyDescent="0.3">
      <c r="A3832" t="s">
        <v>8</v>
      </c>
      <c r="B3832">
        <v>2016210022</v>
      </c>
      <c r="C3832" t="s">
        <v>79</v>
      </c>
      <c r="E3832" t="s">
        <v>105</v>
      </c>
      <c r="F3832" t="s">
        <v>106</v>
      </c>
      <c r="G3832">
        <v>2</v>
      </c>
      <c r="H3832" t="s">
        <v>438</v>
      </c>
      <c r="I3832" s="4">
        <f t="shared" si="531"/>
        <v>3</v>
      </c>
      <c r="J3832">
        <f t="shared" si="532"/>
        <v>6</v>
      </c>
      <c r="K3832">
        <v>54</v>
      </c>
      <c r="L3832">
        <v>22</v>
      </c>
      <c r="M3832" s="2">
        <v>2.4500000000000002</v>
      </c>
      <c r="N3832">
        <v>3.17</v>
      </c>
      <c r="O3832">
        <v>0</v>
      </c>
      <c r="P3832">
        <v>3</v>
      </c>
      <c r="Q3832" t="s">
        <v>563</v>
      </c>
      <c r="R3832" s="8" t="s">
        <v>260</v>
      </c>
      <c r="S3832" t="str">
        <f t="shared" si="530"/>
        <v>PA</v>
      </c>
    </row>
    <row r="3833" spans="1:19" x14ac:dyDescent="0.3">
      <c r="A3833" t="s">
        <v>8</v>
      </c>
      <c r="B3833">
        <v>2016210022</v>
      </c>
      <c r="C3833" t="s">
        <v>79</v>
      </c>
      <c r="E3833" t="s">
        <v>395</v>
      </c>
      <c r="F3833" t="s">
        <v>396</v>
      </c>
      <c r="G3833">
        <v>2</v>
      </c>
      <c r="H3833" t="s">
        <v>438</v>
      </c>
      <c r="I3833" s="4">
        <f t="shared" si="531"/>
        <v>3</v>
      </c>
      <c r="J3833">
        <f t="shared" si="532"/>
        <v>6</v>
      </c>
      <c r="K3833">
        <v>60</v>
      </c>
      <c r="L3833">
        <v>20</v>
      </c>
      <c r="M3833" s="2">
        <v>3</v>
      </c>
      <c r="N3833">
        <v>3.17</v>
      </c>
      <c r="O3833">
        <v>0</v>
      </c>
      <c r="P3833">
        <v>1</v>
      </c>
      <c r="Q3833" t="s">
        <v>558</v>
      </c>
      <c r="R3833" s="8" t="s">
        <v>260</v>
      </c>
      <c r="S3833" t="str">
        <f t="shared" si="530"/>
        <v>PA</v>
      </c>
    </row>
    <row r="3834" spans="1:19" x14ac:dyDescent="0.3">
      <c r="A3834" t="s">
        <v>8</v>
      </c>
      <c r="B3834">
        <v>2016210022</v>
      </c>
      <c r="C3834" t="s">
        <v>79</v>
      </c>
      <c r="E3834" t="s">
        <v>227</v>
      </c>
      <c r="F3834" t="s">
        <v>228</v>
      </c>
      <c r="G3834">
        <v>2</v>
      </c>
      <c r="H3834" t="s">
        <v>438</v>
      </c>
      <c r="I3834" s="4">
        <f t="shared" si="531"/>
        <v>3</v>
      </c>
      <c r="J3834">
        <f t="shared" si="532"/>
        <v>6</v>
      </c>
      <c r="K3834">
        <v>54</v>
      </c>
      <c r="L3834">
        <v>22</v>
      </c>
      <c r="M3834" s="2">
        <v>2.4500000000000002</v>
      </c>
      <c r="N3834">
        <v>3.17</v>
      </c>
      <c r="O3834">
        <v>0</v>
      </c>
      <c r="P3834">
        <v>3</v>
      </c>
      <c r="Q3834" t="s">
        <v>563</v>
      </c>
      <c r="R3834" s="8" t="s">
        <v>260</v>
      </c>
      <c r="S3834" t="str">
        <f t="shared" si="530"/>
        <v>PA</v>
      </c>
    </row>
    <row r="3835" spans="1:19" x14ac:dyDescent="0.3">
      <c r="A3835" t="s">
        <v>8</v>
      </c>
      <c r="B3835">
        <v>2016210022</v>
      </c>
      <c r="C3835" t="s">
        <v>79</v>
      </c>
      <c r="E3835" t="s">
        <v>407</v>
      </c>
      <c r="F3835" t="s">
        <v>312</v>
      </c>
      <c r="G3835">
        <v>2</v>
      </c>
      <c r="H3835" t="s">
        <v>438</v>
      </c>
      <c r="I3835" s="4">
        <f t="shared" si="531"/>
        <v>3</v>
      </c>
      <c r="J3835">
        <f t="shared" si="532"/>
        <v>6</v>
      </c>
      <c r="K3835">
        <v>30</v>
      </c>
      <c r="L3835">
        <v>12</v>
      </c>
      <c r="M3835" s="2">
        <v>2.5</v>
      </c>
      <c r="N3835">
        <v>3.17</v>
      </c>
      <c r="O3835">
        <v>0</v>
      </c>
      <c r="P3835">
        <v>7</v>
      </c>
      <c r="Q3835" t="s">
        <v>568</v>
      </c>
      <c r="R3835" s="8" t="s">
        <v>260</v>
      </c>
      <c r="S3835" t="str">
        <f t="shared" si="530"/>
        <v>PA</v>
      </c>
    </row>
    <row r="3836" spans="1:19" x14ac:dyDescent="0.3">
      <c r="A3836" t="s">
        <v>8</v>
      </c>
      <c r="B3836">
        <v>2016210022</v>
      </c>
      <c r="C3836" t="s">
        <v>79</v>
      </c>
      <c r="E3836" t="s">
        <v>163</v>
      </c>
      <c r="F3836" t="s">
        <v>164</v>
      </c>
      <c r="G3836">
        <v>2</v>
      </c>
      <c r="H3836" t="s">
        <v>438</v>
      </c>
      <c r="I3836" s="4">
        <f t="shared" si="531"/>
        <v>3</v>
      </c>
      <c r="J3836">
        <f t="shared" si="532"/>
        <v>6</v>
      </c>
      <c r="K3836">
        <v>60</v>
      </c>
      <c r="L3836">
        <v>20</v>
      </c>
      <c r="M3836" s="2">
        <v>3</v>
      </c>
      <c r="N3836">
        <v>3.17</v>
      </c>
      <c r="O3836">
        <v>0</v>
      </c>
      <c r="P3836">
        <v>1</v>
      </c>
      <c r="Q3836" t="s">
        <v>558</v>
      </c>
      <c r="R3836" s="8" t="s">
        <v>260</v>
      </c>
      <c r="S3836" t="str">
        <f t="shared" si="530"/>
        <v>PA</v>
      </c>
    </row>
    <row r="3837" spans="1:19" x14ac:dyDescent="0.3">
      <c r="A3837" t="s">
        <v>8</v>
      </c>
      <c r="B3837">
        <v>2016210022</v>
      </c>
      <c r="C3837" t="s">
        <v>79</v>
      </c>
      <c r="E3837" t="s">
        <v>193</v>
      </c>
      <c r="F3837" t="s">
        <v>194</v>
      </c>
      <c r="G3837">
        <v>4</v>
      </c>
      <c r="H3837" t="s">
        <v>438</v>
      </c>
      <c r="I3837" s="4">
        <f t="shared" si="531"/>
        <v>3</v>
      </c>
      <c r="J3837">
        <f t="shared" si="532"/>
        <v>12</v>
      </c>
      <c r="K3837">
        <v>30</v>
      </c>
      <c r="L3837">
        <v>10</v>
      </c>
      <c r="M3837" s="2">
        <v>3</v>
      </c>
      <c r="N3837">
        <v>3.17</v>
      </c>
      <c r="O3837">
        <v>0</v>
      </c>
      <c r="P3837">
        <v>11</v>
      </c>
      <c r="Q3837" t="s">
        <v>573</v>
      </c>
      <c r="R3837" t="s">
        <v>596</v>
      </c>
      <c r="S3837" t="str">
        <f t="shared" si="530"/>
        <v>PA</v>
      </c>
    </row>
    <row r="3838" spans="1:19" x14ac:dyDescent="0.3">
      <c r="A3838" t="s">
        <v>8</v>
      </c>
      <c r="B3838">
        <v>2016210022</v>
      </c>
      <c r="C3838" t="s">
        <v>79</v>
      </c>
      <c r="E3838" t="s">
        <v>250</v>
      </c>
      <c r="F3838" t="s">
        <v>429</v>
      </c>
      <c r="G3838">
        <v>2</v>
      </c>
      <c r="H3838" t="s">
        <v>438</v>
      </c>
      <c r="I3838" s="4">
        <f t="shared" si="531"/>
        <v>3</v>
      </c>
      <c r="J3838">
        <f t="shared" si="532"/>
        <v>6</v>
      </c>
      <c r="K3838">
        <v>42</v>
      </c>
      <c r="L3838">
        <v>14</v>
      </c>
      <c r="M3838" s="2">
        <v>3</v>
      </c>
      <c r="N3838">
        <v>3.17</v>
      </c>
      <c r="O3838">
        <v>0</v>
      </c>
      <c r="P3838">
        <v>8</v>
      </c>
      <c r="Q3838" t="s">
        <v>591</v>
      </c>
      <c r="R3838" s="8" t="s">
        <v>260</v>
      </c>
      <c r="S3838" t="str">
        <f t="shared" si="530"/>
        <v>PA</v>
      </c>
    </row>
    <row r="3839" spans="1:19" x14ac:dyDescent="0.3">
      <c r="A3839" t="s">
        <v>8</v>
      </c>
      <c r="B3839">
        <v>2016210022</v>
      </c>
      <c r="C3839" t="s">
        <v>79</v>
      </c>
      <c r="E3839" t="s">
        <v>279</v>
      </c>
      <c r="F3839" t="s">
        <v>280</v>
      </c>
      <c r="G3839">
        <v>2</v>
      </c>
      <c r="H3839" t="s">
        <v>438</v>
      </c>
      <c r="I3839" s="4">
        <f t="shared" si="531"/>
        <v>3</v>
      </c>
      <c r="J3839">
        <f t="shared" si="532"/>
        <v>6</v>
      </c>
      <c r="K3839">
        <v>46</v>
      </c>
      <c r="L3839">
        <v>18</v>
      </c>
      <c r="M3839" s="2">
        <v>2.56</v>
      </c>
      <c r="N3839">
        <v>3.17</v>
      </c>
      <c r="O3839">
        <v>0</v>
      </c>
      <c r="P3839">
        <v>2</v>
      </c>
      <c r="Q3839" t="s">
        <v>559</v>
      </c>
      <c r="R3839" s="8" t="s">
        <v>260</v>
      </c>
      <c r="S3839" t="str">
        <f t="shared" si="530"/>
        <v>PA</v>
      </c>
    </row>
    <row r="3840" spans="1:19" x14ac:dyDescent="0.3">
      <c r="A3840" t="s">
        <v>8</v>
      </c>
      <c r="B3840">
        <v>2016210022</v>
      </c>
      <c r="C3840" t="s">
        <v>79</v>
      </c>
      <c r="E3840" t="s">
        <v>219</v>
      </c>
      <c r="F3840" t="s">
        <v>220</v>
      </c>
      <c r="G3840">
        <v>2</v>
      </c>
      <c r="H3840" t="s">
        <v>438</v>
      </c>
      <c r="I3840" s="4">
        <f t="shared" si="531"/>
        <v>3</v>
      </c>
      <c r="J3840">
        <f t="shared" si="532"/>
        <v>6</v>
      </c>
      <c r="K3840">
        <v>54</v>
      </c>
      <c r="L3840">
        <v>18</v>
      </c>
      <c r="M3840" s="2">
        <v>3</v>
      </c>
      <c r="N3840">
        <v>3.17</v>
      </c>
      <c r="O3840">
        <v>0</v>
      </c>
      <c r="P3840">
        <v>9</v>
      </c>
      <c r="Q3840" t="s">
        <v>570</v>
      </c>
      <c r="R3840" s="8" t="s">
        <v>260</v>
      </c>
      <c r="S3840" t="str">
        <f t="shared" si="530"/>
        <v>PA</v>
      </c>
    </row>
    <row r="3841" spans="1:19" x14ac:dyDescent="0.3">
      <c r="A3841" t="s">
        <v>8</v>
      </c>
      <c r="B3841">
        <v>2016210022</v>
      </c>
      <c r="C3841" t="s">
        <v>79</v>
      </c>
      <c r="E3841" t="s">
        <v>117</v>
      </c>
      <c r="F3841" t="s">
        <v>118</v>
      </c>
      <c r="G3841">
        <v>2</v>
      </c>
      <c r="H3841" t="s">
        <v>438</v>
      </c>
      <c r="I3841" s="4">
        <f t="shared" si="531"/>
        <v>3</v>
      </c>
      <c r="J3841">
        <f t="shared" si="532"/>
        <v>6</v>
      </c>
      <c r="K3841">
        <v>46</v>
      </c>
      <c r="L3841">
        <v>18</v>
      </c>
      <c r="M3841" s="2">
        <v>2.56</v>
      </c>
      <c r="N3841">
        <v>3.17</v>
      </c>
      <c r="O3841">
        <v>0</v>
      </c>
      <c r="P3841">
        <v>2</v>
      </c>
      <c r="Q3841" t="s">
        <v>559</v>
      </c>
      <c r="R3841" s="8" t="s">
        <v>260</v>
      </c>
      <c r="S3841" t="str">
        <f t="shared" si="530"/>
        <v>PA</v>
      </c>
    </row>
    <row r="3842" spans="1:19" x14ac:dyDescent="0.3">
      <c r="A3842" t="s">
        <v>8</v>
      </c>
      <c r="B3842">
        <v>2016210022</v>
      </c>
      <c r="C3842" t="s">
        <v>79</v>
      </c>
      <c r="E3842" t="s">
        <v>188</v>
      </c>
      <c r="F3842" t="s">
        <v>189</v>
      </c>
      <c r="G3842">
        <v>4</v>
      </c>
      <c r="H3842" t="s">
        <v>438</v>
      </c>
      <c r="I3842" s="4">
        <f t="shared" si="531"/>
        <v>3</v>
      </c>
      <c r="J3842">
        <f t="shared" si="532"/>
        <v>12</v>
      </c>
      <c r="K3842">
        <v>38</v>
      </c>
      <c r="L3842">
        <v>12</v>
      </c>
      <c r="M3842" s="2">
        <v>3.17</v>
      </c>
      <c r="N3842">
        <v>3.17</v>
      </c>
      <c r="O3842">
        <v>0</v>
      </c>
      <c r="P3842">
        <v>5</v>
      </c>
      <c r="Q3842" t="s">
        <v>566</v>
      </c>
      <c r="R3842" s="8" t="s">
        <v>260</v>
      </c>
      <c r="S3842" t="str">
        <f t="shared" si="530"/>
        <v>PA</v>
      </c>
    </row>
    <row r="3843" spans="1:19" x14ac:dyDescent="0.3">
      <c r="A3843" t="s">
        <v>8</v>
      </c>
      <c r="B3843">
        <v>2016210022</v>
      </c>
      <c r="C3843" t="s">
        <v>79</v>
      </c>
      <c r="E3843" t="s">
        <v>10</v>
      </c>
      <c r="F3843" t="s">
        <v>11</v>
      </c>
      <c r="G3843">
        <v>2</v>
      </c>
      <c r="H3843" t="s">
        <v>438</v>
      </c>
      <c r="I3843" s="4">
        <f t="shared" si="531"/>
        <v>3</v>
      </c>
      <c r="J3843">
        <f t="shared" si="532"/>
        <v>6</v>
      </c>
      <c r="K3843">
        <v>54</v>
      </c>
      <c r="L3843">
        <v>18</v>
      </c>
      <c r="M3843" s="2">
        <v>3</v>
      </c>
      <c r="N3843">
        <v>3.17</v>
      </c>
      <c r="O3843">
        <v>0</v>
      </c>
      <c r="P3843">
        <v>9</v>
      </c>
      <c r="Q3843" t="s">
        <v>570</v>
      </c>
      <c r="R3843" s="8" t="s">
        <v>260</v>
      </c>
      <c r="S3843" t="str">
        <f t="shared" si="530"/>
        <v>PA</v>
      </c>
    </row>
    <row r="3844" spans="1:19" x14ac:dyDescent="0.3">
      <c r="A3844" t="s">
        <v>8</v>
      </c>
      <c r="B3844">
        <v>2016210022</v>
      </c>
      <c r="C3844" t="s">
        <v>79</v>
      </c>
      <c r="E3844" t="s">
        <v>352</v>
      </c>
      <c r="F3844" t="s">
        <v>353</v>
      </c>
      <c r="G3844">
        <v>2</v>
      </c>
      <c r="H3844" t="s">
        <v>438</v>
      </c>
      <c r="I3844" s="4">
        <f t="shared" si="531"/>
        <v>3</v>
      </c>
      <c r="J3844">
        <f t="shared" si="532"/>
        <v>6</v>
      </c>
      <c r="K3844">
        <v>38</v>
      </c>
      <c r="L3844">
        <v>12</v>
      </c>
      <c r="M3844" s="2">
        <v>3.17</v>
      </c>
      <c r="N3844">
        <v>3.17</v>
      </c>
      <c r="O3844">
        <v>0</v>
      </c>
      <c r="P3844">
        <v>5</v>
      </c>
      <c r="Q3844" t="s">
        <v>566</v>
      </c>
      <c r="R3844" s="8" t="s">
        <v>260</v>
      </c>
      <c r="S3844" t="str">
        <f t="shared" si="530"/>
        <v>PA</v>
      </c>
    </row>
    <row r="3845" spans="1:19" x14ac:dyDescent="0.3">
      <c r="A3845" t="s">
        <v>8</v>
      </c>
      <c r="B3845">
        <v>2016210022</v>
      </c>
      <c r="C3845" t="s">
        <v>79</v>
      </c>
      <c r="E3845" t="s">
        <v>216</v>
      </c>
      <c r="F3845" t="s">
        <v>217</v>
      </c>
      <c r="G3845">
        <v>2</v>
      </c>
      <c r="H3845" t="s">
        <v>438</v>
      </c>
      <c r="I3845" s="4">
        <f t="shared" si="531"/>
        <v>3</v>
      </c>
      <c r="J3845">
        <f t="shared" si="532"/>
        <v>6</v>
      </c>
      <c r="K3845">
        <v>56</v>
      </c>
      <c r="L3845">
        <v>20</v>
      </c>
      <c r="M3845" s="2">
        <v>2.8</v>
      </c>
      <c r="N3845">
        <v>3.17</v>
      </c>
      <c r="O3845">
        <v>0</v>
      </c>
      <c r="P3845">
        <v>10</v>
      </c>
      <c r="Q3845" t="s">
        <v>560</v>
      </c>
      <c r="R3845" s="8" t="s">
        <v>260</v>
      </c>
      <c r="S3845" t="str">
        <f t="shared" si="530"/>
        <v>PA</v>
      </c>
    </row>
    <row r="3846" spans="1:19" x14ac:dyDescent="0.3">
      <c r="A3846" t="s">
        <v>8</v>
      </c>
      <c r="B3846">
        <v>2016210022</v>
      </c>
      <c r="C3846" t="s">
        <v>79</v>
      </c>
      <c r="E3846" t="s">
        <v>391</v>
      </c>
      <c r="F3846" t="s">
        <v>392</v>
      </c>
      <c r="G3846">
        <v>2</v>
      </c>
      <c r="H3846" t="s">
        <v>438</v>
      </c>
      <c r="I3846" s="4">
        <f t="shared" si="531"/>
        <v>3</v>
      </c>
      <c r="J3846">
        <f t="shared" si="532"/>
        <v>6</v>
      </c>
      <c r="K3846">
        <v>38</v>
      </c>
      <c r="L3846">
        <v>12</v>
      </c>
      <c r="M3846" s="2">
        <v>3.17</v>
      </c>
      <c r="N3846">
        <v>3.17</v>
      </c>
      <c r="O3846">
        <v>0</v>
      </c>
      <c r="P3846">
        <v>5</v>
      </c>
      <c r="Q3846" t="s">
        <v>566</v>
      </c>
      <c r="R3846" s="8" t="s">
        <v>260</v>
      </c>
      <c r="S3846" t="str">
        <f t="shared" si="530"/>
        <v>PA</v>
      </c>
    </row>
    <row r="3847" spans="1:19" x14ac:dyDescent="0.3">
      <c r="A3847" t="s">
        <v>8</v>
      </c>
      <c r="B3847">
        <v>2016210022</v>
      </c>
      <c r="C3847" t="s">
        <v>79</v>
      </c>
      <c r="E3847" t="s">
        <v>93</v>
      </c>
      <c r="F3847" t="s">
        <v>94</v>
      </c>
      <c r="G3847">
        <v>4</v>
      </c>
      <c r="H3847" t="s">
        <v>438</v>
      </c>
      <c r="I3847" s="4">
        <f t="shared" si="531"/>
        <v>3</v>
      </c>
      <c r="J3847">
        <f t="shared" si="532"/>
        <v>12</v>
      </c>
      <c r="K3847">
        <v>54</v>
      </c>
      <c r="L3847">
        <v>22</v>
      </c>
      <c r="M3847" s="2">
        <v>2.4500000000000002</v>
      </c>
      <c r="N3847">
        <v>3.17</v>
      </c>
      <c r="O3847">
        <v>0</v>
      </c>
      <c r="P3847">
        <v>3</v>
      </c>
      <c r="Q3847" t="s">
        <v>563</v>
      </c>
      <c r="R3847" s="8" t="s">
        <v>260</v>
      </c>
      <c r="S3847" t="str">
        <f t="shared" si="530"/>
        <v>PA</v>
      </c>
    </row>
    <row r="3848" spans="1:19" x14ac:dyDescent="0.3">
      <c r="A3848" t="s">
        <v>8</v>
      </c>
      <c r="B3848">
        <v>2016210022</v>
      </c>
      <c r="C3848" t="s">
        <v>79</v>
      </c>
      <c r="E3848" t="s">
        <v>232</v>
      </c>
      <c r="F3848" t="s">
        <v>245</v>
      </c>
      <c r="G3848">
        <v>2</v>
      </c>
      <c r="H3848" t="s">
        <v>524</v>
      </c>
      <c r="I3848" s="4">
        <f t="shared" si="531"/>
        <v>2</v>
      </c>
      <c r="J3848">
        <f t="shared" si="532"/>
        <v>4</v>
      </c>
      <c r="K3848">
        <v>56</v>
      </c>
      <c r="L3848">
        <v>20</v>
      </c>
      <c r="M3848" s="2">
        <v>2.8</v>
      </c>
      <c r="N3848">
        <v>3.17</v>
      </c>
      <c r="O3848">
        <v>0</v>
      </c>
      <c r="P3848">
        <v>10</v>
      </c>
      <c r="Q3848" t="s">
        <v>560</v>
      </c>
      <c r="R3848" s="8" t="s">
        <v>260</v>
      </c>
      <c r="S3848" t="str">
        <f t="shared" si="530"/>
        <v>PA</v>
      </c>
    </row>
    <row r="3849" spans="1:19" x14ac:dyDescent="0.3">
      <c r="A3849" t="s">
        <v>8</v>
      </c>
      <c r="B3849">
        <v>2016210022</v>
      </c>
      <c r="C3849" t="s">
        <v>79</v>
      </c>
      <c r="E3849" t="s">
        <v>246</v>
      </c>
      <c r="F3849" t="s">
        <v>247</v>
      </c>
      <c r="G3849">
        <v>4</v>
      </c>
      <c r="H3849" t="s">
        <v>524</v>
      </c>
      <c r="I3849" s="4">
        <f t="shared" si="531"/>
        <v>2</v>
      </c>
      <c r="J3849">
        <f t="shared" si="532"/>
        <v>8</v>
      </c>
      <c r="K3849">
        <v>24</v>
      </c>
      <c r="L3849">
        <v>16</v>
      </c>
      <c r="M3849" s="2">
        <v>1.5</v>
      </c>
      <c r="N3849">
        <v>3.17</v>
      </c>
      <c r="O3849">
        <v>0</v>
      </c>
      <c r="P3849">
        <v>4</v>
      </c>
      <c r="Q3849" t="s">
        <v>565</v>
      </c>
      <c r="R3849" s="8" t="s">
        <v>260</v>
      </c>
      <c r="S3849" t="str">
        <f t="shared" si="530"/>
        <v>PA</v>
      </c>
    </row>
    <row r="3850" spans="1:19" x14ac:dyDescent="0.3">
      <c r="A3850" t="s">
        <v>8</v>
      </c>
      <c r="B3850">
        <v>2016210022</v>
      </c>
      <c r="C3850" t="s">
        <v>79</v>
      </c>
      <c r="E3850" t="s">
        <v>176</v>
      </c>
      <c r="F3850" t="s">
        <v>177</v>
      </c>
      <c r="G3850">
        <v>4</v>
      </c>
      <c r="H3850" t="s">
        <v>438</v>
      </c>
      <c r="I3850" s="4">
        <f t="shared" si="531"/>
        <v>3</v>
      </c>
      <c r="J3850">
        <f t="shared" si="532"/>
        <v>12</v>
      </c>
      <c r="K3850">
        <v>54</v>
      </c>
      <c r="L3850">
        <v>18</v>
      </c>
      <c r="M3850" s="2">
        <v>3</v>
      </c>
      <c r="N3850">
        <v>3.17</v>
      </c>
      <c r="O3850">
        <v>1</v>
      </c>
      <c r="P3850">
        <v>9</v>
      </c>
      <c r="Q3850" t="s">
        <v>570</v>
      </c>
      <c r="R3850" s="8" t="s">
        <v>260</v>
      </c>
      <c r="S3850" t="str">
        <f t="shared" si="530"/>
        <v>PA</v>
      </c>
    </row>
    <row r="3851" spans="1:19" x14ac:dyDescent="0.3">
      <c r="A3851" t="s">
        <v>8</v>
      </c>
      <c r="B3851">
        <v>2016210022</v>
      </c>
      <c r="C3851" t="s">
        <v>79</v>
      </c>
      <c r="E3851" t="s">
        <v>176</v>
      </c>
      <c r="F3851" t="s">
        <v>177</v>
      </c>
      <c r="G3851">
        <v>4</v>
      </c>
      <c r="H3851" t="s">
        <v>524</v>
      </c>
      <c r="I3851" s="4">
        <f t="shared" si="531"/>
        <v>2</v>
      </c>
      <c r="J3851">
        <f t="shared" si="532"/>
        <v>8</v>
      </c>
      <c r="K3851">
        <v>30</v>
      </c>
      <c r="L3851">
        <v>12</v>
      </c>
      <c r="M3851" s="2">
        <v>2.5</v>
      </c>
      <c r="N3851">
        <v>3.17</v>
      </c>
      <c r="O3851">
        <v>0</v>
      </c>
      <c r="P3851">
        <v>7</v>
      </c>
      <c r="Q3851" t="s">
        <v>568</v>
      </c>
      <c r="R3851" s="8" t="s">
        <v>260</v>
      </c>
      <c r="S3851" t="str">
        <f t="shared" si="530"/>
        <v>PA</v>
      </c>
    </row>
    <row r="3852" spans="1:19" x14ac:dyDescent="0.3">
      <c r="A3852" t="s">
        <v>8</v>
      </c>
      <c r="B3852">
        <v>2016210022</v>
      </c>
      <c r="C3852" t="s">
        <v>79</v>
      </c>
      <c r="E3852" t="s">
        <v>44</v>
      </c>
      <c r="F3852" t="s">
        <v>45</v>
      </c>
      <c r="G3852">
        <v>2</v>
      </c>
      <c r="H3852" t="s">
        <v>524</v>
      </c>
      <c r="I3852" s="4">
        <f t="shared" si="531"/>
        <v>2</v>
      </c>
      <c r="J3852">
        <f t="shared" si="532"/>
        <v>4</v>
      </c>
      <c r="K3852">
        <v>46</v>
      </c>
      <c r="L3852">
        <v>18</v>
      </c>
      <c r="M3852" s="2">
        <v>2.56</v>
      </c>
      <c r="N3852">
        <v>3.17</v>
      </c>
      <c r="O3852">
        <v>0</v>
      </c>
      <c r="P3852">
        <v>2</v>
      </c>
      <c r="Q3852" t="s">
        <v>559</v>
      </c>
      <c r="R3852" s="8" t="s">
        <v>260</v>
      </c>
      <c r="S3852" t="str">
        <f t="shared" si="530"/>
        <v>PA</v>
      </c>
    </row>
    <row r="3853" spans="1:19" x14ac:dyDescent="0.3">
      <c r="A3853" t="s">
        <v>8</v>
      </c>
      <c r="B3853">
        <v>2016210022</v>
      </c>
      <c r="C3853" t="s">
        <v>79</v>
      </c>
      <c r="E3853" t="s">
        <v>253</v>
      </c>
      <c r="F3853" t="s">
        <v>254</v>
      </c>
      <c r="G3853">
        <v>2</v>
      </c>
      <c r="H3853" t="s">
        <v>524</v>
      </c>
      <c r="I3853" s="4">
        <f t="shared" si="531"/>
        <v>2</v>
      </c>
      <c r="J3853">
        <f t="shared" si="532"/>
        <v>4</v>
      </c>
      <c r="K3853">
        <v>24</v>
      </c>
      <c r="L3853">
        <v>16</v>
      </c>
      <c r="M3853" s="2">
        <v>1.5</v>
      </c>
      <c r="N3853">
        <v>3.17</v>
      </c>
      <c r="O3853">
        <v>0</v>
      </c>
      <c r="P3853">
        <v>4</v>
      </c>
      <c r="Q3853" t="s">
        <v>565</v>
      </c>
      <c r="R3853" s="8" t="s">
        <v>260</v>
      </c>
      <c r="S3853" t="str">
        <f t="shared" si="530"/>
        <v>PA</v>
      </c>
    </row>
    <row r="3854" spans="1:19" x14ac:dyDescent="0.3">
      <c r="A3854" t="s">
        <v>8</v>
      </c>
      <c r="B3854">
        <v>2016210022</v>
      </c>
      <c r="C3854" t="s">
        <v>79</v>
      </c>
      <c r="E3854" t="s">
        <v>107</v>
      </c>
      <c r="F3854" t="s">
        <v>108</v>
      </c>
      <c r="G3854">
        <v>2</v>
      </c>
      <c r="H3854" t="s">
        <v>524</v>
      </c>
      <c r="I3854" s="4">
        <f t="shared" si="531"/>
        <v>2</v>
      </c>
      <c r="J3854">
        <f t="shared" si="532"/>
        <v>4</v>
      </c>
      <c r="K3854">
        <v>56</v>
      </c>
      <c r="L3854">
        <v>20</v>
      </c>
      <c r="M3854" s="2">
        <v>2.8</v>
      </c>
      <c r="N3854">
        <v>3.17</v>
      </c>
      <c r="O3854">
        <v>0</v>
      </c>
      <c r="P3854">
        <v>10</v>
      </c>
      <c r="Q3854" t="s">
        <v>560</v>
      </c>
      <c r="R3854" s="8" t="s">
        <v>260</v>
      </c>
      <c r="S3854" t="str">
        <f t="shared" si="530"/>
        <v>PA</v>
      </c>
    </row>
    <row r="3855" spans="1:19" x14ac:dyDescent="0.3">
      <c r="A3855" t="s">
        <v>8</v>
      </c>
      <c r="B3855">
        <v>2016210022</v>
      </c>
      <c r="C3855" t="s">
        <v>79</v>
      </c>
      <c r="E3855" t="s">
        <v>44</v>
      </c>
      <c r="F3855" t="s">
        <v>45</v>
      </c>
      <c r="G3855">
        <v>2</v>
      </c>
      <c r="H3855" t="s">
        <v>438</v>
      </c>
      <c r="I3855" s="4">
        <f t="shared" si="531"/>
        <v>3</v>
      </c>
      <c r="J3855">
        <f t="shared" si="532"/>
        <v>6</v>
      </c>
      <c r="K3855">
        <v>82</v>
      </c>
      <c r="L3855">
        <v>24</v>
      </c>
      <c r="M3855" s="2">
        <v>3.42</v>
      </c>
      <c r="N3855">
        <v>3.17</v>
      </c>
      <c r="O3855">
        <v>1</v>
      </c>
      <c r="P3855">
        <v>10</v>
      </c>
      <c r="Q3855" t="s">
        <v>578</v>
      </c>
      <c r="R3855" s="8" t="s">
        <v>260</v>
      </c>
      <c r="S3855" t="str">
        <f t="shared" si="530"/>
        <v>PA</v>
      </c>
    </row>
    <row r="3856" spans="1:19" x14ac:dyDescent="0.3">
      <c r="A3856" t="s">
        <v>8</v>
      </c>
      <c r="B3856">
        <v>2016210022</v>
      </c>
      <c r="C3856" t="s">
        <v>79</v>
      </c>
      <c r="E3856" t="s">
        <v>253</v>
      </c>
      <c r="F3856" t="s">
        <v>254</v>
      </c>
      <c r="G3856">
        <v>2</v>
      </c>
      <c r="H3856" t="s">
        <v>438</v>
      </c>
      <c r="I3856" s="4">
        <f t="shared" si="531"/>
        <v>3</v>
      </c>
      <c r="J3856">
        <f t="shared" si="532"/>
        <v>6</v>
      </c>
      <c r="K3856">
        <v>82</v>
      </c>
      <c r="L3856">
        <v>24</v>
      </c>
      <c r="M3856" s="2">
        <v>3.42</v>
      </c>
      <c r="N3856">
        <v>3.17</v>
      </c>
      <c r="O3856">
        <v>1</v>
      </c>
      <c r="P3856">
        <v>10</v>
      </c>
      <c r="Q3856" t="s">
        <v>578</v>
      </c>
      <c r="R3856" s="8" t="s">
        <v>260</v>
      </c>
      <c r="S3856" t="str">
        <f t="shared" si="530"/>
        <v>PA</v>
      </c>
    </row>
    <row r="3857" spans="1:19" x14ac:dyDescent="0.3">
      <c r="A3857" t="s">
        <v>8</v>
      </c>
      <c r="B3857">
        <v>2016210022</v>
      </c>
      <c r="C3857" t="s">
        <v>79</v>
      </c>
      <c r="E3857" t="s">
        <v>107</v>
      </c>
      <c r="F3857" t="s">
        <v>108</v>
      </c>
      <c r="G3857">
        <v>2</v>
      </c>
      <c r="H3857" t="s">
        <v>260</v>
      </c>
      <c r="I3857" s="4">
        <f t="shared" si="531"/>
        <v>4</v>
      </c>
      <c r="J3857">
        <f t="shared" si="532"/>
        <v>8</v>
      </c>
      <c r="K3857">
        <v>82</v>
      </c>
      <c r="L3857">
        <v>24</v>
      </c>
      <c r="M3857" s="2">
        <v>3.42</v>
      </c>
      <c r="N3857">
        <v>3.17</v>
      </c>
      <c r="O3857">
        <v>1</v>
      </c>
      <c r="P3857">
        <v>10</v>
      </c>
      <c r="Q3857" t="s">
        <v>578</v>
      </c>
      <c r="R3857" s="8" t="s">
        <v>260</v>
      </c>
      <c r="S3857" t="str">
        <f t="shared" si="530"/>
        <v>PA</v>
      </c>
    </row>
    <row r="3858" spans="1:19" x14ac:dyDescent="0.3">
      <c r="A3858" t="s">
        <v>8</v>
      </c>
      <c r="B3858">
        <v>2016210022</v>
      </c>
      <c r="C3858" t="s">
        <v>79</v>
      </c>
      <c r="E3858" t="s">
        <v>318</v>
      </c>
      <c r="F3858" t="s">
        <v>319</v>
      </c>
      <c r="G3858">
        <v>2</v>
      </c>
      <c r="H3858" t="s">
        <v>535</v>
      </c>
      <c r="I3858" s="4">
        <f t="shared" si="531"/>
        <v>1</v>
      </c>
      <c r="J3858">
        <f t="shared" si="532"/>
        <v>2</v>
      </c>
      <c r="K3858">
        <v>54</v>
      </c>
      <c r="L3858">
        <v>18</v>
      </c>
      <c r="M3858" s="2">
        <v>3</v>
      </c>
      <c r="N3858">
        <v>3.17</v>
      </c>
      <c r="O3858">
        <v>1</v>
      </c>
      <c r="P3858">
        <v>9</v>
      </c>
      <c r="Q3858" t="s">
        <v>570</v>
      </c>
      <c r="R3858" s="8" t="s">
        <v>260</v>
      </c>
      <c r="S3858" t="str">
        <f t="shared" si="530"/>
        <v>FA</v>
      </c>
    </row>
    <row r="3859" spans="1:19" x14ac:dyDescent="0.3">
      <c r="A3859" t="s">
        <v>8</v>
      </c>
      <c r="B3859">
        <v>2016210022</v>
      </c>
      <c r="C3859" t="s">
        <v>79</v>
      </c>
      <c r="E3859" t="s">
        <v>318</v>
      </c>
      <c r="F3859" t="s">
        <v>319</v>
      </c>
      <c r="G3859">
        <v>2</v>
      </c>
      <c r="H3859" t="s">
        <v>524</v>
      </c>
      <c r="I3859" s="4">
        <f t="shared" si="531"/>
        <v>2</v>
      </c>
      <c r="J3859">
        <f t="shared" si="532"/>
        <v>4</v>
      </c>
      <c r="K3859">
        <v>30</v>
      </c>
      <c r="L3859">
        <v>12</v>
      </c>
      <c r="M3859" s="2">
        <v>2.5</v>
      </c>
      <c r="N3859">
        <v>3.17</v>
      </c>
      <c r="O3859">
        <v>0</v>
      </c>
      <c r="P3859">
        <v>7</v>
      </c>
      <c r="Q3859" t="s">
        <v>568</v>
      </c>
      <c r="R3859" s="8" t="s">
        <v>260</v>
      </c>
      <c r="S3859" t="str">
        <f t="shared" si="530"/>
        <v>PA</v>
      </c>
    </row>
    <row r="3860" spans="1:19" x14ac:dyDescent="0.3">
      <c r="A3860" t="s">
        <v>8</v>
      </c>
      <c r="B3860">
        <v>2016210022</v>
      </c>
      <c r="C3860" t="s">
        <v>79</v>
      </c>
      <c r="E3860" t="s">
        <v>110</v>
      </c>
      <c r="F3860" t="s">
        <v>111</v>
      </c>
      <c r="G3860">
        <v>4</v>
      </c>
      <c r="H3860" t="s">
        <v>260</v>
      </c>
      <c r="I3860" s="4">
        <f t="shared" si="531"/>
        <v>4</v>
      </c>
      <c r="J3860">
        <f t="shared" si="532"/>
        <v>16</v>
      </c>
      <c r="K3860">
        <v>54</v>
      </c>
      <c r="L3860">
        <v>18</v>
      </c>
      <c r="M3860" s="2">
        <v>3</v>
      </c>
      <c r="N3860">
        <v>3.17</v>
      </c>
      <c r="O3860">
        <v>1</v>
      </c>
      <c r="P3860">
        <v>9</v>
      </c>
      <c r="Q3860" t="s">
        <v>570</v>
      </c>
      <c r="R3860" s="8" t="s">
        <v>260</v>
      </c>
      <c r="S3860" t="str">
        <f t="shared" si="530"/>
        <v>PA</v>
      </c>
    </row>
    <row r="3861" spans="1:19" x14ac:dyDescent="0.3">
      <c r="A3861" t="s">
        <v>8</v>
      </c>
      <c r="B3861">
        <v>2016210022</v>
      </c>
      <c r="C3861" t="s">
        <v>79</v>
      </c>
      <c r="E3861" t="s">
        <v>110</v>
      </c>
      <c r="F3861" t="s">
        <v>111</v>
      </c>
      <c r="G3861">
        <v>4</v>
      </c>
      <c r="H3861" t="s">
        <v>524</v>
      </c>
      <c r="I3861" s="4">
        <f t="shared" si="531"/>
        <v>2</v>
      </c>
      <c r="J3861">
        <f t="shared" si="532"/>
        <v>8</v>
      </c>
      <c r="K3861">
        <v>60</v>
      </c>
      <c r="L3861">
        <v>20</v>
      </c>
      <c r="M3861" s="2">
        <v>3</v>
      </c>
      <c r="N3861">
        <v>3.17</v>
      </c>
      <c r="O3861">
        <v>0</v>
      </c>
      <c r="P3861">
        <v>1</v>
      </c>
      <c r="Q3861" t="s">
        <v>558</v>
      </c>
      <c r="R3861" s="8" t="s">
        <v>260</v>
      </c>
      <c r="S3861" t="str">
        <f t="shared" si="530"/>
        <v>PA</v>
      </c>
    </row>
    <row r="3862" spans="1:19" x14ac:dyDescent="0.3">
      <c r="A3862" t="s">
        <v>8</v>
      </c>
      <c r="B3862">
        <v>2016210022</v>
      </c>
      <c r="C3862" t="s">
        <v>79</v>
      </c>
      <c r="E3862" t="s">
        <v>401</v>
      </c>
      <c r="F3862" t="s">
        <v>258</v>
      </c>
      <c r="G3862">
        <v>4</v>
      </c>
      <c r="H3862" t="s">
        <v>535</v>
      </c>
      <c r="I3862" s="4">
        <f t="shared" si="531"/>
        <v>1</v>
      </c>
      <c r="J3862">
        <f t="shared" si="532"/>
        <v>4</v>
      </c>
      <c r="K3862">
        <v>54</v>
      </c>
      <c r="L3862">
        <v>22</v>
      </c>
      <c r="M3862" s="2">
        <v>2.4500000000000002</v>
      </c>
      <c r="N3862">
        <v>3.17</v>
      </c>
      <c r="O3862">
        <v>0</v>
      </c>
      <c r="P3862">
        <v>3</v>
      </c>
      <c r="Q3862" t="s">
        <v>563</v>
      </c>
      <c r="R3862" s="8" t="s">
        <v>260</v>
      </c>
      <c r="S3862" t="str">
        <f t="shared" si="530"/>
        <v>FA</v>
      </c>
    </row>
    <row r="3863" spans="1:19" x14ac:dyDescent="0.3">
      <c r="A3863" t="s">
        <v>8</v>
      </c>
      <c r="B3863">
        <v>2016210022</v>
      </c>
      <c r="C3863" t="s">
        <v>79</v>
      </c>
      <c r="E3863" t="s">
        <v>401</v>
      </c>
      <c r="F3863" t="s">
        <v>258</v>
      </c>
      <c r="G3863">
        <v>4</v>
      </c>
      <c r="H3863" t="s">
        <v>260</v>
      </c>
      <c r="I3863" s="4">
        <f t="shared" si="531"/>
        <v>4</v>
      </c>
      <c r="J3863">
        <f t="shared" si="532"/>
        <v>16</v>
      </c>
      <c r="K3863">
        <v>82</v>
      </c>
      <c r="L3863">
        <v>24</v>
      </c>
      <c r="M3863" s="2">
        <v>3.42</v>
      </c>
      <c r="N3863">
        <v>3.17</v>
      </c>
      <c r="O3863">
        <v>1</v>
      </c>
      <c r="P3863">
        <v>10</v>
      </c>
      <c r="Q3863" t="s">
        <v>578</v>
      </c>
      <c r="R3863" s="8" t="s">
        <v>260</v>
      </c>
      <c r="S3863" t="str">
        <f t="shared" si="530"/>
        <v>PA</v>
      </c>
    </row>
    <row r="3864" spans="1:19" x14ac:dyDescent="0.3">
      <c r="A3864" t="s">
        <v>8</v>
      </c>
      <c r="B3864">
        <v>2016210022</v>
      </c>
      <c r="C3864" t="s">
        <v>79</v>
      </c>
      <c r="E3864" t="s">
        <v>449</v>
      </c>
      <c r="F3864" t="s">
        <v>460</v>
      </c>
      <c r="G3864">
        <v>4</v>
      </c>
      <c r="H3864" t="s">
        <v>438</v>
      </c>
      <c r="I3864" s="4">
        <f t="shared" si="531"/>
        <v>3</v>
      </c>
      <c r="J3864">
        <f t="shared" si="532"/>
        <v>12</v>
      </c>
      <c r="K3864">
        <v>42</v>
      </c>
      <c r="L3864">
        <v>14</v>
      </c>
      <c r="M3864" s="2">
        <v>3</v>
      </c>
      <c r="N3864">
        <v>3.17</v>
      </c>
      <c r="O3864">
        <v>1</v>
      </c>
      <c r="P3864">
        <v>8</v>
      </c>
      <c r="Q3864" t="s">
        <v>591</v>
      </c>
      <c r="R3864" s="8" t="s">
        <v>260</v>
      </c>
      <c r="S3864" t="str">
        <f t="shared" si="530"/>
        <v>PA</v>
      </c>
    </row>
    <row r="3865" spans="1:19" x14ac:dyDescent="0.3">
      <c r="A3865" t="s">
        <v>8</v>
      </c>
      <c r="B3865">
        <v>2016210022</v>
      </c>
      <c r="C3865" t="s">
        <v>79</v>
      </c>
      <c r="E3865" t="s">
        <v>449</v>
      </c>
      <c r="F3865" t="s">
        <v>460</v>
      </c>
      <c r="G3865">
        <v>4</v>
      </c>
      <c r="H3865" t="s">
        <v>535</v>
      </c>
      <c r="I3865" s="4">
        <f t="shared" si="531"/>
        <v>1</v>
      </c>
      <c r="J3865">
        <f t="shared" si="532"/>
        <v>4</v>
      </c>
      <c r="K3865">
        <v>24</v>
      </c>
      <c r="L3865">
        <v>16</v>
      </c>
      <c r="M3865" s="2">
        <v>1.5</v>
      </c>
      <c r="N3865">
        <v>3.17</v>
      </c>
      <c r="O3865">
        <v>0</v>
      </c>
      <c r="P3865">
        <v>4</v>
      </c>
      <c r="Q3865" t="s">
        <v>565</v>
      </c>
      <c r="R3865" s="8" t="s">
        <v>260</v>
      </c>
      <c r="S3865" t="str">
        <f t="shared" si="530"/>
        <v>FA</v>
      </c>
    </row>
    <row r="3866" spans="1:19" x14ac:dyDescent="0.3">
      <c r="A3866" t="s">
        <v>8</v>
      </c>
      <c r="B3866">
        <v>2016210022</v>
      </c>
      <c r="C3866" t="s">
        <v>79</v>
      </c>
      <c r="E3866" t="s">
        <v>125</v>
      </c>
      <c r="F3866" t="s">
        <v>126</v>
      </c>
      <c r="G3866">
        <v>4</v>
      </c>
      <c r="H3866" t="s">
        <v>535</v>
      </c>
      <c r="I3866" s="4">
        <f t="shared" si="531"/>
        <v>1</v>
      </c>
      <c r="J3866">
        <f t="shared" si="532"/>
        <v>4</v>
      </c>
      <c r="K3866">
        <v>46</v>
      </c>
      <c r="L3866">
        <v>18</v>
      </c>
      <c r="M3866" s="2">
        <v>2.56</v>
      </c>
      <c r="N3866">
        <v>3.17</v>
      </c>
      <c r="O3866">
        <v>0</v>
      </c>
      <c r="P3866">
        <v>2</v>
      </c>
      <c r="Q3866" t="s">
        <v>559</v>
      </c>
      <c r="R3866" s="8" t="s">
        <v>260</v>
      </c>
      <c r="S3866" t="str">
        <f t="shared" si="530"/>
        <v>FA</v>
      </c>
    </row>
    <row r="3867" spans="1:19" x14ac:dyDescent="0.3">
      <c r="A3867" t="s">
        <v>8</v>
      </c>
      <c r="B3867">
        <v>2016210022</v>
      </c>
      <c r="C3867" t="s">
        <v>79</v>
      </c>
      <c r="E3867" t="s">
        <v>182</v>
      </c>
      <c r="F3867" t="s">
        <v>171</v>
      </c>
      <c r="G3867">
        <v>2</v>
      </c>
      <c r="H3867" t="s">
        <v>535</v>
      </c>
      <c r="I3867" s="4">
        <f t="shared" si="531"/>
        <v>1</v>
      </c>
      <c r="J3867">
        <f t="shared" si="532"/>
        <v>2</v>
      </c>
      <c r="K3867">
        <v>54</v>
      </c>
      <c r="L3867">
        <v>22</v>
      </c>
      <c r="M3867" s="2">
        <v>2.4500000000000002</v>
      </c>
      <c r="N3867">
        <v>3.17</v>
      </c>
      <c r="O3867">
        <v>0</v>
      </c>
      <c r="P3867">
        <v>3</v>
      </c>
      <c r="Q3867" t="s">
        <v>563</v>
      </c>
      <c r="R3867" s="8" t="s">
        <v>260</v>
      </c>
      <c r="S3867" t="str">
        <f t="shared" si="530"/>
        <v>FA</v>
      </c>
    </row>
    <row r="3868" spans="1:19" x14ac:dyDescent="0.3">
      <c r="A3868" t="s">
        <v>8</v>
      </c>
      <c r="B3868">
        <v>2016210022</v>
      </c>
      <c r="C3868" t="s">
        <v>79</v>
      </c>
      <c r="E3868" t="s">
        <v>125</v>
      </c>
      <c r="F3868" t="s">
        <v>126</v>
      </c>
      <c r="G3868">
        <v>4</v>
      </c>
      <c r="H3868" t="s">
        <v>438</v>
      </c>
      <c r="I3868" s="4">
        <f t="shared" si="531"/>
        <v>3</v>
      </c>
      <c r="J3868">
        <f t="shared" si="532"/>
        <v>12</v>
      </c>
      <c r="K3868">
        <v>82</v>
      </c>
      <c r="L3868">
        <v>24</v>
      </c>
      <c r="M3868" s="2">
        <v>3.42</v>
      </c>
      <c r="N3868">
        <v>3.17</v>
      </c>
      <c r="O3868">
        <v>1</v>
      </c>
      <c r="P3868">
        <v>10</v>
      </c>
      <c r="Q3868" t="s">
        <v>578</v>
      </c>
      <c r="R3868" s="8" t="s">
        <v>260</v>
      </c>
      <c r="S3868" t="str">
        <f t="shared" si="530"/>
        <v>PA</v>
      </c>
    </row>
    <row r="3869" spans="1:19" x14ac:dyDescent="0.3">
      <c r="A3869" t="s">
        <v>8</v>
      </c>
      <c r="B3869">
        <v>2016210022</v>
      </c>
      <c r="C3869" t="s">
        <v>79</v>
      </c>
      <c r="E3869" t="s">
        <v>182</v>
      </c>
      <c r="F3869" t="s">
        <v>171</v>
      </c>
      <c r="G3869">
        <v>2</v>
      </c>
      <c r="H3869" t="s">
        <v>438</v>
      </c>
      <c r="I3869" s="4">
        <f t="shared" si="531"/>
        <v>3</v>
      </c>
      <c r="J3869">
        <f t="shared" si="532"/>
        <v>6</v>
      </c>
      <c r="K3869">
        <v>82</v>
      </c>
      <c r="L3869">
        <v>24</v>
      </c>
      <c r="M3869" s="2">
        <v>3.42</v>
      </c>
      <c r="N3869">
        <v>3.17</v>
      </c>
      <c r="O3869">
        <v>1</v>
      </c>
      <c r="P3869">
        <v>10</v>
      </c>
      <c r="Q3869" t="s">
        <v>578</v>
      </c>
      <c r="R3869" s="8" t="s">
        <v>260</v>
      </c>
      <c r="S3869" t="str">
        <f t="shared" si="530"/>
        <v>PA</v>
      </c>
    </row>
    <row r="3870" spans="1:19" x14ac:dyDescent="0.3">
      <c r="A3870" t="s">
        <v>8</v>
      </c>
      <c r="B3870">
        <v>2016210022</v>
      </c>
      <c r="C3870" t="s">
        <v>79</v>
      </c>
      <c r="E3870" t="s">
        <v>180</v>
      </c>
      <c r="F3870" t="s">
        <v>181</v>
      </c>
      <c r="G3870">
        <v>4</v>
      </c>
      <c r="H3870" t="s">
        <v>539</v>
      </c>
      <c r="I3870" s="4">
        <f t="shared" si="531"/>
        <v>0</v>
      </c>
      <c r="J3870">
        <f t="shared" si="532"/>
        <v>0</v>
      </c>
      <c r="K3870">
        <v>24</v>
      </c>
      <c r="L3870">
        <v>16</v>
      </c>
      <c r="M3870" s="2">
        <v>1.5</v>
      </c>
      <c r="N3870">
        <v>3.17</v>
      </c>
      <c r="O3870">
        <v>0</v>
      </c>
      <c r="P3870">
        <v>4</v>
      </c>
      <c r="Q3870" s="4" t="str">
        <f>IF(P3870=1,"2016/2017-Ganjil",IF(P3870=2,"2016/2017-Genap",IF(P3870=3,"2017/2018-Ganjil",IF(P3870=4,"2017/2018-Genap",IF(P3870=5,"2018/2019-Ganjil",IF(P3870=6,"2018/2019-Genap",IF(P3870=7,"2019/2020-Ganjil",IF(P3870=8,"2019/2020-Genap",IF(P3870=9,"2020/2021-Ganjil",IF(P3870=10,"2020/2021-Genap",IF(P3870=11,"2021/2022-Ganjil",IF(P3870=12,"2021/2022-Genap",IF(P3870=13,"2022/2023-Ganjil","2022/2023-Genap")))))))))))))</f>
        <v>2017/2018-Genap</v>
      </c>
      <c r="R3870" s="8" t="s">
        <v>260</v>
      </c>
      <c r="S3870" t="str">
        <f t="shared" si="530"/>
        <v>FA</v>
      </c>
    </row>
    <row r="3871" spans="1:19" x14ac:dyDescent="0.3">
      <c r="A3871" t="s">
        <v>8</v>
      </c>
      <c r="B3871">
        <v>2016210022</v>
      </c>
      <c r="C3871" t="s">
        <v>79</v>
      </c>
      <c r="E3871" t="s">
        <v>180</v>
      </c>
      <c r="F3871" t="s">
        <v>181</v>
      </c>
      <c r="G3871">
        <v>4</v>
      </c>
      <c r="I3871" s="4"/>
      <c r="J3871">
        <f t="shared" ref="J3871" si="533">G3871*I3871</f>
        <v>0</v>
      </c>
      <c r="K3871">
        <v>8</v>
      </c>
      <c r="L3871">
        <v>2</v>
      </c>
      <c r="M3871" s="2">
        <v>4</v>
      </c>
      <c r="N3871">
        <v>3.17</v>
      </c>
      <c r="O3871">
        <v>1</v>
      </c>
      <c r="P3871">
        <v>6</v>
      </c>
      <c r="Q3871" s="4" t="str">
        <f>IF(P3871=1,"2016/2017-Ganjil",IF(P3871=2,"2016/2017-Genap",IF(P3871=3,"2017/2018-Ganjil",IF(P3871=4,"2017/2018-Genap",IF(P3871=5,"2018/2019-Ganjil",IF(P3871=6,"2018/2019-Genap",IF(P3871=7,"2019/2020-Ganjil",IF(P3871=8,"2019/2020-Genap",IF(P3871=9,"2020/2021-Ganjil",IF(P3871=10,"2020/2021-Genap",IF(P3871=11,"2021/2022-Ganjil",IF(P3871=12,"2021/2022-Genap",IF(P3871=13,"2022/2023-Ganjil","2022/2023-Genap")))))))))))))</f>
        <v>2018/2019-Genap</v>
      </c>
      <c r="R3871" s="8" t="s">
        <v>260</v>
      </c>
      <c r="S3871" t="s">
        <v>595</v>
      </c>
    </row>
    <row r="3872" spans="1:19" x14ac:dyDescent="0.3">
      <c r="A3872" t="s">
        <v>8</v>
      </c>
      <c r="B3872">
        <v>2016210022</v>
      </c>
      <c r="C3872" t="s">
        <v>79</v>
      </c>
      <c r="E3872" t="s">
        <v>180</v>
      </c>
      <c r="F3872" t="s">
        <v>181</v>
      </c>
      <c r="G3872">
        <v>4</v>
      </c>
      <c r="H3872" t="s">
        <v>438</v>
      </c>
      <c r="I3872" s="4">
        <f t="shared" si="529"/>
        <v>3</v>
      </c>
      <c r="J3872">
        <f t="shared" si="525"/>
        <v>12</v>
      </c>
      <c r="K3872">
        <v>82</v>
      </c>
      <c r="L3872">
        <v>24</v>
      </c>
      <c r="M3872" s="2">
        <v>3.42</v>
      </c>
      <c r="N3872">
        <v>3.17</v>
      </c>
      <c r="O3872">
        <v>2</v>
      </c>
      <c r="P3872">
        <v>10</v>
      </c>
      <c r="Q3872" t="s">
        <v>578</v>
      </c>
      <c r="R3872" s="8" t="s">
        <v>260</v>
      </c>
      <c r="S3872" t="str">
        <f>IF(OR(H3872="A",H3872="B",H3872="C"),"PA","FA")</f>
        <v>PA</v>
      </c>
    </row>
    <row r="3873" spans="1:19" x14ac:dyDescent="0.3">
      <c r="A3873" t="s">
        <v>8</v>
      </c>
      <c r="B3873">
        <v>2016210023</v>
      </c>
      <c r="C3873" t="s">
        <v>160</v>
      </c>
      <c r="E3873" t="s">
        <v>110</v>
      </c>
      <c r="F3873" t="s">
        <v>111</v>
      </c>
      <c r="G3873">
        <v>4</v>
      </c>
      <c r="I3873" s="4"/>
      <c r="J3873">
        <f>G3873*I3873</f>
        <v>0</v>
      </c>
      <c r="K3873">
        <v>36</v>
      </c>
      <c r="L3873">
        <v>16</v>
      </c>
      <c r="M3873">
        <v>2.25</v>
      </c>
      <c r="N3873">
        <v>2.25</v>
      </c>
      <c r="O3873">
        <v>0</v>
      </c>
      <c r="P3873">
        <v>1</v>
      </c>
      <c r="Q3873" s="4" t="str">
        <f>IF(P3873=1,"2016/2017-Ganjil",IF(P3873=2,"2016/2017-Genap",IF(P3873=3,"2017/2018-Ganjil",IF(P3873=4,"2017/2018-Genap",IF(P3873=5,"2018/2019-Ganjil",IF(P3873=6,"2018/2019-Genap",IF(P3873=7,"2019/2020-Ganjil",IF(P3873=8,"2019/2020-Genap",IF(P3873=9,"2020/2021-Ganjil",IF(P3873=10,"2020/2021-Genap",IF(P3873=11,"2021/2022-Ganjil",IF(P3873=12,"2021/2022-Genap",IF(P3873=13,"2022/2023-Ganjil","2022/2023-Genap")))))))))))))</f>
        <v>2016/2017-Ganjil</v>
      </c>
      <c r="R3873" s="8" t="s">
        <v>535</v>
      </c>
      <c r="S3873" t="s">
        <v>595</v>
      </c>
    </row>
    <row r="3874" spans="1:19" x14ac:dyDescent="0.3">
      <c r="A3874" t="s">
        <v>8</v>
      </c>
      <c r="B3874">
        <v>2016210023</v>
      </c>
      <c r="C3874" t="s">
        <v>160</v>
      </c>
      <c r="E3874" t="s">
        <v>202</v>
      </c>
      <c r="F3874" t="s">
        <v>203</v>
      </c>
      <c r="G3874">
        <v>4</v>
      </c>
      <c r="H3874" t="s">
        <v>260</v>
      </c>
      <c r="I3874" s="4">
        <f t="shared" ref="I3874:I3890" si="534">IF(H3874="A",4,IF(H3874="B",3,IF(H3874="C",2,IF(H3874="D",1,0))))</f>
        <v>4</v>
      </c>
      <c r="J3874">
        <f t="shared" ref="J3874:J3937" si="535">G3874*I3874</f>
        <v>16</v>
      </c>
      <c r="K3874">
        <v>36</v>
      </c>
      <c r="L3874">
        <v>16</v>
      </c>
      <c r="M3874">
        <v>2.25</v>
      </c>
      <c r="N3874">
        <v>2.25</v>
      </c>
      <c r="O3874">
        <v>0</v>
      </c>
      <c r="P3874">
        <v>1</v>
      </c>
      <c r="Q3874" s="4" t="str">
        <f t="shared" ref="Q3874:Q3879" si="536">IF(P3874=1,"2016/2017-Ganjil",IF(P3874=2,"2016/2017-Genap",IF(P3874=3,"2017/2018-Ganjil",IF(P3874=4,"2017/2018-Genap",IF(P3874=5,"2018/2019-Ganjil",IF(P3874=6,"2018/2019-Genap",IF(P3874=7,"2019/2020-Ganjil",IF(P3874=8,"2019/2020-Genap",IF(P3874=9,"2020/2021-Ganjil",IF(P3874=10,"2020/2021-Genap",IF(P3874=11,"2021/2022-Ganjil",IF(P3874=12,"2021/2022-Genap",IF(P3874=13,"2022/2023-Ganjil","2022/2023-Genap")))))))))))))</f>
        <v>2016/2017-Ganjil</v>
      </c>
      <c r="R3874" s="8" t="s">
        <v>535</v>
      </c>
      <c r="S3874" t="str">
        <f t="shared" ref="S3874:S3879" si="537">IF(OR(H3874="A",H3874="B",H3874="C"),"PA","FA")</f>
        <v>PA</v>
      </c>
    </row>
    <row r="3875" spans="1:19" x14ac:dyDescent="0.3">
      <c r="A3875" t="s">
        <v>8</v>
      </c>
      <c r="B3875">
        <v>2016210023</v>
      </c>
      <c r="C3875" t="s">
        <v>160</v>
      </c>
      <c r="E3875" t="s">
        <v>147</v>
      </c>
      <c r="F3875" t="s">
        <v>148</v>
      </c>
      <c r="G3875">
        <v>4</v>
      </c>
      <c r="H3875" t="s">
        <v>438</v>
      </c>
      <c r="I3875" s="4">
        <f t="shared" ref="I3875:I3879" si="538">IF(H3875="A",4,IF(H3875="B",3,IF(H3875="C",2,IF(H3875="D",1,0))))</f>
        <v>3</v>
      </c>
      <c r="J3875">
        <f t="shared" ref="J3875:J3879" si="539">G3875*I3875</f>
        <v>12</v>
      </c>
      <c r="K3875">
        <v>36</v>
      </c>
      <c r="L3875">
        <v>16</v>
      </c>
      <c r="M3875">
        <v>2.25</v>
      </c>
      <c r="N3875">
        <v>2.25</v>
      </c>
      <c r="O3875">
        <v>0</v>
      </c>
      <c r="P3875">
        <v>1</v>
      </c>
      <c r="Q3875" s="4" t="str">
        <f t="shared" si="536"/>
        <v>2016/2017-Ganjil</v>
      </c>
      <c r="R3875" s="8" t="s">
        <v>535</v>
      </c>
      <c r="S3875" t="str">
        <f t="shared" si="537"/>
        <v>PA</v>
      </c>
    </row>
    <row r="3876" spans="1:19" x14ac:dyDescent="0.3">
      <c r="A3876" t="s">
        <v>8</v>
      </c>
      <c r="B3876">
        <v>2016210023</v>
      </c>
      <c r="C3876" t="s">
        <v>160</v>
      </c>
      <c r="E3876" t="s">
        <v>131</v>
      </c>
      <c r="F3876" t="s">
        <v>132</v>
      </c>
      <c r="G3876">
        <v>2</v>
      </c>
      <c r="H3876" t="s">
        <v>524</v>
      </c>
      <c r="I3876" s="4">
        <f t="shared" si="538"/>
        <v>2</v>
      </c>
      <c r="J3876">
        <f t="shared" si="539"/>
        <v>4</v>
      </c>
      <c r="K3876">
        <v>36</v>
      </c>
      <c r="L3876">
        <v>16</v>
      </c>
      <c r="M3876">
        <v>2.25</v>
      </c>
      <c r="N3876">
        <v>2.25</v>
      </c>
      <c r="O3876">
        <v>0</v>
      </c>
      <c r="P3876">
        <v>1</v>
      </c>
      <c r="Q3876" s="4" t="str">
        <f t="shared" si="536"/>
        <v>2016/2017-Ganjil</v>
      </c>
      <c r="R3876" s="8" t="s">
        <v>535</v>
      </c>
      <c r="S3876" t="str">
        <f t="shared" si="537"/>
        <v>PA</v>
      </c>
    </row>
    <row r="3877" spans="1:19" x14ac:dyDescent="0.3">
      <c r="A3877" t="s">
        <v>8</v>
      </c>
      <c r="B3877">
        <v>2016210023</v>
      </c>
      <c r="C3877" t="s">
        <v>160</v>
      </c>
      <c r="E3877" t="s">
        <v>163</v>
      </c>
      <c r="F3877" t="s">
        <v>164</v>
      </c>
      <c r="G3877">
        <v>2</v>
      </c>
      <c r="H3877" t="s">
        <v>535</v>
      </c>
      <c r="I3877" s="4">
        <f t="shared" si="538"/>
        <v>1</v>
      </c>
      <c r="J3877">
        <f t="shared" si="539"/>
        <v>2</v>
      </c>
      <c r="K3877">
        <v>36</v>
      </c>
      <c r="L3877">
        <v>16</v>
      </c>
      <c r="M3877">
        <v>2.25</v>
      </c>
      <c r="N3877">
        <v>2.25</v>
      </c>
      <c r="O3877">
        <v>0</v>
      </c>
      <c r="P3877">
        <v>1</v>
      </c>
      <c r="Q3877" s="4" t="str">
        <f t="shared" si="536"/>
        <v>2016/2017-Ganjil</v>
      </c>
      <c r="R3877" s="8" t="s">
        <v>535</v>
      </c>
      <c r="S3877" t="str">
        <f t="shared" si="537"/>
        <v>FA</v>
      </c>
    </row>
    <row r="3878" spans="1:19" x14ac:dyDescent="0.3">
      <c r="A3878" t="s">
        <v>8</v>
      </c>
      <c r="B3878">
        <v>2016210023</v>
      </c>
      <c r="C3878" t="s">
        <v>160</v>
      </c>
      <c r="E3878" t="s">
        <v>77</v>
      </c>
      <c r="F3878" t="s">
        <v>78</v>
      </c>
      <c r="G3878">
        <v>2</v>
      </c>
      <c r="H3878" t="s">
        <v>535</v>
      </c>
      <c r="I3878" s="4">
        <f t="shared" si="538"/>
        <v>1</v>
      </c>
      <c r="J3878">
        <f t="shared" si="539"/>
        <v>2</v>
      </c>
      <c r="K3878">
        <v>36</v>
      </c>
      <c r="L3878">
        <v>16</v>
      </c>
      <c r="M3878">
        <v>2.25</v>
      </c>
      <c r="N3878">
        <v>2.25</v>
      </c>
      <c r="O3878">
        <v>0</v>
      </c>
      <c r="P3878">
        <v>1</v>
      </c>
      <c r="Q3878" s="4" t="str">
        <f t="shared" si="536"/>
        <v>2016/2017-Ganjil</v>
      </c>
      <c r="R3878" s="8" t="s">
        <v>535</v>
      </c>
      <c r="S3878" t="str">
        <f t="shared" si="537"/>
        <v>FA</v>
      </c>
    </row>
    <row r="3879" spans="1:19" x14ac:dyDescent="0.3">
      <c r="A3879" t="s">
        <v>8</v>
      </c>
      <c r="B3879">
        <v>2016210023</v>
      </c>
      <c r="C3879" t="s">
        <v>160</v>
      </c>
      <c r="E3879" t="s">
        <v>395</v>
      </c>
      <c r="F3879" t="s">
        <v>396</v>
      </c>
      <c r="G3879">
        <v>2</v>
      </c>
      <c r="H3879" t="s">
        <v>539</v>
      </c>
      <c r="I3879" s="4">
        <f t="shared" si="538"/>
        <v>0</v>
      </c>
      <c r="J3879">
        <f t="shared" si="539"/>
        <v>0</v>
      </c>
      <c r="K3879">
        <v>36</v>
      </c>
      <c r="L3879">
        <v>16</v>
      </c>
      <c r="M3879">
        <v>2.25</v>
      </c>
      <c r="N3879">
        <v>2.25</v>
      </c>
      <c r="O3879">
        <v>0</v>
      </c>
      <c r="P3879">
        <v>1</v>
      </c>
      <c r="Q3879" s="4" t="str">
        <f t="shared" si="536"/>
        <v>2016/2017-Ganjil</v>
      </c>
      <c r="R3879" s="8" t="s">
        <v>535</v>
      </c>
      <c r="S3879" t="str">
        <f t="shared" si="537"/>
        <v>FA</v>
      </c>
    </row>
    <row r="3880" spans="1:19" x14ac:dyDescent="0.3">
      <c r="A3880" t="s">
        <v>8</v>
      </c>
      <c r="B3880">
        <v>2016210024</v>
      </c>
      <c r="C3880" t="s">
        <v>82</v>
      </c>
      <c r="E3880" t="s">
        <v>80</v>
      </c>
      <c r="F3880" t="s">
        <v>81</v>
      </c>
      <c r="G3880">
        <v>4</v>
      </c>
      <c r="I3880" s="4"/>
      <c r="J3880">
        <f t="shared" si="535"/>
        <v>0</v>
      </c>
      <c r="K3880">
        <v>6</v>
      </c>
      <c r="L3880">
        <v>6</v>
      </c>
      <c r="M3880" s="2">
        <v>1</v>
      </c>
      <c r="N3880">
        <v>2.35</v>
      </c>
      <c r="O3880">
        <v>1</v>
      </c>
      <c r="P3880">
        <v>8</v>
      </c>
      <c r="Q3880" t="s">
        <v>569</v>
      </c>
      <c r="R3880" s="8" t="s">
        <v>260</v>
      </c>
      <c r="S3880" t="s">
        <v>595</v>
      </c>
    </row>
    <row r="3881" spans="1:19" x14ac:dyDescent="0.3">
      <c r="A3881" t="s">
        <v>8</v>
      </c>
      <c r="B3881">
        <v>2016210024</v>
      </c>
      <c r="C3881" t="s">
        <v>82</v>
      </c>
      <c r="E3881" t="s">
        <v>80</v>
      </c>
      <c r="F3881" t="s">
        <v>81</v>
      </c>
      <c r="G3881">
        <v>4</v>
      </c>
      <c r="I3881" s="4"/>
      <c r="J3881">
        <f t="shared" si="535"/>
        <v>0</v>
      </c>
      <c r="K3881">
        <v>16</v>
      </c>
      <c r="L3881">
        <v>6</v>
      </c>
      <c r="M3881" s="2">
        <v>2.67</v>
      </c>
      <c r="N3881">
        <v>2.35</v>
      </c>
      <c r="O3881">
        <v>0</v>
      </c>
      <c r="P3881">
        <v>6</v>
      </c>
      <c r="Q3881" t="s">
        <v>567</v>
      </c>
      <c r="R3881" s="8" t="s">
        <v>260</v>
      </c>
      <c r="S3881" t="s">
        <v>595</v>
      </c>
    </row>
    <row r="3882" spans="1:19" x14ac:dyDescent="0.3">
      <c r="A3882" t="s">
        <v>8</v>
      </c>
      <c r="B3882">
        <v>2016210024</v>
      </c>
      <c r="C3882" t="s">
        <v>82</v>
      </c>
      <c r="E3882" t="s">
        <v>87</v>
      </c>
      <c r="F3882" t="s">
        <v>88</v>
      </c>
      <c r="G3882">
        <v>2</v>
      </c>
      <c r="H3882" t="s">
        <v>524</v>
      </c>
      <c r="I3882" s="4">
        <f t="shared" si="534"/>
        <v>2</v>
      </c>
      <c r="J3882">
        <f t="shared" si="535"/>
        <v>4</v>
      </c>
      <c r="K3882">
        <v>6</v>
      </c>
      <c r="L3882">
        <v>6</v>
      </c>
      <c r="M3882" s="2">
        <v>1</v>
      </c>
      <c r="N3882">
        <v>2.35</v>
      </c>
      <c r="O3882">
        <v>1</v>
      </c>
      <c r="P3882">
        <v>8</v>
      </c>
      <c r="Q3882" t="s">
        <v>569</v>
      </c>
      <c r="R3882" s="8" t="s">
        <v>260</v>
      </c>
      <c r="S3882" t="str">
        <f>IF(OR(H3882="A",H3882="B",H3882="C"),"PA","FA")</f>
        <v>PA</v>
      </c>
    </row>
    <row r="3883" spans="1:19" x14ac:dyDescent="0.3">
      <c r="A3883" t="s">
        <v>8</v>
      </c>
      <c r="B3883">
        <v>2016210024</v>
      </c>
      <c r="C3883" t="s">
        <v>82</v>
      </c>
      <c r="E3883" t="s">
        <v>87</v>
      </c>
      <c r="F3883" t="s">
        <v>88</v>
      </c>
      <c r="G3883">
        <v>2</v>
      </c>
      <c r="I3883" s="4"/>
      <c r="J3883">
        <f t="shared" si="535"/>
        <v>0</v>
      </c>
      <c r="K3883">
        <v>16</v>
      </c>
      <c r="L3883">
        <v>6</v>
      </c>
      <c r="M3883" s="2">
        <v>2.67</v>
      </c>
      <c r="N3883">
        <v>2.35</v>
      </c>
      <c r="O3883">
        <v>0</v>
      </c>
      <c r="P3883">
        <v>6</v>
      </c>
      <c r="Q3883" t="s">
        <v>567</v>
      </c>
      <c r="R3883" s="8" t="s">
        <v>260</v>
      </c>
      <c r="S3883" t="s">
        <v>595</v>
      </c>
    </row>
    <row r="3884" spans="1:19" x14ac:dyDescent="0.3">
      <c r="A3884" t="s">
        <v>8</v>
      </c>
      <c r="B3884">
        <v>2016210024</v>
      </c>
      <c r="C3884" t="s">
        <v>82</v>
      </c>
      <c r="E3884" t="s">
        <v>136</v>
      </c>
      <c r="F3884" t="s">
        <v>137</v>
      </c>
      <c r="G3884">
        <v>4</v>
      </c>
      <c r="I3884" s="4"/>
      <c r="J3884">
        <f t="shared" si="535"/>
        <v>0</v>
      </c>
      <c r="K3884">
        <v>16</v>
      </c>
      <c r="L3884">
        <v>6</v>
      </c>
      <c r="M3884" s="2">
        <v>2.67</v>
      </c>
      <c r="N3884">
        <v>2.35</v>
      </c>
      <c r="O3884">
        <v>0</v>
      </c>
      <c r="P3884">
        <v>6</v>
      </c>
      <c r="Q3884" t="s">
        <v>567</v>
      </c>
      <c r="R3884" s="8" t="s">
        <v>260</v>
      </c>
      <c r="S3884" t="s">
        <v>595</v>
      </c>
    </row>
    <row r="3885" spans="1:19" x14ac:dyDescent="0.3">
      <c r="A3885" t="s">
        <v>8</v>
      </c>
      <c r="B3885">
        <v>2016210024</v>
      </c>
      <c r="C3885" t="s">
        <v>82</v>
      </c>
      <c r="E3885" t="s">
        <v>119</v>
      </c>
      <c r="F3885" t="s">
        <v>120</v>
      </c>
      <c r="G3885">
        <v>2</v>
      </c>
      <c r="I3885" s="4"/>
      <c r="J3885">
        <f t="shared" si="535"/>
        <v>0</v>
      </c>
      <c r="K3885">
        <v>16</v>
      </c>
      <c r="L3885">
        <v>6</v>
      </c>
      <c r="M3885" s="2">
        <v>2.67</v>
      </c>
      <c r="N3885">
        <v>2.35</v>
      </c>
      <c r="O3885">
        <v>0</v>
      </c>
      <c r="P3885">
        <v>6</v>
      </c>
      <c r="Q3885" t="s">
        <v>567</v>
      </c>
      <c r="R3885" s="8" t="s">
        <v>260</v>
      </c>
      <c r="S3885" t="s">
        <v>595</v>
      </c>
    </row>
    <row r="3886" spans="1:19" x14ac:dyDescent="0.3">
      <c r="A3886" t="s">
        <v>8</v>
      </c>
      <c r="B3886">
        <v>2016210024</v>
      </c>
      <c r="C3886" t="s">
        <v>82</v>
      </c>
      <c r="E3886" t="s">
        <v>232</v>
      </c>
      <c r="F3886" t="s">
        <v>233</v>
      </c>
      <c r="G3886">
        <v>2</v>
      </c>
      <c r="I3886" s="4"/>
      <c r="J3886">
        <f t="shared" ref="J3886" si="540">G3886*I3886</f>
        <v>0</v>
      </c>
      <c r="K3886">
        <v>50</v>
      </c>
      <c r="L3886">
        <v>20</v>
      </c>
      <c r="M3886" s="2">
        <v>2.5</v>
      </c>
      <c r="N3886">
        <v>2.35</v>
      </c>
      <c r="O3886">
        <v>0</v>
      </c>
      <c r="P3886">
        <v>4</v>
      </c>
      <c r="Q3886" s="4" t="str">
        <f>IF(P3886=1,"2016/2017-Ganjil",IF(P3886=2,"2016/2017-Genap",IF(P3886=3,"2017/2018-Ganjil",IF(P3886=4,"2017/2018-Genap",IF(P3886=5,"2018/2019-Ganjil",IF(P3886=6,"2018/2019-Genap",IF(P3886=7,"2019/2020-Ganjil",IF(P3886=8,"2019/2020-Genap",IF(P3886=9,"2020/2021-Ganjil",IF(P3886=10,"2020/2021-Genap",IF(P3886=11,"2021/2022-Ganjil",IF(P3886=12,"2021/2022-Genap",IF(P3886=13,"2022/2023-Ganjil","2022/2023-Genap")))))))))))))</f>
        <v>2017/2018-Genap</v>
      </c>
      <c r="R3886" s="8" t="s">
        <v>260</v>
      </c>
      <c r="S3886" t="s">
        <v>595</v>
      </c>
    </row>
    <row r="3887" spans="1:19" x14ac:dyDescent="0.3">
      <c r="A3887" t="s">
        <v>8</v>
      </c>
      <c r="B3887">
        <v>2016210024</v>
      </c>
      <c r="C3887" t="s">
        <v>82</v>
      </c>
      <c r="E3887" t="s">
        <v>232</v>
      </c>
      <c r="F3887" t="s">
        <v>233</v>
      </c>
      <c r="G3887">
        <v>2</v>
      </c>
      <c r="I3887" s="4"/>
      <c r="J3887">
        <f t="shared" si="535"/>
        <v>0</v>
      </c>
      <c r="K3887">
        <v>6</v>
      </c>
      <c r="L3887">
        <v>6</v>
      </c>
      <c r="M3887" s="2">
        <v>1</v>
      </c>
      <c r="N3887">
        <v>2.35</v>
      </c>
      <c r="O3887">
        <v>1</v>
      </c>
      <c r="P3887">
        <v>8</v>
      </c>
      <c r="Q3887" s="4" t="str">
        <f>IF(P3887=1,"2016/2017-Ganjil",IF(P3887=2,"2016/2017-Genap",IF(P3887=3,"2017/2018-Ganjil",IF(P3887=4,"2017/2018-Genap",IF(P3887=5,"2018/2019-Ganjil",IF(P3887=6,"2018/2019-Genap",IF(P3887=7,"2019/2020-Ganjil",IF(P3887=8,"2019/2020-Genap",IF(P3887=9,"2020/2021-Ganjil",IF(P3887=10,"2020/2021-Genap",IF(P3887=11,"2021/2022-Ganjil",IF(P3887=12,"2021/2022-Genap",IF(P3887=13,"2022/2023-Ganjil","2022/2023-Genap")))))))))))))</f>
        <v>2019/2020-Genap</v>
      </c>
      <c r="R3887" s="8" t="s">
        <v>260</v>
      </c>
      <c r="S3887" t="s">
        <v>595</v>
      </c>
    </row>
    <row r="3888" spans="1:19" x14ac:dyDescent="0.3">
      <c r="A3888" t="s">
        <v>8</v>
      </c>
      <c r="B3888">
        <v>2016210024</v>
      </c>
      <c r="C3888" t="s">
        <v>82</v>
      </c>
      <c r="E3888" t="s">
        <v>193</v>
      </c>
      <c r="F3888" t="s">
        <v>194</v>
      </c>
      <c r="G3888">
        <v>4</v>
      </c>
      <c r="I3888" s="4"/>
      <c r="J3888">
        <f t="shared" si="535"/>
        <v>0</v>
      </c>
      <c r="K3888">
        <v>0</v>
      </c>
      <c r="L3888">
        <v>8</v>
      </c>
      <c r="M3888" s="2">
        <v>0</v>
      </c>
      <c r="N3888">
        <v>2.35</v>
      </c>
      <c r="O3888">
        <v>0</v>
      </c>
      <c r="P3888">
        <v>9</v>
      </c>
      <c r="Q3888" s="4" t="str">
        <f>IF(P3888=1,"2016/2017-Ganjil",IF(P3888=2,"2016/2017-Genap",IF(P3888=3,"2017/2018-Ganjil",IF(P3888=4,"2017/2018-Genap",IF(P3888=5,"2018/2019-Ganjil",IF(P3888=6,"2018/2019-Genap",IF(P3888=7,"2019/2020-Ganjil",IF(P3888=8,"2019/2020-Genap",IF(P3888=9,"2020/2021-Ganjil",IF(P3888=10,"2020/2021-Genap",IF(P3888=11,"2021/2022-Ganjil",IF(P3888=12,"2021/2022-Genap",IF(P3888=13,"2022/2023-Ganjil","2022/2023-Genap")))))))))))))</f>
        <v>2020/2021-Ganjil</v>
      </c>
      <c r="R3888" s="8" t="s">
        <v>535</v>
      </c>
      <c r="S3888" t="s">
        <v>595</v>
      </c>
    </row>
    <row r="3889" spans="1:19" x14ac:dyDescent="0.3">
      <c r="A3889" t="s">
        <v>8</v>
      </c>
      <c r="B3889">
        <v>2016210024</v>
      </c>
      <c r="C3889" t="s">
        <v>82</v>
      </c>
      <c r="E3889" t="s">
        <v>188</v>
      </c>
      <c r="F3889" t="s">
        <v>189</v>
      </c>
      <c r="G3889">
        <v>4</v>
      </c>
      <c r="I3889" s="4"/>
      <c r="J3889">
        <f t="shared" si="535"/>
        <v>0</v>
      </c>
      <c r="K3889">
        <v>40</v>
      </c>
      <c r="L3889">
        <v>14</v>
      </c>
      <c r="M3889" s="2">
        <v>2.86</v>
      </c>
      <c r="N3889">
        <v>2.35</v>
      </c>
      <c r="O3889">
        <v>0</v>
      </c>
      <c r="P3889">
        <v>5</v>
      </c>
      <c r="Q3889" t="s">
        <v>566</v>
      </c>
      <c r="R3889" s="8" t="s">
        <v>260</v>
      </c>
      <c r="S3889" t="s">
        <v>595</v>
      </c>
    </row>
    <row r="3890" spans="1:19" x14ac:dyDescent="0.3">
      <c r="A3890" t="s">
        <v>8</v>
      </c>
      <c r="B3890">
        <v>2016210024</v>
      </c>
      <c r="C3890" t="s">
        <v>82</v>
      </c>
      <c r="E3890" t="s">
        <v>202</v>
      </c>
      <c r="F3890" t="s">
        <v>203</v>
      </c>
      <c r="G3890">
        <v>4</v>
      </c>
      <c r="H3890" t="s">
        <v>260</v>
      </c>
      <c r="I3890" s="4">
        <f t="shared" si="534"/>
        <v>4</v>
      </c>
      <c r="J3890">
        <f t="shared" si="535"/>
        <v>16</v>
      </c>
      <c r="K3890">
        <v>50</v>
      </c>
      <c r="L3890">
        <v>20</v>
      </c>
      <c r="M3890" s="2">
        <v>2.5</v>
      </c>
      <c r="N3890">
        <v>2.35</v>
      </c>
      <c r="O3890">
        <v>0</v>
      </c>
      <c r="P3890">
        <v>1</v>
      </c>
      <c r="Q3890" t="s">
        <v>558</v>
      </c>
      <c r="R3890" s="8" t="s">
        <v>260</v>
      </c>
      <c r="S3890" t="str">
        <f t="shared" ref="S3890:S3936" si="541">IF(OR(H3890="A",H3890="B",H3890="C"),"PA","FA")</f>
        <v>PA</v>
      </c>
    </row>
    <row r="3891" spans="1:19" x14ac:dyDescent="0.3">
      <c r="A3891" t="s">
        <v>8</v>
      </c>
      <c r="B3891">
        <v>2016210024</v>
      </c>
      <c r="C3891" t="s">
        <v>82</v>
      </c>
      <c r="E3891" t="s">
        <v>597</v>
      </c>
      <c r="F3891" t="s">
        <v>275</v>
      </c>
      <c r="G3891">
        <v>2</v>
      </c>
      <c r="H3891" t="s">
        <v>260</v>
      </c>
      <c r="I3891" s="4">
        <f t="shared" ref="I3891:I3936" si="542">IF(H3891="A",4,IF(H3891="B",3,IF(H3891="C",2,IF(H3891="D",1,0))))</f>
        <v>4</v>
      </c>
      <c r="J3891">
        <f t="shared" ref="J3891:J3936" si="543">G3891*I3891</f>
        <v>8</v>
      </c>
      <c r="K3891">
        <v>16</v>
      </c>
      <c r="L3891">
        <v>6</v>
      </c>
      <c r="M3891" s="2">
        <v>2.67</v>
      </c>
      <c r="N3891">
        <v>2.35</v>
      </c>
      <c r="O3891">
        <v>0</v>
      </c>
      <c r="P3891">
        <v>6</v>
      </c>
      <c r="Q3891" t="s">
        <v>567</v>
      </c>
      <c r="R3891" s="8" t="s">
        <v>260</v>
      </c>
      <c r="S3891" t="str">
        <f t="shared" si="541"/>
        <v>PA</v>
      </c>
    </row>
    <row r="3892" spans="1:19" x14ac:dyDescent="0.3">
      <c r="A3892" t="s">
        <v>8</v>
      </c>
      <c r="B3892">
        <v>2016210024</v>
      </c>
      <c r="C3892" t="s">
        <v>82</v>
      </c>
      <c r="E3892" t="s">
        <v>362</v>
      </c>
      <c r="F3892" t="s">
        <v>363</v>
      </c>
      <c r="G3892">
        <v>2</v>
      </c>
      <c r="H3892" t="s">
        <v>260</v>
      </c>
      <c r="I3892" s="4">
        <f t="shared" si="542"/>
        <v>4</v>
      </c>
      <c r="J3892">
        <f t="shared" si="543"/>
        <v>8</v>
      </c>
      <c r="K3892">
        <v>40</v>
      </c>
      <c r="L3892">
        <v>14</v>
      </c>
      <c r="M3892" s="2">
        <v>2.86</v>
      </c>
      <c r="N3892">
        <v>2.35</v>
      </c>
      <c r="O3892">
        <v>0</v>
      </c>
      <c r="P3892">
        <v>5</v>
      </c>
      <c r="Q3892" t="s">
        <v>566</v>
      </c>
      <c r="R3892" s="8" t="s">
        <v>260</v>
      </c>
      <c r="S3892" t="str">
        <f t="shared" si="541"/>
        <v>PA</v>
      </c>
    </row>
    <row r="3893" spans="1:19" x14ac:dyDescent="0.3">
      <c r="A3893" t="s">
        <v>8</v>
      </c>
      <c r="B3893">
        <v>2016210024</v>
      </c>
      <c r="C3893" t="s">
        <v>82</v>
      </c>
      <c r="E3893" t="s">
        <v>163</v>
      </c>
      <c r="F3893" t="s">
        <v>164</v>
      </c>
      <c r="G3893">
        <v>2</v>
      </c>
      <c r="H3893" t="s">
        <v>438</v>
      </c>
      <c r="I3893" s="4">
        <f t="shared" si="542"/>
        <v>3</v>
      </c>
      <c r="J3893">
        <f t="shared" si="543"/>
        <v>6</v>
      </c>
      <c r="K3893">
        <v>50</v>
      </c>
      <c r="L3893">
        <v>20</v>
      </c>
      <c r="M3893" s="2">
        <v>2.5</v>
      </c>
      <c r="N3893">
        <v>2.35</v>
      </c>
      <c r="O3893">
        <v>0</v>
      </c>
      <c r="P3893">
        <v>1</v>
      </c>
      <c r="Q3893" t="s">
        <v>558</v>
      </c>
      <c r="R3893" s="8" t="s">
        <v>260</v>
      </c>
      <c r="S3893" t="str">
        <f t="shared" si="541"/>
        <v>PA</v>
      </c>
    </row>
    <row r="3894" spans="1:19" x14ac:dyDescent="0.3">
      <c r="A3894" t="s">
        <v>8</v>
      </c>
      <c r="B3894">
        <v>2016210024</v>
      </c>
      <c r="C3894" t="s">
        <v>82</v>
      </c>
      <c r="E3894" t="s">
        <v>147</v>
      </c>
      <c r="F3894" t="s">
        <v>148</v>
      </c>
      <c r="G3894">
        <v>4</v>
      </c>
      <c r="H3894" t="s">
        <v>438</v>
      </c>
      <c r="I3894" s="4">
        <f t="shared" si="542"/>
        <v>3</v>
      </c>
      <c r="J3894">
        <f t="shared" si="543"/>
        <v>12</v>
      </c>
      <c r="K3894">
        <v>50</v>
      </c>
      <c r="L3894">
        <v>20</v>
      </c>
      <c r="M3894" s="2">
        <v>2.5</v>
      </c>
      <c r="N3894">
        <v>2.35</v>
      </c>
      <c r="O3894">
        <v>0</v>
      </c>
      <c r="P3894">
        <v>1</v>
      </c>
      <c r="Q3894" t="s">
        <v>558</v>
      </c>
      <c r="R3894" s="8" t="s">
        <v>260</v>
      </c>
      <c r="S3894" t="str">
        <f t="shared" si="541"/>
        <v>PA</v>
      </c>
    </row>
    <row r="3895" spans="1:19" x14ac:dyDescent="0.3">
      <c r="A3895" t="s">
        <v>8</v>
      </c>
      <c r="B3895">
        <v>2016210024</v>
      </c>
      <c r="C3895" t="s">
        <v>82</v>
      </c>
      <c r="E3895" t="s">
        <v>242</v>
      </c>
      <c r="F3895" t="s">
        <v>166</v>
      </c>
      <c r="G3895">
        <v>2</v>
      </c>
      <c r="H3895" t="s">
        <v>438</v>
      </c>
      <c r="I3895" s="4">
        <f t="shared" si="542"/>
        <v>3</v>
      </c>
      <c r="J3895">
        <f t="shared" si="543"/>
        <v>6</v>
      </c>
      <c r="K3895">
        <v>50</v>
      </c>
      <c r="L3895">
        <v>20</v>
      </c>
      <c r="M3895" s="2">
        <v>2.5</v>
      </c>
      <c r="N3895">
        <v>2.35</v>
      </c>
      <c r="O3895">
        <v>0</v>
      </c>
      <c r="P3895">
        <v>4</v>
      </c>
      <c r="Q3895" t="s">
        <v>565</v>
      </c>
      <c r="R3895" s="8" t="s">
        <v>260</v>
      </c>
      <c r="S3895" t="str">
        <f t="shared" si="541"/>
        <v>PA</v>
      </c>
    </row>
    <row r="3896" spans="1:19" x14ac:dyDescent="0.3">
      <c r="A3896" t="s">
        <v>8</v>
      </c>
      <c r="B3896">
        <v>2016210024</v>
      </c>
      <c r="C3896" t="s">
        <v>82</v>
      </c>
      <c r="E3896" t="s">
        <v>117</v>
      </c>
      <c r="F3896" t="s">
        <v>118</v>
      </c>
      <c r="G3896">
        <v>2</v>
      </c>
      <c r="H3896" t="s">
        <v>438</v>
      </c>
      <c r="I3896" s="4">
        <f t="shared" si="542"/>
        <v>3</v>
      </c>
      <c r="J3896">
        <f t="shared" si="543"/>
        <v>6</v>
      </c>
      <c r="K3896">
        <v>28</v>
      </c>
      <c r="L3896">
        <v>18</v>
      </c>
      <c r="M3896" s="2">
        <v>1.56</v>
      </c>
      <c r="N3896">
        <v>2.35</v>
      </c>
      <c r="O3896">
        <v>0</v>
      </c>
      <c r="P3896">
        <v>2</v>
      </c>
      <c r="Q3896" t="s">
        <v>559</v>
      </c>
      <c r="R3896" s="8" t="s">
        <v>260</v>
      </c>
      <c r="S3896" t="str">
        <f t="shared" si="541"/>
        <v>PA</v>
      </c>
    </row>
    <row r="3897" spans="1:19" x14ac:dyDescent="0.3">
      <c r="A3897" t="s">
        <v>8</v>
      </c>
      <c r="B3897">
        <v>2016210024</v>
      </c>
      <c r="C3897" t="s">
        <v>82</v>
      </c>
      <c r="E3897" t="s">
        <v>180</v>
      </c>
      <c r="F3897" t="s">
        <v>181</v>
      </c>
      <c r="G3897">
        <v>4</v>
      </c>
      <c r="H3897" t="s">
        <v>438</v>
      </c>
      <c r="I3897" s="4">
        <f t="shared" si="542"/>
        <v>3</v>
      </c>
      <c r="J3897">
        <f t="shared" si="543"/>
        <v>12</v>
      </c>
      <c r="K3897">
        <v>50</v>
      </c>
      <c r="L3897">
        <v>20</v>
      </c>
      <c r="M3897" s="2">
        <v>2.5</v>
      </c>
      <c r="N3897">
        <v>2.35</v>
      </c>
      <c r="O3897">
        <v>0</v>
      </c>
      <c r="P3897">
        <v>4</v>
      </c>
      <c r="Q3897" t="s">
        <v>565</v>
      </c>
      <c r="R3897" s="8" t="s">
        <v>260</v>
      </c>
      <c r="S3897" t="str">
        <f t="shared" si="541"/>
        <v>PA</v>
      </c>
    </row>
    <row r="3898" spans="1:19" x14ac:dyDescent="0.3">
      <c r="A3898" t="s">
        <v>8</v>
      </c>
      <c r="B3898">
        <v>2016210024</v>
      </c>
      <c r="C3898" t="s">
        <v>82</v>
      </c>
      <c r="E3898" t="s">
        <v>279</v>
      </c>
      <c r="F3898" t="s">
        <v>280</v>
      </c>
      <c r="G3898">
        <v>2</v>
      </c>
      <c r="H3898" t="s">
        <v>438</v>
      </c>
      <c r="I3898" s="4">
        <f t="shared" si="542"/>
        <v>3</v>
      </c>
      <c r="J3898">
        <f t="shared" si="543"/>
        <v>6</v>
      </c>
      <c r="K3898">
        <v>28</v>
      </c>
      <c r="L3898">
        <v>18</v>
      </c>
      <c r="M3898" s="2">
        <v>1.56</v>
      </c>
      <c r="N3898">
        <v>2.35</v>
      </c>
      <c r="O3898">
        <v>0</v>
      </c>
      <c r="P3898">
        <v>2</v>
      </c>
      <c r="Q3898" t="s">
        <v>559</v>
      </c>
      <c r="R3898" s="8" t="s">
        <v>260</v>
      </c>
      <c r="S3898" t="str">
        <f t="shared" si="541"/>
        <v>PA</v>
      </c>
    </row>
    <row r="3899" spans="1:19" x14ac:dyDescent="0.3">
      <c r="A3899" t="s">
        <v>8</v>
      </c>
      <c r="B3899">
        <v>2016210024</v>
      </c>
      <c r="C3899" t="s">
        <v>82</v>
      </c>
      <c r="E3899" t="s">
        <v>216</v>
      </c>
      <c r="F3899" t="s">
        <v>217</v>
      </c>
      <c r="G3899">
        <v>2</v>
      </c>
      <c r="H3899" t="s">
        <v>438</v>
      </c>
      <c r="I3899" s="4">
        <f t="shared" si="542"/>
        <v>3</v>
      </c>
      <c r="J3899">
        <f t="shared" si="543"/>
        <v>6</v>
      </c>
      <c r="K3899">
        <v>50</v>
      </c>
      <c r="L3899">
        <v>20</v>
      </c>
      <c r="M3899" s="2">
        <v>2.5</v>
      </c>
      <c r="N3899">
        <v>2.35</v>
      </c>
      <c r="O3899">
        <v>0</v>
      </c>
      <c r="P3899">
        <v>4</v>
      </c>
      <c r="Q3899" t="s">
        <v>565</v>
      </c>
      <c r="R3899" s="8" t="s">
        <v>260</v>
      </c>
      <c r="S3899" t="str">
        <f t="shared" si="541"/>
        <v>PA</v>
      </c>
    </row>
    <row r="3900" spans="1:19" x14ac:dyDescent="0.3">
      <c r="A3900" t="s">
        <v>8</v>
      </c>
      <c r="B3900">
        <v>2016210024</v>
      </c>
      <c r="C3900" t="s">
        <v>82</v>
      </c>
      <c r="E3900" t="s">
        <v>266</v>
      </c>
      <c r="F3900" t="s">
        <v>91</v>
      </c>
      <c r="G3900">
        <v>2</v>
      </c>
      <c r="H3900" t="s">
        <v>438</v>
      </c>
      <c r="I3900" s="4">
        <f t="shared" si="542"/>
        <v>3</v>
      </c>
      <c r="J3900">
        <f t="shared" si="543"/>
        <v>6</v>
      </c>
      <c r="K3900">
        <v>28</v>
      </c>
      <c r="L3900">
        <v>18</v>
      </c>
      <c r="M3900" s="2">
        <v>1.56</v>
      </c>
      <c r="N3900">
        <v>2.35</v>
      </c>
      <c r="O3900">
        <v>0</v>
      </c>
      <c r="P3900">
        <v>2</v>
      </c>
      <c r="Q3900" t="s">
        <v>559</v>
      </c>
      <c r="R3900" s="8" t="s">
        <v>260</v>
      </c>
      <c r="S3900" t="str">
        <f t="shared" si="541"/>
        <v>PA</v>
      </c>
    </row>
    <row r="3901" spans="1:19" x14ac:dyDescent="0.3">
      <c r="A3901" t="s">
        <v>8</v>
      </c>
      <c r="B3901">
        <v>2016210024</v>
      </c>
      <c r="C3901" t="s">
        <v>82</v>
      </c>
      <c r="E3901" t="s">
        <v>93</v>
      </c>
      <c r="F3901" t="s">
        <v>94</v>
      </c>
      <c r="G3901">
        <v>4</v>
      </c>
      <c r="H3901" t="s">
        <v>438</v>
      </c>
      <c r="I3901" s="4">
        <f t="shared" si="542"/>
        <v>3</v>
      </c>
      <c r="J3901">
        <f t="shared" si="543"/>
        <v>12</v>
      </c>
      <c r="K3901">
        <v>42</v>
      </c>
      <c r="L3901">
        <v>16</v>
      </c>
      <c r="M3901" s="2">
        <v>2.63</v>
      </c>
      <c r="N3901">
        <v>2.35</v>
      </c>
      <c r="O3901">
        <v>0</v>
      </c>
      <c r="P3901">
        <v>3</v>
      </c>
      <c r="Q3901" t="s">
        <v>563</v>
      </c>
      <c r="R3901" s="8" t="s">
        <v>260</v>
      </c>
      <c r="S3901" t="str">
        <f t="shared" si="541"/>
        <v>PA</v>
      </c>
    </row>
    <row r="3902" spans="1:19" x14ac:dyDescent="0.3">
      <c r="A3902" t="s">
        <v>8</v>
      </c>
      <c r="B3902">
        <v>2016210024</v>
      </c>
      <c r="C3902" t="s">
        <v>82</v>
      </c>
      <c r="E3902" t="s">
        <v>391</v>
      </c>
      <c r="F3902" t="s">
        <v>392</v>
      </c>
      <c r="G3902">
        <v>2</v>
      </c>
      <c r="H3902" t="s">
        <v>438</v>
      </c>
      <c r="I3902" s="4">
        <f t="shared" si="542"/>
        <v>3</v>
      </c>
      <c r="J3902">
        <f t="shared" si="543"/>
        <v>6</v>
      </c>
      <c r="K3902">
        <v>40</v>
      </c>
      <c r="L3902">
        <v>14</v>
      </c>
      <c r="M3902" s="2">
        <v>2.86</v>
      </c>
      <c r="N3902">
        <v>2.35</v>
      </c>
      <c r="O3902">
        <v>0</v>
      </c>
      <c r="P3902">
        <v>5</v>
      </c>
      <c r="Q3902" t="s">
        <v>566</v>
      </c>
      <c r="R3902" s="8" t="s">
        <v>260</v>
      </c>
      <c r="S3902" t="str">
        <f t="shared" si="541"/>
        <v>PA</v>
      </c>
    </row>
    <row r="3903" spans="1:19" x14ac:dyDescent="0.3">
      <c r="A3903" t="s">
        <v>8</v>
      </c>
      <c r="B3903">
        <v>2016210024</v>
      </c>
      <c r="C3903" t="s">
        <v>82</v>
      </c>
      <c r="E3903" t="s">
        <v>295</v>
      </c>
      <c r="F3903" t="s">
        <v>296</v>
      </c>
      <c r="G3903">
        <v>2</v>
      </c>
      <c r="H3903" t="s">
        <v>438</v>
      </c>
      <c r="I3903" s="4">
        <f t="shared" si="542"/>
        <v>3</v>
      </c>
      <c r="J3903">
        <f t="shared" si="543"/>
        <v>6</v>
      </c>
      <c r="K3903">
        <v>42</v>
      </c>
      <c r="L3903">
        <v>16</v>
      </c>
      <c r="M3903" s="2">
        <v>2.63</v>
      </c>
      <c r="N3903">
        <v>2.35</v>
      </c>
      <c r="O3903">
        <v>0</v>
      </c>
      <c r="P3903">
        <v>3</v>
      </c>
      <c r="Q3903" t="s">
        <v>563</v>
      </c>
      <c r="R3903" s="8" t="s">
        <v>260</v>
      </c>
      <c r="S3903" t="str">
        <f t="shared" si="541"/>
        <v>PA</v>
      </c>
    </row>
    <row r="3904" spans="1:19" x14ac:dyDescent="0.3">
      <c r="A3904" t="s">
        <v>8</v>
      </c>
      <c r="B3904">
        <v>2016210024</v>
      </c>
      <c r="C3904" t="s">
        <v>82</v>
      </c>
      <c r="E3904" t="s">
        <v>182</v>
      </c>
      <c r="F3904" t="s">
        <v>171</v>
      </c>
      <c r="G3904">
        <v>2</v>
      </c>
      <c r="H3904" t="s">
        <v>438</v>
      </c>
      <c r="I3904" s="4">
        <f t="shared" si="542"/>
        <v>3</v>
      </c>
      <c r="J3904">
        <f t="shared" si="543"/>
        <v>6</v>
      </c>
      <c r="K3904">
        <v>40</v>
      </c>
      <c r="L3904">
        <v>14</v>
      </c>
      <c r="M3904" s="2">
        <v>2.86</v>
      </c>
      <c r="N3904">
        <v>2.35</v>
      </c>
      <c r="O3904">
        <v>0</v>
      </c>
      <c r="P3904">
        <v>5</v>
      </c>
      <c r="Q3904" t="s">
        <v>566</v>
      </c>
      <c r="R3904" s="8" t="s">
        <v>260</v>
      </c>
      <c r="S3904" t="str">
        <f t="shared" si="541"/>
        <v>PA</v>
      </c>
    </row>
    <row r="3905" spans="1:19" x14ac:dyDescent="0.3">
      <c r="A3905" t="s">
        <v>8</v>
      </c>
      <c r="B3905">
        <v>2016210024</v>
      </c>
      <c r="C3905" t="s">
        <v>82</v>
      </c>
      <c r="E3905" t="s">
        <v>131</v>
      </c>
      <c r="F3905" t="s">
        <v>132</v>
      </c>
      <c r="G3905">
        <v>2</v>
      </c>
      <c r="H3905" t="s">
        <v>438</v>
      </c>
      <c r="I3905" s="4">
        <f t="shared" si="542"/>
        <v>3</v>
      </c>
      <c r="J3905">
        <f t="shared" si="543"/>
        <v>6</v>
      </c>
      <c r="K3905">
        <v>50</v>
      </c>
      <c r="L3905">
        <v>20</v>
      </c>
      <c r="M3905" s="2">
        <v>2.5</v>
      </c>
      <c r="N3905">
        <v>2.35</v>
      </c>
      <c r="O3905">
        <v>0</v>
      </c>
      <c r="P3905">
        <v>1</v>
      </c>
      <c r="Q3905" t="s">
        <v>558</v>
      </c>
      <c r="R3905" s="8" t="s">
        <v>260</v>
      </c>
      <c r="S3905" t="str">
        <f t="shared" si="541"/>
        <v>PA</v>
      </c>
    </row>
    <row r="3906" spans="1:19" x14ac:dyDescent="0.3">
      <c r="A3906" t="s">
        <v>8</v>
      </c>
      <c r="B3906">
        <v>2016210024</v>
      </c>
      <c r="C3906" t="s">
        <v>82</v>
      </c>
      <c r="E3906" t="s">
        <v>253</v>
      </c>
      <c r="F3906" t="s">
        <v>254</v>
      </c>
      <c r="G3906">
        <v>2</v>
      </c>
      <c r="H3906" t="s">
        <v>438</v>
      </c>
      <c r="I3906" s="4">
        <f t="shared" si="542"/>
        <v>3</v>
      </c>
      <c r="J3906">
        <f t="shared" si="543"/>
        <v>6</v>
      </c>
      <c r="K3906">
        <v>50</v>
      </c>
      <c r="L3906">
        <v>20</v>
      </c>
      <c r="M3906" s="2">
        <v>2.5</v>
      </c>
      <c r="N3906">
        <v>2.35</v>
      </c>
      <c r="O3906">
        <v>0</v>
      </c>
      <c r="P3906">
        <v>4</v>
      </c>
      <c r="Q3906" t="s">
        <v>565</v>
      </c>
      <c r="R3906" s="8" t="s">
        <v>260</v>
      </c>
      <c r="S3906" t="str">
        <f t="shared" si="541"/>
        <v>PA</v>
      </c>
    </row>
    <row r="3907" spans="1:19" x14ac:dyDescent="0.3">
      <c r="A3907" t="s">
        <v>8</v>
      </c>
      <c r="B3907">
        <v>2016210024</v>
      </c>
      <c r="C3907" t="s">
        <v>82</v>
      </c>
      <c r="E3907" t="s">
        <v>407</v>
      </c>
      <c r="F3907" t="s">
        <v>312</v>
      </c>
      <c r="G3907">
        <v>2</v>
      </c>
      <c r="H3907" t="s">
        <v>438</v>
      </c>
      <c r="I3907" s="4">
        <f t="shared" si="542"/>
        <v>3</v>
      </c>
      <c r="J3907">
        <f t="shared" si="543"/>
        <v>6</v>
      </c>
      <c r="K3907">
        <v>14</v>
      </c>
      <c r="L3907">
        <v>12</v>
      </c>
      <c r="M3907" s="2">
        <v>1.17</v>
      </c>
      <c r="N3907">
        <v>2.35</v>
      </c>
      <c r="O3907">
        <v>0</v>
      </c>
      <c r="P3907">
        <v>7</v>
      </c>
      <c r="Q3907" t="s">
        <v>568</v>
      </c>
      <c r="R3907" s="8" t="s">
        <v>260</v>
      </c>
      <c r="S3907" t="str">
        <f t="shared" si="541"/>
        <v>PA</v>
      </c>
    </row>
    <row r="3908" spans="1:19" x14ac:dyDescent="0.3">
      <c r="A3908" t="s">
        <v>8</v>
      </c>
      <c r="B3908">
        <v>2016210024</v>
      </c>
      <c r="C3908" t="s">
        <v>82</v>
      </c>
      <c r="E3908" t="s">
        <v>176</v>
      </c>
      <c r="F3908" t="s">
        <v>177</v>
      </c>
      <c r="G3908">
        <v>4</v>
      </c>
      <c r="H3908" t="s">
        <v>438</v>
      </c>
      <c r="I3908" s="4">
        <f t="shared" si="542"/>
        <v>3</v>
      </c>
      <c r="J3908">
        <f t="shared" si="543"/>
        <v>12</v>
      </c>
      <c r="K3908">
        <v>40</v>
      </c>
      <c r="L3908">
        <v>14</v>
      </c>
      <c r="M3908" s="2">
        <v>2.86</v>
      </c>
      <c r="N3908">
        <v>2.35</v>
      </c>
      <c r="O3908">
        <v>0</v>
      </c>
      <c r="P3908">
        <v>5</v>
      </c>
      <c r="Q3908" t="s">
        <v>566</v>
      </c>
      <c r="R3908" s="8" t="s">
        <v>260</v>
      </c>
      <c r="S3908" t="str">
        <f t="shared" si="541"/>
        <v>PA</v>
      </c>
    </row>
    <row r="3909" spans="1:19" x14ac:dyDescent="0.3">
      <c r="A3909" t="s">
        <v>8</v>
      </c>
      <c r="B3909">
        <v>2016210024</v>
      </c>
      <c r="C3909" t="s">
        <v>82</v>
      </c>
      <c r="E3909" t="s">
        <v>157</v>
      </c>
      <c r="F3909" t="s">
        <v>158</v>
      </c>
      <c r="G3909">
        <v>2</v>
      </c>
      <c r="H3909" t="s">
        <v>438</v>
      </c>
      <c r="I3909" s="4">
        <f t="shared" si="542"/>
        <v>3</v>
      </c>
      <c r="J3909">
        <f t="shared" si="543"/>
        <v>6</v>
      </c>
      <c r="K3909">
        <v>42</v>
      </c>
      <c r="L3909">
        <v>16</v>
      </c>
      <c r="M3909" s="2">
        <v>2.63</v>
      </c>
      <c r="N3909">
        <v>2.35</v>
      </c>
      <c r="O3909">
        <v>0</v>
      </c>
      <c r="P3909">
        <v>3</v>
      </c>
      <c r="Q3909" t="s">
        <v>563</v>
      </c>
      <c r="R3909" s="8" t="s">
        <v>260</v>
      </c>
      <c r="S3909" t="str">
        <f t="shared" si="541"/>
        <v>PA</v>
      </c>
    </row>
    <row r="3910" spans="1:19" x14ac:dyDescent="0.3">
      <c r="A3910" t="s">
        <v>8</v>
      </c>
      <c r="B3910">
        <v>2016210024</v>
      </c>
      <c r="C3910" t="s">
        <v>82</v>
      </c>
      <c r="E3910" t="s">
        <v>227</v>
      </c>
      <c r="F3910" t="s">
        <v>228</v>
      </c>
      <c r="G3910">
        <v>2</v>
      </c>
      <c r="H3910" t="s">
        <v>438</v>
      </c>
      <c r="I3910" s="4">
        <f t="shared" si="542"/>
        <v>3</v>
      </c>
      <c r="J3910">
        <f t="shared" si="543"/>
        <v>6</v>
      </c>
      <c r="K3910">
        <v>42</v>
      </c>
      <c r="L3910">
        <v>16</v>
      </c>
      <c r="M3910" s="2">
        <v>2.63</v>
      </c>
      <c r="N3910">
        <v>2.35</v>
      </c>
      <c r="O3910">
        <v>0</v>
      </c>
      <c r="P3910">
        <v>3</v>
      </c>
      <c r="Q3910" t="s">
        <v>563</v>
      </c>
      <c r="R3910" s="8" t="s">
        <v>260</v>
      </c>
      <c r="S3910" t="str">
        <f t="shared" si="541"/>
        <v>PA</v>
      </c>
    </row>
    <row r="3911" spans="1:19" x14ac:dyDescent="0.3">
      <c r="A3911" t="s">
        <v>8</v>
      </c>
      <c r="B3911">
        <v>2016210024</v>
      </c>
      <c r="C3911" t="s">
        <v>82</v>
      </c>
      <c r="E3911" t="s">
        <v>369</v>
      </c>
      <c r="F3911" t="s">
        <v>307</v>
      </c>
      <c r="G3911">
        <v>2</v>
      </c>
      <c r="H3911" t="s">
        <v>524</v>
      </c>
      <c r="I3911" s="4">
        <f t="shared" si="542"/>
        <v>2</v>
      </c>
      <c r="J3911">
        <f t="shared" si="543"/>
        <v>4</v>
      </c>
      <c r="K3911">
        <v>50</v>
      </c>
      <c r="L3911">
        <v>20</v>
      </c>
      <c r="M3911" s="2">
        <v>2.5</v>
      </c>
      <c r="N3911">
        <v>2.35</v>
      </c>
      <c r="O3911">
        <v>0</v>
      </c>
      <c r="P3911">
        <v>4</v>
      </c>
      <c r="Q3911" t="s">
        <v>565</v>
      </c>
      <c r="R3911" s="8" t="s">
        <v>260</v>
      </c>
      <c r="S3911" t="str">
        <f t="shared" si="541"/>
        <v>PA</v>
      </c>
    </row>
    <row r="3912" spans="1:19" x14ac:dyDescent="0.3">
      <c r="A3912" t="s">
        <v>8</v>
      </c>
      <c r="B3912">
        <v>2016210024</v>
      </c>
      <c r="C3912" t="s">
        <v>82</v>
      </c>
      <c r="E3912" t="s">
        <v>515</v>
      </c>
      <c r="F3912" t="s">
        <v>78</v>
      </c>
      <c r="G3912">
        <v>2</v>
      </c>
      <c r="H3912" t="s">
        <v>524</v>
      </c>
      <c r="I3912" s="4">
        <f t="shared" si="542"/>
        <v>2</v>
      </c>
      <c r="J3912">
        <f t="shared" si="543"/>
        <v>4</v>
      </c>
      <c r="K3912">
        <v>14</v>
      </c>
      <c r="L3912">
        <v>12</v>
      </c>
      <c r="M3912" s="2">
        <v>1.17</v>
      </c>
      <c r="N3912">
        <v>2.35</v>
      </c>
      <c r="O3912">
        <v>0</v>
      </c>
      <c r="P3912">
        <v>7</v>
      </c>
      <c r="Q3912" t="s">
        <v>568</v>
      </c>
      <c r="R3912" s="8" t="s">
        <v>260</v>
      </c>
      <c r="S3912" t="str">
        <f t="shared" si="541"/>
        <v>PA</v>
      </c>
    </row>
    <row r="3913" spans="1:19" x14ac:dyDescent="0.3">
      <c r="A3913" t="s">
        <v>8</v>
      </c>
      <c r="B3913">
        <v>2016210024</v>
      </c>
      <c r="C3913" t="s">
        <v>82</v>
      </c>
      <c r="E3913" t="s">
        <v>213</v>
      </c>
      <c r="F3913" t="s">
        <v>214</v>
      </c>
      <c r="G3913">
        <v>4</v>
      </c>
      <c r="H3913" t="s">
        <v>524</v>
      </c>
      <c r="I3913" s="4">
        <f t="shared" si="542"/>
        <v>2</v>
      </c>
      <c r="J3913">
        <f t="shared" si="543"/>
        <v>8</v>
      </c>
      <c r="K3913">
        <v>40</v>
      </c>
      <c r="L3913">
        <v>14</v>
      </c>
      <c r="M3913" s="2">
        <v>2.86</v>
      </c>
      <c r="N3913">
        <v>2.35</v>
      </c>
      <c r="O3913">
        <v>0</v>
      </c>
      <c r="P3913">
        <v>5</v>
      </c>
      <c r="Q3913" t="s">
        <v>566</v>
      </c>
      <c r="R3913" s="8" t="s">
        <v>260</v>
      </c>
      <c r="S3913" t="str">
        <f t="shared" si="541"/>
        <v>PA</v>
      </c>
    </row>
    <row r="3914" spans="1:19" x14ac:dyDescent="0.3">
      <c r="A3914" t="s">
        <v>8</v>
      </c>
      <c r="B3914">
        <v>2016210024</v>
      </c>
      <c r="C3914" t="s">
        <v>82</v>
      </c>
      <c r="E3914" t="s">
        <v>112</v>
      </c>
      <c r="F3914" t="s">
        <v>113</v>
      </c>
      <c r="G3914">
        <v>4</v>
      </c>
      <c r="H3914" t="s">
        <v>524</v>
      </c>
      <c r="I3914" s="4">
        <f t="shared" si="542"/>
        <v>2</v>
      </c>
      <c r="J3914">
        <f t="shared" si="543"/>
        <v>8</v>
      </c>
      <c r="K3914">
        <v>42</v>
      </c>
      <c r="L3914">
        <v>16</v>
      </c>
      <c r="M3914" s="2">
        <v>2.63</v>
      </c>
      <c r="N3914">
        <v>2.35</v>
      </c>
      <c r="O3914">
        <v>0</v>
      </c>
      <c r="P3914">
        <v>3</v>
      </c>
      <c r="Q3914" t="s">
        <v>563</v>
      </c>
      <c r="R3914" s="8" t="s">
        <v>260</v>
      </c>
      <c r="S3914" t="str">
        <f t="shared" si="541"/>
        <v>PA</v>
      </c>
    </row>
    <row r="3915" spans="1:19" x14ac:dyDescent="0.3">
      <c r="A3915" t="s">
        <v>8</v>
      </c>
      <c r="B3915">
        <v>2016210024</v>
      </c>
      <c r="C3915" t="s">
        <v>82</v>
      </c>
      <c r="E3915" t="s">
        <v>449</v>
      </c>
      <c r="F3915" t="s">
        <v>460</v>
      </c>
      <c r="G3915">
        <v>4</v>
      </c>
      <c r="H3915" t="s">
        <v>524</v>
      </c>
      <c r="I3915" s="4">
        <f t="shared" si="542"/>
        <v>2</v>
      </c>
      <c r="J3915">
        <f t="shared" si="543"/>
        <v>8</v>
      </c>
      <c r="K3915">
        <v>50</v>
      </c>
      <c r="L3915">
        <v>20</v>
      </c>
      <c r="M3915" s="2">
        <v>2.5</v>
      </c>
      <c r="N3915">
        <v>2.35</v>
      </c>
      <c r="O3915">
        <v>0</v>
      </c>
      <c r="P3915">
        <v>4</v>
      </c>
      <c r="Q3915" t="s">
        <v>565</v>
      </c>
      <c r="R3915" s="8" t="s">
        <v>260</v>
      </c>
      <c r="S3915" t="str">
        <f t="shared" si="541"/>
        <v>PA</v>
      </c>
    </row>
    <row r="3916" spans="1:19" x14ac:dyDescent="0.3">
      <c r="A3916" t="s">
        <v>8</v>
      </c>
      <c r="B3916">
        <v>2016210024</v>
      </c>
      <c r="C3916" t="s">
        <v>82</v>
      </c>
      <c r="E3916" t="s">
        <v>246</v>
      </c>
      <c r="F3916" t="s">
        <v>247</v>
      </c>
      <c r="G3916">
        <v>4</v>
      </c>
      <c r="H3916" t="s">
        <v>524</v>
      </c>
      <c r="I3916" s="4">
        <f t="shared" si="542"/>
        <v>2</v>
      </c>
      <c r="J3916">
        <f t="shared" si="543"/>
        <v>8</v>
      </c>
      <c r="K3916">
        <v>50</v>
      </c>
      <c r="L3916">
        <v>20</v>
      </c>
      <c r="M3916" s="2">
        <v>2.5</v>
      </c>
      <c r="N3916">
        <v>2.35</v>
      </c>
      <c r="O3916">
        <v>0</v>
      </c>
      <c r="P3916">
        <v>4</v>
      </c>
      <c r="Q3916" t="s">
        <v>565</v>
      </c>
      <c r="R3916" s="8" t="s">
        <v>260</v>
      </c>
      <c r="S3916" t="str">
        <f t="shared" si="541"/>
        <v>PA</v>
      </c>
    </row>
    <row r="3917" spans="1:19" x14ac:dyDescent="0.3">
      <c r="A3917" t="s">
        <v>8</v>
      </c>
      <c r="B3917">
        <v>2016210024</v>
      </c>
      <c r="C3917" t="s">
        <v>82</v>
      </c>
      <c r="E3917" t="s">
        <v>115</v>
      </c>
      <c r="F3917" t="s">
        <v>116</v>
      </c>
      <c r="G3917">
        <v>4</v>
      </c>
      <c r="H3917" t="s">
        <v>524</v>
      </c>
      <c r="I3917" s="4">
        <f t="shared" si="542"/>
        <v>2</v>
      </c>
      <c r="J3917">
        <f t="shared" si="543"/>
        <v>8</v>
      </c>
      <c r="K3917">
        <v>28</v>
      </c>
      <c r="L3917">
        <v>18</v>
      </c>
      <c r="M3917" s="2">
        <v>1.56</v>
      </c>
      <c r="N3917">
        <v>2.35</v>
      </c>
      <c r="O3917">
        <v>0</v>
      </c>
      <c r="P3917">
        <v>2</v>
      </c>
      <c r="Q3917" t="s">
        <v>559</v>
      </c>
      <c r="R3917" s="8" t="s">
        <v>260</v>
      </c>
      <c r="S3917" t="str">
        <f t="shared" si="541"/>
        <v>PA</v>
      </c>
    </row>
    <row r="3918" spans="1:19" x14ac:dyDescent="0.3">
      <c r="A3918" t="s">
        <v>8</v>
      </c>
      <c r="B3918">
        <v>2016210024</v>
      </c>
      <c r="C3918" t="s">
        <v>82</v>
      </c>
      <c r="E3918" t="s">
        <v>110</v>
      </c>
      <c r="F3918" t="s">
        <v>111</v>
      </c>
      <c r="G3918">
        <v>4</v>
      </c>
      <c r="H3918" t="s">
        <v>524</v>
      </c>
      <c r="I3918" s="4">
        <f t="shared" si="542"/>
        <v>2</v>
      </c>
      <c r="J3918">
        <f t="shared" si="543"/>
        <v>8</v>
      </c>
      <c r="K3918">
        <v>50</v>
      </c>
      <c r="L3918">
        <v>20</v>
      </c>
      <c r="M3918" s="2">
        <v>2.5</v>
      </c>
      <c r="N3918">
        <v>2.35</v>
      </c>
      <c r="O3918">
        <v>0</v>
      </c>
      <c r="P3918">
        <v>1</v>
      </c>
      <c r="Q3918" t="s">
        <v>558</v>
      </c>
      <c r="R3918" s="8" t="s">
        <v>260</v>
      </c>
      <c r="S3918" t="str">
        <f t="shared" si="541"/>
        <v>PA</v>
      </c>
    </row>
    <row r="3919" spans="1:19" x14ac:dyDescent="0.3">
      <c r="A3919" t="s">
        <v>8</v>
      </c>
      <c r="B3919">
        <v>2016210024</v>
      </c>
      <c r="C3919" t="s">
        <v>82</v>
      </c>
      <c r="E3919" t="s">
        <v>238</v>
      </c>
      <c r="F3919" t="s">
        <v>239</v>
      </c>
      <c r="G3919">
        <v>4</v>
      </c>
      <c r="H3919" t="s">
        <v>524</v>
      </c>
      <c r="I3919" s="4">
        <f t="shared" si="542"/>
        <v>2</v>
      </c>
      <c r="J3919">
        <f t="shared" si="543"/>
        <v>8</v>
      </c>
      <c r="K3919">
        <v>16</v>
      </c>
      <c r="L3919">
        <v>6</v>
      </c>
      <c r="M3919" s="2">
        <v>2.67</v>
      </c>
      <c r="N3919">
        <v>2.35</v>
      </c>
      <c r="O3919">
        <v>0</v>
      </c>
      <c r="P3919">
        <v>6</v>
      </c>
      <c r="Q3919" t="s">
        <v>567</v>
      </c>
      <c r="R3919" s="8" t="s">
        <v>260</v>
      </c>
      <c r="S3919" t="str">
        <f t="shared" si="541"/>
        <v>PA</v>
      </c>
    </row>
    <row r="3920" spans="1:19" x14ac:dyDescent="0.3">
      <c r="A3920" t="s">
        <v>8</v>
      </c>
      <c r="B3920">
        <v>2016210024</v>
      </c>
      <c r="C3920" t="s">
        <v>82</v>
      </c>
      <c r="E3920" t="s">
        <v>105</v>
      </c>
      <c r="F3920" t="s">
        <v>106</v>
      </c>
      <c r="G3920">
        <v>2</v>
      </c>
      <c r="H3920" t="s">
        <v>524</v>
      </c>
      <c r="I3920" s="4">
        <f t="shared" si="542"/>
        <v>2</v>
      </c>
      <c r="J3920">
        <f t="shared" si="543"/>
        <v>4</v>
      </c>
      <c r="K3920">
        <v>42</v>
      </c>
      <c r="L3920">
        <v>16</v>
      </c>
      <c r="M3920" s="2">
        <v>2.63</v>
      </c>
      <c r="N3920">
        <v>2.35</v>
      </c>
      <c r="O3920">
        <v>0</v>
      </c>
      <c r="P3920">
        <v>3</v>
      </c>
      <c r="Q3920" t="s">
        <v>563</v>
      </c>
      <c r="R3920" s="8" t="s">
        <v>260</v>
      </c>
      <c r="S3920" t="str">
        <f t="shared" si="541"/>
        <v>PA</v>
      </c>
    </row>
    <row r="3921" spans="1:19" x14ac:dyDescent="0.3">
      <c r="A3921" t="s">
        <v>8</v>
      </c>
      <c r="B3921">
        <v>2016210024</v>
      </c>
      <c r="C3921" t="s">
        <v>82</v>
      </c>
      <c r="E3921" t="s">
        <v>185</v>
      </c>
      <c r="F3921" t="s">
        <v>186</v>
      </c>
      <c r="G3921">
        <v>4</v>
      </c>
      <c r="H3921" t="s">
        <v>535</v>
      </c>
      <c r="I3921" s="4">
        <f t="shared" si="542"/>
        <v>1</v>
      </c>
      <c r="J3921">
        <f t="shared" si="543"/>
        <v>4</v>
      </c>
      <c r="K3921">
        <v>14</v>
      </c>
      <c r="L3921">
        <v>12</v>
      </c>
      <c r="M3921" s="2">
        <v>1.17</v>
      </c>
      <c r="N3921">
        <v>2.35</v>
      </c>
      <c r="O3921">
        <v>0</v>
      </c>
      <c r="P3921">
        <v>7</v>
      </c>
      <c r="Q3921" t="s">
        <v>568</v>
      </c>
      <c r="R3921" s="8" t="s">
        <v>260</v>
      </c>
      <c r="S3921" t="str">
        <f t="shared" si="541"/>
        <v>FA</v>
      </c>
    </row>
    <row r="3922" spans="1:19" x14ac:dyDescent="0.3">
      <c r="A3922" t="s">
        <v>8</v>
      </c>
      <c r="B3922">
        <v>2016210024</v>
      </c>
      <c r="C3922" t="s">
        <v>82</v>
      </c>
      <c r="E3922" t="s">
        <v>44</v>
      </c>
      <c r="F3922" t="s">
        <v>45</v>
      </c>
      <c r="G3922">
        <v>2</v>
      </c>
      <c r="H3922" t="s">
        <v>535</v>
      </c>
      <c r="I3922" s="4">
        <f t="shared" si="542"/>
        <v>1</v>
      </c>
      <c r="J3922">
        <f t="shared" si="543"/>
        <v>2</v>
      </c>
      <c r="K3922">
        <v>28</v>
      </c>
      <c r="L3922">
        <v>18</v>
      </c>
      <c r="M3922" s="2">
        <v>1.56</v>
      </c>
      <c r="N3922">
        <v>2.35</v>
      </c>
      <c r="O3922">
        <v>0</v>
      </c>
      <c r="P3922">
        <v>2</v>
      </c>
      <c r="Q3922" t="s">
        <v>559</v>
      </c>
      <c r="R3922" s="8" t="s">
        <v>260</v>
      </c>
      <c r="S3922" t="str">
        <f t="shared" si="541"/>
        <v>FA</v>
      </c>
    </row>
    <row r="3923" spans="1:19" x14ac:dyDescent="0.3">
      <c r="A3923" t="s">
        <v>8</v>
      </c>
      <c r="B3923">
        <v>2016210024</v>
      </c>
      <c r="C3923" t="s">
        <v>82</v>
      </c>
      <c r="E3923" t="s">
        <v>44</v>
      </c>
      <c r="F3923" t="s">
        <v>45</v>
      </c>
      <c r="G3923">
        <v>2</v>
      </c>
      <c r="H3923" t="s">
        <v>438</v>
      </c>
      <c r="I3923" s="4">
        <f t="shared" si="542"/>
        <v>3</v>
      </c>
      <c r="J3923">
        <f t="shared" si="543"/>
        <v>6</v>
      </c>
      <c r="K3923">
        <v>26</v>
      </c>
      <c r="L3923">
        <v>10</v>
      </c>
      <c r="M3923" s="2">
        <v>2.6</v>
      </c>
      <c r="N3923">
        <v>2.35</v>
      </c>
      <c r="O3923">
        <v>1</v>
      </c>
      <c r="P3923">
        <v>8</v>
      </c>
      <c r="Q3923" s="4" t="s">
        <v>571</v>
      </c>
      <c r="R3923" s="8" t="s">
        <v>260</v>
      </c>
      <c r="S3923" t="str">
        <f t="shared" si="541"/>
        <v>PA</v>
      </c>
    </row>
    <row r="3924" spans="1:19" x14ac:dyDescent="0.3">
      <c r="A3924" t="s">
        <v>8</v>
      </c>
      <c r="B3924">
        <v>2016210024</v>
      </c>
      <c r="C3924" t="s">
        <v>82</v>
      </c>
      <c r="E3924" t="s">
        <v>250</v>
      </c>
      <c r="F3924" t="s">
        <v>429</v>
      </c>
      <c r="G3924">
        <v>2</v>
      </c>
      <c r="H3924" t="s">
        <v>535</v>
      </c>
      <c r="I3924" s="4">
        <f t="shared" si="542"/>
        <v>1</v>
      </c>
      <c r="J3924">
        <f t="shared" si="543"/>
        <v>2</v>
      </c>
      <c r="K3924">
        <v>6</v>
      </c>
      <c r="L3924">
        <v>6</v>
      </c>
      <c r="M3924" s="2">
        <v>1</v>
      </c>
      <c r="N3924">
        <v>2.35</v>
      </c>
      <c r="O3924">
        <v>0</v>
      </c>
      <c r="P3924">
        <v>8</v>
      </c>
      <c r="Q3924" t="s">
        <v>569</v>
      </c>
      <c r="R3924" s="8" t="s">
        <v>260</v>
      </c>
      <c r="S3924" t="str">
        <f t="shared" si="541"/>
        <v>FA</v>
      </c>
    </row>
    <row r="3925" spans="1:19" x14ac:dyDescent="0.3">
      <c r="A3925" t="s">
        <v>8</v>
      </c>
      <c r="B3925">
        <v>2016210024</v>
      </c>
      <c r="C3925" t="s">
        <v>82</v>
      </c>
      <c r="E3925" t="s">
        <v>395</v>
      </c>
      <c r="F3925" t="s">
        <v>396</v>
      </c>
      <c r="G3925">
        <v>2</v>
      </c>
      <c r="H3925" t="s">
        <v>535</v>
      </c>
      <c r="I3925" s="4">
        <f t="shared" si="542"/>
        <v>1</v>
      </c>
      <c r="J3925">
        <f t="shared" si="543"/>
        <v>2</v>
      </c>
      <c r="K3925">
        <v>50</v>
      </c>
      <c r="L3925">
        <v>20</v>
      </c>
      <c r="M3925" s="2">
        <v>2.5</v>
      </c>
      <c r="N3925">
        <v>2.35</v>
      </c>
      <c r="O3925">
        <v>0</v>
      </c>
      <c r="P3925">
        <v>1</v>
      </c>
      <c r="Q3925" t="s">
        <v>558</v>
      </c>
      <c r="R3925" s="8" t="s">
        <v>260</v>
      </c>
      <c r="S3925" t="str">
        <f t="shared" si="541"/>
        <v>FA</v>
      </c>
    </row>
    <row r="3926" spans="1:19" x14ac:dyDescent="0.3">
      <c r="A3926" t="s">
        <v>8</v>
      </c>
      <c r="B3926">
        <v>2016210024</v>
      </c>
      <c r="C3926" t="s">
        <v>82</v>
      </c>
      <c r="E3926" t="s">
        <v>395</v>
      </c>
      <c r="F3926" t="s">
        <v>396</v>
      </c>
      <c r="G3926">
        <v>2</v>
      </c>
      <c r="H3926" t="s">
        <v>438</v>
      </c>
      <c r="I3926" s="4">
        <f t="shared" si="542"/>
        <v>3</v>
      </c>
      <c r="J3926">
        <f t="shared" si="543"/>
        <v>6</v>
      </c>
      <c r="K3926">
        <v>26</v>
      </c>
      <c r="L3926">
        <v>10</v>
      </c>
      <c r="M3926" s="2">
        <v>2.6</v>
      </c>
      <c r="N3926">
        <v>2.35</v>
      </c>
      <c r="O3926">
        <v>1</v>
      </c>
      <c r="P3926">
        <v>8</v>
      </c>
      <c r="Q3926" s="4" t="s">
        <v>571</v>
      </c>
      <c r="R3926" s="8" t="s">
        <v>260</v>
      </c>
      <c r="S3926" t="str">
        <f t="shared" si="541"/>
        <v>PA</v>
      </c>
    </row>
    <row r="3927" spans="1:19" x14ac:dyDescent="0.3">
      <c r="A3927" t="s">
        <v>8</v>
      </c>
      <c r="B3927">
        <v>2016210024</v>
      </c>
      <c r="C3927" t="s">
        <v>82</v>
      </c>
      <c r="E3927" t="s">
        <v>222</v>
      </c>
      <c r="F3927" t="s">
        <v>223</v>
      </c>
      <c r="G3927">
        <v>2</v>
      </c>
      <c r="H3927" t="s">
        <v>539</v>
      </c>
      <c r="I3927" s="4">
        <f t="shared" si="542"/>
        <v>0</v>
      </c>
      <c r="J3927">
        <f t="shared" si="543"/>
        <v>0</v>
      </c>
      <c r="K3927">
        <v>6</v>
      </c>
      <c r="L3927">
        <v>6</v>
      </c>
      <c r="M3927" s="2">
        <v>1</v>
      </c>
      <c r="N3927">
        <v>2.35</v>
      </c>
      <c r="O3927">
        <v>0</v>
      </c>
      <c r="P3927">
        <v>8</v>
      </c>
      <c r="Q3927" t="s">
        <v>569</v>
      </c>
      <c r="R3927" s="8" t="s">
        <v>260</v>
      </c>
      <c r="S3927" t="str">
        <f t="shared" si="541"/>
        <v>FA</v>
      </c>
    </row>
    <row r="3928" spans="1:19" x14ac:dyDescent="0.3">
      <c r="A3928" t="s">
        <v>8</v>
      </c>
      <c r="B3928">
        <v>2016210024</v>
      </c>
      <c r="C3928" t="s">
        <v>82</v>
      </c>
      <c r="E3928" t="s">
        <v>219</v>
      </c>
      <c r="F3928" t="s">
        <v>220</v>
      </c>
      <c r="G3928">
        <v>2</v>
      </c>
      <c r="H3928" t="s">
        <v>539</v>
      </c>
      <c r="I3928" s="4">
        <f t="shared" si="542"/>
        <v>0</v>
      </c>
      <c r="J3928">
        <f t="shared" si="543"/>
        <v>0</v>
      </c>
      <c r="K3928">
        <v>0</v>
      </c>
      <c r="L3928">
        <v>8</v>
      </c>
      <c r="M3928" s="2">
        <v>0</v>
      </c>
      <c r="N3928">
        <v>2.35</v>
      </c>
      <c r="O3928">
        <v>0</v>
      </c>
      <c r="P3928">
        <v>9</v>
      </c>
      <c r="Q3928" s="4" t="str">
        <f t="shared" ref="Q3928:Q3929" si="544">IF(P3928=1,"2016/2017-Ganjil",IF(P3928=2,"2016/2017-Genap",IF(P3928=3,"2017/2018-Ganjil",IF(P3928=4,"2017/2018-Genap",IF(P3928=5,"2018/2019-Ganjil",IF(P3928=6,"2018/2019-Genap",IF(P3928=7,"2019/2020-Ganjil",IF(P3928=8,"2019/2020-Genap",IF(P3928=9,"2020/2021-Ganjil",IF(P3928=10,"2020/2021-Genap",IF(P3928=11,"2021/2022-Ganjil",IF(P3928=12,"2021/2022-Genap",IF(P3928=13,"2022/2023-Ganjil","2022/2023-Genap")))))))))))))</f>
        <v>2020/2021-Ganjil</v>
      </c>
      <c r="R3928" s="8" t="s">
        <v>535</v>
      </c>
      <c r="S3928" t="str">
        <f t="shared" si="541"/>
        <v>FA</v>
      </c>
    </row>
    <row r="3929" spans="1:19" x14ac:dyDescent="0.3">
      <c r="A3929" t="s">
        <v>8</v>
      </c>
      <c r="B3929">
        <v>2016210024</v>
      </c>
      <c r="C3929" t="s">
        <v>82</v>
      </c>
      <c r="E3929" t="s">
        <v>393</v>
      </c>
      <c r="F3929" t="s">
        <v>492</v>
      </c>
      <c r="G3929">
        <v>2</v>
      </c>
      <c r="H3929" t="s">
        <v>539</v>
      </c>
      <c r="I3929" s="4">
        <f t="shared" si="542"/>
        <v>0</v>
      </c>
      <c r="J3929">
        <f t="shared" si="543"/>
        <v>0</v>
      </c>
      <c r="K3929">
        <v>0</v>
      </c>
      <c r="L3929">
        <v>8</v>
      </c>
      <c r="M3929" s="2">
        <v>0</v>
      </c>
      <c r="N3929">
        <v>2.35</v>
      </c>
      <c r="O3929">
        <v>0</v>
      </c>
      <c r="P3929">
        <v>9</v>
      </c>
      <c r="Q3929" s="4" t="str">
        <f t="shared" si="544"/>
        <v>2020/2021-Ganjil</v>
      </c>
      <c r="R3929" s="8" t="s">
        <v>535</v>
      </c>
      <c r="S3929" t="str">
        <f t="shared" si="541"/>
        <v>FA</v>
      </c>
    </row>
    <row r="3930" spans="1:19" x14ac:dyDescent="0.3">
      <c r="A3930" t="s">
        <v>8</v>
      </c>
      <c r="B3930">
        <v>2016210024</v>
      </c>
      <c r="C3930" t="s">
        <v>82</v>
      </c>
      <c r="E3930" t="s">
        <v>77</v>
      </c>
      <c r="F3930" t="s">
        <v>78</v>
      </c>
      <c r="G3930">
        <v>2</v>
      </c>
      <c r="H3930" t="s">
        <v>539</v>
      </c>
      <c r="I3930" s="4">
        <f t="shared" si="542"/>
        <v>0</v>
      </c>
      <c r="J3930">
        <f t="shared" si="543"/>
        <v>0</v>
      </c>
      <c r="K3930">
        <v>50</v>
      </c>
      <c r="L3930">
        <v>20</v>
      </c>
      <c r="M3930" s="2">
        <v>2.5</v>
      </c>
      <c r="N3930">
        <v>2.35</v>
      </c>
      <c r="O3930">
        <v>0</v>
      </c>
      <c r="P3930">
        <v>1</v>
      </c>
      <c r="Q3930" t="s">
        <v>558</v>
      </c>
      <c r="R3930" s="8" t="s">
        <v>260</v>
      </c>
      <c r="S3930" t="str">
        <f t="shared" si="541"/>
        <v>FA</v>
      </c>
    </row>
    <row r="3931" spans="1:19" x14ac:dyDescent="0.3">
      <c r="A3931" t="s">
        <v>8</v>
      </c>
      <c r="B3931">
        <v>2016210024</v>
      </c>
      <c r="C3931" t="s">
        <v>82</v>
      </c>
      <c r="E3931" t="s">
        <v>22</v>
      </c>
      <c r="F3931" t="s">
        <v>23</v>
      </c>
      <c r="G3931">
        <v>2</v>
      </c>
      <c r="H3931" t="s">
        <v>539</v>
      </c>
      <c r="I3931" s="4">
        <f t="shared" si="542"/>
        <v>0</v>
      </c>
      <c r="J3931">
        <f t="shared" si="543"/>
        <v>0</v>
      </c>
      <c r="K3931">
        <v>28</v>
      </c>
      <c r="L3931">
        <v>18</v>
      </c>
      <c r="M3931" s="2">
        <v>1.56</v>
      </c>
      <c r="N3931">
        <v>2.35</v>
      </c>
      <c r="O3931">
        <v>0</v>
      </c>
      <c r="P3931">
        <v>2</v>
      </c>
      <c r="Q3931" t="s">
        <v>559</v>
      </c>
      <c r="R3931" s="8" t="s">
        <v>260</v>
      </c>
      <c r="S3931" t="str">
        <f t="shared" si="541"/>
        <v>FA</v>
      </c>
    </row>
    <row r="3932" spans="1:19" x14ac:dyDescent="0.3">
      <c r="A3932" t="s">
        <v>8</v>
      </c>
      <c r="B3932">
        <v>2016210024</v>
      </c>
      <c r="C3932" t="s">
        <v>82</v>
      </c>
      <c r="E3932" t="s">
        <v>22</v>
      </c>
      <c r="F3932" t="s">
        <v>23</v>
      </c>
      <c r="G3932">
        <v>2</v>
      </c>
      <c r="H3932" t="s">
        <v>438</v>
      </c>
      <c r="I3932" s="4">
        <f t="shared" si="542"/>
        <v>3</v>
      </c>
      <c r="J3932">
        <f t="shared" si="543"/>
        <v>6</v>
      </c>
      <c r="K3932">
        <v>26</v>
      </c>
      <c r="L3932">
        <v>10</v>
      </c>
      <c r="M3932" s="2">
        <v>2.6</v>
      </c>
      <c r="N3932">
        <v>2.35</v>
      </c>
      <c r="O3932">
        <v>1</v>
      </c>
      <c r="P3932">
        <v>8</v>
      </c>
      <c r="Q3932" s="4" t="s">
        <v>571</v>
      </c>
      <c r="R3932" s="8" t="s">
        <v>260</v>
      </c>
      <c r="S3932" t="str">
        <f t="shared" si="541"/>
        <v>PA</v>
      </c>
    </row>
    <row r="3933" spans="1:19" x14ac:dyDescent="0.3">
      <c r="A3933" t="s">
        <v>8</v>
      </c>
      <c r="B3933">
        <v>2016210024</v>
      </c>
      <c r="C3933" t="s">
        <v>82</v>
      </c>
      <c r="E3933" t="s">
        <v>401</v>
      </c>
      <c r="F3933" t="s">
        <v>258</v>
      </c>
      <c r="G3933">
        <v>4</v>
      </c>
      <c r="H3933" t="s">
        <v>539</v>
      </c>
      <c r="I3933" s="4">
        <f t="shared" si="542"/>
        <v>0</v>
      </c>
      <c r="J3933">
        <f t="shared" si="543"/>
        <v>0</v>
      </c>
      <c r="K3933">
        <v>14</v>
      </c>
      <c r="L3933">
        <v>12</v>
      </c>
      <c r="M3933" s="2">
        <v>1.17</v>
      </c>
      <c r="N3933">
        <v>2.35</v>
      </c>
      <c r="O3933">
        <v>0</v>
      </c>
      <c r="P3933">
        <v>7</v>
      </c>
      <c r="Q3933" t="s">
        <v>568</v>
      </c>
      <c r="R3933" s="8" t="s">
        <v>260</v>
      </c>
      <c r="S3933" t="str">
        <f t="shared" si="541"/>
        <v>FA</v>
      </c>
    </row>
    <row r="3934" spans="1:19" x14ac:dyDescent="0.3">
      <c r="A3934" t="s">
        <v>8</v>
      </c>
      <c r="B3934">
        <v>2016210024</v>
      </c>
      <c r="C3934" t="s">
        <v>82</v>
      </c>
      <c r="E3934" t="s">
        <v>401</v>
      </c>
      <c r="F3934" t="s">
        <v>258</v>
      </c>
      <c r="G3934">
        <v>4</v>
      </c>
      <c r="H3934" t="s">
        <v>539</v>
      </c>
      <c r="I3934" s="4">
        <f t="shared" si="542"/>
        <v>0</v>
      </c>
      <c r="J3934">
        <f t="shared" si="543"/>
        <v>0</v>
      </c>
      <c r="K3934">
        <v>0</v>
      </c>
      <c r="L3934">
        <v>8</v>
      </c>
      <c r="M3934" s="2">
        <v>0</v>
      </c>
      <c r="N3934">
        <v>2.35</v>
      </c>
      <c r="O3934">
        <v>1</v>
      </c>
      <c r="P3934">
        <v>9</v>
      </c>
      <c r="Q3934" s="4" t="str">
        <f>IF(P3934=1,"2016/2017-Ganjil",IF(P3934=2,"2016/2017-Genap",IF(P3934=3,"2017/2018-Ganjil",IF(P3934=4,"2017/2018-Genap",IF(P3934=5,"2018/2019-Ganjil",IF(P3934=6,"2018/2019-Genap",IF(P3934=7,"2019/2020-Ganjil",IF(P3934=8,"2019/2020-Genap",IF(P3934=9,"2020/2021-Ganjil",IF(P3934=10,"2020/2021-Genap",IF(P3934=11,"2021/2022-Ganjil",IF(P3934=12,"2021/2022-Genap",IF(P3934=13,"2022/2023-Ganjil","2022/2023-Genap")))))))))))))</f>
        <v>2020/2021-Ganjil</v>
      </c>
      <c r="R3934" s="8" t="s">
        <v>535</v>
      </c>
      <c r="S3934" t="str">
        <f t="shared" si="541"/>
        <v>FA</v>
      </c>
    </row>
    <row r="3935" spans="1:19" x14ac:dyDescent="0.3">
      <c r="A3935" t="s">
        <v>8</v>
      </c>
      <c r="B3935">
        <v>2016210024</v>
      </c>
      <c r="C3935" t="s">
        <v>82</v>
      </c>
      <c r="E3935" t="s">
        <v>125</v>
      </c>
      <c r="F3935" t="s">
        <v>126</v>
      </c>
      <c r="G3935">
        <v>4</v>
      </c>
      <c r="H3935" t="s">
        <v>539</v>
      </c>
      <c r="I3935" s="4">
        <f t="shared" si="542"/>
        <v>0</v>
      </c>
      <c r="J3935">
        <f t="shared" si="543"/>
        <v>0</v>
      </c>
      <c r="K3935">
        <v>28</v>
      </c>
      <c r="L3935">
        <v>18</v>
      </c>
      <c r="M3935" s="2">
        <v>1.56</v>
      </c>
      <c r="N3935">
        <v>2.35</v>
      </c>
      <c r="O3935">
        <v>0</v>
      </c>
      <c r="P3935">
        <v>2</v>
      </c>
      <c r="Q3935" t="s">
        <v>559</v>
      </c>
      <c r="R3935" s="8" t="s">
        <v>260</v>
      </c>
      <c r="S3935" t="str">
        <f t="shared" si="541"/>
        <v>FA</v>
      </c>
    </row>
    <row r="3936" spans="1:19" x14ac:dyDescent="0.3">
      <c r="A3936" t="s">
        <v>8</v>
      </c>
      <c r="B3936">
        <v>2016210024</v>
      </c>
      <c r="C3936" t="s">
        <v>82</v>
      </c>
      <c r="E3936" t="s">
        <v>125</v>
      </c>
      <c r="F3936" t="s">
        <v>126</v>
      </c>
      <c r="G3936">
        <v>4</v>
      </c>
      <c r="H3936" t="s">
        <v>524</v>
      </c>
      <c r="I3936" s="4">
        <f t="shared" si="542"/>
        <v>2</v>
      </c>
      <c r="J3936">
        <f t="shared" si="543"/>
        <v>8</v>
      </c>
      <c r="K3936">
        <v>26</v>
      </c>
      <c r="L3936">
        <v>10</v>
      </c>
      <c r="M3936" s="2">
        <v>2.6</v>
      </c>
      <c r="N3936">
        <v>2.35</v>
      </c>
      <c r="O3936">
        <v>1</v>
      </c>
      <c r="P3936">
        <v>8</v>
      </c>
      <c r="Q3936" s="4" t="s">
        <v>571</v>
      </c>
      <c r="R3936" s="8" t="s">
        <v>260</v>
      </c>
      <c r="S3936" t="str">
        <f t="shared" si="541"/>
        <v>PA</v>
      </c>
    </row>
    <row r="3937" spans="1:19" x14ac:dyDescent="0.3">
      <c r="A3937" t="s">
        <v>8</v>
      </c>
      <c r="B3937">
        <v>2016210025</v>
      </c>
      <c r="C3937" t="s">
        <v>9</v>
      </c>
      <c r="E3937" t="s">
        <v>10</v>
      </c>
      <c r="F3937" t="s">
        <v>11</v>
      </c>
      <c r="G3937">
        <v>2</v>
      </c>
      <c r="I3937" s="4"/>
      <c r="J3937">
        <f t="shared" si="535"/>
        <v>0</v>
      </c>
      <c r="K3937">
        <v>54</v>
      </c>
      <c r="L3937">
        <v>22</v>
      </c>
      <c r="M3937" s="2">
        <v>2.4500000000000002</v>
      </c>
      <c r="N3937">
        <v>3.23</v>
      </c>
      <c r="O3937">
        <v>0</v>
      </c>
      <c r="P3937">
        <v>6</v>
      </c>
      <c r="Q3937" t="s">
        <v>567</v>
      </c>
      <c r="R3937" s="8" t="s">
        <v>260</v>
      </c>
      <c r="S3937" t="s">
        <v>595</v>
      </c>
    </row>
    <row r="3938" spans="1:19" x14ac:dyDescent="0.3">
      <c r="A3938" t="s">
        <v>8</v>
      </c>
      <c r="B3938">
        <v>2016210025</v>
      </c>
      <c r="C3938" t="s">
        <v>9</v>
      </c>
      <c r="E3938" t="s">
        <v>17</v>
      </c>
      <c r="F3938" t="s">
        <v>11</v>
      </c>
      <c r="G3938">
        <v>2</v>
      </c>
      <c r="I3938" s="4"/>
      <c r="J3938">
        <f t="shared" ref="J3938:J3939" si="545">G3938*I3938</f>
        <v>0</v>
      </c>
      <c r="K3938">
        <v>16</v>
      </c>
      <c r="L3938">
        <v>8</v>
      </c>
      <c r="M3938" s="2">
        <v>2</v>
      </c>
      <c r="N3938">
        <v>3.23</v>
      </c>
      <c r="O3938">
        <v>0</v>
      </c>
      <c r="P3938">
        <v>7</v>
      </c>
      <c r="Q3938" t="s">
        <v>568</v>
      </c>
      <c r="R3938" s="8" t="s">
        <v>535</v>
      </c>
      <c r="S3938" t="s">
        <v>595</v>
      </c>
    </row>
    <row r="3939" spans="1:19" x14ac:dyDescent="0.3">
      <c r="A3939" t="s">
        <v>8</v>
      </c>
      <c r="B3939">
        <v>2016210025</v>
      </c>
      <c r="C3939" t="s">
        <v>9</v>
      </c>
      <c r="E3939" t="s">
        <v>105</v>
      </c>
      <c r="F3939" t="s">
        <v>106</v>
      </c>
      <c r="G3939">
        <v>2</v>
      </c>
      <c r="H3939" t="s">
        <v>260</v>
      </c>
      <c r="I3939" s="4">
        <f t="shared" ref="I3939" si="546">IF(H3939="A",4,IF(H3939="B",3,IF(H3939="C",2,IF(H3939="D",1,0))))</f>
        <v>4</v>
      </c>
      <c r="J3939">
        <f t="shared" si="545"/>
        <v>8</v>
      </c>
      <c r="K3939">
        <v>72</v>
      </c>
      <c r="L3939">
        <v>22</v>
      </c>
      <c r="M3939" s="2">
        <v>3.27</v>
      </c>
      <c r="N3939">
        <v>3.23</v>
      </c>
      <c r="O3939">
        <v>0</v>
      </c>
      <c r="P3939">
        <v>3</v>
      </c>
      <c r="Q3939" t="s">
        <v>563</v>
      </c>
      <c r="R3939" s="8" t="s">
        <v>260</v>
      </c>
      <c r="S3939" t="str">
        <f t="shared" ref="S3939:S3991" si="547">IF(OR(H3939="A",H3939="B",H3939="C"),"PA","FA")</f>
        <v>PA</v>
      </c>
    </row>
    <row r="3940" spans="1:19" x14ac:dyDescent="0.3">
      <c r="A3940" t="s">
        <v>8</v>
      </c>
      <c r="B3940">
        <v>2016210025</v>
      </c>
      <c r="C3940" t="s">
        <v>9</v>
      </c>
      <c r="E3940" t="s">
        <v>163</v>
      </c>
      <c r="F3940" t="s">
        <v>164</v>
      </c>
      <c r="G3940">
        <v>2</v>
      </c>
      <c r="H3940" t="s">
        <v>260</v>
      </c>
      <c r="I3940" s="4">
        <f t="shared" ref="I3940:I3991" si="548">IF(H3940="A",4,IF(H3940="B",3,IF(H3940="C",2,IF(H3940="D",1,0))))</f>
        <v>4</v>
      </c>
      <c r="J3940">
        <f t="shared" ref="J3940:J3991" si="549">G3940*I3940</f>
        <v>8</v>
      </c>
      <c r="K3940">
        <v>68</v>
      </c>
      <c r="L3940">
        <v>20</v>
      </c>
      <c r="M3940" s="2">
        <v>3.4</v>
      </c>
      <c r="N3940">
        <v>3.23</v>
      </c>
      <c r="O3940">
        <v>0</v>
      </c>
      <c r="P3940">
        <v>1</v>
      </c>
      <c r="Q3940" t="s">
        <v>558</v>
      </c>
      <c r="R3940" s="8" t="s">
        <v>260</v>
      </c>
      <c r="S3940" t="str">
        <f t="shared" si="547"/>
        <v>PA</v>
      </c>
    </row>
    <row r="3941" spans="1:19" x14ac:dyDescent="0.3">
      <c r="A3941" t="s">
        <v>8</v>
      </c>
      <c r="B3941">
        <v>2016210025</v>
      </c>
      <c r="C3941" t="s">
        <v>9</v>
      </c>
      <c r="E3941" t="s">
        <v>318</v>
      </c>
      <c r="F3941" t="s">
        <v>319</v>
      </c>
      <c r="G3941">
        <v>2</v>
      </c>
      <c r="H3941" t="s">
        <v>260</v>
      </c>
      <c r="I3941" s="4">
        <f t="shared" si="548"/>
        <v>4</v>
      </c>
      <c r="J3941">
        <f t="shared" si="549"/>
        <v>8</v>
      </c>
      <c r="K3941">
        <v>78</v>
      </c>
      <c r="L3941">
        <v>24</v>
      </c>
      <c r="M3941" s="2">
        <v>3.25</v>
      </c>
      <c r="N3941">
        <v>3.23</v>
      </c>
      <c r="O3941">
        <v>0</v>
      </c>
      <c r="P3941">
        <v>5</v>
      </c>
      <c r="Q3941" t="s">
        <v>566</v>
      </c>
      <c r="R3941" s="8" t="s">
        <v>260</v>
      </c>
      <c r="S3941" t="str">
        <f t="shared" si="547"/>
        <v>PA</v>
      </c>
    </row>
    <row r="3942" spans="1:19" x14ac:dyDescent="0.3">
      <c r="A3942" t="s">
        <v>8</v>
      </c>
      <c r="B3942">
        <v>2016210025</v>
      </c>
      <c r="C3942" t="s">
        <v>9</v>
      </c>
      <c r="E3942" t="s">
        <v>180</v>
      </c>
      <c r="F3942" t="s">
        <v>181</v>
      </c>
      <c r="G3942">
        <v>4</v>
      </c>
      <c r="H3942" t="s">
        <v>260</v>
      </c>
      <c r="I3942" s="4">
        <f t="shared" si="548"/>
        <v>4</v>
      </c>
      <c r="J3942">
        <f t="shared" si="549"/>
        <v>16</v>
      </c>
      <c r="K3942">
        <v>84</v>
      </c>
      <c r="L3942">
        <v>24</v>
      </c>
      <c r="M3942" s="2">
        <v>3.5</v>
      </c>
      <c r="N3942">
        <v>3.23</v>
      </c>
      <c r="O3942">
        <v>0</v>
      </c>
      <c r="P3942">
        <v>4</v>
      </c>
      <c r="Q3942" s="4" t="str">
        <f>IF(P3942=1,"2016/2017-Ganjil",IF(P3942=2,"2016/2017-Genap",IF(P3942=3,"2017/2018-Ganjil",IF(P3942=4,"2017/2018-Genap",IF(P3942=5,"2018/2019-Ganjil",IF(P3942=6,"2018/2019-Genap",IF(P3942=7,"2019/2020-Ganjil",IF(P3942=8,"2019/2020-Genap",IF(P3942=9,"2020/2021-Ganjil",IF(P3942=10,"2020/2021-Genap",IF(P3942=11,"2021/2022-Ganjil",IF(P3942=12,"2021/2022-Genap",IF(P3942=13,"2022/2023-Ganjil","2022/2023-Genap")))))))))))))</f>
        <v>2017/2018-Genap</v>
      </c>
      <c r="R3942" s="8" t="s">
        <v>260</v>
      </c>
      <c r="S3942" t="str">
        <f t="shared" si="547"/>
        <v>PA</v>
      </c>
    </row>
    <row r="3943" spans="1:19" x14ac:dyDescent="0.3">
      <c r="A3943" t="s">
        <v>8</v>
      </c>
      <c r="B3943">
        <v>2016210025</v>
      </c>
      <c r="C3943" t="s">
        <v>9</v>
      </c>
      <c r="E3943" t="s">
        <v>232</v>
      </c>
      <c r="F3943" t="s">
        <v>233</v>
      </c>
      <c r="G3943">
        <v>2</v>
      </c>
      <c r="H3943" t="s">
        <v>260</v>
      </c>
      <c r="I3943" s="4">
        <f t="shared" si="548"/>
        <v>4</v>
      </c>
      <c r="J3943">
        <f t="shared" si="549"/>
        <v>8</v>
      </c>
      <c r="K3943">
        <v>84</v>
      </c>
      <c r="L3943">
        <v>24</v>
      </c>
      <c r="M3943" s="2">
        <v>3.5</v>
      </c>
      <c r="N3943">
        <v>3.23</v>
      </c>
      <c r="O3943">
        <v>0</v>
      </c>
      <c r="P3943">
        <v>4</v>
      </c>
      <c r="Q3943" s="4" t="str">
        <f>IF(P3943=1,"2016/2017-Ganjil",IF(P3943=2,"2016/2017-Genap",IF(P3943=3,"2017/2018-Ganjil",IF(P3943=4,"2017/2018-Genap",IF(P3943=5,"2018/2019-Ganjil",IF(P3943=6,"2018/2019-Genap",IF(P3943=7,"2019/2020-Ganjil",IF(P3943=8,"2019/2020-Genap",IF(P3943=9,"2020/2021-Ganjil",IF(P3943=10,"2020/2021-Genap",IF(P3943=11,"2021/2022-Ganjil",IF(P3943=12,"2021/2022-Genap",IF(P3943=13,"2022/2023-Ganjil","2022/2023-Genap")))))))))))))</f>
        <v>2017/2018-Genap</v>
      </c>
      <c r="R3943" s="8" t="s">
        <v>260</v>
      </c>
      <c r="S3943" t="str">
        <f t="shared" si="547"/>
        <v>PA</v>
      </c>
    </row>
    <row r="3944" spans="1:19" x14ac:dyDescent="0.3">
      <c r="A3944" t="s">
        <v>8</v>
      </c>
      <c r="B3944">
        <v>2016210025</v>
      </c>
      <c r="C3944" t="s">
        <v>9</v>
      </c>
      <c r="E3944" t="s">
        <v>93</v>
      </c>
      <c r="F3944" t="s">
        <v>94</v>
      </c>
      <c r="G3944">
        <v>4</v>
      </c>
      <c r="H3944" t="s">
        <v>260</v>
      </c>
      <c r="I3944" s="4">
        <f t="shared" si="548"/>
        <v>4</v>
      </c>
      <c r="J3944">
        <f t="shared" si="549"/>
        <v>16</v>
      </c>
      <c r="K3944">
        <v>72</v>
      </c>
      <c r="L3944">
        <v>22</v>
      </c>
      <c r="M3944" s="2">
        <v>3.27</v>
      </c>
      <c r="N3944">
        <v>3.23</v>
      </c>
      <c r="O3944">
        <v>0</v>
      </c>
      <c r="P3944">
        <v>3</v>
      </c>
      <c r="Q3944" t="s">
        <v>563</v>
      </c>
      <c r="R3944" s="8" t="s">
        <v>260</v>
      </c>
      <c r="S3944" t="str">
        <f t="shared" si="547"/>
        <v>PA</v>
      </c>
    </row>
    <row r="3945" spans="1:19" x14ac:dyDescent="0.3">
      <c r="A3945" t="s">
        <v>8</v>
      </c>
      <c r="B3945">
        <v>2016210025</v>
      </c>
      <c r="C3945" t="s">
        <v>9</v>
      </c>
      <c r="E3945" t="s">
        <v>77</v>
      </c>
      <c r="F3945" t="s">
        <v>78</v>
      </c>
      <c r="G3945">
        <v>2</v>
      </c>
      <c r="H3945" t="s">
        <v>260</v>
      </c>
      <c r="I3945" s="4">
        <f t="shared" si="548"/>
        <v>4</v>
      </c>
      <c r="J3945">
        <f t="shared" si="549"/>
        <v>8</v>
      </c>
      <c r="K3945">
        <v>68</v>
      </c>
      <c r="L3945">
        <v>20</v>
      </c>
      <c r="M3945" s="2">
        <v>3.4</v>
      </c>
      <c r="N3945">
        <v>3.23</v>
      </c>
      <c r="O3945">
        <v>0</v>
      </c>
      <c r="P3945">
        <v>1</v>
      </c>
      <c r="Q3945" t="s">
        <v>558</v>
      </c>
      <c r="R3945" s="8" t="s">
        <v>260</v>
      </c>
      <c r="S3945" t="str">
        <f t="shared" si="547"/>
        <v>PA</v>
      </c>
    </row>
    <row r="3946" spans="1:19" x14ac:dyDescent="0.3">
      <c r="A3946" t="s">
        <v>8</v>
      </c>
      <c r="B3946">
        <v>2016210025</v>
      </c>
      <c r="C3946" t="s">
        <v>9</v>
      </c>
      <c r="E3946" t="s">
        <v>176</v>
      </c>
      <c r="F3946" t="s">
        <v>177</v>
      </c>
      <c r="G3946">
        <v>4</v>
      </c>
      <c r="H3946" t="s">
        <v>260</v>
      </c>
      <c r="I3946" s="4">
        <f t="shared" si="548"/>
        <v>4</v>
      </c>
      <c r="J3946">
        <f t="shared" si="549"/>
        <v>16</v>
      </c>
      <c r="K3946">
        <v>78</v>
      </c>
      <c r="L3946">
        <v>24</v>
      </c>
      <c r="M3946" s="2">
        <v>3.25</v>
      </c>
      <c r="N3946">
        <v>3.23</v>
      </c>
      <c r="O3946">
        <v>0</v>
      </c>
      <c r="P3946">
        <v>5</v>
      </c>
      <c r="Q3946" t="s">
        <v>566</v>
      </c>
      <c r="R3946" s="8" t="s">
        <v>260</v>
      </c>
      <c r="S3946" t="str">
        <f t="shared" si="547"/>
        <v>PA</v>
      </c>
    </row>
    <row r="3947" spans="1:19" x14ac:dyDescent="0.3">
      <c r="A3947" t="s">
        <v>8</v>
      </c>
      <c r="B3947">
        <v>2016210025</v>
      </c>
      <c r="C3947" t="s">
        <v>9</v>
      </c>
      <c r="E3947" t="s">
        <v>202</v>
      </c>
      <c r="F3947" t="s">
        <v>203</v>
      </c>
      <c r="G3947">
        <v>4</v>
      </c>
      <c r="H3947" t="s">
        <v>260</v>
      </c>
      <c r="I3947" s="4">
        <f t="shared" si="548"/>
        <v>4</v>
      </c>
      <c r="J3947">
        <f t="shared" si="549"/>
        <v>16</v>
      </c>
      <c r="K3947">
        <v>68</v>
      </c>
      <c r="L3947">
        <v>20</v>
      </c>
      <c r="M3947" s="2">
        <v>3.4</v>
      </c>
      <c r="N3947">
        <v>3.23</v>
      </c>
      <c r="O3947">
        <v>0</v>
      </c>
      <c r="P3947">
        <v>1</v>
      </c>
      <c r="Q3947" t="s">
        <v>558</v>
      </c>
      <c r="R3947" s="8" t="s">
        <v>260</v>
      </c>
      <c r="S3947" t="str">
        <f t="shared" si="547"/>
        <v>PA</v>
      </c>
    </row>
    <row r="3948" spans="1:19" x14ac:dyDescent="0.3">
      <c r="A3948" t="s">
        <v>8</v>
      </c>
      <c r="B3948">
        <v>2016210025</v>
      </c>
      <c r="C3948" t="s">
        <v>9</v>
      </c>
      <c r="E3948" t="s">
        <v>157</v>
      </c>
      <c r="F3948" t="s">
        <v>158</v>
      </c>
      <c r="G3948">
        <v>2</v>
      </c>
      <c r="H3948" t="s">
        <v>260</v>
      </c>
      <c r="I3948" s="4">
        <f t="shared" si="548"/>
        <v>4</v>
      </c>
      <c r="J3948">
        <f t="shared" si="549"/>
        <v>8</v>
      </c>
      <c r="K3948">
        <v>72</v>
      </c>
      <c r="L3948">
        <v>22</v>
      </c>
      <c r="M3948" s="2">
        <v>3.27</v>
      </c>
      <c r="N3948">
        <v>3.23</v>
      </c>
      <c r="O3948">
        <v>0</v>
      </c>
      <c r="P3948">
        <v>3</v>
      </c>
      <c r="Q3948" t="s">
        <v>563</v>
      </c>
      <c r="R3948" s="8" t="s">
        <v>260</v>
      </c>
      <c r="S3948" t="str">
        <f t="shared" si="547"/>
        <v>PA</v>
      </c>
    </row>
    <row r="3949" spans="1:19" x14ac:dyDescent="0.3">
      <c r="A3949" t="s">
        <v>8</v>
      </c>
      <c r="B3949">
        <v>2016210025</v>
      </c>
      <c r="C3949" t="s">
        <v>9</v>
      </c>
      <c r="E3949" t="s">
        <v>242</v>
      </c>
      <c r="F3949" t="s">
        <v>166</v>
      </c>
      <c r="G3949">
        <v>2</v>
      </c>
      <c r="H3949" t="s">
        <v>260</v>
      </c>
      <c r="I3949" s="4">
        <f t="shared" si="548"/>
        <v>4</v>
      </c>
      <c r="J3949">
        <f t="shared" si="549"/>
        <v>8</v>
      </c>
      <c r="K3949">
        <v>84</v>
      </c>
      <c r="L3949">
        <v>24</v>
      </c>
      <c r="M3949" s="2">
        <v>3.5</v>
      </c>
      <c r="N3949">
        <v>3.23</v>
      </c>
      <c r="O3949">
        <v>0</v>
      </c>
      <c r="P3949">
        <v>4</v>
      </c>
      <c r="Q3949" s="4" t="str">
        <f>IF(P3949=1,"2016/2017-Ganjil",IF(P3949=2,"2016/2017-Genap",IF(P3949=3,"2017/2018-Ganjil",IF(P3949=4,"2017/2018-Genap",IF(P3949=5,"2018/2019-Ganjil",IF(P3949=6,"2018/2019-Genap",IF(P3949=7,"2019/2020-Ganjil",IF(P3949=8,"2019/2020-Genap",IF(P3949=9,"2020/2021-Ganjil",IF(P3949=10,"2020/2021-Genap",IF(P3949=11,"2021/2022-Ganjil",IF(P3949=12,"2021/2022-Genap",IF(P3949=13,"2022/2023-Ganjil","2022/2023-Genap")))))))))))))</f>
        <v>2017/2018-Genap</v>
      </c>
      <c r="R3949" s="8" t="s">
        <v>260</v>
      </c>
      <c r="S3949" t="str">
        <f t="shared" si="547"/>
        <v>PA</v>
      </c>
    </row>
    <row r="3950" spans="1:19" x14ac:dyDescent="0.3">
      <c r="A3950" t="s">
        <v>8</v>
      </c>
      <c r="B3950">
        <v>2016210025</v>
      </c>
      <c r="C3950" t="s">
        <v>9</v>
      </c>
      <c r="E3950" t="s">
        <v>266</v>
      </c>
      <c r="F3950" t="s">
        <v>91</v>
      </c>
      <c r="G3950">
        <v>2</v>
      </c>
      <c r="H3950" t="s">
        <v>260</v>
      </c>
      <c r="I3950" s="4">
        <f t="shared" si="548"/>
        <v>4</v>
      </c>
      <c r="J3950">
        <f t="shared" si="549"/>
        <v>8</v>
      </c>
      <c r="K3950">
        <v>52</v>
      </c>
      <c r="L3950">
        <v>18</v>
      </c>
      <c r="M3950" s="2">
        <v>2.89</v>
      </c>
      <c r="N3950">
        <v>3.23</v>
      </c>
      <c r="O3950">
        <v>0</v>
      </c>
      <c r="P3950">
        <v>2</v>
      </c>
      <c r="Q3950" t="s">
        <v>559</v>
      </c>
      <c r="R3950" s="8" t="s">
        <v>260</v>
      </c>
      <c r="S3950" t="str">
        <f t="shared" si="547"/>
        <v>PA</v>
      </c>
    </row>
    <row r="3951" spans="1:19" x14ac:dyDescent="0.3">
      <c r="A3951" t="s">
        <v>8</v>
      </c>
      <c r="B3951">
        <v>2016210025</v>
      </c>
      <c r="C3951" t="s">
        <v>9</v>
      </c>
      <c r="E3951" t="s">
        <v>246</v>
      </c>
      <c r="F3951" t="s">
        <v>247</v>
      </c>
      <c r="G3951">
        <v>4</v>
      </c>
      <c r="H3951" t="s">
        <v>260</v>
      </c>
      <c r="I3951" s="4">
        <f t="shared" si="548"/>
        <v>4</v>
      </c>
      <c r="J3951">
        <f t="shared" si="549"/>
        <v>16</v>
      </c>
      <c r="K3951">
        <v>84</v>
      </c>
      <c r="L3951">
        <v>24</v>
      </c>
      <c r="M3951" s="2">
        <v>3.5</v>
      </c>
      <c r="N3951">
        <v>3.23</v>
      </c>
      <c r="O3951">
        <v>0</v>
      </c>
      <c r="P3951">
        <v>4</v>
      </c>
      <c r="Q3951" s="4" t="str">
        <f t="shared" ref="Q3951:Q3952" si="550">IF(P3951=1,"2016/2017-Ganjil",IF(P3951=2,"2016/2017-Genap",IF(P3951=3,"2017/2018-Ganjil",IF(P3951=4,"2017/2018-Genap",IF(P3951=5,"2018/2019-Ganjil",IF(P3951=6,"2018/2019-Genap",IF(P3951=7,"2019/2020-Ganjil",IF(P3951=8,"2019/2020-Genap",IF(P3951=9,"2020/2021-Ganjil",IF(P3951=10,"2020/2021-Genap",IF(P3951=11,"2021/2022-Ganjil",IF(P3951=12,"2021/2022-Genap",IF(P3951=13,"2022/2023-Ganjil","2022/2023-Genap")))))))))))))</f>
        <v>2017/2018-Genap</v>
      </c>
      <c r="R3951" s="8" t="s">
        <v>260</v>
      </c>
      <c r="S3951" t="str">
        <f t="shared" si="547"/>
        <v>PA</v>
      </c>
    </row>
    <row r="3952" spans="1:19" x14ac:dyDescent="0.3">
      <c r="A3952" t="s">
        <v>8</v>
      </c>
      <c r="B3952">
        <v>2016210025</v>
      </c>
      <c r="C3952" t="s">
        <v>9</v>
      </c>
      <c r="E3952" t="s">
        <v>216</v>
      </c>
      <c r="F3952" t="s">
        <v>217</v>
      </c>
      <c r="G3952">
        <v>2</v>
      </c>
      <c r="H3952" t="s">
        <v>260</v>
      </c>
      <c r="I3952" s="4">
        <f t="shared" si="548"/>
        <v>4</v>
      </c>
      <c r="J3952">
        <f t="shared" si="549"/>
        <v>8</v>
      </c>
      <c r="K3952">
        <v>84</v>
      </c>
      <c r="L3952">
        <v>24</v>
      </c>
      <c r="M3952" s="2">
        <v>3.5</v>
      </c>
      <c r="N3952">
        <v>3.23</v>
      </c>
      <c r="O3952">
        <v>0</v>
      </c>
      <c r="P3952">
        <v>4</v>
      </c>
      <c r="Q3952" s="4" t="str">
        <f t="shared" si="550"/>
        <v>2017/2018-Genap</v>
      </c>
      <c r="R3952" s="8" t="s">
        <v>260</v>
      </c>
      <c r="S3952" t="str">
        <f t="shared" si="547"/>
        <v>PA</v>
      </c>
    </row>
    <row r="3953" spans="1:19" x14ac:dyDescent="0.3">
      <c r="A3953" t="s">
        <v>8</v>
      </c>
      <c r="B3953">
        <v>2016210025</v>
      </c>
      <c r="C3953" t="s">
        <v>9</v>
      </c>
      <c r="E3953" t="s">
        <v>597</v>
      </c>
      <c r="F3953" t="s">
        <v>275</v>
      </c>
      <c r="G3953">
        <v>2</v>
      </c>
      <c r="H3953" t="s">
        <v>260</v>
      </c>
      <c r="I3953" s="4">
        <f t="shared" si="548"/>
        <v>4</v>
      </c>
      <c r="J3953">
        <f t="shared" si="549"/>
        <v>8</v>
      </c>
      <c r="K3953">
        <v>54</v>
      </c>
      <c r="L3953">
        <v>22</v>
      </c>
      <c r="M3953" s="2">
        <v>2.4500000000000002</v>
      </c>
      <c r="N3953">
        <v>3.23</v>
      </c>
      <c r="O3953">
        <v>0</v>
      </c>
      <c r="P3953">
        <v>6</v>
      </c>
      <c r="Q3953" t="s">
        <v>567</v>
      </c>
      <c r="R3953" s="8" t="s">
        <v>260</v>
      </c>
      <c r="S3953" t="str">
        <f t="shared" si="547"/>
        <v>PA</v>
      </c>
    </row>
    <row r="3954" spans="1:19" x14ac:dyDescent="0.3">
      <c r="A3954" t="s">
        <v>8</v>
      </c>
      <c r="B3954">
        <v>2016210025</v>
      </c>
      <c r="C3954" t="s">
        <v>9</v>
      </c>
      <c r="E3954" t="s">
        <v>147</v>
      </c>
      <c r="F3954" t="s">
        <v>148</v>
      </c>
      <c r="G3954">
        <v>4</v>
      </c>
      <c r="H3954" t="s">
        <v>438</v>
      </c>
      <c r="I3954" s="4">
        <f t="shared" si="548"/>
        <v>3</v>
      </c>
      <c r="J3954">
        <f t="shared" si="549"/>
        <v>12</v>
      </c>
      <c r="K3954">
        <v>68</v>
      </c>
      <c r="L3954">
        <v>20</v>
      </c>
      <c r="M3954" s="2">
        <v>3.4</v>
      </c>
      <c r="N3954">
        <v>3.23</v>
      </c>
      <c r="O3954">
        <v>0</v>
      </c>
      <c r="P3954">
        <v>1</v>
      </c>
      <c r="Q3954" t="s">
        <v>558</v>
      </c>
      <c r="R3954" s="8" t="s">
        <v>260</v>
      </c>
      <c r="S3954" t="str">
        <f t="shared" si="547"/>
        <v>PA</v>
      </c>
    </row>
    <row r="3955" spans="1:19" x14ac:dyDescent="0.3">
      <c r="A3955" t="s">
        <v>8</v>
      </c>
      <c r="B3955">
        <v>2016210025</v>
      </c>
      <c r="C3955" t="s">
        <v>9</v>
      </c>
      <c r="E3955" t="s">
        <v>407</v>
      </c>
      <c r="F3955" t="s">
        <v>312</v>
      </c>
      <c r="G3955">
        <v>2</v>
      </c>
      <c r="H3955" t="s">
        <v>438</v>
      </c>
      <c r="I3955" s="4">
        <f t="shared" si="548"/>
        <v>3</v>
      </c>
      <c r="J3955">
        <f t="shared" si="549"/>
        <v>6</v>
      </c>
      <c r="K3955">
        <v>78</v>
      </c>
      <c r="L3955">
        <v>24</v>
      </c>
      <c r="M3955" s="2">
        <v>3.25</v>
      </c>
      <c r="N3955">
        <v>3.23</v>
      </c>
      <c r="O3955">
        <v>0</v>
      </c>
      <c r="P3955">
        <v>5</v>
      </c>
      <c r="Q3955" t="s">
        <v>566</v>
      </c>
      <c r="R3955" s="8" t="s">
        <v>260</v>
      </c>
      <c r="S3955" t="str">
        <f t="shared" si="547"/>
        <v>PA</v>
      </c>
    </row>
    <row r="3956" spans="1:19" x14ac:dyDescent="0.3">
      <c r="A3956" t="s">
        <v>8</v>
      </c>
      <c r="B3956">
        <v>2016210025</v>
      </c>
      <c r="C3956" t="s">
        <v>9</v>
      </c>
      <c r="E3956" t="s">
        <v>449</v>
      </c>
      <c r="F3956" t="s">
        <v>460</v>
      </c>
      <c r="G3956">
        <v>4</v>
      </c>
      <c r="H3956" t="s">
        <v>438</v>
      </c>
      <c r="I3956" s="4">
        <f t="shared" si="548"/>
        <v>3</v>
      </c>
      <c r="J3956">
        <f t="shared" si="549"/>
        <v>12</v>
      </c>
      <c r="K3956">
        <v>84</v>
      </c>
      <c r="L3956">
        <v>24</v>
      </c>
      <c r="M3956" s="2">
        <v>3.5</v>
      </c>
      <c r="N3956">
        <v>3.23</v>
      </c>
      <c r="O3956">
        <v>0</v>
      </c>
      <c r="P3956">
        <v>4</v>
      </c>
      <c r="Q3956" s="4" t="str">
        <f>IF(P3956=1,"2016/2017-Ganjil",IF(P3956=2,"2016/2017-Genap",IF(P3956=3,"2017/2018-Ganjil",IF(P3956=4,"2017/2018-Genap",IF(P3956=5,"2018/2019-Ganjil",IF(P3956=6,"2018/2019-Genap",IF(P3956=7,"2019/2020-Ganjil",IF(P3956=8,"2019/2020-Genap",IF(P3956=9,"2020/2021-Ganjil",IF(P3956=10,"2020/2021-Genap",IF(P3956=11,"2021/2022-Ganjil",IF(P3956=12,"2021/2022-Genap",IF(P3956=13,"2022/2023-Ganjil","2022/2023-Genap")))))))))))))</f>
        <v>2017/2018-Genap</v>
      </c>
      <c r="R3956" s="8" t="s">
        <v>260</v>
      </c>
      <c r="S3956" t="str">
        <f t="shared" si="547"/>
        <v>PA</v>
      </c>
    </row>
    <row r="3957" spans="1:19" x14ac:dyDescent="0.3">
      <c r="A3957" t="s">
        <v>8</v>
      </c>
      <c r="B3957">
        <v>2016210025</v>
      </c>
      <c r="C3957" t="s">
        <v>9</v>
      </c>
      <c r="E3957" t="s">
        <v>22</v>
      </c>
      <c r="F3957" t="s">
        <v>23</v>
      </c>
      <c r="G3957">
        <v>2</v>
      </c>
      <c r="H3957" t="s">
        <v>438</v>
      </c>
      <c r="I3957" s="4">
        <f t="shared" si="548"/>
        <v>3</v>
      </c>
      <c r="J3957">
        <f t="shared" si="549"/>
        <v>6</v>
      </c>
      <c r="K3957">
        <v>52</v>
      </c>
      <c r="L3957">
        <v>18</v>
      </c>
      <c r="M3957" s="2">
        <v>2.89</v>
      </c>
      <c r="N3957">
        <v>3.23</v>
      </c>
      <c r="O3957">
        <v>0</v>
      </c>
      <c r="P3957">
        <v>2</v>
      </c>
      <c r="Q3957" t="s">
        <v>559</v>
      </c>
      <c r="R3957" s="8" t="s">
        <v>260</v>
      </c>
      <c r="S3957" t="str">
        <f t="shared" si="547"/>
        <v>PA</v>
      </c>
    </row>
    <row r="3958" spans="1:19" x14ac:dyDescent="0.3">
      <c r="A3958" t="s">
        <v>8</v>
      </c>
      <c r="B3958">
        <v>2016210025</v>
      </c>
      <c r="C3958" t="s">
        <v>9</v>
      </c>
      <c r="E3958" t="s">
        <v>238</v>
      </c>
      <c r="F3958" t="s">
        <v>239</v>
      </c>
      <c r="G3958">
        <v>4</v>
      </c>
      <c r="H3958" t="s">
        <v>438</v>
      </c>
      <c r="I3958" s="4">
        <f t="shared" si="548"/>
        <v>3</v>
      </c>
      <c r="J3958">
        <f t="shared" si="549"/>
        <v>12</v>
      </c>
      <c r="K3958">
        <v>54</v>
      </c>
      <c r="L3958">
        <v>22</v>
      </c>
      <c r="M3958" s="2">
        <v>2.4500000000000002</v>
      </c>
      <c r="N3958">
        <v>3.23</v>
      </c>
      <c r="O3958">
        <v>0</v>
      </c>
      <c r="P3958">
        <v>6</v>
      </c>
      <c r="Q3958" t="s">
        <v>567</v>
      </c>
      <c r="R3958" s="8" t="s">
        <v>260</v>
      </c>
      <c r="S3958" t="str">
        <f t="shared" si="547"/>
        <v>PA</v>
      </c>
    </row>
    <row r="3959" spans="1:19" x14ac:dyDescent="0.3">
      <c r="A3959" t="s">
        <v>8</v>
      </c>
      <c r="B3959">
        <v>2016210025</v>
      </c>
      <c r="C3959" t="s">
        <v>9</v>
      </c>
      <c r="E3959" t="s">
        <v>279</v>
      </c>
      <c r="F3959" t="s">
        <v>280</v>
      </c>
      <c r="G3959">
        <v>2</v>
      </c>
      <c r="H3959" t="s">
        <v>438</v>
      </c>
      <c r="I3959" s="4">
        <f t="shared" si="548"/>
        <v>3</v>
      </c>
      <c r="J3959">
        <f t="shared" si="549"/>
        <v>6</v>
      </c>
      <c r="K3959">
        <v>52</v>
      </c>
      <c r="L3959">
        <v>18</v>
      </c>
      <c r="M3959" s="2">
        <v>2.89</v>
      </c>
      <c r="N3959">
        <v>3.23</v>
      </c>
      <c r="O3959">
        <v>0</v>
      </c>
      <c r="P3959">
        <v>2</v>
      </c>
      <c r="Q3959" t="s">
        <v>559</v>
      </c>
      <c r="R3959" s="8" t="s">
        <v>260</v>
      </c>
      <c r="S3959" t="str">
        <f t="shared" si="547"/>
        <v>PA</v>
      </c>
    </row>
    <row r="3960" spans="1:19" x14ac:dyDescent="0.3">
      <c r="A3960" t="s">
        <v>8</v>
      </c>
      <c r="B3960">
        <v>2016210025</v>
      </c>
      <c r="C3960" t="s">
        <v>9</v>
      </c>
      <c r="E3960" t="s">
        <v>355</v>
      </c>
      <c r="F3960" t="s">
        <v>274</v>
      </c>
      <c r="G3960">
        <v>2</v>
      </c>
      <c r="H3960" t="s">
        <v>438</v>
      </c>
      <c r="I3960" s="4">
        <f t="shared" si="548"/>
        <v>3</v>
      </c>
      <c r="J3960">
        <f t="shared" si="549"/>
        <v>6</v>
      </c>
      <c r="K3960">
        <v>84</v>
      </c>
      <c r="L3960">
        <v>24</v>
      </c>
      <c r="M3960" s="2">
        <v>3.5</v>
      </c>
      <c r="N3960">
        <v>3.23</v>
      </c>
      <c r="O3960">
        <v>0</v>
      </c>
      <c r="P3960">
        <v>4</v>
      </c>
      <c r="Q3960" s="4" t="str">
        <f>IF(P3960=1,"2016/2017-Ganjil",IF(P3960=2,"2016/2017-Genap",IF(P3960=3,"2017/2018-Ganjil",IF(P3960=4,"2017/2018-Genap",IF(P3960=5,"2018/2019-Ganjil",IF(P3960=6,"2018/2019-Genap",IF(P3960=7,"2019/2020-Ganjil",IF(P3960=8,"2019/2020-Genap",IF(P3960=9,"2020/2021-Ganjil",IF(P3960=10,"2020/2021-Genap",IF(P3960=11,"2021/2022-Ganjil",IF(P3960=12,"2021/2022-Genap",IF(P3960=13,"2022/2023-Ganjil","2022/2023-Genap")))))))))))))</f>
        <v>2017/2018-Genap</v>
      </c>
      <c r="R3960" s="8" t="s">
        <v>260</v>
      </c>
      <c r="S3960" t="str">
        <f t="shared" si="547"/>
        <v>PA</v>
      </c>
    </row>
    <row r="3961" spans="1:19" x14ac:dyDescent="0.3">
      <c r="A3961" t="s">
        <v>8</v>
      </c>
      <c r="B3961">
        <v>2016210025</v>
      </c>
      <c r="C3961" t="s">
        <v>9</v>
      </c>
      <c r="E3961" t="s">
        <v>115</v>
      </c>
      <c r="F3961" t="s">
        <v>116</v>
      </c>
      <c r="G3961">
        <v>4</v>
      </c>
      <c r="H3961" t="s">
        <v>438</v>
      </c>
      <c r="I3961" s="4">
        <f t="shared" si="548"/>
        <v>3</v>
      </c>
      <c r="J3961">
        <f t="shared" si="549"/>
        <v>12</v>
      </c>
      <c r="K3961">
        <v>52</v>
      </c>
      <c r="L3961">
        <v>18</v>
      </c>
      <c r="M3961" s="2">
        <v>2.89</v>
      </c>
      <c r="N3961">
        <v>3.23</v>
      </c>
      <c r="O3961">
        <v>0</v>
      </c>
      <c r="P3961">
        <v>2</v>
      </c>
      <c r="Q3961" t="s">
        <v>559</v>
      </c>
      <c r="R3961" s="8" t="s">
        <v>260</v>
      </c>
      <c r="S3961" t="str">
        <f t="shared" si="547"/>
        <v>PA</v>
      </c>
    </row>
    <row r="3962" spans="1:19" x14ac:dyDescent="0.3">
      <c r="A3962" t="s">
        <v>8</v>
      </c>
      <c r="B3962">
        <v>2016210025</v>
      </c>
      <c r="C3962" t="s">
        <v>9</v>
      </c>
      <c r="E3962" t="s">
        <v>439</v>
      </c>
      <c r="F3962" t="s">
        <v>440</v>
      </c>
      <c r="G3962">
        <v>2</v>
      </c>
      <c r="H3962" t="s">
        <v>438</v>
      </c>
      <c r="I3962" s="4">
        <f t="shared" si="548"/>
        <v>3</v>
      </c>
      <c r="J3962">
        <f t="shared" si="549"/>
        <v>6</v>
      </c>
      <c r="K3962">
        <v>54</v>
      </c>
      <c r="L3962">
        <v>22</v>
      </c>
      <c r="M3962" s="2">
        <v>2.4500000000000002</v>
      </c>
      <c r="N3962">
        <v>3.23</v>
      </c>
      <c r="O3962">
        <v>0</v>
      </c>
      <c r="P3962">
        <v>6</v>
      </c>
      <c r="Q3962" t="s">
        <v>567</v>
      </c>
      <c r="R3962" s="8" t="s">
        <v>260</v>
      </c>
      <c r="S3962" t="str">
        <f t="shared" si="547"/>
        <v>PA</v>
      </c>
    </row>
    <row r="3963" spans="1:19" x14ac:dyDescent="0.3">
      <c r="A3963" t="s">
        <v>8</v>
      </c>
      <c r="B3963">
        <v>2016210025</v>
      </c>
      <c r="C3963" t="s">
        <v>9</v>
      </c>
      <c r="E3963" t="s">
        <v>136</v>
      </c>
      <c r="F3963" t="s">
        <v>137</v>
      </c>
      <c r="G3963">
        <v>4</v>
      </c>
      <c r="H3963" t="s">
        <v>438</v>
      </c>
      <c r="I3963" s="4">
        <f t="shared" si="548"/>
        <v>3</v>
      </c>
      <c r="J3963">
        <f t="shared" si="549"/>
        <v>12</v>
      </c>
      <c r="K3963">
        <v>54</v>
      </c>
      <c r="L3963">
        <v>22</v>
      </c>
      <c r="M3963" s="2">
        <v>2.4500000000000002</v>
      </c>
      <c r="N3963">
        <v>3.23</v>
      </c>
      <c r="O3963">
        <v>0</v>
      </c>
      <c r="P3963">
        <v>6</v>
      </c>
      <c r="Q3963" t="s">
        <v>567</v>
      </c>
      <c r="R3963" s="8" t="s">
        <v>260</v>
      </c>
      <c r="S3963" t="str">
        <f t="shared" si="547"/>
        <v>PA</v>
      </c>
    </row>
    <row r="3964" spans="1:19" x14ac:dyDescent="0.3">
      <c r="A3964" t="s">
        <v>8</v>
      </c>
      <c r="B3964">
        <v>2016210025</v>
      </c>
      <c r="C3964" t="s">
        <v>9</v>
      </c>
      <c r="E3964" t="s">
        <v>188</v>
      </c>
      <c r="F3964" t="s">
        <v>189</v>
      </c>
      <c r="G3964">
        <v>4</v>
      </c>
      <c r="H3964" t="s">
        <v>438</v>
      </c>
      <c r="I3964" s="4">
        <f t="shared" si="548"/>
        <v>3</v>
      </c>
      <c r="J3964">
        <f t="shared" si="549"/>
        <v>12</v>
      </c>
      <c r="K3964">
        <v>78</v>
      </c>
      <c r="L3964">
        <v>24</v>
      </c>
      <c r="M3964" s="2">
        <v>3.25</v>
      </c>
      <c r="N3964">
        <v>3.23</v>
      </c>
      <c r="O3964">
        <v>0</v>
      </c>
      <c r="P3964">
        <v>5</v>
      </c>
      <c r="Q3964" t="s">
        <v>566</v>
      </c>
      <c r="R3964" s="8" t="s">
        <v>260</v>
      </c>
      <c r="S3964" t="str">
        <f t="shared" si="547"/>
        <v>PA</v>
      </c>
    </row>
    <row r="3965" spans="1:19" x14ac:dyDescent="0.3">
      <c r="A3965" t="s">
        <v>8</v>
      </c>
      <c r="B3965">
        <v>2016210025</v>
      </c>
      <c r="C3965" t="s">
        <v>9</v>
      </c>
      <c r="E3965" t="s">
        <v>295</v>
      </c>
      <c r="F3965" t="s">
        <v>296</v>
      </c>
      <c r="G3965">
        <v>2</v>
      </c>
      <c r="H3965" t="s">
        <v>438</v>
      </c>
      <c r="I3965" s="4">
        <f t="shared" si="548"/>
        <v>3</v>
      </c>
      <c r="J3965">
        <f t="shared" si="549"/>
        <v>6</v>
      </c>
      <c r="K3965">
        <v>72</v>
      </c>
      <c r="L3965">
        <v>22</v>
      </c>
      <c r="M3965" s="2">
        <v>3.27</v>
      </c>
      <c r="N3965">
        <v>3.23</v>
      </c>
      <c r="O3965">
        <v>0</v>
      </c>
      <c r="P3965">
        <v>3</v>
      </c>
      <c r="Q3965" t="s">
        <v>563</v>
      </c>
      <c r="R3965" s="8" t="s">
        <v>260</v>
      </c>
      <c r="S3965" t="str">
        <f t="shared" si="547"/>
        <v>PA</v>
      </c>
    </row>
    <row r="3966" spans="1:19" x14ac:dyDescent="0.3">
      <c r="A3966" t="s">
        <v>8</v>
      </c>
      <c r="B3966">
        <v>2016210025</v>
      </c>
      <c r="C3966" t="s">
        <v>9</v>
      </c>
      <c r="E3966" t="s">
        <v>227</v>
      </c>
      <c r="F3966" t="s">
        <v>228</v>
      </c>
      <c r="G3966">
        <v>2</v>
      </c>
      <c r="H3966" t="s">
        <v>438</v>
      </c>
      <c r="I3966" s="4">
        <f t="shared" si="548"/>
        <v>3</v>
      </c>
      <c r="J3966">
        <f t="shared" si="549"/>
        <v>6</v>
      </c>
      <c r="K3966">
        <v>72</v>
      </c>
      <c r="L3966">
        <v>22</v>
      </c>
      <c r="M3966" s="2">
        <v>3.27</v>
      </c>
      <c r="N3966">
        <v>3.23</v>
      </c>
      <c r="O3966">
        <v>0</v>
      </c>
      <c r="P3966">
        <v>3</v>
      </c>
      <c r="Q3966" t="s">
        <v>563</v>
      </c>
      <c r="R3966" s="8" t="s">
        <v>260</v>
      </c>
      <c r="S3966" t="str">
        <f t="shared" si="547"/>
        <v>PA</v>
      </c>
    </row>
    <row r="3967" spans="1:19" x14ac:dyDescent="0.3">
      <c r="A3967" t="s">
        <v>8</v>
      </c>
      <c r="B3967">
        <v>2016210025</v>
      </c>
      <c r="C3967" t="s">
        <v>9</v>
      </c>
      <c r="E3967" t="s">
        <v>193</v>
      </c>
      <c r="F3967" t="s">
        <v>194</v>
      </c>
      <c r="G3967">
        <v>4</v>
      </c>
      <c r="H3967" t="s">
        <v>438</v>
      </c>
      <c r="I3967" s="4">
        <f t="shared" si="548"/>
        <v>3</v>
      </c>
      <c r="J3967">
        <f t="shared" si="549"/>
        <v>12</v>
      </c>
      <c r="K3967">
        <v>16</v>
      </c>
      <c r="L3967">
        <v>8</v>
      </c>
      <c r="M3967" s="2">
        <v>2</v>
      </c>
      <c r="N3967">
        <v>3.23</v>
      </c>
      <c r="O3967">
        <v>0</v>
      </c>
      <c r="P3967">
        <v>7</v>
      </c>
      <c r="Q3967" t="s">
        <v>568</v>
      </c>
      <c r="R3967" s="8" t="s">
        <v>535</v>
      </c>
      <c r="S3967" t="str">
        <f t="shared" si="547"/>
        <v>PA</v>
      </c>
    </row>
    <row r="3968" spans="1:19" x14ac:dyDescent="0.3">
      <c r="A3968" t="s">
        <v>8</v>
      </c>
      <c r="B3968">
        <v>2016210025</v>
      </c>
      <c r="C3968" t="s">
        <v>9</v>
      </c>
      <c r="E3968" t="s">
        <v>213</v>
      </c>
      <c r="F3968" t="s">
        <v>214</v>
      </c>
      <c r="G3968">
        <v>4</v>
      </c>
      <c r="H3968" t="s">
        <v>438</v>
      </c>
      <c r="I3968" s="4">
        <f t="shared" si="548"/>
        <v>3</v>
      </c>
      <c r="J3968">
        <f t="shared" si="549"/>
        <v>12</v>
      </c>
      <c r="K3968">
        <v>78</v>
      </c>
      <c r="L3968">
        <v>24</v>
      </c>
      <c r="M3968" s="2">
        <v>3.25</v>
      </c>
      <c r="N3968">
        <v>3.23</v>
      </c>
      <c r="O3968">
        <v>0</v>
      </c>
      <c r="P3968">
        <v>5</v>
      </c>
      <c r="Q3968" t="s">
        <v>566</v>
      </c>
      <c r="R3968" s="8" t="s">
        <v>260</v>
      </c>
      <c r="S3968" t="str">
        <f t="shared" si="547"/>
        <v>PA</v>
      </c>
    </row>
    <row r="3969" spans="1:19" x14ac:dyDescent="0.3">
      <c r="A3969" t="s">
        <v>8</v>
      </c>
      <c r="B3969">
        <v>2016210025</v>
      </c>
      <c r="C3969" t="s">
        <v>9</v>
      </c>
      <c r="E3969" t="s">
        <v>131</v>
      </c>
      <c r="F3969" t="s">
        <v>132</v>
      </c>
      <c r="G3969">
        <v>2</v>
      </c>
      <c r="H3969" t="s">
        <v>438</v>
      </c>
      <c r="I3969" s="4">
        <f t="shared" si="548"/>
        <v>3</v>
      </c>
      <c r="J3969">
        <f t="shared" si="549"/>
        <v>6</v>
      </c>
      <c r="K3969">
        <v>68</v>
      </c>
      <c r="L3969">
        <v>20</v>
      </c>
      <c r="M3969" s="2">
        <v>3.4</v>
      </c>
      <c r="N3969">
        <v>3.23</v>
      </c>
      <c r="O3969">
        <v>0</v>
      </c>
      <c r="P3969">
        <v>1</v>
      </c>
      <c r="Q3969" t="s">
        <v>558</v>
      </c>
      <c r="R3969" s="8" t="s">
        <v>260</v>
      </c>
      <c r="S3969" t="str">
        <f t="shared" si="547"/>
        <v>PA</v>
      </c>
    </row>
    <row r="3970" spans="1:19" x14ac:dyDescent="0.3">
      <c r="A3970" t="s">
        <v>8</v>
      </c>
      <c r="B3970">
        <v>2016210025</v>
      </c>
      <c r="C3970" t="s">
        <v>9</v>
      </c>
      <c r="E3970" t="s">
        <v>393</v>
      </c>
      <c r="F3970" t="s">
        <v>436</v>
      </c>
      <c r="G3970">
        <v>2</v>
      </c>
      <c r="H3970" t="s">
        <v>438</v>
      </c>
      <c r="I3970" s="4">
        <f t="shared" si="548"/>
        <v>3</v>
      </c>
      <c r="J3970">
        <f t="shared" si="549"/>
        <v>6</v>
      </c>
      <c r="K3970">
        <v>78</v>
      </c>
      <c r="L3970">
        <v>24</v>
      </c>
      <c r="M3970" s="2">
        <v>3.25</v>
      </c>
      <c r="N3970">
        <v>3.23</v>
      </c>
      <c r="O3970">
        <v>0</v>
      </c>
      <c r="P3970">
        <v>5</v>
      </c>
      <c r="Q3970" t="s">
        <v>566</v>
      </c>
      <c r="R3970" s="8" t="s">
        <v>260</v>
      </c>
      <c r="S3970" t="str">
        <f t="shared" si="547"/>
        <v>PA</v>
      </c>
    </row>
    <row r="3971" spans="1:19" x14ac:dyDescent="0.3">
      <c r="A3971" t="s">
        <v>8</v>
      </c>
      <c r="B3971">
        <v>2016210025</v>
      </c>
      <c r="C3971" t="s">
        <v>9</v>
      </c>
      <c r="E3971" t="s">
        <v>362</v>
      </c>
      <c r="F3971" t="s">
        <v>363</v>
      </c>
      <c r="G3971">
        <v>2</v>
      </c>
      <c r="H3971" t="s">
        <v>438</v>
      </c>
      <c r="I3971" s="4">
        <f t="shared" si="548"/>
        <v>3</v>
      </c>
      <c r="J3971">
        <f t="shared" si="549"/>
        <v>6</v>
      </c>
      <c r="K3971">
        <v>78</v>
      </c>
      <c r="L3971">
        <v>24</v>
      </c>
      <c r="M3971" s="2">
        <v>3.25</v>
      </c>
      <c r="N3971">
        <v>3.23</v>
      </c>
      <c r="O3971">
        <v>0</v>
      </c>
      <c r="P3971">
        <v>5</v>
      </c>
      <c r="Q3971" t="s">
        <v>566</v>
      </c>
      <c r="R3971" s="8" t="s">
        <v>260</v>
      </c>
      <c r="S3971" t="str">
        <f t="shared" si="547"/>
        <v>PA</v>
      </c>
    </row>
    <row r="3972" spans="1:19" x14ac:dyDescent="0.3">
      <c r="A3972" t="s">
        <v>8</v>
      </c>
      <c r="B3972">
        <v>2016210025</v>
      </c>
      <c r="C3972" t="s">
        <v>9</v>
      </c>
      <c r="E3972" t="s">
        <v>253</v>
      </c>
      <c r="F3972" t="s">
        <v>254</v>
      </c>
      <c r="G3972">
        <v>2</v>
      </c>
      <c r="H3972" t="s">
        <v>438</v>
      </c>
      <c r="I3972" s="4">
        <f t="shared" si="548"/>
        <v>3</v>
      </c>
      <c r="J3972">
        <f t="shared" si="549"/>
        <v>6</v>
      </c>
      <c r="K3972">
        <v>84</v>
      </c>
      <c r="L3972">
        <v>24</v>
      </c>
      <c r="M3972" s="2">
        <v>3.5</v>
      </c>
      <c r="N3972">
        <v>3.23</v>
      </c>
      <c r="O3972">
        <v>0</v>
      </c>
      <c r="P3972">
        <v>4</v>
      </c>
      <c r="Q3972" s="4" t="str">
        <f>IF(P3972=1,"2016/2017-Ganjil",IF(P3972=2,"2016/2017-Genap",IF(P3972=3,"2017/2018-Ganjil",IF(P3972=4,"2017/2018-Genap",IF(P3972=5,"2018/2019-Ganjil",IF(P3972=6,"2018/2019-Genap",IF(P3972=7,"2019/2020-Ganjil",IF(P3972=8,"2019/2020-Genap",IF(P3972=9,"2020/2021-Ganjil",IF(P3972=10,"2020/2021-Genap",IF(P3972=11,"2021/2022-Ganjil",IF(P3972=12,"2021/2022-Genap",IF(P3972=13,"2022/2023-Ganjil","2022/2023-Genap")))))))))))))</f>
        <v>2017/2018-Genap</v>
      </c>
      <c r="R3972" s="8" t="s">
        <v>260</v>
      </c>
      <c r="S3972" t="str">
        <f t="shared" si="547"/>
        <v>PA</v>
      </c>
    </row>
    <row r="3973" spans="1:19" x14ac:dyDescent="0.3">
      <c r="A3973" t="s">
        <v>8</v>
      </c>
      <c r="B3973">
        <v>2016210025</v>
      </c>
      <c r="C3973" t="s">
        <v>9</v>
      </c>
      <c r="E3973" t="s">
        <v>125</v>
      </c>
      <c r="F3973" t="s">
        <v>126</v>
      </c>
      <c r="G3973">
        <v>4</v>
      </c>
      <c r="H3973" t="s">
        <v>438</v>
      </c>
      <c r="I3973" s="4">
        <f t="shared" si="548"/>
        <v>3</v>
      </c>
      <c r="J3973">
        <f t="shared" si="549"/>
        <v>12</v>
      </c>
      <c r="K3973">
        <v>52</v>
      </c>
      <c r="L3973">
        <v>18</v>
      </c>
      <c r="M3973" s="2">
        <v>2.89</v>
      </c>
      <c r="N3973">
        <v>3.23</v>
      </c>
      <c r="O3973">
        <v>0</v>
      </c>
      <c r="P3973">
        <v>2</v>
      </c>
      <c r="Q3973" t="s">
        <v>559</v>
      </c>
      <c r="R3973" s="8" t="s">
        <v>260</v>
      </c>
      <c r="S3973" t="str">
        <f t="shared" si="547"/>
        <v>PA</v>
      </c>
    </row>
    <row r="3974" spans="1:19" x14ac:dyDescent="0.3">
      <c r="A3974" t="s">
        <v>8</v>
      </c>
      <c r="B3974">
        <v>2016210025</v>
      </c>
      <c r="C3974" t="s">
        <v>9</v>
      </c>
      <c r="E3974" t="s">
        <v>87</v>
      </c>
      <c r="F3974" t="s">
        <v>88</v>
      </c>
      <c r="G3974">
        <v>2</v>
      </c>
      <c r="H3974" t="s">
        <v>438</v>
      </c>
      <c r="I3974" s="4">
        <f t="shared" si="548"/>
        <v>3</v>
      </c>
      <c r="J3974">
        <f t="shared" si="549"/>
        <v>6</v>
      </c>
      <c r="K3974">
        <v>54</v>
      </c>
      <c r="L3974">
        <v>22</v>
      </c>
      <c r="M3974" s="2">
        <v>2.4500000000000002</v>
      </c>
      <c r="N3974">
        <v>3.23</v>
      </c>
      <c r="O3974">
        <v>0</v>
      </c>
      <c r="P3974">
        <v>6</v>
      </c>
      <c r="Q3974" t="s">
        <v>567</v>
      </c>
      <c r="R3974" s="8" t="s">
        <v>260</v>
      </c>
      <c r="S3974" t="str">
        <f t="shared" si="547"/>
        <v>PA</v>
      </c>
    </row>
    <row r="3975" spans="1:19" x14ac:dyDescent="0.3">
      <c r="A3975" t="s">
        <v>8</v>
      </c>
      <c r="B3975">
        <v>2016210025</v>
      </c>
      <c r="C3975" t="s">
        <v>9</v>
      </c>
      <c r="E3975" t="s">
        <v>117</v>
      </c>
      <c r="F3975" t="s">
        <v>118</v>
      </c>
      <c r="G3975">
        <v>2</v>
      </c>
      <c r="H3975" t="s">
        <v>438</v>
      </c>
      <c r="I3975" s="4">
        <f t="shared" si="548"/>
        <v>3</v>
      </c>
      <c r="J3975">
        <f t="shared" si="549"/>
        <v>6</v>
      </c>
      <c r="K3975">
        <v>52</v>
      </c>
      <c r="L3975">
        <v>18</v>
      </c>
      <c r="M3975" s="2">
        <v>2.89</v>
      </c>
      <c r="N3975">
        <v>3.23</v>
      </c>
      <c r="O3975">
        <v>0</v>
      </c>
      <c r="P3975">
        <v>2</v>
      </c>
      <c r="Q3975" t="s">
        <v>559</v>
      </c>
      <c r="R3975" s="8" t="s">
        <v>260</v>
      </c>
      <c r="S3975" t="str">
        <f t="shared" si="547"/>
        <v>PA</v>
      </c>
    </row>
    <row r="3976" spans="1:19" x14ac:dyDescent="0.3">
      <c r="A3976" t="s">
        <v>8</v>
      </c>
      <c r="B3976">
        <v>2016210025</v>
      </c>
      <c r="C3976" t="s">
        <v>9</v>
      </c>
      <c r="E3976" t="s">
        <v>112</v>
      </c>
      <c r="F3976" t="s">
        <v>113</v>
      </c>
      <c r="G3976">
        <v>4</v>
      </c>
      <c r="H3976" t="s">
        <v>438</v>
      </c>
      <c r="I3976" s="4">
        <f t="shared" si="548"/>
        <v>3</v>
      </c>
      <c r="J3976">
        <f t="shared" si="549"/>
        <v>12</v>
      </c>
      <c r="K3976">
        <v>72</v>
      </c>
      <c r="L3976">
        <v>22</v>
      </c>
      <c r="M3976" s="2">
        <v>3.27</v>
      </c>
      <c r="N3976">
        <v>3.23</v>
      </c>
      <c r="O3976">
        <v>0</v>
      </c>
      <c r="P3976">
        <v>3</v>
      </c>
      <c r="Q3976" t="s">
        <v>563</v>
      </c>
      <c r="R3976" s="8" t="s">
        <v>260</v>
      </c>
      <c r="S3976" t="str">
        <f t="shared" si="547"/>
        <v>PA</v>
      </c>
    </row>
    <row r="3977" spans="1:19" x14ac:dyDescent="0.3">
      <c r="A3977" t="s">
        <v>8</v>
      </c>
      <c r="B3977">
        <v>2016210025</v>
      </c>
      <c r="C3977" t="s">
        <v>9</v>
      </c>
      <c r="E3977" t="s">
        <v>110</v>
      </c>
      <c r="F3977" t="s">
        <v>111</v>
      </c>
      <c r="G3977">
        <v>4</v>
      </c>
      <c r="H3977" t="s">
        <v>438</v>
      </c>
      <c r="I3977" s="4">
        <f t="shared" si="548"/>
        <v>3</v>
      </c>
      <c r="J3977">
        <f t="shared" si="549"/>
        <v>12</v>
      </c>
      <c r="K3977">
        <v>68</v>
      </c>
      <c r="L3977">
        <v>20</v>
      </c>
      <c r="M3977" s="2">
        <v>3.4</v>
      </c>
      <c r="N3977">
        <v>3.23</v>
      </c>
      <c r="O3977">
        <v>0</v>
      </c>
      <c r="P3977">
        <v>1</v>
      </c>
      <c r="Q3977" t="s">
        <v>558</v>
      </c>
      <c r="R3977" s="8" t="s">
        <v>260</v>
      </c>
      <c r="S3977" t="str">
        <f t="shared" si="547"/>
        <v>PA</v>
      </c>
    </row>
    <row r="3978" spans="1:19" x14ac:dyDescent="0.3">
      <c r="A3978" t="s">
        <v>8</v>
      </c>
      <c r="B3978">
        <v>2016210025</v>
      </c>
      <c r="C3978" t="s">
        <v>9</v>
      </c>
      <c r="E3978" t="s">
        <v>352</v>
      </c>
      <c r="F3978" t="s">
        <v>353</v>
      </c>
      <c r="G3978">
        <v>2</v>
      </c>
      <c r="H3978" t="s">
        <v>438</v>
      </c>
      <c r="I3978" s="4">
        <f t="shared" si="548"/>
        <v>3</v>
      </c>
      <c r="J3978">
        <f t="shared" si="549"/>
        <v>6</v>
      </c>
      <c r="K3978">
        <v>78</v>
      </c>
      <c r="L3978">
        <v>24</v>
      </c>
      <c r="M3978" s="2">
        <v>3.25</v>
      </c>
      <c r="N3978">
        <v>3.23</v>
      </c>
      <c r="O3978">
        <v>0</v>
      </c>
      <c r="P3978">
        <v>5</v>
      </c>
      <c r="Q3978" t="s">
        <v>566</v>
      </c>
      <c r="R3978" s="8" t="s">
        <v>260</v>
      </c>
      <c r="S3978" t="str">
        <f t="shared" si="547"/>
        <v>PA</v>
      </c>
    </row>
    <row r="3979" spans="1:19" x14ac:dyDescent="0.3">
      <c r="A3979" t="s">
        <v>8</v>
      </c>
      <c r="B3979">
        <v>2016210025</v>
      </c>
      <c r="C3979" t="s">
        <v>9</v>
      </c>
      <c r="E3979" t="s">
        <v>401</v>
      </c>
      <c r="F3979" t="s">
        <v>258</v>
      </c>
      <c r="G3979">
        <v>4</v>
      </c>
      <c r="H3979" t="s">
        <v>438</v>
      </c>
      <c r="I3979" s="4">
        <f t="shared" si="548"/>
        <v>3</v>
      </c>
      <c r="J3979">
        <f t="shared" si="549"/>
        <v>12</v>
      </c>
      <c r="K3979">
        <v>72</v>
      </c>
      <c r="L3979">
        <v>22</v>
      </c>
      <c r="M3979" s="2">
        <v>3.27</v>
      </c>
      <c r="N3979">
        <v>3.23</v>
      </c>
      <c r="O3979">
        <v>0</v>
      </c>
      <c r="P3979">
        <v>3</v>
      </c>
      <c r="Q3979" t="s">
        <v>563</v>
      </c>
      <c r="R3979" s="8" t="s">
        <v>260</v>
      </c>
      <c r="S3979" t="str">
        <f t="shared" si="547"/>
        <v>PA</v>
      </c>
    </row>
    <row r="3980" spans="1:19" x14ac:dyDescent="0.3">
      <c r="A3980" t="s">
        <v>8</v>
      </c>
      <c r="B3980">
        <v>2016210025</v>
      </c>
      <c r="C3980" t="s">
        <v>9</v>
      </c>
      <c r="E3980" t="s">
        <v>395</v>
      </c>
      <c r="F3980" t="s">
        <v>396</v>
      </c>
      <c r="G3980">
        <v>2</v>
      </c>
      <c r="H3980" t="s">
        <v>438</v>
      </c>
      <c r="I3980" s="4">
        <f t="shared" si="548"/>
        <v>3</v>
      </c>
      <c r="J3980">
        <f t="shared" si="549"/>
        <v>6</v>
      </c>
      <c r="K3980">
        <v>68</v>
      </c>
      <c r="L3980">
        <v>20</v>
      </c>
      <c r="M3980" s="2">
        <v>3.4</v>
      </c>
      <c r="N3980">
        <v>3.23</v>
      </c>
      <c r="O3980">
        <v>0</v>
      </c>
      <c r="P3980">
        <v>1</v>
      </c>
      <c r="Q3980" t="s">
        <v>558</v>
      </c>
      <c r="R3980" s="8" t="s">
        <v>260</v>
      </c>
      <c r="S3980" t="str">
        <f t="shared" si="547"/>
        <v>PA</v>
      </c>
    </row>
    <row r="3981" spans="1:19" x14ac:dyDescent="0.3">
      <c r="A3981" t="s">
        <v>8</v>
      </c>
      <c r="B3981">
        <v>2016210025</v>
      </c>
      <c r="C3981" t="s">
        <v>9</v>
      </c>
      <c r="E3981" t="s">
        <v>391</v>
      </c>
      <c r="F3981" t="s">
        <v>392</v>
      </c>
      <c r="G3981">
        <v>2</v>
      </c>
      <c r="H3981" t="s">
        <v>438</v>
      </c>
      <c r="I3981" s="4">
        <f t="shared" si="548"/>
        <v>3</v>
      </c>
      <c r="J3981">
        <f t="shared" si="549"/>
        <v>6</v>
      </c>
      <c r="K3981">
        <v>78</v>
      </c>
      <c r="L3981">
        <v>24</v>
      </c>
      <c r="M3981" s="2">
        <v>3.25</v>
      </c>
      <c r="N3981">
        <v>3.23</v>
      </c>
      <c r="O3981">
        <v>0</v>
      </c>
      <c r="P3981">
        <v>5</v>
      </c>
      <c r="Q3981" t="s">
        <v>566</v>
      </c>
      <c r="R3981" s="8" t="s">
        <v>260</v>
      </c>
      <c r="S3981" t="str">
        <f t="shared" si="547"/>
        <v>PA</v>
      </c>
    </row>
    <row r="3982" spans="1:19" x14ac:dyDescent="0.3">
      <c r="A3982" t="s">
        <v>8</v>
      </c>
      <c r="B3982">
        <v>2016210025</v>
      </c>
      <c r="C3982" t="s">
        <v>9</v>
      </c>
      <c r="E3982" t="s">
        <v>182</v>
      </c>
      <c r="F3982" t="s">
        <v>171</v>
      </c>
      <c r="G3982">
        <v>2</v>
      </c>
      <c r="H3982" t="s">
        <v>524</v>
      </c>
      <c r="I3982" s="4">
        <f t="shared" si="548"/>
        <v>2</v>
      </c>
      <c r="J3982">
        <f t="shared" si="549"/>
        <v>4</v>
      </c>
      <c r="K3982">
        <v>72</v>
      </c>
      <c r="L3982">
        <v>22</v>
      </c>
      <c r="M3982" s="2">
        <v>3.27</v>
      </c>
      <c r="N3982">
        <v>3.23</v>
      </c>
      <c r="O3982">
        <v>0</v>
      </c>
      <c r="P3982">
        <v>3</v>
      </c>
      <c r="Q3982" t="s">
        <v>563</v>
      </c>
      <c r="R3982" s="8" t="s">
        <v>260</v>
      </c>
      <c r="S3982" t="str">
        <f t="shared" si="547"/>
        <v>PA</v>
      </c>
    </row>
    <row r="3983" spans="1:19" x14ac:dyDescent="0.3">
      <c r="A3983" t="s">
        <v>8</v>
      </c>
      <c r="B3983">
        <v>2016210025</v>
      </c>
      <c r="C3983" t="s">
        <v>9</v>
      </c>
      <c r="E3983" t="s">
        <v>107</v>
      </c>
      <c r="F3983" t="s">
        <v>108</v>
      </c>
      <c r="G3983">
        <v>2</v>
      </c>
      <c r="H3983" t="s">
        <v>524</v>
      </c>
      <c r="I3983" s="4">
        <f t="shared" si="548"/>
        <v>2</v>
      </c>
      <c r="J3983">
        <f t="shared" si="549"/>
        <v>4</v>
      </c>
      <c r="K3983">
        <v>54</v>
      </c>
      <c r="L3983">
        <v>22</v>
      </c>
      <c r="M3983" s="2">
        <v>2.4500000000000002</v>
      </c>
      <c r="N3983">
        <v>3.23</v>
      </c>
      <c r="O3983">
        <v>0</v>
      </c>
      <c r="P3983">
        <v>6</v>
      </c>
      <c r="Q3983" t="s">
        <v>567</v>
      </c>
      <c r="R3983" s="8" t="s">
        <v>260</v>
      </c>
      <c r="S3983" t="str">
        <f t="shared" si="547"/>
        <v>PA</v>
      </c>
    </row>
    <row r="3984" spans="1:19" x14ac:dyDescent="0.3">
      <c r="A3984" t="s">
        <v>8</v>
      </c>
      <c r="B3984">
        <v>2016210025</v>
      </c>
      <c r="C3984" t="s">
        <v>9</v>
      </c>
      <c r="E3984" t="s">
        <v>369</v>
      </c>
      <c r="F3984" t="s">
        <v>307</v>
      </c>
      <c r="G3984">
        <v>2</v>
      </c>
      <c r="H3984" t="s">
        <v>524</v>
      </c>
      <c r="I3984" s="4">
        <f t="shared" si="548"/>
        <v>2</v>
      </c>
      <c r="J3984">
        <f t="shared" si="549"/>
        <v>4</v>
      </c>
      <c r="K3984">
        <v>84</v>
      </c>
      <c r="L3984">
        <v>24</v>
      </c>
      <c r="M3984" s="2">
        <v>3.5</v>
      </c>
      <c r="N3984">
        <v>3.23</v>
      </c>
      <c r="O3984">
        <v>0</v>
      </c>
      <c r="P3984">
        <v>4</v>
      </c>
      <c r="Q3984" s="4" t="str">
        <f>IF(P3984=1,"2016/2017-Ganjil",IF(P3984=2,"2016/2017-Genap",IF(P3984=3,"2017/2018-Ganjil",IF(P3984=4,"2017/2018-Genap",IF(P3984=5,"2018/2019-Ganjil",IF(P3984=6,"2018/2019-Genap",IF(P3984=7,"2019/2020-Ganjil",IF(P3984=8,"2019/2020-Genap",IF(P3984=9,"2020/2021-Ganjil",IF(P3984=10,"2020/2021-Genap",IF(P3984=11,"2021/2022-Ganjil",IF(P3984=12,"2021/2022-Genap",IF(P3984=13,"2022/2023-Ganjil","2022/2023-Genap")))))))))))))</f>
        <v>2017/2018-Genap</v>
      </c>
      <c r="R3984" s="8" t="s">
        <v>260</v>
      </c>
      <c r="S3984" t="str">
        <f t="shared" si="547"/>
        <v>PA</v>
      </c>
    </row>
    <row r="3985" spans="1:19" x14ac:dyDescent="0.3">
      <c r="A3985" t="s">
        <v>8</v>
      </c>
      <c r="B3985">
        <v>2016210025</v>
      </c>
      <c r="C3985" t="s">
        <v>9</v>
      </c>
      <c r="E3985" t="s">
        <v>119</v>
      </c>
      <c r="F3985" t="s">
        <v>120</v>
      </c>
      <c r="G3985">
        <v>2</v>
      </c>
      <c r="H3985" t="s">
        <v>535</v>
      </c>
      <c r="I3985" s="4">
        <f t="shared" si="548"/>
        <v>1</v>
      </c>
      <c r="J3985">
        <f t="shared" si="549"/>
        <v>2</v>
      </c>
      <c r="K3985">
        <v>54</v>
      </c>
      <c r="L3985">
        <v>22</v>
      </c>
      <c r="M3985" s="2">
        <v>2.4500000000000002</v>
      </c>
      <c r="N3985">
        <v>3.23</v>
      </c>
      <c r="O3985">
        <v>0</v>
      </c>
      <c r="P3985">
        <v>6</v>
      </c>
      <c r="Q3985" t="s">
        <v>567</v>
      </c>
      <c r="R3985" s="8" t="s">
        <v>260</v>
      </c>
      <c r="S3985" t="str">
        <f t="shared" si="547"/>
        <v>FA</v>
      </c>
    </row>
    <row r="3986" spans="1:19" x14ac:dyDescent="0.3">
      <c r="A3986" t="s">
        <v>8</v>
      </c>
      <c r="B3986">
        <v>2016210025</v>
      </c>
      <c r="C3986" t="s">
        <v>9</v>
      </c>
      <c r="E3986" t="s">
        <v>44</v>
      </c>
      <c r="F3986" t="s">
        <v>45</v>
      </c>
      <c r="G3986">
        <v>2</v>
      </c>
      <c r="H3986" t="s">
        <v>535</v>
      </c>
      <c r="I3986" s="4">
        <f t="shared" si="548"/>
        <v>1</v>
      </c>
      <c r="J3986">
        <f t="shared" si="549"/>
        <v>2</v>
      </c>
      <c r="K3986">
        <v>52</v>
      </c>
      <c r="L3986">
        <v>18</v>
      </c>
      <c r="M3986" s="2">
        <v>2.89</v>
      </c>
      <c r="N3986">
        <v>3.23</v>
      </c>
      <c r="O3986">
        <v>0</v>
      </c>
      <c r="P3986">
        <v>2</v>
      </c>
      <c r="Q3986" t="s">
        <v>559</v>
      </c>
      <c r="R3986" s="8" t="s">
        <v>260</v>
      </c>
      <c r="S3986" t="str">
        <f t="shared" si="547"/>
        <v>FA</v>
      </c>
    </row>
    <row r="3987" spans="1:19" x14ac:dyDescent="0.3">
      <c r="A3987" t="s">
        <v>8</v>
      </c>
      <c r="B3987">
        <v>2016210025</v>
      </c>
      <c r="C3987" t="s">
        <v>9</v>
      </c>
      <c r="E3987" t="s">
        <v>80</v>
      </c>
      <c r="F3987" t="s">
        <v>81</v>
      </c>
      <c r="G3987">
        <v>4</v>
      </c>
      <c r="H3987" t="s">
        <v>535</v>
      </c>
      <c r="I3987" s="4">
        <f t="shared" si="548"/>
        <v>1</v>
      </c>
      <c r="J3987">
        <f t="shared" si="549"/>
        <v>4</v>
      </c>
      <c r="K3987">
        <v>54</v>
      </c>
      <c r="L3987">
        <v>22</v>
      </c>
      <c r="M3987" s="2">
        <v>2.4500000000000002</v>
      </c>
      <c r="N3987">
        <v>3.23</v>
      </c>
      <c r="O3987">
        <v>0</v>
      </c>
      <c r="P3987">
        <v>6</v>
      </c>
      <c r="Q3987" t="s">
        <v>567</v>
      </c>
      <c r="R3987" s="8" t="s">
        <v>260</v>
      </c>
      <c r="S3987" t="str">
        <f t="shared" si="547"/>
        <v>FA</v>
      </c>
    </row>
    <row r="3988" spans="1:19" x14ac:dyDescent="0.3">
      <c r="A3988" t="s">
        <v>8</v>
      </c>
      <c r="B3988">
        <v>2016210025</v>
      </c>
      <c r="C3988" t="s">
        <v>9</v>
      </c>
      <c r="E3988" t="s">
        <v>119</v>
      </c>
      <c r="F3988" t="s">
        <v>120</v>
      </c>
      <c r="G3988">
        <v>2</v>
      </c>
      <c r="H3988" t="s">
        <v>438</v>
      </c>
      <c r="I3988" s="4">
        <f t="shared" si="548"/>
        <v>3</v>
      </c>
      <c r="J3988">
        <f t="shared" si="549"/>
        <v>6</v>
      </c>
      <c r="K3988">
        <v>30</v>
      </c>
      <c r="L3988">
        <v>8</v>
      </c>
      <c r="M3988" s="2">
        <v>3.75</v>
      </c>
      <c r="N3988">
        <v>3.23</v>
      </c>
      <c r="O3988">
        <v>1</v>
      </c>
      <c r="P3988">
        <v>6</v>
      </c>
      <c r="Q3988" t="s">
        <v>572</v>
      </c>
      <c r="R3988" s="8" t="s">
        <v>260</v>
      </c>
      <c r="S3988" t="str">
        <f t="shared" si="547"/>
        <v>PA</v>
      </c>
    </row>
    <row r="3989" spans="1:19" x14ac:dyDescent="0.3">
      <c r="A3989" t="s">
        <v>8</v>
      </c>
      <c r="B3989">
        <v>2016210025</v>
      </c>
      <c r="C3989" t="s">
        <v>9</v>
      </c>
      <c r="E3989" t="s">
        <v>44</v>
      </c>
      <c r="F3989" t="s">
        <v>45</v>
      </c>
      <c r="G3989">
        <v>2</v>
      </c>
      <c r="H3989" t="s">
        <v>260</v>
      </c>
      <c r="I3989" s="4">
        <f t="shared" si="548"/>
        <v>4</v>
      </c>
      <c r="J3989">
        <f t="shared" si="549"/>
        <v>8</v>
      </c>
      <c r="K3989">
        <v>30</v>
      </c>
      <c r="L3989">
        <v>8</v>
      </c>
      <c r="M3989" s="2">
        <v>3.75</v>
      </c>
      <c r="N3989">
        <v>3.23</v>
      </c>
      <c r="O3989">
        <v>1</v>
      </c>
      <c r="P3989">
        <v>6</v>
      </c>
      <c r="Q3989" t="s">
        <v>572</v>
      </c>
      <c r="R3989" s="8" t="s">
        <v>260</v>
      </c>
      <c r="S3989" t="str">
        <f t="shared" si="547"/>
        <v>PA</v>
      </c>
    </row>
    <row r="3990" spans="1:19" x14ac:dyDescent="0.3">
      <c r="A3990" t="s">
        <v>8</v>
      </c>
      <c r="B3990">
        <v>2016210025</v>
      </c>
      <c r="C3990" t="s">
        <v>9</v>
      </c>
      <c r="E3990" t="s">
        <v>80</v>
      </c>
      <c r="F3990" t="s">
        <v>81</v>
      </c>
      <c r="G3990">
        <v>4</v>
      </c>
      <c r="H3990" t="s">
        <v>260</v>
      </c>
      <c r="I3990" s="4">
        <f t="shared" si="548"/>
        <v>4</v>
      </c>
      <c r="J3990">
        <f t="shared" si="549"/>
        <v>16</v>
      </c>
      <c r="K3990">
        <v>30</v>
      </c>
      <c r="L3990">
        <v>8</v>
      </c>
      <c r="M3990" s="2">
        <v>3.75</v>
      </c>
      <c r="N3990">
        <v>3.23</v>
      </c>
      <c r="O3990">
        <v>1</v>
      </c>
      <c r="P3990">
        <v>6</v>
      </c>
      <c r="Q3990" t="s">
        <v>572</v>
      </c>
      <c r="R3990" s="8" t="s">
        <v>260</v>
      </c>
      <c r="S3990" t="str">
        <f t="shared" si="547"/>
        <v>PA</v>
      </c>
    </row>
    <row r="3991" spans="1:19" x14ac:dyDescent="0.3">
      <c r="A3991" t="s">
        <v>8</v>
      </c>
      <c r="B3991">
        <v>2016210025</v>
      </c>
      <c r="C3991" t="s">
        <v>9</v>
      </c>
      <c r="E3991" t="s">
        <v>185</v>
      </c>
      <c r="F3991" t="s">
        <v>186</v>
      </c>
      <c r="G3991">
        <v>4</v>
      </c>
      <c r="H3991" t="s">
        <v>535</v>
      </c>
      <c r="I3991" s="4">
        <f t="shared" si="548"/>
        <v>1</v>
      </c>
      <c r="J3991">
        <f t="shared" si="549"/>
        <v>4</v>
      </c>
      <c r="K3991">
        <v>16</v>
      </c>
      <c r="L3991">
        <v>8</v>
      </c>
      <c r="M3991" s="2">
        <v>2</v>
      </c>
      <c r="N3991">
        <v>3.23</v>
      </c>
      <c r="O3991">
        <v>0</v>
      </c>
      <c r="P3991">
        <v>7</v>
      </c>
      <c r="Q3991" t="s">
        <v>568</v>
      </c>
      <c r="R3991" s="8" t="s">
        <v>535</v>
      </c>
      <c r="S3991" t="str">
        <f t="shared" si="547"/>
        <v>FA</v>
      </c>
    </row>
    <row r="3992" spans="1:19" x14ac:dyDescent="0.3">
      <c r="A3992" t="s">
        <v>8</v>
      </c>
      <c r="B3992">
        <v>2016210026</v>
      </c>
      <c r="C3992" t="s">
        <v>124</v>
      </c>
      <c r="E3992" t="s">
        <v>125</v>
      </c>
      <c r="F3992" t="s">
        <v>126</v>
      </c>
      <c r="G3992">
        <v>4</v>
      </c>
      <c r="I3992" s="4"/>
      <c r="J3992">
        <f t="shared" ref="J3992:J4018" si="551">G3992*I3992</f>
        <v>0</v>
      </c>
      <c r="K3992">
        <v>28</v>
      </c>
      <c r="L3992">
        <v>16</v>
      </c>
      <c r="M3992">
        <v>1.75</v>
      </c>
      <c r="N3992">
        <v>2.04</v>
      </c>
      <c r="O3992">
        <v>0</v>
      </c>
      <c r="P3992">
        <v>2</v>
      </c>
      <c r="Q3992" s="4" t="str">
        <f t="shared" ref="Q3992:Q4030" si="552">IF(P3992=1,"2016/2017-Ganjil",IF(P3992=2,"2016/2017-Genap",IF(P3992=3,"2017/2018-Ganjil",IF(P3992=4,"2017/2018-Genap",IF(P3992=5,"2018/2019-Ganjil",IF(P3992=6,"2018/2019-Genap",IF(P3992=7,"2019/2020-Ganjil",IF(P3992=8,"2019/2020-Genap",IF(P3992=9,"2020/2021-Ganjil",IF(P3992=10,"2020/2021-Genap",IF(P3992=11,"2021/2022-Ganjil",IF(P3992=12,"2021/2022-Genap",IF(P3992=13,"2022/2023-Ganjil","2022/2023-Genap")))))))))))))</f>
        <v>2016/2017-Genap</v>
      </c>
      <c r="R3992" s="8" t="s">
        <v>260</v>
      </c>
      <c r="S3992" t="s">
        <v>595</v>
      </c>
    </row>
    <row r="3993" spans="1:19" x14ac:dyDescent="0.3">
      <c r="A3993" t="s">
        <v>8</v>
      </c>
      <c r="B3993">
        <v>2016210026</v>
      </c>
      <c r="C3993" t="s">
        <v>124</v>
      </c>
      <c r="E3993" t="s">
        <v>77</v>
      </c>
      <c r="F3993" t="s">
        <v>78</v>
      </c>
      <c r="G3993">
        <v>2</v>
      </c>
      <c r="I3993" s="4"/>
      <c r="J3993">
        <f t="shared" si="551"/>
        <v>0</v>
      </c>
      <c r="K3993">
        <v>44</v>
      </c>
      <c r="L3993">
        <v>18</v>
      </c>
      <c r="M3993">
        <v>2.44</v>
      </c>
      <c r="N3993">
        <v>2.04</v>
      </c>
      <c r="O3993">
        <v>0</v>
      </c>
      <c r="P3993">
        <v>1</v>
      </c>
      <c r="Q3993" s="4" t="str">
        <f t="shared" si="552"/>
        <v>2016/2017-Ganjil</v>
      </c>
      <c r="R3993" s="8" t="s">
        <v>260</v>
      </c>
      <c r="S3993" t="s">
        <v>595</v>
      </c>
    </row>
    <row r="3994" spans="1:19" x14ac:dyDescent="0.3">
      <c r="A3994" t="s">
        <v>8</v>
      </c>
      <c r="B3994">
        <v>2016210026</v>
      </c>
      <c r="C3994" t="s">
        <v>124</v>
      </c>
      <c r="E3994" t="s">
        <v>227</v>
      </c>
      <c r="F3994" t="s">
        <v>228</v>
      </c>
      <c r="G3994">
        <v>2</v>
      </c>
      <c r="I3994" s="4"/>
      <c r="J3994">
        <f t="shared" si="551"/>
        <v>0</v>
      </c>
      <c r="K3994">
        <v>22</v>
      </c>
      <c r="L3994">
        <v>12</v>
      </c>
      <c r="M3994">
        <v>1.83</v>
      </c>
      <c r="N3994">
        <v>2.04</v>
      </c>
      <c r="O3994">
        <v>0</v>
      </c>
      <c r="P3994">
        <v>3</v>
      </c>
      <c r="Q3994" s="4" t="str">
        <f t="shared" si="552"/>
        <v>2017/2018-Ganjil</v>
      </c>
      <c r="R3994" s="8" t="s">
        <v>535</v>
      </c>
      <c r="S3994" t="s">
        <v>595</v>
      </c>
    </row>
    <row r="3995" spans="1:19" x14ac:dyDescent="0.3">
      <c r="A3995" t="s">
        <v>8</v>
      </c>
      <c r="B3995">
        <v>2016210026</v>
      </c>
      <c r="C3995" t="s">
        <v>124</v>
      </c>
      <c r="E3995" t="s">
        <v>279</v>
      </c>
      <c r="F3995" t="s">
        <v>280</v>
      </c>
      <c r="G3995">
        <v>2</v>
      </c>
      <c r="H3995" t="s">
        <v>438</v>
      </c>
      <c r="I3995" s="4">
        <f t="shared" ref="I3995:I4018" si="553">IF(H3995="A",4,IF(H3995="B",3,IF(H3995="C",2,IF(H3995="D",1,0))))</f>
        <v>3</v>
      </c>
      <c r="J3995">
        <f t="shared" si="551"/>
        <v>6</v>
      </c>
      <c r="K3995">
        <v>28</v>
      </c>
      <c r="L3995">
        <v>16</v>
      </c>
      <c r="M3995">
        <v>1.75</v>
      </c>
      <c r="N3995">
        <v>2.04</v>
      </c>
      <c r="O3995">
        <v>0</v>
      </c>
      <c r="P3995">
        <v>2</v>
      </c>
      <c r="Q3995" s="4" t="str">
        <f t="shared" si="552"/>
        <v>2016/2017-Genap</v>
      </c>
      <c r="R3995" s="8" t="s">
        <v>260</v>
      </c>
      <c r="S3995" t="str">
        <f t="shared" ref="S3995:S4011" si="554">IF(OR(H3995="A",H3995="B",H3995="C"),"PA","FA")</f>
        <v>PA</v>
      </c>
    </row>
    <row r="3996" spans="1:19" x14ac:dyDescent="0.3">
      <c r="A3996" t="s">
        <v>8</v>
      </c>
      <c r="B3996">
        <v>2016210026</v>
      </c>
      <c r="C3996" t="s">
        <v>124</v>
      </c>
      <c r="E3996" t="s">
        <v>295</v>
      </c>
      <c r="F3996" t="s">
        <v>296</v>
      </c>
      <c r="G3996">
        <v>2</v>
      </c>
      <c r="H3996" t="s">
        <v>438</v>
      </c>
      <c r="I3996" s="4">
        <f t="shared" ref="I3996:I4011" si="555">IF(H3996="A",4,IF(H3996="B",3,IF(H3996="C",2,IF(H3996="D",1,0))))</f>
        <v>3</v>
      </c>
      <c r="J3996">
        <f t="shared" ref="J3996:J4011" si="556">G3996*I3996</f>
        <v>6</v>
      </c>
      <c r="K3996">
        <v>22</v>
      </c>
      <c r="L3996">
        <v>12</v>
      </c>
      <c r="M3996">
        <v>1.83</v>
      </c>
      <c r="N3996">
        <v>2.04</v>
      </c>
      <c r="O3996">
        <v>0</v>
      </c>
      <c r="P3996">
        <v>3</v>
      </c>
      <c r="Q3996" s="4" t="str">
        <f t="shared" si="552"/>
        <v>2017/2018-Ganjil</v>
      </c>
      <c r="R3996" s="8" t="s">
        <v>535</v>
      </c>
      <c r="S3996" t="str">
        <f t="shared" si="554"/>
        <v>PA</v>
      </c>
    </row>
    <row r="3997" spans="1:19" x14ac:dyDescent="0.3">
      <c r="A3997" t="s">
        <v>8</v>
      </c>
      <c r="B3997">
        <v>2016210026</v>
      </c>
      <c r="C3997" t="s">
        <v>124</v>
      </c>
      <c r="E3997" t="s">
        <v>202</v>
      </c>
      <c r="F3997" t="s">
        <v>203</v>
      </c>
      <c r="G3997">
        <v>4</v>
      </c>
      <c r="H3997" t="s">
        <v>438</v>
      </c>
      <c r="I3997" s="4">
        <f t="shared" si="555"/>
        <v>3</v>
      </c>
      <c r="J3997">
        <f t="shared" si="556"/>
        <v>12</v>
      </c>
      <c r="K3997">
        <v>44</v>
      </c>
      <c r="L3997">
        <v>18</v>
      </c>
      <c r="M3997">
        <v>2.44</v>
      </c>
      <c r="N3997">
        <v>2.04</v>
      </c>
      <c r="O3997">
        <v>0</v>
      </c>
      <c r="P3997">
        <v>1</v>
      </c>
      <c r="Q3997" s="4" t="str">
        <f t="shared" si="552"/>
        <v>2016/2017-Ganjil</v>
      </c>
      <c r="R3997" s="8" t="s">
        <v>260</v>
      </c>
      <c r="S3997" t="str">
        <f t="shared" si="554"/>
        <v>PA</v>
      </c>
    </row>
    <row r="3998" spans="1:19" x14ac:dyDescent="0.3">
      <c r="A3998" t="s">
        <v>8</v>
      </c>
      <c r="B3998">
        <v>2016210026</v>
      </c>
      <c r="C3998" t="s">
        <v>124</v>
      </c>
      <c r="E3998" t="s">
        <v>131</v>
      </c>
      <c r="F3998" t="s">
        <v>132</v>
      </c>
      <c r="G3998">
        <v>2</v>
      </c>
      <c r="H3998" t="s">
        <v>438</v>
      </c>
      <c r="I3998" s="4">
        <f t="shared" si="555"/>
        <v>3</v>
      </c>
      <c r="J3998">
        <f t="shared" si="556"/>
        <v>6</v>
      </c>
      <c r="K3998">
        <v>44</v>
      </c>
      <c r="L3998">
        <v>18</v>
      </c>
      <c r="M3998">
        <v>2.44</v>
      </c>
      <c r="N3998">
        <v>2.04</v>
      </c>
      <c r="O3998">
        <v>0</v>
      </c>
      <c r="P3998">
        <v>1</v>
      </c>
      <c r="Q3998" s="4" t="str">
        <f t="shared" si="552"/>
        <v>2016/2017-Ganjil</v>
      </c>
      <c r="R3998" s="8" t="s">
        <v>260</v>
      </c>
      <c r="S3998" t="str">
        <f t="shared" si="554"/>
        <v>PA</v>
      </c>
    </row>
    <row r="3999" spans="1:19" x14ac:dyDescent="0.3">
      <c r="A3999" t="s">
        <v>8</v>
      </c>
      <c r="B3999">
        <v>2016210026</v>
      </c>
      <c r="C3999" t="s">
        <v>124</v>
      </c>
      <c r="E3999" t="s">
        <v>232</v>
      </c>
      <c r="F3999" t="s">
        <v>245</v>
      </c>
      <c r="G3999">
        <v>2</v>
      </c>
      <c r="H3999" t="s">
        <v>438</v>
      </c>
      <c r="I3999" s="4">
        <f t="shared" si="555"/>
        <v>3</v>
      </c>
      <c r="J3999">
        <f t="shared" si="556"/>
        <v>6</v>
      </c>
      <c r="K3999">
        <v>28</v>
      </c>
      <c r="L3999">
        <v>16</v>
      </c>
      <c r="M3999">
        <v>1.75</v>
      </c>
      <c r="N3999">
        <v>2.04</v>
      </c>
      <c r="O3999">
        <v>0</v>
      </c>
      <c r="P3999">
        <v>2</v>
      </c>
      <c r="Q3999" s="4" t="str">
        <f t="shared" si="552"/>
        <v>2016/2017-Genap</v>
      </c>
      <c r="R3999" s="8" t="s">
        <v>260</v>
      </c>
      <c r="S3999" t="str">
        <f t="shared" si="554"/>
        <v>PA</v>
      </c>
    </row>
    <row r="4000" spans="1:19" x14ac:dyDescent="0.3">
      <c r="A4000" t="s">
        <v>8</v>
      </c>
      <c r="B4000">
        <v>2016210026</v>
      </c>
      <c r="C4000" t="s">
        <v>124</v>
      </c>
      <c r="E4000" t="s">
        <v>22</v>
      </c>
      <c r="F4000" t="s">
        <v>23</v>
      </c>
      <c r="G4000">
        <v>2</v>
      </c>
      <c r="H4000" t="s">
        <v>438</v>
      </c>
      <c r="I4000" s="4">
        <f t="shared" si="555"/>
        <v>3</v>
      </c>
      <c r="J4000">
        <f t="shared" si="556"/>
        <v>6</v>
      </c>
      <c r="K4000">
        <v>28</v>
      </c>
      <c r="L4000">
        <v>16</v>
      </c>
      <c r="M4000">
        <v>1.75</v>
      </c>
      <c r="N4000">
        <v>2.04</v>
      </c>
      <c r="O4000">
        <v>0</v>
      </c>
      <c r="P4000">
        <v>2</v>
      </c>
      <c r="Q4000" s="4" t="str">
        <f t="shared" si="552"/>
        <v>2016/2017-Genap</v>
      </c>
      <c r="R4000" s="8" t="s">
        <v>260</v>
      </c>
      <c r="S4000" t="str">
        <f t="shared" si="554"/>
        <v>PA</v>
      </c>
    </row>
    <row r="4001" spans="1:19" x14ac:dyDescent="0.3">
      <c r="A4001" t="s">
        <v>8</v>
      </c>
      <c r="B4001">
        <v>2016210026</v>
      </c>
      <c r="C4001" t="s">
        <v>124</v>
      </c>
      <c r="E4001" t="s">
        <v>93</v>
      </c>
      <c r="F4001" t="s">
        <v>94</v>
      </c>
      <c r="G4001">
        <v>4</v>
      </c>
      <c r="H4001" t="s">
        <v>438</v>
      </c>
      <c r="I4001" s="4">
        <f t="shared" si="555"/>
        <v>3</v>
      </c>
      <c r="J4001">
        <f t="shared" si="556"/>
        <v>12</v>
      </c>
      <c r="K4001">
        <v>22</v>
      </c>
      <c r="L4001">
        <v>12</v>
      </c>
      <c r="M4001">
        <v>1.83</v>
      </c>
      <c r="N4001">
        <v>2.04</v>
      </c>
      <c r="O4001">
        <v>0</v>
      </c>
      <c r="P4001">
        <v>3</v>
      </c>
      <c r="Q4001" s="4" t="str">
        <f t="shared" si="552"/>
        <v>2017/2018-Ganjil</v>
      </c>
      <c r="R4001" s="8" t="s">
        <v>535</v>
      </c>
      <c r="S4001" t="str">
        <f t="shared" si="554"/>
        <v>PA</v>
      </c>
    </row>
    <row r="4002" spans="1:19" x14ac:dyDescent="0.3">
      <c r="A4002" t="s">
        <v>8</v>
      </c>
      <c r="B4002">
        <v>2016210026</v>
      </c>
      <c r="C4002" t="s">
        <v>124</v>
      </c>
      <c r="E4002" t="s">
        <v>163</v>
      </c>
      <c r="F4002" t="s">
        <v>164</v>
      </c>
      <c r="G4002">
        <v>2</v>
      </c>
      <c r="H4002" t="s">
        <v>438</v>
      </c>
      <c r="I4002" s="4">
        <f t="shared" si="555"/>
        <v>3</v>
      </c>
      <c r="J4002">
        <f t="shared" si="556"/>
        <v>6</v>
      </c>
      <c r="K4002">
        <v>44</v>
      </c>
      <c r="L4002">
        <v>18</v>
      </c>
      <c r="M4002">
        <v>2.44</v>
      </c>
      <c r="N4002">
        <v>2.04</v>
      </c>
      <c r="O4002">
        <v>0</v>
      </c>
      <c r="P4002">
        <v>1</v>
      </c>
      <c r="Q4002" s="4" t="str">
        <f t="shared" si="552"/>
        <v>2016/2017-Ganjil</v>
      </c>
      <c r="R4002" s="8" t="s">
        <v>260</v>
      </c>
      <c r="S4002" t="str">
        <f t="shared" si="554"/>
        <v>PA</v>
      </c>
    </row>
    <row r="4003" spans="1:19" x14ac:dyDescent="0.3">
      <c r="A4003" t="s">
        <v>8</v>
      </c>
      <c r="B4003">
        <v>2016210026</v>
      </c>
      <c r="C4003" t="s">
        <v>124</v>
      </c>
      <c r="E4003" t="s">
        <v>147</v>
      </c>
      <c r="F4003" t="s">
        <v>148</v>
      </c>
      <c r="G4003">
        <v>4</v>
      </c>
      <c r="H4003" t="s">
        <v>438</v>
      </c>
      <c r="I4003" s="4">
        <f t="shared" si="555"/>
        <v>3</v>
      </c>
      <c r="J4003">
        <f t="shared" si="556"/>
        <v>12</v>
      </c>
      <c r="K4003">
        <v>44</v>
      </c>
      <c r="L4003">
        <v>18</v>
      </c>
      <c r="M4003">
        <v>2.44</v>
      </c>
      <c r="N4003">
        <v>2.04</v>
      </c>
      <c r="O4003">
        <v>0</v>
      </c>
      <c r="P4003">
        <v>1</v>
      </c>
      <c r="Q4003" s="4" t="str">
        <f t="shared" si="552"/>
        <v>2016/2017-Ganjil</v>
      </c>
      <c r="R4003" s="8" t="s">
        <v>260</v>
      </c>
      <c r="S4003" t="str">
        <f t="shared" si="554"/>
        <v>PA</v>
      </c>
    </row>
    <row r="4004" spans="1:19" x14ac:dyDescent="0.3">
      <c r="A4004" t="s">
        <v>8</v>
      </c>
      <c r="B4004">
        <v>2016210026</v>
      </c>
      <c r="C4004" t="s">
        <v>124</v>
      </c>
      <c r="E4004" t="s">
        <v>110</v>
      </c>
      <c r="F4004" t="s">
        <v>111</v>
      </c>
      <c r="G4004">
        <v>4</v>
      </c>
      <c r="H4004" t="s">
        <v>524</v>
      </c>
      <c r="I4004" s="4">
        <f t="shared" si="555"/>
        <v>2</v>
      </c>
      <c r="J4004">
        <f t="shared" si="556"/>
        <v>8</v>
      </c>
      <c r="K4004">
        <v>44</v>
      </c>
      <c r="L4004">
        <v>18</v>
      </c>
      <c r="M4004">
        <v>2.44</v>
      </c>
      <c r="N4004">
        <v>2.04</v>
      </c>
      <c r="O4004">
        <v>0</v>
      </c>
      <c r="P4004">
        <v>1</v>
      </c>
      <c r="Q4004" s="4" t="str">
        <f t="shared" si="552"/>
        <v>2016/2017-Ganjil</v>
      </c>
      <c r="R4004" s="8" t="s">
        <v>260</v>
      </c>
      <c r="S4004" t="str">
        <f t="shared" si="554"/>
        <v>PA</v>
      </c>
    </row>
    <row r="4005" spans="1:19" x14ac:dyDescent="0.3">
      <c r="A4005" t="s">
        <v>8</v>
      </c>
      <c r="B4005">
        <v>2016210026</v>
      </c>
      <c r="C4005" t="s">
        <v>124</v>
      </c>
      <c r="E4005" t="s">
        <v>266</v>
      </c>
      <c r="F4005" t="s">
        <v>91</v>
      </c>
      <c r="G4005">
        <v>2</v>
      </c>
      <c r="H4005" t="s">
        <v>535</v>
      </c>
      <c r="I4005" s="4">
        <f t="shared" si="555"/>
        <v>1</v>
      </c>
      <c r="J4005">
        <f t="shared" si="556"/>
        <v>2</v>
      </c>
      <c r="K4005">
        <v>28</v>
      </c>
      <c r="L4005">
        <v>16</v>
      </c>
      <c r="M4005">
        <v>1.75</v>
      </c>
      <c r="N4005">
        <v>2.04</v>
      </c>
      <c r="O4005">
        <v>0</v>
      </c>
      <c r="P4005">
        <v>2</v>
      </c>
      <c r="Q4005" s="4" t="str">
        <f t="shared" si="552"/>
        <v>2016/2017-Genap</v>
      </c>
      <c r="R4005" s="8" t="s">
        <v>260</v>
      </c>
      <c r="S4005" t="str">
        <f t="shared" si="554"/>
        <v>FA</v>
      </c>
    </row>
    <row r="4006" spans="1:19" x14ac:dyDescent="0.3">
      <c r="A4006" t="s">
        <v>8</v>
      </c>
      <c r="B4006">
        <v>2016210026</v>
      </c>
      <c r="C4006" t="s">
        <v>124</v>
      </c>
      <c r="E4006" t="s">
        <v>401</v>
      </c>
      <c r="F4006" t="s">
        <v>258</v>
      </c>
      <c r="G4006">
        <v>4</v>
      </c>
      <c r="H4006" t="s">
        <v>535</v>
      </c>
      <c r="I4006" s="4">
        <f t="shared" si="555"/>
        <v>1</v>
      </c>
      <c r="J4006">
        <f t="shared" si="556"/>
        <v>4</v>
      </c>
      <c r="K4006">
        <v>22</v>
      </c>
      <c r="L4006">
        <v>12</v>
      </c>
      <c r="M4006">
        <v>1.83</v>
      </c>
      <c r="N4006">
        <v>2.04</v>
      </c>
      <c r="O4006">
        <v>0</v>
      </c>
      <c r="P4006">
        <v>3</v>
      </c>
      <c r="Q4006" s="4" t="str">
        <f t="shared" si="552"/>
        <v>2017/2018-Ganjil</v>
      </c>
      <c r="R4006" s="8" t="s">
        <v>535</v>
      </c>
      <c r="S4006" t="str">
        <f t="shared" si="554"/>
        <v>FA</v>
      </c>
    </row>
    <row r="4007" spans="1:19" x14ac:dyDescent="0.3">
      <c r="A4007" t="s">
        <v>8</v>
      </c>
      <c r="B4007">
        <v>2016210026</v>
      </c>
      <c r="C4007" t="s">
        <v>124</v>
      </c>
      <c r="E4007" t="s">
        <v>115</v>
      </c>
      <c r="F4007" t="s">
        <v>116</v>
      </c>
      <c r="G4007">
        <v>4</v>
      </c>
      <c r="H4007" t="s">
        <v>535</v>
      </c>
      <c r="I4007" s="4">
        <f t="shared" si="555"/>
        <v>1</v>
      </c>
      <c r="J4007">
        <f t="shared" si="556"/>
        <v>4</v>
      </c>
      <c r="K4007">
        <v>28</v>
      </c>
      <c r="L4007">
        <v>16</v>
      </c>
      <c r="M4007">
        <v>1.75</v>
      </c>
      <c r="N4007">
        <v>2.04</v>
      </c>
      <c r="O4007">
        <v>0</v>
      </c>
      <c r="P4007">
        <v>2</v>
      </c>
      <c r="Q4007" s="4" t="str">
        <f t="shared" si="552"/>
        <v>2016/2017-Genap</v>
      </c>
      <c r="R4007" s="8" t="s">
        <v>260</v>
      </c>
      <c r="S4007" t="str">
        <f t="shared" si="554"/>
        <v>FA</v>
      </c>
    </row>
    <row r="4008" spans="1:19" x14ac:dyDescent="0.3">
      <c r="A4008" t="s">
        <v>8</v>
      </c>
      <c r="B4008">
        <v>2016210026</v>
      </c>
      <c r="C4008" t="s">
        <v>124</v>
      </c>
      <c r="E4008" t="s">
        <v>44</v>
      </c>
      <c r="F4008" t="s">
        <v>45</v>
      </c>
      <c r="G4008">
        <v>2</v>
      </c>
      <c r="H4008" t="s">
        <v>535</v>
      </c>
      <c r="I4008" s="4">
        <f t="shared" si="555"/>
        <v>1</v>
      </c>
      <c r="J4008">
        <f t="shared" si="556"/>
        <v>2</v>
      </c>
      <c r="K4008">
        <v>28</v>
      </c>
      <c r="L4008">
        <v>16</v>
      </c>
      <c r="M4008">
        <v>1.75</v>
      </c>
      <c r="N4008">
        <v>2.04</v>
      </c>
      <c r="O4008">
        <v>0</v>
      </c>
      <c r="P4008">
        <v>2</v>
      </c>
      <c r="Q4008" s="4" t="str">
        <f t="shared" si="552"/>
        <v>2016/2017-Genap</v>
      </c>
      <c r="R4008" s="8" t="s">
        <v>260</v>
      </c>
      <c r="S4008" t="str">
        <f t="shared" si="554"/>
        <v>FA</v>
      </c>
    </row>
    <row r="4009" spans="1:19" x14ac:dyDescent="0.3">
      <c r="A4009" t="s">
        <v>8</v>
      </c>
      <c r="B4009">
        <v>2016210026</v>
      </c>
      <c r="C4009" t="s">
        <v>124</v>
      </c>
      <c r="E4009" t="s">
        <v>117</v>
      </c>
      <c r="F4009" t="s">
        <v>118</v>
      </c>
      <c r="G4009">
        <v>2</v>
      </c>
      <c r="H4009" t="s">
        <v>535</v>
      </c>
      <c r="I4009" s="4">
        <f t="shared" si="555"/>
        <v>1</v>
      </c>
      <c r="J4009">
        <f t="shared" si="556"/>
        <v>2</v>
      </c>
      <c r="K4009">
        <v>28</v>
      </c>
      <c r="L4009">
        <v>16</v>
      </c>
      <c r="M4009">
        <v>1.75</v>
      </c>
      <c r="N4009">
        <v>2.04</v>
      </c>
      <c r="O4009">
        <v>0</v>
      </c>
      <c r="P4009">
        <v>2</v>
      </c>
      <c r="Q4009" s="4" t="str">
        <f t="shared" si="552"/>
        <v>2016/2017-Genap</v>
      </c>
      <c r="R4009" s="8" t="s">
        <v>260</v>
      </c>
      <c r="S4009" t="str">
        <f t="shared" si="554"/>
        <v>FA</v>
      </c>
    </row>
    <row r="4010" spans="1:19" x14ac:dyDescent="0.3">
      <c r="A4010" t="s">
        <v>8</v>
      </c>
      <c r="B4010">
        <v>2016210026</v>
      </c>
      <c r="C4010" t="s">
        <v>124</v>
      </c>
      <c r="E4010" t="s">
        <v>157</v>
      </c>
      <c r="F4010" t="s">
        <v>158</v>
      </c>
      <c r="G4010">
        <v>2</v>
      </c>
      <c r="H4010" t="s">
        <v>539</v>
      </c>
      <c r="I4010" s="4">
        <f t="shared" si="555"/>
        <v>0</v>
      </c>
      <c r="J4010">
        <f t="shared" si="556"/>
        <v>0</v>
      </c>
      <c r="K4010">
        <v>22</v>
      </c>
      <c r="L4010">
        <v>12</v>
      </c>
      <c r="M4010">
        <v>1.83</v>
      </c>
      <c r="N4010">
        <v>2.04</v>
      </c>
      <c r="O4010">
        <v>0</v>
      </c>
      <c r="P4010">
        <v>3</v>
      </c>
      <c r="Q4010" s="4" t="str">
        <f t="shared" si="552"/>
        <v>2017/2018-Ganjil</v>
      </c>
      <c r="R4010" s="8" t="s">
        <v>535</v>
      </c>
      <c r="S4010" t="str">
        <f t="shared" si="554"/>
        <v>FA</v>
      </c>
    </row>
    <row r="4011" spans="1:19" x14ac:dyDescent="0.3">
      <c r="A4011" t="s">
        <v>8</v>
      </c>
      <c r="B4011">
        <v>2016210026</v>
      </c>
      <c r="C4011" t="s">
        <v>124</v>
      </c>
      <c r="E4011" t="s">
        <v>395</v>
      </c>
      <c r="F4011" t="s">
        <v>396</v>
      </c>
      <c r="G4011">
        <v>2</v>
      </c>
      <c r="H4011" t="s">
        <v>539</v>
      </c>
      <c r="I4011" s="4">
        <f t="shared" si="555"/>
        <v>0</v>
      </c>
      <c r="J4011">
        <f t="shared" si="556"/>
        <v>0</v>
      </c>
      <c r="K4011">
        <v>44</v>
      </c>
      <c r="L4011">
        <v>18</v>
      </c>
      <c r="M4011">
        <v>2.44</v>
      </c>
      <c r="N4011">
        <v>2.04</v>
      </c>
      <c r="O4011">
        <v>0</v>
      </c>
      <c r="P4011">
        <v>1</v>
      </c>
      <c r="Q4011" s="4" t="str">
        <f t="shared" si="552"/>
        <v>2016/2017-Ganjil</v>
      </c>
      <c r="R4011" s="8" t="s">
        <v>260</v>
      </c>
      <c r="S4011" t="str">
        <f t="shared" si="554"/>
        <v>FA</v>
      </c>
    </row>
    <row r="4012" spans="1:19" x14ac:dyDescent="0.3">
      <c r="A4012" t="s">
        <v>8</v>
      </c>
      <c r="B4012">
        <v>2016210028</v>
      </c>
      <c r="C4012" t="s">
        <v>92</v>
      </c>
      <c r="E4012" t="s">
        <v>93</v>
      </c>
      <c r="F4012" t="s">
        <v>94</v>
      </c>
      <c r="G4012">
        <v>4</v>
      </c>
      <c r="I4012" s="4"/>
      <c r="J4012">
        <f t="shared" si="551"/>
        <v>0</v>
      </c>
      <c r="K4012">
        <v>6</v>
      </c>
      <c r="L4012">
        <v>2</v>
      </c>
      <c r="M4012" s="2">
        <v>3</v>
      </c>
      <c r="N4012">
        <v>2.06</v>
      </c>
      <c r="O4012">
        <v>0</v>
      </c>
      <c r="P4012">
        <v>3</v>
      </c>
      <c r="Q4012" s="4" t="str">
        <f t="shared" si="552"/>
        <v>2017/2018-Ganjil</v>
      </c>
      <c r="R4012" s="8" t="s">
        <v>535</v>
      </c>
      <c r="S4012" t="s">
        <v>595</v>
      </c>
    </row>
    <row r="4013" spans="1:19" x14ac:dyDescent="0.3">
      <c r="A4013" t="s">
        <v>8</v>
      </c>
      <c r="B4013">
        <v>2016210028</v>
      </c>
      <c r="C4013" t="s">
        <v>92</v>
      </c>
      <c r="E4013" t="s">
        <v>157</v>
      </c>
      <c r="F4013" t="s">
        <v>158</v>
      </c>
      <c r="G4013">
        <v>2</v>
      </c>
      <c r="I4013" s="4"/>
      <c r="J4013">
        <f t="shared" si="551"/>
        <v>0</v>
      </c>
      <c r="K4013">
        <v>6</v>
      </c>
      <c r="L4013">
        <v>2</v>
      </c>
      <c r="M4013" s="2">
        <v>3</v>
      </c>
      <c r="N4013">
        <v>2.06</v>
      </c>
      <c r="O4013">
        <v>0</v>
      </c>
      <c r="P4013">
        <v>3</v>
      </c>
      <c r="Q4013" s="4" t="str">
        <f t="shared" si="552"/>
        <v>2017/2018-Ganjil</v>
      </c>
      <c r="R4013" s="8" t="s">
        <v>535</v>
      </c>
      <c r="S4013" t="s">
        <v>595</v>
      </c>
    </row>
    <row r="4014" spans="1:19" x14ac:dyDescent="0.3">
      <c r="A4014" t="s">
        <v>8</v>
      </c>
      <c r="B4014">
        <v>2016210028</v>
      </c>
      <c r="C4014" t="s">
        <v>92</v>
      </c>
      <c r="E4014" t="s">
        <v>125</v>
      </c>
      <c r="F4014" t="s">
        <v>126</v>
      </c>
      <c r="G4014">
        <v>4</v>
      </c>
      <c r="I4014" s="4"/>
      <c r="J4014">
        <f t="shared" si="551"/>
        <v>0</v>
      </c>
      <c r="K4014">
        <v>4</v>
      </c>
      <c r="L4014">
        <v>10</v>
      </c>
      <c r="M4014" s="2">
        <v>0.4</v>
      </c>
      <c r="N4014">
        <v>2.06</v>
      </c>
      <c r="O4014">
        <v>0</v>
      </c>
      <c r="P4014">
        <v>2</v>
      </c>
      <c r="Q4014" s="4" t="str">
        <f t="shared" si="552"/>
        <v>2016/2017-Genap</v>
      </c>
      <c r="R4014" s="8" t="s">
        <v>260</v>
      </c>
      <c r="S4014" t="s">
        <v>595</v>
      </c>
    </row>
    <row r="4015" spans="1:19" x14ac:dyDescent="0.3">
      <c r="A4015" t="s">
        <v>8</v>
      </c>
      <c r="B4015">
        <v>2016210028</v>
      </c>
      <c r="C4015" t="s">
        <v>92</v>
      </c>
      <c r="E4015" t="s">
        <v>227</v>
      </c>
      <c r="F4015" t="s">
        <v>228</v>
      </c>
      <c r="G4015">
        <v>2</v>
      </c>
      <c r="I4015" s="4"/>
      <c r="J4015">
        <f t="shared" si="551"/>
        <v>0</v>
      </c>
      <c r="K4015">
        <v>6</v>
      </c>
      <c r="L4015">
        <v>2</v>
      </c>
      <c r="M4015" s="2">
        <v>3</v>
      </c>
      <c r="N4015">
        <v>2.06</v>
      </c>
      <c r="O4015">
        <v>0</v>
      </c>
      <c r="P4015">
        <v>3</v>
      </c>
      <c r="Q4015" s="4" t="str">
        <f t="shared" si="552"/>
        <v>2017/2018-Ganjil</v>
      </c>
      <c r="R4015" s="8" t="s">
        <v>535</v>
      </c>
      <c r="S4015" t="s">
        <v>595</v>
      </c>
    </row>
    <row r="4016" spans="1:19" x14ac:dyDescent="0.3">
      <c r="A4016" t="s">
        <v>8</v>
      </c>
      <c r="B4016">
        <v>2016210028</v>
      </c>
      <c r="C4016" t="s">
        <v>92</v>
      </c>
      <c r="E4016" t="s">
        <v>105</v>
      </c>
      <c r="F4016" t="s">
        <v>106</v>
      </c>
      <c r="G4016">
        <v>2</v>
      </c>
      <c r="I4016" s="4"/>
      <c r="J4016">
        <f t="shared" si="551"/>
        <v>0</v>
      </c>
      <c r="K4016">
        <v>6</v>
      </c>
      <c r="L4016">
        <v>2</v>
      </c>
      <c r="M4016" s="2">
        <v>3</v>
      </c>
      <c r="N4016">
        <v>2.06</v>
      </c>
      <c r="O4016">
        <v>0</v>
      </c>
      <c r="P4016">
        <v>3</v>
      </c>
      <c r="Q4016" s="4" t="str">
        <f t="shared" si="552"/>
        <v>2017/2018-Ganjil</v>
      </c>
      <c r="R4016" s="8" t="s">
        <v>535</v>
      </c>
      <c r="S4016" t="s">
        <v>595</v>
      </c>
    </row>
    <row r="4017" spans="1:19" x14ac:dyDescent="0.3">
      <c r="A4017" t="s">
        <v>8</v>
      </c>
      <c r="B4017">
        <v>2016210028</v>
      </c>
      <c r="C4017" t="s">
        <v>92</v>
      </c>
      <c r="E4017" t="s">
        <v>115</v>
      </c>
      <c r="F4017" t="s">
        <v>116</v>
      </c>
      <c r="G4017">
        <v>4</v>
      </c>
      <c r="I4017" s="4"/>
      <c r="J4017">
        <f t="shared" si="551"/>
        <v>0</v>
      </c>
      <c r="K4017">
        <v>4</v>
      </c>
      <c r="L4017">
        <v>10</v>
      </c>
      <c r="M4017" s="2">
        <v>0.4</v>
      </c>
      <c r="N4017">
        <v>2.06</v>
      </c>
      <c r="O4017">
        <v>0</v>
      </c>
      <c r="P4017">
        <v>2</v>
      </c>
      <c r="Q4017" s="4" t="str">
        <f t="shared" si="552"/>
        <v>2016/2017-Genap</v>
      </c>
      <c r="R4017" s="8" t="s">
        <v>260</v>
      </c>
      <c r="S4017" t="s">
        <v>595</v>
      </c>
    </row>
    <row r="4018" spans="1:19" x14ac:dyDescent="0.3">
      <c r="A4018" t="s">
        <v>8</v>
      </c>
      <c r="B4018">
        <v>2016210028</v>
      </c>
      <c r="C4018" t="s">
        <v>92</v>
      </c>
      <c r="E4018" t="s">
        <v>77</v>
      </c>
      <c r="F4018" t="s">
        <v>78</v>
      </c>
      <c r="G4018">
        <v>2</v>
      </c>
      <c r="H4018" t="s">
        <v>260</v>
      </c>
      <c r="I4018" s="4">
        <f t="shared" si="553"/>
        <v>4</v>
      </c>
      <c r="J4018">
        <f t="shared" si="551"/>
        <v>8</v>
      </c>
      <c r="K4018">
        <v>56</v>
      </c>
      <c r="L4018">
        <v>20</v>
      </c>
      <c r="M4018" s="2">
        <v>2.8</v>
      </c>
      <c r="N4018">
        <v>2.06</v>
      </c>
      <c r="O4018">
        <v>0</v>
      </c>
      <c r="P4018">
        <v>1</v>
      </c>
      <c r="Q4018" s="4" t="str">
        <f t="shared" si="552"/>
        <v>2016/2017-Ganjil</v>
      </c>
      <c r="R4018" s="8" t="s">
        <v>260</v>
      </c>
      <c r="S4018" t="str">
        <f t="shared" ref="S4018:S4031" si="557">IF(OR(H4018="A",H4018="B",H4018="C"),"PA","FA")</f>
        <v>PA</v>
      </c>
    </row>
    <row r="4019" spans="1:19" x14ac:dyDescent="0.3">
      <c r="A4019" t="s">
        <v>8</v>
      </c>
      <c r="B4019">
        <v>2016210028</v>
      </c>
      <c r="C4019" t="s">
        <v>92</v>
      </c>
      <c r="E4019" t="s">
        <v>295</v>
      </c>
      <c r="F4019" t="s">
        <v>296</v>
      </c>
      <c r="G4019">
        <v>2</v>
      </c>
      <c r="H4019" t="s">
        <v>438</v>
      </c>
      <c r="I4019" s="4">
        <f t="shared" ref="I4019:I4031" si="558">IF(H4019="A",4,IF(H4019="B",3,IF(H4019="C",2,IF(H4019="D",1,0))))</f>
        <v>3</v>
      </c>
      <c r="J4019">
        <f t="shared" ref="J4019:J4031" si="559">G4019*I4019</f>
        <v>6</v>
      </c>
      <c r="K4019">
        <v>6</v>
      </c>
      <c r="L4019">
        <v>2</v>
      </c>
      <c r="M4019" s="2">
        <v>3</v>
      </c>
      <c r="N4019">
        <v>2.06</v>
      </c>
      <c r="O4019">
        <v>0</v>
      </c>
      <c r="P4019">
        <v>3</v>
      </c>
      <c r="Q4019" s="4" t="str">
        <f t="shared" si="552"/>
        <v>2017/2018-Ganjil</v>
      </c>
      <c r="R4019" s="8" t="s">
        <v>535</v>
      </c>
      <c r="S4019" t="str">
        <f t="shared" si="557"/>
        <v>PA</v>
      </c>
    </row>
    <row r="4020" spans="1:19" x14ac:dyDescent="0.3">
      <c r="A4020" t="s">
        <v>8</v>
      </c>
      <c r="B4020">
        <v>2016210028</v>
      </c>
      <c r="C4020" t="s">
        <v>92</v>
      </c>
      <c r="E4020" t="s">
        <v>202</v>
      </c>
      <c r="F4020" t="s">
        <v>203</v>
      </c>
      <c r="G4020">
        <v>4</v>
      </c>
      <c r="H4020" t="s">
        <v>438</v>
      </c>
      <c r="I4020" s="4">
        <f t="shared" si="558"/>
        <v>3</v>
      </c>
      <c r="J4020">
        <f t="shared" si="559"/>
        <v>12</v>
      </c>
      <c r="K4020">
        <v>56</v>
      </c>
      <c r="L4020">
        <v>20</v>
      </c>
      <c r="M4020" s="2">
        <v>2.8</v>
      </c>
      <c r="N4020">
        <v>2.06</v>
      </c>
      <c r="O4020">
        <v>0</v>
      </c>
      <c r="P4020">
        <v>1</v>
      </c>
      <c r="Q4020" s="4" t="str">
        <f t="shared" si="552"/>
        <v>2016/2017-Ganjil</v>
      </c>
      <c r="R4020" s="8" t="s">
        <v>260</v>
      </c>
      <c r="S4020" t="str">
        <f t="shared" si="557"/>
        <v>PA</v>
      </c>
    </row>
    <row r="4021" spans="1:19" x14ac:dyDescent="0.3">
      <c r="A4021" t="s">
        <v>8</v>
      </c>
      <c r="B4021">
        <v>2016210028</v>
      </c>
      <c r="C4021" t="s">
        <v>92</v>
      </c>
      <c r="E4021" t="s">
        <v>131</v>
      </c>
      <c r="F4021" t="s">
        <v>132</v>
      </c>
      <c r="G4021">
        <v>2</v>
      </c>
      <c r="H4021" t="s">
        <v>438</v>
      </c>
      <c r="I4021" s="4">
        <f t="shared" si="558"/>
        <v>3</v>
      </c>
      <c r="J4021">
        <f t="shared" si="559"/>
        <v>6</v>
      </c>
      <c r="K4021">
        <v>56</v>
      </c>
      <c r="L4021">
        <v>20</v>
      </c>
      <c r="M4021" s="2">
        <v>2.8</v>
      </c>
      <c r="N4021">
        <v>2.06</v>
      </c>
      <c r="O4021">
        <v>0</v>
      </c>
      <c r="P4021">
        <v>1</v>
      </c>
      <c r="Q4021" s="4" t="str">
        <f t="shared" si="552"/>
        <v>2016/2017-Ganjil</v>
      </c>
      <c r="R4021" s="8" t="s">
        <v>260</v>
      </c>
      <c r="S4021" t="str">
        <f t="shared" si="557"/>
        <v>PA</v>
      </c>
    </row>
    <row r="4022" spans="1:19" x14ac:dyDescent="0.3">
      <c r="A4022" t="s">
        <v>8</v>
      </c>
      <c r="B4022">
        <v>2016210028</v>
      </c>
      <c r="C4022" t="s">
        <v>92</v>
      </c>
      <c r="E4022" t="s">
        <v>163</v>
      </c>
      <c r="F4022" t="s">
        <v>164</v>
      </c>
      <c r="G4022">
        <v>2</v>
      </c>
      <c r="H4022" t="s">
        <v>438</v>
      </c>
      <c r="I4022" s="4">
        <f t="shared" si="558"/>
        <v>3</v>
      </c>
      <c r="J4022">
        <f t="shared" si="559"/>
        <v>6</v>
      </c>
      <c r="K4022">
        <v>56</v>
      </c>
      <c r="L4022">
        <v>20</v>
      </c>
      <c r="M4022" s="2">
        <v>2.8</v>
      </c>
      <c r="N4022">
        <v>2.06</v>
      </c>
      <c r="O4022">
        <v>0</v>
      </c>
      <c r="P4022">
        <v>1</v>
      </c>
      <c r="Q4022" s="4" t="str">
        <f t="shared" si="552"/>
        <v>2016/2017-Ganjil</v>
      </c>
      <c r="R4022" s="8" t="s">
        <v>260</v>
      </c>
      <c r="S4022" t="str">
        <f t="shared" si="557"/>
        <v>PA</v>
      </c>
    </row>
    <row r="4023" spans="1:19" x14ac:dyDescent="0.3">
      <c r="A4023" t="s">
        <v>8</v>
      </c>
      <c r="B4023">
        <v>2016210028</v>
      </c>
      <c r="C4023" t="s">
        <v>92</v>
      </c>
      <c r="E4023" t="s">
        <v>147</v>
      </c>
      <c r="F4023" t="s">
        <v>148</v>
      </c>
      <c r="G4023">
        <v>4</v>
      </c>
      <c r="H4023" t="s">
        <v>438</v>
      </c>
      <c r="I4023" s="4">
        <f t="shared" si="558"/>
        <v>3</v>
      </c>
      <c r="J4023">
        <f t="shared" si="559"/>
        <v>12</v>
      </c>
      <c r="K4023">
        <v>56</v>
      </c>
      <c r="L4023">
        <v>20</v>
      </c>
      <c r="M4023" s="2">
        <v>2.8</v>
      </c>
      <c r="N4023">
        <v>2.06</v>
      </c>
      <c r="O4023">
        <v>0</v>
      </c>
      <c r="P4023">
        <v>1</v>
      </c>
      <c r="Q4023" s="4" t="str">
        <f t="shared" si="552"/>
        <v>2016/2017-Ganjil</v>
      </c>
      <c r="R4023" s="8" t="s">
        <v>260</v>
      </c>
      <c r="S4023" t="str">
        <f t="shared" si="557"/>
        <v>PA</v>
      </c>
    </row>
    <row r="4024" spans="1:19" x14ac:dyDescent="0.3">
      <c r="A4024" t="s">
        <v>8</v>
      </c>
      <c r="B4024">
        <v>2016210028</v>
      </c>
      <c r="C4024" t="s">
        <v>92</v>
      </c>
      <c r="E4024" t="s">
        <v>110</v>
      </c>
      <c r="F4024" t="s">
        <v>111</v>
      </c>
      <c r="G4024">
        <v>4</v>
      </c>
      <c r="H4024" t="s">
        <v>524</v>
      </c>
      <c r="I4024" s="4">
        <f t="shared" si="558"/>
        <v>2</v>
      </c>
      <c r="J4024">
        <f t="shared" si="559"/>
        <v>8</v>
      </c>
      <c r="K4024">
        <v>56</v>
      </c>
      <c r="L4024">
        <v>20</v>
      </c>
      <c r="M4024" s="2">
        <v>2.8</v>
      </c>
      <c r="N4024">
        <v>2.06</v>
      </c>
      <c r="O4024">
        <v>0</v>
      </c>
      <c r="P4024">
        <v>1</v>
      </c>
      <c r="Q4024" s="4" t="str">
        <f t="shared" si="552"/>
        <v>2016/2017-Ganjil</v>
      </c>
      <c r="R4024" s="8" t="s">
        <v>260</v>
      </c>
      <c r="S4024" t="str">
        <f t="shared" si="557"/>
        <v>PA</v>
      </c>
    </row>
    <row r="4025" spans="1:19" x14ac:dyDescent="0.3">
      <c r="A4025" t="s">
        <v>8</v>
      </c>
      <c r="B4025">
        <v>2016210028</v>
      </c>
      <c r="C4025" t="s">
        <v>92</v>
      </c>
      <c r="E4025" t="s">
        <v>395</v>
      </c>
      <c r="F4025" t="s">
        <v>396</v>
      </c>
      <c r="G4025">
        <v>2</v>
      </c>
      <c r="H4025" t="s">
        <v>524</v>
      </c>
      <c r="I4025" s="4">
        <f t="shared" si="558"/>
        <v>2</v>
      </c>
      <c r="J4025">
        <f t="shared" si="559"/>
        <v>4</v>
      </c>
      <c r="K4025">
        <v>56</v>
      </c>
      <c r="L4025">
        <v>20</v>
      </c>
      <c r="M4025" s="2">
        <v>2.8</v>
      </c>
      <c r="N4025">
        <v>2.06</v>
      </c>
      <c r="O4025">
        <v>0</v>
      </c>
      <c r="P4025">
        <v>1</v>
      </c>
      <c r="Q4025" s="4" t="str">
        <f t="shared" si="552"/>
        <v>2016/2017-Ganjil</v>
      </c>
      <c r="R4025" s="8" t="s">
        <v>260</v>
      </c>
      <c r="S4025" t="str">
        <f t="shared" si="557"/>
        <v>PA</v>
      </c>
    </row>
    <row r="4026" spans="1:19" x14ac:dyDescent="0.3">
      <c r="A4026" t="s">
        <v>8</v>
      </c>
      <c r="B4026">
        <v>2016210028</v>
      </c>
      <c r="C4026" t="s">
        <v>92</v>
      </c>
      <c r="E4026" t="s">
        <v>266</v>
      </c>
      <c r="F4026" t="s">
        <v>91</v>
      </c>
      <c r="G4026">
        <v>2</v>
      </c>
      <c r="H4026" t="s">
        <v>535</v>
      </c>
      <c r="I4026" s="4">
        <f t="shared" si="558"/>
        <v>1</v>
      </c>
      <c r="J4026">
        <f t="shared" si="559"/>
        <v>2</v>
      </c>
      <c r="K4026">
        <v>4</v>
      </c>
      <c r="L4026">
        <v>10</v>
      </c>
      <c r="M4026" s="2">
        <v>0.4</v>
      </c>
      <c r="N4026">
        <v>2.06</v>
      </c>
      <c r="O4026">
        <v>0</v>
      </c>
      <c r="P4026">
        <v>2</v>
      </c>
      <c r="Q4026" s="4" t="str">
        <f t="shared" si="552"/>
        <v>2016/2017-Genap</v>
      </c>
      <c r="R4026" s="8" t="s">
        <v>260</v>
      </c>
      <c r="S4026" t="str">
        <f t="shared" si="557"/>
        <v>FA</v>
      </c>
    </row>
    <row r="4027" spans="1:19" x14ac:dyDescent="0.3">
      <c r="A4027" t="s">
        <v>8</v>
      </c>
      <c r="B4027">
        <v>2016210028</v>
      </c>
      <c r="C4027" t="s">
        <v>92</v>
      </c>
      <c r="E4027" t="s">
        <v>117</v>
      </c>
      <c r="F4027" t="s">
        <v>118</v>
      </c>
      <c r="G4027">
        <v>2</v>
      </c>
      <c r="H4027" t="s">
        <v>535</v>
      </c>
      <c r="I4027" s="4">
        <f t="shared" si="558"/>
        <v>1</v>
      </c>
      <c r="J4027">
        <f t="shared" si="559"/>
        <v>2</v>
      </c>
      <c r="K4027">
        <v>4</v>
      </c>
      <c r="L4027">
        <v>10</v>
      </c>
      <c r="M4027" s="2">
        <v>0.4</v>
      </c>
      <c r="N4027">
        <v>2.06</v>
      </c>
      <c r="O4027">
        <v>0</v>
      </c>
      <c r="P4027">
        <v>2</v>
      </c>
      <c r="Q4027" s="4" t="str">
        <f t="shared" si="552"/>
        <v>2016/2017-Genap</v>
      </c>
      <c r="R4027" s="8" t="s">
        <v>260</v>
      </c>
      <c r="S4027" t="str">
        <f t="shared" si="557"/>
        <v>FA</v>
      </c>
    </row>
    <row r="4028" spans="1:19" x14ac:dyDescent="0.3">
      <c r="A4028" t="s">
        <v>8</v>
      </c>
      <c r="B4028">
        <v>2016210028</v>
      </c>
      <c r="C4028" t="s">
        <v>92</v>
      </c>
      <c r="E4028" t="s">
        <v>44</v>
      </c>
      <c r="F4028" t="s">
        <v>45</v>
      </c>
      <c r="G4028">
        <v>2</v>
      </c>
      <c r="H4028" t="s">
        <v>539</v>
      </c>
      <c r="I4028" s="4">
        <f t="shared" si="558"/>
        <v>0</v>
      </c>
      <c r="J4028">
        <f t="shared" si="559"/>
        <v>0</v>
      </c>
      <c r="K4028">
        <v>4</v>
      </c>
      <c r="L4028">
        <v>10</v>
      </c>
      <c r="M4028" s="2">
        <v>0.4</v>
      </c>
      <c r="N4028">
        <v>2.06</v>
      </c>
      <c r="O4028">
        <v>0</v>
      </c>
      <c r="P4028">
        <v>2</v>
      </c>
      <c r="Q4028" s="4" t="str">
        <f t="shared" si="552"/>
        <v>2016/2017-Genap</v>
      </c>
      <c r="R4028" s="8" t="s">
        <v>260</v>
      </c>
      <c r="S4028" t="str">
        <f t="shared" si="557"/>
        <v>FA</v>
      </c>
    </row>
    <row r="4029" spans="1:19" x14ac:dyDescent="0.3">
      <c r="A4029" t="s">
        <v>8</v>
      </c>
      <c r="B4029">
        <v>2016210028</v>
      </c>
      <c r="C4029" t="s">
        <v>92</v>
      </c>
      <c r="E4029" t="s">
        <v>22</v>
      </c>
      <c r="F4029" t="s">
        <v>23</v>
      </c>
      <c r="G4029">
        <v>2</v>
      </c>
      <c r="H4029" t="s">
        <v>539</v>
      </c>
      <c r="I4029" s="4">
        <f t="shared" si="558"/>
        <v>0</v>
      </c>
      <c r="J4029">
        <f t="shared" si="559"/>
        <v>0</v>
      </c>
      <c r="K4029">
        <v>4</v>
      </c>
      <c r="L4029">
        <v>10</v>
      </c>
      <c r="M4029" s="2">
        <v>0.4</v>
      </c>
      <c r="N4029">
        <v>2.06</v>
      </c>
      <c r="O4029">
        <v>0</v>
      </c>
      <c r="P4029">
        <v>2</v>
      </c>
      <c r="Q4029" s="4" t="str">
        <f t="shared" si="552"/>
        <v>2016/2017-Genap</v>
      </c>
      <c r="R4029" s="8" t="s">
        <v>260</v>
      </c>
      <c r="S4029" t="str">
        <f t="shared" si="557"/>
        <v>FA</v>
      </c>
    </row>
    <row r="4030" spans="1:19" x14ac:dyDescent="0.3">
      <c r="A4030" t="s">
        <v>8</v>
      </c>
      <c r="B4030">
        <v>2016210028</v>
      </c>
      <c r="C4030" t="s">
        <v>92</v>
      </c>
      <c r="E4030" t="s">
        <v>279</v>
      </c>
      <c r="F4030" t="s">
        <v>280</v>
      </c>
      <c r="G4030">
        <v>2</v>
      </c>
      <c r="H4030" t="s">
        <v>539</v>
      </c>
      <c r="I4030" s="4">
        <f t="shared" si="558"/>
        <v>0</v>
      </c>
      <c r="J4030">
        <f t="shared" si="559"/>
        <v>0</v>
      </c>
      <c r="K4030">
        <v>4</v>
      </c>
      <c r="L4030">
        <v>10</v>
      </c>
      <c r="M4030" s="2">
        <v>0.4</v>
      </c>
      <c r="N4030">
        <v>2.06</v>
      </c>
      <c r="O4030">
        <v>0</v>
      </c>
      <c r="P4030">
        <v>2</v>
      </c>
      <c r="Q4030" s="4" t="str">
        <f t="shared" si="552"/>
        <v>2016/2017-Genap</v>
      </c>
      <c r="R4030" s="8" t="s">
        <v>260</v>
      </c>
      <c r="S4030" t="str">
        <f t="shared" si="557"/>
        <v>FA</v>
      </c>
    </row>
    <row r="4031" spans="1:19" x14ac:dyDescent="0.3">
      <c r="A4031" t="s">
        <v>8</v>
      </c>
      <c r="B4031">
        <v>2016210029</v>
      </c>
      <c r="C4031" t="s">
        <v>55</v>
      </c>
      <c r="E4031" t="s">
        <v>10</v>
      </c>
      <c r="F4031" t="s">
        <v>11</v>
      </c>
      <c r="G4031">
        <v>2</v>
      </c>
      <c r="H4031" t="s">
        <v>524</v>
      </c>
      <c r="I4031" s="4">
        <f t="shared" si="558"/>
        <v>2</v>
      </c>
      <c r="J4031">
        <f t="shared" si="559"/>
        <v>4</v>
      </c>
      <c r="K4031">
        <v>30</v>
      </c>
      <c r="L4031">
        <v>14</v>
      </c>
      <c r="M4031" s="2">
        <v>2.14</v>
      </c>
      <c r="N4031">
        <v>2.91</v>
      </c>
      <c r="O4031">
        <v>0</v>
      </c>
      <c r="P4031">
        <v>8</v>
      </c>
      <c r="Q4031" t="s">
        <v>569</v>
      </c>
      <c r="R4031" s="8" t="s">
        <v>260</v>
      </c>
      <c r="S4031" t="str">
        <f t="shared" si="557"/>
        <v>PA</v>
      </c>
    </row>
    <row r="4032" spans="1:19" x14ac:dyDescent="0.3">
      <c r="A4032" t="s">
        <v>8</v>
      </c>
      <c r="B4032">
        <v>2016210029</v>
      </c>
      <c r="C4032" t="s">
        <v>55</v>
      </c>
      <c r="E4032" t="s">
        <v>10</v>
      </c>
      <c r="F4032" t="s">
        <v>11</v>
      </c>
      <c r="G4032">
        <v>2</v>
      </c>
      <c r="I4032" s="4"/>
      <c r="J4032">
        <f t="shared" ref="J4032:J4035" si="560">G4032*I4032</f>
        <v>0</v>
      </c>
      <c r="K4032">
        <v>46</v>
      </c>
      <c r="L4032">
        <v>16</v>
      </c>
      <c r="M4032" s="2">
        <v>2.88</v>
      </c>
      <c r="N4032">
        <v>2.91</v>
      </c>
      <c r="O4032">
        <v>0</v>
      </c>
      <c r="P4032">
        <v>7</v>
      </c>
      <c r="Q4032" t="s">
        <v>568</v>
      </c>
      <c r="R4032" s="8" t="s">
        <v>260</v>
      </c>
      <c r="S4032" t="s">
        <v>595</v>
      </c>
    </row>
    <row r="4033" spans="1:19" x14ac:dyDescent="0.3">
      <c r="A4033" t="s">
        <v>8</v>
      </c>
      <c r="B4033">
        <v>2016210029</v>
      </c>
      <c r="C4033" t="s">
        <v>55</v>
      </c>
      <c r="E4033" t="s">
        <v>19</v>
      </c>
      <c r="F4033" t="s">
        <v>20</v>
      </c>
      <c r="G4033">
        <v>6</v>
      </c>
      <c r="H4033" t="s">
        <v>438</v>
      </c>
      <c r="I4033" s="4">
        <f t="shared" ref="I4033:I4035" si="561">IF(H4033="A",4,IF(H4033="B",3,IF(H4033="C",2,IF(H4033="D",1,0))))</f>
        <v>3</v>
      </c>
      <c r="J4033">
        <f t="shared" si="560"/>
        <v>18</v>
      </c>
      <c r="K4033">
        <v>18</v>
      </c>
      <c r="L4033">
        <v>6</v>
      </c>
      <c r="M4033" s="2">
        <v>3</v>
      </c>
      <c r="N4033">
        <v>2.91</v>
      </c>
      <c r="O4033">
        <v>1</v>
      </c>
      <c r="P4033">
        <v>10</v>
      </c>
      <c r="Q4033" t="s">
        <v>560</v>
      </c>
      <c r="R4033" t="s">
        <v>596</v>
      </c>
      <c r="S4033" t="str">
        <f>IF(OR(H4033="A",H4033="B",H4033="C"),"PA","FA")</f>
        <v>PA</v>
      </c>
    </row>
    <row r="4034" spans="1:19" x14ac:dyDescent="0.3">
      <c r="A4034" t="s">
        <v>8</v>
      </c>
      <c r="B4034">
        <v>2016210029</v>
      </c>
      <c r="C4034" t="s">
        <v>55</v>
      </c>
      <c r="E4034" t="s">
        <v>19</v>
      </c>
      <c r="F4034" t="s">
        <v>20</v>
      </c>
      <c r="G4034">
        <v>6</v>
      </c>
      <c r="I4034" s="4"/>
      <c r="J4034">
        <f t="shared" si="560"/>
        <v>0</v>
      </c>
      <c r="K4034">
        <v>26</v>
      </c>
      <c r="L4034">
        <v>8</v>
      </c>
      <c r="M4034" s="2">
        <v>3.25</v>
      </c>
      <c r="N4034">
        <v>2.91</v>
      </c>
      <c r="O4034">
        <v>0</v>
      </c>
      <c r="P4034">
        <v>9</v>
      </c>
      <c r="Q4034" t="s">
        <v>570</v>
      </c>
      <c r="R4034" s="8" t="s">
        <v>260</v>
      </c>
      <c r="S4034" t="s">
        <v>595</v>
      </c>
    </row>
    <row r="4035" spans="1:19" x14ac:dyDescent="0.3">
      <c r="A4035" t="s">
        <v>8</v>
      </c>
      <c r="B4035">
        <v>2016210029</v>
      </c>
      <c r="C4035" t="s">
        <v>55</v>
      </c>
      <c r="E4035" t="s">
        <v>362</v>
      </c>
      <c r="F4035" t="s">
        <v>363</v>
      </c>
      <c r="G4035">
        <v>2</v>
      </c>
      <c r="H4035" t="s">
        <v>260</v>
      </c>
      <c r="I4035" s="4">
        <f t="shared" si="561"/>
        <v>4</v>
      </c>
      <c r="J4035">
        <f t="shared" si="560"/>
        <v>8</v>
      </c>
      <c r="K4035">
        <v>60</v>
      </c>
      <c r="L4035">
        <v>20</v>
      </c>
      <c r="M4035" s="2">
        <v>3</v>
      </c>
      <c r="N4035">
        <v>2.91</v>
      </c>
      <c r="O4035">
        <v>0</v>
      </c>
      <c r="P4035">
        <v>5</v>
      </c>
      <c r="Q4035" t="s">
        <v>566</v>
      </c>
      <c r="R4035" s="8" t="s">
        <v>260</v>
      </c>
      <c r="S4035" t="str">
        <f t="shared" ref="S4035:S4096" si="562">IF(OR(H4035="A",H4035="B",H4035="C"),"PA","FA")</f>
        <v>PA</v>
      </c>
    </row>
    <row r="4036" spans="1:19" x14ac:dyDescent="0.3">
      <c r="A4036" t="s">
        <v>8</v>
      </c>
      <c r="B4036">
        <v>2016210029</v>
      </c>
      <c r="C4036" t="s">
        <v>55</v>
      </c>
      <c r="E4036" t="s">
        <v>597</v>
      </c>
      <c r="F4036" t="s">
        <v>275</v>
      </c>
      <c r="G4036">
        <v>2</v>
      </c>
      <c r="H4036" t="s">
        <v>260</v>
      </c>
      <c r="I4036" s="4">
        <f t="shared" ref="I4036:I4096" si="563">IF(H4036="A",4,IF(H4036="B",3,IF(H4036="C",2,IF(H4036="D",1,0))))</f>
        <v>4</v>
      </c>
      <c r="J4036">
        <f t="shared" ref="J4036:J4096" si="564">G4036*I4036</f>
        <v>8</v>
      </c>
      <c r="K4036">
        <v>66</v>
      </c>
      <c r="L4036">
        <v>24</v>
      </c>
      <c r="M4036" s="2">
        <v>2.75</v>
      </c>
      <c r="N4036">
        <v>2.91</v>
      </c>
      <c r="O4036">
        <v>0</v>
      </c>
      <c r="P4036">
        <v>6</v>
      </c>
      <c r="Q4036" t="s">
        <v>567</v>
      </c>
      <c r="R4036" s="8" t="s">
        <v>260</v>
      </c>
      <c r="S4036" t="str">
        <f t="shared" si="562"/>
        <v>PA</v>
      </c>
    </row>
    <row r="4037" spans="1:19" x14ac:dyDescent="0.3">
      <c r="A4037" t="s">
        <v>8</v>
      </c>
      <c r="B4037">
        <v>2016210029</v>
      </c>
      <c r="C4037" t="s">
        <v>55</v>
      </c>
      <c r="E4037" t="s">
        <v>369</v>
      </c>
      <c r="F4037" t="s">
        <v>307</v>
      </c>
      <c r="G4037">
        <v>2</v>
      </c>
      <c r="H4037" t="s">
        <v>260</v>
      </c>
      <c r="I4037" s="4">
        <f t="shared" si="563"/>
        <v>4</v>
      </c>
      <c r="J4037">
        <f t="shared" si="564"/>
        <v>8</v>
      </c>
      <c r="K4037">
        <v>66</v>
      </c>
      <c r="L4037">
        <v>24</v>
      </c>
      <c r="M4037" s="2">
        <v>2.75</v>
      </c>
      <c r="N4037">
        <v>2.91</v>
      </c>
      <c r="O4037">
        <v>0</v>
      </c>
      <c r="P4037">
        <v>6</v>
      </c>
      <c r="Q4037" t="s">
        <v>567</v>
      </c>
      <c r="R4037" s="8" t="s">
        <v>260</v>
      </c>
      <c r="S4037" t="str">
        <f t="shared" si="562"/>
        <v>PA</v>
      </c>
    </row>
    <row r="4038" spans="1:19" x14ac:dyDescent="0.3">
      <c r="A4038" t="s">
        <v>8</v>
      </c>
      <c r="B4038">
        <v>2016210029</v>
      </c>
      <c r="C4038" t="s">
        <v>55</v>
      </c>
      <c r="E4038" t="s">
        <v>407</v>
      </c>
      <c r="F4038" t="s">
        <v>312</v>
      </c>
      <c r="G4038">
        <v>2</v>
      </c>
      <c r="H4038" t="s">
        <v>260</v>
      </c>
      <c r="I4038" s="4">
        <f t="shared" si="563"/>
        <v>4</v>
      </c>
      <c r="J4038">
        <f t="shared" si="564"/>
        <v>8</v>
      </c>
      <c r="K4038">
        <v>46</v>
      </c>
      <c r="L4038">
        <v>16</v>
      </c>
      <c r="M4038" s="2">
        <v>2.88</v>
      </c>
      <c r="N4038">
        <v>2.91</v>
      </c>
      <c r="O4038">
        <v>0</v>
      </c>
      <c r="P4038">
        <v>7</v>
      </c>
      <c r="Q4038" t="s">
        <v>568</v>
      </c>
      <c r="R4038" s="8" t="s">
        <v>260</v>
      </c>
      <c r="S4038" t="str">
        <f t="shared" si="562"/>
        <v>PA</v>
      </c>
    </row>
    <row r="4039" spans="1:19" x14ac:dyDescent="0.3">
      <c r="A4039" t="s">
        <v>8</v>
      </c>
      <c r="B4039">
        <v>2016210029</v>
      </c>
      <c r="C4039" t="s">
        <v>55</v>
      </c>
      <c r="E4039" t="s">
        <v>352</v>
      </c>
      <c r="F4039" t="s">
        <v>353</v>
      </c>
      <c r="G4039">
        <v>2</v>
      </c>
      <c r="H4039" t="s">
        <v>260</v>
      </c>
      <c r="I4039" s="4">
        <f t="shared" si="563"/>
        <v>4</v>
      </c>
      <c r="J4039">
        <f t="shared" si="564"/>
        <v>8</v>
      </c>
      <c r="K4039">
        <v>60</v>
      </c>
      <c r="L4039">
        <v>20</v>
      </c>
      <c r="M4039" s="2">
        <v>3</v>
      </c>
      <c r="N4039">
        <v>2.91</v>
      </c>
      <c r="O4039">
        <v>0</v>
      </c>
      <c r="P4039">
        <v>5</v>
      </c>
      <c r="Q4039" t="s">
        <v>566</v>
      </c>
      <c r="R4039" s="8" t="s">
        <v>260</v>
      </c>
      <c r="S4039" t="str">
        <f t="shared" si="562"/>
        <v>PA</v>
      </c>
    </row>
    <row r="4040" spans="1:19" x14ac:dyDescent="0.3">
      <c r="A4040" t="s">
        <v>8</v>
      </c>
      <c r="B4040">
        <v>2016210029</v>
      </c>
      <c r="C4040" t="s">
        <v>55</v>
      </c>
      <c r="E4040" t="s">
        <v>238</v>
      </c>
      <c r="F4040" t="s">
        <v>239</v>
      </c>
      <c r="G4040">
        <v>4</v>
      </c>
      <c r="H4040" t="s">
        <v>438</v>
      </c>
      <c r="I4040" s="4">
        <f t="shared" si="563"/>
        <v>3</v>
      </c>
      <c r="J4040">
        <f t="shared" si="564"/>
        <v>12</v>
      </c>
      <c r="K4040">
        <v>66</v>
      </c>
      <c r="L4040">
        <v>24</v>
      </c>
      <c r="M4040" s="2">
        <v>2.75</v>
      </c>
      <c r="N4040">
        <v>2.91</v>
      </c>
      <c r="O4040">
        <v>0</v>
      </c>
      <c r="P4040">
        <v>6</v>
      </c>
      <c r="Q4040" t="s">
        <v>567</v>
      </c>
      <c r="R4040" s="8" t="s">
        <v>260</v>
      </c>
      <c r="S4040" t="str">
        <f t="shared" si="562"/>
        <v>PA</v>
      </c>
    </row>
    <row r="4041" spans="1:19" x14ac:dyDescent="0.3">
      <c r="A4041" t="s">
        <v>8</v>
      </c>
      <c r="B4041">
        <v>2016210029</v>
      </c>
      <c r="C4041" t="s">
        <v>55</v>
      </c>
      <c r="E4041" t="s">
        <v>93</v>
      </c>
      <c r="F4041" t="s">
        <v>94</v>
      </c>
      <c r="G4041">
        <v>4</v>
      </c>
      <c r="H4041" t="s">
        <v>438</v>
      </c>
      <c r="I4041" s="4">
        <f t="shared" si="563"/>
        <v>3</v>
      </c>
      <c r="J4041">
        <f t="shared" si="564"/>
        <v>12</v>
      </c>
      <c r="K4041">
        <v>28</v>
      </c>
      <c r="L4041">
        <v>18</v>
      </c>
      <c r="M4041" s="2">
        <v>1.56</v>
      </c>
      <c r="N4041">
        <v>2.91</v>
      </c>
      <c r="O4041">
        <v>0</v>
      </c>
      <c r="P4041">
        <v>3</v>
      </c>
      <c r="Q4041" t="s">
        <v>563</v>
      </c>
      <c r="R4041" s="8" t="s">
        <v>260</v>
      </c>
      <c r="S4041" t="str">
        <f t="shared" si="562"/>
        <v>PA</v>
      </c>
    </row>
    <row r="4042" spans="1:19" x14ac:dyDescent="0.3">
      <c r="A4042" t="s">
        <v>8</v>
      </c>
      <c r="B4042">
        <v>2016210029</v>
      </c>
      <c r="C4042" t="s">
        <v>55</v>
      </c>
      <c r="E4042" t="s">
        <v>163</v>
      </c>
      <c r="F4042" t="s">
        <v>164</v>
      </c>
      <c r="G4042">
        <v>2</v>
      </c>
      <c r="H4042" t="s">
        <v>438</v>
      </c>
      <c r="I4042" s="4">
        <f t="shared" si="563"/>
        <v>3</v>
      </c>
      <c r="J4042">
        <f t="shared" si="564"/>
        <v>6</v>
      </c>
      <c r="K4042">
        <v>50</v>
      </c>
      <c r="L4042">
        <v>20</v>
      </c>
      <c r="M4042" s="2">
        <v>2.5</v>
      </c>
      <c r="N4042">
        <v>2.91</v>
      </c>
      <c r="O4042">
        <v>0</v>
      </c>
      <c r="P4042">
        <v>1</v>
      </c>
      <c r="Q4042" t="s">
        <v>558</v>
      </c>
      <c r="R4042" s="8" t="s">
        <v>260</v>
      </c>
      <c r="S4042" t="str">
        <f t="shared" si="562"/>
        <v>PA</v>
      </c>
    </row>
    <row r="4043" spans="1:19" x14ac:dyDescent="0.3">
      <c r="A4043" t="s">
        <v>8</v>
      </c>
      <c r="B4043">
        <v>2016210029</v>
      </c>
      <c r="C4043" t="s">
        <v>55</v>
      </c>
      <c r="E4043" t="s">
        <v>80</v>
      </c>
      <c r="F4043" t="s">
        <v>81</v>
      </c>
      <c r="G4043">
        <v>4</v>
      </c>
      <c r="H4043" t="s">
        <v>438</v>
      </c>
      <c r="I4043" s="4">
        <f t="shared" si="563"/>
        <v>3</v>
      </c>
      <c r="J4043">
        <f t="shared" si="564"/>
        <v>12</v>
      </c>
      <c r="K4043">
        <v>66</v>
      </c>
      <c r="L4043">
        <v>24</v>
      </c>
      <c r="M4043" s="2">
        <v>2.75</v>
      </c>
      <c r="N4043">
        <v>2.91</v>
      </c>
      <c r="O4043">
        <v>0</v>
      </c>
      <c r="P4043">
        <v>6</v>
      </c>
      <c r="Q4043" t="s">
        <v>567</v>
      </c>
      <c r="R4043" s="8" t="s">
        <v>260</v>
      </c>
      <c r="S4043" t="str">
        <f t="shared" si="562"/>
        <v>PA</v>
      </c>
    </row>
    <row r="4044" spans="1:19" x14ac:dyDescent="0.3">
      <c r="A4044" t="s">
        <v>8</v>
      </c>
      <c r="B4044">
        <v>2016210029</v>
      </c>
      <c r="C4044" t="s">
        <v>55</v>
      </c>
      <c r="E4044" t="s">
        <v>216</v>
      </c>
      <c r="F4044" t="s">
        <v>217</v>
      </c>
      <c r="G4044">
        <v>2</v>
      </c>
      <c r="H4044" t="s">
        <v>438</v>
      </c>
      <c r="I4044" s="4">
        <f t="shared" si="563"/>
        <v>3</v>
      </c>
      <c r="J4044">
        <f t="shared" si="564"/>
        <v>6</v>
      </c>
      <c r="K4044">
        <v>38</v>
      </c>
      <c r="L4044">
        <v>16</v>
      </c>
      <c r="M4044" s="2">
        <v>2.38</v>
      </c>
      <c r="N4044">
        <v>2.91</v>
      </c>
      <c r="O4044">
        <v>0</v>
      </c>
      <c r="P4044">
        <v>4</v>
      </c>
      <c r="Q4044" t="s">
        <v>565</v>
      </c>
      <c r="R4044" s="8" t="s">
        <v>260</v>
      </c>
      <c r="S4044" t="str">
        <f t="shared" si="562"/>
        <v>PA</v>
      </c>
    </row>
    <row r="4045" spans="1:19" x14ac:dyDescent="0.3">
      <c r="A4045" t="s">
        <v>8</v>
      </c>
      <c r="B4045">
        <v>2016210029</v>
      </c>
      <c r="C4045" t="s">
        <v>55</v>
      </c>
      <c r="E4045" t="s">
        <v>147</v>
      </c>
      <c r="F4045" t="s">
        <v>148</v>
      </c>
      <c r="G4045">
        <v>4</v>
      </c>
      <c r="H4045" t="s">
        <v>438</v>
      </c>
      <c r="I4045" s="4">
        <f t="shared" si="563"/>
        <v>3</v>
      </c>
      <c r="J4045">
        <f t="shared" si="564"/>
        <v>12</v>
      </c>
      <c r="K4045">
        <v>50</v>
      </c>
      <c r="L4045">
        <v>20</v>
      </c>
      <c r="M4045" s="2">
        <v>2.5</v>
      </c>
      <c r="N4045">
        <v>2.91</v>
      </c>
      <c r="O4045">
        <v>0</v>
      </c>
      <c r="P4045">
        <v>1</v>
      </c>
      <c r="Q4045" t="s">
        <v>558</v>
      </c>
      <c r="R4045" s="8" t="s">
        <v>260</v>
      </c>
      <c r="S4045" t="str">
        <f t="shared" si="562"/>
        <v>PA</v>
      </c>
    </row>
    <row r="4046" spans="1:19" x14ac:dyDescent="0.3">
      <c r="A4046" t="s">
        <v>8</v>
      </c>
      <c r="B4046">
        <v>2016210029</v>
      </c>
      <c r="C4046" t="s">
        <v>55</v>
      </c>
      <c r="E4046" t="s">
        <v>185</v>
      </c>
      <c r="F4046" t="s">
        <v>186</v>
      </c>
      <c r="G4046">
        <v>4</v>
      </c>
      <c r="H4046" t="s">
        <v>438</v>
      </c>
      <c r="I4046" s="4">
        <f t="shared" si="563"/>
        <v>3</v>
      </c>
      <c r="J4046">
        <f t="shared" si="564"/>
        <v>12</v>
      </c>
      <c r="K4046">
        <v>46</v>
      </c>
      <c r="L4046">
        <v>16</v>
      </c>
      <c r="M4046" s="2">
        <v>2.88</v>
      </c>
      <c r="N4046">
        <v>2.91</v>
      </c>
      <c r="O4046">
        <v>0</v>
      </c>
      <c r="P4046">
        <v>7</v>
      </c>
      <c r="Q4046" t="s">
        <v>568</v>
      </c>
      <c r="R4046" s="8" t="s">
        <v>260</v>
      </c>
      <c r="S4046" t="str">
        <f t="shared" si="562"/>
        <v>PA</v>
      </c>
    </row>
    <row r="4047" spans="1:19" x14ac:dyDescent="0.3">
      <c r="A4047" t="s">
        <v>8</v>
      </c>
      <c r="B4047">
        <v>2016210029</v>
      </c>
      <c r="C4047" t="s">
        <v>55</v>
      </c>
      <c r="E4047" t="s">
        <v>213</v>
      </c>
      <c r="F4047" t="s">
        <v>214</v>
      </c>
      <c r="G4047">
        <v>4</v>
      </c>
      <c r="H4047" t="s">
        <v>438</v>
      </c>
      <c r="I4047" s="4">
        <f t="shared" si="563"/>
        <v>3</v>
      </c>
      <c r="J4047">
        <f t="shared" si="564"/>
        <v>12</v>
      </c>
      <c r="K4047">
        <v>60</v>
      </c>
      <c r="L4047">
        <v>20</v>
      </c>
      <c r="M4047" s="2">
        <v>3</v>
      </c>
      <c r="N4047">
        <v>2.91</v>
      </c>
      <c r="O4047">
        <v>0</v>
      </c>
      <c r="P4047">
        <v>5</v>
      </c>
      <c r="Q4047" t="s">
        <v>566</v>
      </c>
      <c r="R4047" s="8" t="s">
        <v>260</v>
      </c>
      <c r="S4047" t="str">
        <f t="shared" si="562"/>
        <v>PA</v>
      </c>
    </row>
    <row r="4048" spans="1:19" x14ac:dyDescent="0.3">
      <c r="A4048" t="s">
        <v>8</v>
      </c>
      <c r="B4048">
        <v>2016210029</v>
      </c>
      <c r="C4048" t="s">
        <v>55</v>
      </c>
      <c r="E4048" t="s">
        <v>219</v>
      </c>
      <c r="F4048" t="s">
        <v>473</v>
      </c>
      <c r="G4048">
        <v>2</v>
      </c>
      <c r="H4048" t="s">
        <v>438</v>
      </c>
      <c r="I4048" s="4">
        <f t="shared" si="563"/>
        <v>3</v>
      </c>
      <c r="J4048">
        <f t="shared" si="564"/>
        <v>6</v>
      </c>
      <c r="K4048">
        <v>46</v>
      </c>
      <c r="L4048">
        <v>16</v>
      </c>
      <c r="M4048" s="2">
        <v>2.88</v>
      </c>
      <c r="N4048">
        <v>2.91</v>
      </c>
      <c r="O4048">
        <v>0</v>
      </c>
      <c r="P4048">
        <v>7</v>
      </c>
      <c r="Q4048" t="s">
        <v>568</v>
      </c>
      <c r="R4048" s="8" t="s">
        <v>260</v>
      </c>
      <c r="S4048" t="str">
        <f t="shared" si="562"/>
        <v>PA</v>
      </c>
    </row>
    <row r="4049" spans="1:19" x14ac:dyDescent="0.3">
      <c r="A4049" t="s">
        <v>8</v>
      </c>
      <c r="B4049">
        <v>2016210029</v>
      </c>
      <c r="C4049" t="s">
        <v>55</v>
      </c>
      <c r="E4049" t="s">
        <v>227</v>
      </c>
      <c r="F4049" t="s">
        <v>228</v>
      </c>
      <c r="G4049">
        <v>2</v>
      </c>
      <c r="H4049" t="s">
        <v>438</v>
      </c>
      <c r="I4049" s="4">
        <f t="shared" si="563"/>
        <v>3</v>
      </c>
      <c r="J4049">
        <f t="shared" si="564"/>
        <v>6</v>
      </c>
      <c r="K4049">
        <v>28</v>
      </c>
      <c r="L4049">
        <v>18</v>
      </c>
      <c r="M4049" s="2">
        <v>1.56</v>
      </c>
      <c r="N4049">
        <v>2.91</v>
      </c>
      <c r="O4049">
        <v>0</v>
      </c>
      <c r="P4049">
        <v>3</v>
      </c>
      <c r="Q4049" t="s">
        <v>563</v>
      </c>
      <c r="R4049" s="8" t="s">
        <v>260</v>
      </c>
      <c r="S4049" t="str">
        <f t="shared" si="562"/>
        <v>PA</v>
      </c>
    </row>
    <row r="4050" spans="1:19" x14ac:dyDescent="0.3">
      <c r="A4050" t="s">
        <v>8</v>
      </c>
      <c r="B4050">
        <v>2016210029</v>
      </c>
      <c r="C4050" t="s">
        <v>55</v>
      </c>
      <c r="E4050" t="s">
        <v>202</v>
      </c>
      <c r="F4050" t="s">
        <v>203</v>
      </c>
      <c r="G4050">
        <v>4</v>
      </c>
      <c r="H4050" t="s">
        <v>438</v>
      </c>
      <c r="I4050" s="4">
        <f t="shared" si="563"/>
        <v>3</v>
      </c>
      <c r="J4050">
        <f t="shared" si="564"/>
        <v>12</v>
      </c>
      <c r="K4050">
        <v>50</v>
      </c>
      <c r="L4050">
        <v>20</v>
      </c>
      <c r="M4050" s="2">
        <v>2.5</v>
      </c>
      <c r="N4050">
        <v>2.91</v>
      </c>
      <c r="O4050">
        <v>0</v>
      </c>
      <c r="P4050">
        <v>1</v>
      </c>
      <c r="Q4050" t="s">
        <v>558</v>
      </c>
      <c r="R4050" s="8" t="s">
        <v>260</v>
      </c>
      <c r="S4050" t="str">
        <f t="shared" si="562"/>
        <v>PA</v>
      </c>
    </row>
    <row r="4051" spans="1:19" x14ac:dyDescent="0.3">
      <c r="A4051" t="s">
        <v>8</v>
      </c>
      <c r="B4051">
        <v>2016210029</v>
      </c>
      <c r="C4051" t="s">
        <v>55</v>
      </c>
      <c r="E4051" t="s">
        <v>242</v>
      </c>
      <c r="F4051" t="s">
        <v>166</v>
      </c>
      <c r="G4051">
        <v>2</v>
      </c>
      <c r="H4051" t="s">
        <v>438</v>
      </c>
      <c r="I4051" s="4">
        <f t="shared" si="563"/>
        <v>3</v>
      </c>
      <c r="J4051">
        <f t="shared" si="564"/>
        <v>6</v>
      </c>
      <c r="K4051">
        <v>38</v>
      </c>
      <c r="L4051">
        <v>16</v>
      </c>
      <c r="M4051" s="2">
        <v>2.38</v>
      </c>
      <c r="N4051">
        <v>2.91</v>
      </c>
      <c r="O4051">
        <v>0</v>
      </c>
      <c r="P4051">
        <v>4</v>
      </c>
      <c r="Q4051" t="s">
        <v>565</v>
      </c>
      <c r="R4051" s="8" t="s">
        <v>260</v>
      </c>
      <c r="S4051" t="str">
        <f t="shared" si="562"/>
        <v>PA</v>
      </c>
    </row>
    <row r="4052" spans="1:19" x14ac:dyDescent="0.3">
      <c r="A4052" t="s">
        <v>8</v>
      </c>
      <c r="B4052">
        <v>2016210029</v>
      </c>
      <c r="C4052" t="s">
        <v>55</v>
      </c>
      <c r="E4052" t="s">
        <v>131</v>
      </c>
      <c r="F4052" t="s">
        <v>132</v>
      </c>
      <c r="G4052">
        <v>2</v>
      </c>
      <c r="H4052" t="s">
        <v>438</v>
      </c>
      <c r="I4052" s="4">
        <f t="shared" si="563"/>
        <v>3</v>
      </c>
      <c r="J4052">
        <f t="shared" si="564"/>
        <v>6</v>
      </c>
      <c r="K4052">
        <v>50</v>
      </c>
      <c r="L4052">
        <v>20</v>
      </c>
      <c r="M4052" s="2">
        <v>2.5</v>
      </c>
      <c r="N4052">
        <v>2.91</v>
      </c>
      <c r="O4052">
        <v>0</v>
      </c>
      <c r="P4052">
        <v>1</v>
      </c>
      <c r="Q4052" t="s">
        <v>558</v>
      </c>
      <c r="R4052" s="8" t="s">
        <v>260</v>
      </c>
      <c r="S4052" t="str">
        <f t="shared" si="562"/>
        <v>PA</v>
      </c>
    </row>
    <row r="4053" spans="1:19" x14ac:dyDescent="0.3">
      <c r="A4053" t="s">
        <v>8</v>
      </c>
      <c r="B4053">
        <v>2016210029</v>
      </c>
      <c r="C4053" t="s">
        <v>55</v>
      </c>
      <c r="E4053" t="s">
        <v>253</v>
      </c>
      <c r="F4053" t="s">
        <v>254</v>
      </c>
      <c r="G4053">
        <v>2</v>
      </c>
      <c r="H4053" t="s">
        <v>438</v>
      </c>
      <c r="I4053" s="4">
        <f t="shared" si="563"/>
        <v>3</v>
      </c>
      <c r="J4053">
        <f t="shared" si="564"/>
        <v>6</v>
      </c>
      <c r="K4053">
        <v>38</v>
      </c>
      <c r="L4053">
        <v>16</v>
      </c>
      <c r="M4053" s="2">
        <v>2.38</v>
      </c>
      <c r="N4053">
        <v>2.91</v>
      </c>
      <c r="O4053">
        <v>0</v>
      </c>
      <c r="P4053">
        <v>4</v>
      </c>
      <c r="Q4053" t="s">
        <v>565</v>
      </c>
      <c r="R4053" s="8" t="s">
        <v>260</v>
      </c>
      <c r="S4053" t="str">
        <f t="shared" si="562"/>
        <v>PA</v>
      </c>
    </row>
    <row r="4054" spans="1:19" x14ac:dyDescent="0.3">
      <c r="A4054" t="s">
        <v>8</v>
      </c>
      <c r="B4054">
        <v>2016210029</v>
      </c>
      <c r="C4054" t="s">
        <v>55</v>
      </c>
      <c r="E4054" t="s">
        <v>393</v>
      </c>
      <c r="F4054" t="s">
        <v>492</v>
      </c>
      <c r="G4054">
        <v>2</v>
      </c>
      <c r="H4054" t="s">
        <v>438</v>
      </c>
      <c r="I4054" s="4">
        <f t="shared" si="563"/>
        <v>3</v>
      </c>
      <c r="J4054">
        <f t="shared" si="564"/>
        <v>6</v>
      </c>
      <c r="K4054">
        <v>26</v>
      </c>
      <c r="L4054">
        <v>8</v>
      </c>
      <c r="M4054" s="2">
        <v>3.25</v>
      </c>
      <c r="N4054">
        <v>2.91</v>
      </c>
      <c r="O4054">
        <v>0</v>
      </c>
      <c r="P4054">
        <v>9</v>
      </c>
      <c r="Q4054" t="s">
        <v>570</v>
      </c>
      <c r="R4054" s="8" t="s">
        <v>260</v>
      </c>
      <c r="S4054" t="str">
        <f t="shared" si="562"/>
        <v>PA</v>
      </c>
    </row>
    <row r="4055" spans="1:19" x14ac:dyDescent="0.3">
      <c r="A4055" t="s">
        <v>8</v>
      </c>
      <c r="B4055">
        <v>2016210029</v>
      </c>
      <c r="C4055" t="s">
        <v>55</v>
      </c>
      <c r="E4055" t="s">
        <v>87</v>
      </c>
      <c r="F4055" t="s">
        <v>88</v>
      </c>
      <c r="G4055">
        <v>2</v>
      </c>
      <c r="H4055" t="s">
        <v>438</v>
      </c>
      <c r="I4055" s="4">
        <f t="shared" si="563"/>
        <v>3</v>
      </c>
      <c r="J4055">
        <f t="shared" si="564"/>
        <v>6</v>
      </c>
      <c r="K4055">
        <v>66</v>
      </c>
      <c r="L4055">
        <v>24</v>
      </c>
      <c r="M4055" s="2">
        <v>2.75</v>
      </c>
      <c r="N4055">
        <v>2.91</v>
      </c>
      <c r="O4055">
        <v>0</v>
      </c>
      <c r="P4055">
        <v>6</v>
      </c>
      <c r="Q4055" t="s">
        <v>567</v>
      </c>
      <c r="R4055" s="8" t="s">
        <v>260</v>
      </c>
      <c r="S4055" t="str">
        <f t="shared" si="562"/>
        <v>PA</v>
      </c>
    </row>
    <row r="4056" spans="1:19" x14ac:dyDescent="0.3">
      <c r="A4056" t="s">
        <v>8</v>
      </c>
      <c r="B4056">
        <v>2016210029</v>
      </c>
      <c r="C4056" t="s">
        <v>55</v>
      </c>
      <c r="E4056" t="s">
        <v>279</v>
      </c>
      <c r="F4056" t="s">
        <v>280</v>
      </c>
      <c r="G4056">
        <v>2</v>
      </c>
      <c r="H4056" t="s">
        <v>438</v>
      </c>
      <c r="I4056" s="4">
        <f t="shared" si="563"/>
        <v>3</v>
      </c>
      <c r="J4056">
        <f t="shared" si="564"/>
        <v>6</v>
      </c>
      <c r="K4056">
        <v>14</v>
      </c>
      <c r="L4056">
        <v>18</v>
      </c>
      <c r="M4056" s="2">
        <v>0.78</v>
      </c>
      <c r="N4056">
        <v>2.91</v>
      </c>
      <c r="O4056">
        <v>0</v>
      </c>
      <c r="P4056">
        <v>2</v>
      </c>
      <c r="Q4056" t="s">
        <v>559</v>
      </c>
      <c r="R4056" s="8" t="s">
        <v>260</v>
      </c>
      <c r="S4056" t="str">
        <f t="shared" si="562"/>
        <v>PA</v>
      </c>
    </row>
    <row r="4057" spans="1:19" x14ac:dyDescent="0.3">
      <c r="A4057" t="s">
        <v>8</v>
      </c>
      <c r="B4057">
        <v>2016210029</v>
      </c>
      <c r="C4057" t="s">
        <v>55</v>
      </c>
      <c r="E4057" t="s">
        <v>107</v>
      </c>
      <c r="F4057" t="s">
        <v>108</v>
      </c>
      <c r="G4057">
        <v>2</v>
      </c>
      <c r="H4057" t="s">
        <v>438</v>
      </c>
      <c r="I4057" s="4">
        <f t="shared" si="563"/>
        <v>3</v>
      </c>
      <c r="J4057">
        <f t="shared" si="564"/>
        <v>6</v>
      </c>
      <c r="K4057">
        <v>66</v>
      </c>
      <c r="L4057">
        <v>24</v>
      </c>
      <c r="M4057" s="2">
        <v>2.75</v>
      </c>
      <c r="N4057">
        <v>2.91</v>
      </c>
      <c r="O4057">
        <v>0</v>
      </c>
      <c r="P4057">
        <v>6</v>
      </c>
      <c r="Q4057" t="s">
        <v>567</v>
      </c>
      <c r="R4057" s="8" t="s">
        <v>260</v>
      </c>
      <c r="S4057" t="str">
        <f t="shared" si="562"/>
        <v>PA</v>
      </c>
    </row>
    <row r="4058" spans="1:19" x14ac:dyDescent="0.3">
      <c r="A4058" t="s">
        <v>8</v>
      </c>
      <c r="B4058">
        <v>2016210029</v>
      </c>
      <c r="C4058" t="s">
        <v>55</v>
      </c>
      <c r="E4058" t="s">
        <v>176</v>
      </c>
      <c r="F4058" t="s">
        <v>177</v>
      </c>
      <c r="G4058">
        <v>4</v>
      </c>
      <c r="H4058" t="s">
        <v>438</v>
      </c>
      <c r="I4058" s="4">
        <f t="shared" si="563"/>
        <v>3</v>
      </c>
      <c r="J4058">
        <f t="shared" si="564"/>
        <v>12</v>
      </c>
      <c r="K4058">
        <v>60</v>
      </c>
      <c r="L4058">
        <v>20</v>
      </c>
      <c r="M4058" s="2">
        <v>3</v>
      </c>
      <c r="N4058">
        <v>2.91</v>
      </c>
      <c r="O4058">
        <v>0</v>
      </c>
      <c r="P4058">
        <v>5</v>
      </c>
      <c r="Q4058" t="s">
        <v>566</v>
      </c>
      <c r="R4058" s="8" t="s">
        <v>260</v>
      </c>
      <c r="S4058" t="str">
        <f t="shared" si="562"/>
        <v>PA</v>
      </c>
    </row>
    <row r="4059" spans="1:19" x14ac:dyDescent="0.3">
      <c r="A4059" t="s">
        <v>8</v>
      </c>
      <c r="B4059">
        <v>2016210029</v>
      </c>
      <c r="C4059" t="s">
        <v>55</v>
      </c>
      <c r="E4059" t="s">
        <v>193</v>
      </c>
      <c r="F4059" t="s">
        <v>194</v>
      </c>
      <c r="G4059">
        <v>4</v>
      </c>
      <c r="H4059" t="s">
        <v>438</v>
      </c>
      <c r="I4059" s="4">
        <f t="shared" si="563"/>
        <v>3</v>
      </c>
      <c r="J4059">
        <f t="shared" si="564"/>
        <v>12</v>
      </c>
      <c r="K4059">
        <v>46</v>
      </c>
      <c r="L4059">
        <v>16</v>
      </c>
      <c r="M4059" s="2">
        <v>2.88</v>
      </c>
      <c r="N4059">
        <v>2.91</v>
      </c>
      <c r="O4059">
        <v>0</v>
      </c>
      <c r="P4059">
        <v>7</v>
      </c>
      <c r="Q4059" t="s">
        <v>568</v>
      </c>
      <c r="R4059" s="8" t="s">
        <v>260</v>
      </c>
      <c r="S4059" t="str">
        <f t="shared" si="562"/>
        <v>PA</v>
      </c>
    </row>
    <row r="4060" spans="1:19" x14ac:dyDescent="0.3">
      <c r="A4060" t="s">
        <v>8</v>
      </c>
      <c r="B4060">
        <v>2016210029</v>
      </c>
      <c r="C4060" t="s">
        <v>55</v>
      </c>
      <c r="E4060" t="s">
        <v>391</v>
      </c>
      <c r="F4060" t="s">
        <v>392</v>
      </c>
      <c r="G4060">
        <v>2</v>
      </c>
      <c r="H4060" t="s">
        <v>438</v>
      </c>
      <c r="I4060" s="4">
        <f t="shared" si="563"/>
        <v>3</v>
      </c>
      <c r="J4060">
        <f t="shared" si="564"/>
        <v>6</v>
      </c>
      <c r="K4060">
        <v>60</v>
      </c>
      <c r="L4060">
        <v>20</v>
      </c>
      <c r="M4060" s="2">
        <v>3</v>
      </c>
      <c r="N4060">
        <v>2.91</v>
      </c>
      <c r="O4060">
        <v>0</v>
      </c>
      <c r="P4060">
        <v>5</v>
      </c>
      <c r="Q4060" t="s">
        <v>566</v>
      </c>
      <c r="R4060" s="8" t="s">
        <v>260</v>
      </c>
      <c r="S4060" t="str">
        <f t="shared" si="562"/>
        <v>PA</v>
      </c>
    </row>
    <row r="4061" spans="1:19" x14ac:dyDescent="0.3">
      <c r="A4061" t="s">
        <v>8</v>
      </c>
      <c r="B4061">
        <v>2016210029</v>
      </c>
      <c r="C4061" t="s">
        <v>55</v>
      </c>
      <c r="E4061" t="s">
        <v>295</v>
      </c>
      <c r="F4061" t="s">
        <v>296</v>
      </c>
      <c r="G4061">
        <v>2</v>
      </c>
      <c r="H4061" t="s">
        <v>438</v>
      </c>
      <c r="I4061" s="4">
        <f t="shared" si="563"/>
        <v>3</v>
      </c>
      <c r="J4061">
        <f t="shared" si="564"/>
        <v>6</v>
      </c>
      <c r="K4061">
        <v>28</v>
      </c>
      <c r="L4061">
        <v>18</v>
      </c>
      <c r="M4061" s="2">
        <v>1.56</v>
      </c>
      <c r="N4061">
        <v>2.91</v>
      </c>
      <c r="O4061">
        <v>0</v>
      </c>
      <c r="P4061">
        <v>3</v>
      </c>
      <c r="Q4061" t="s">
        <v>563</v>
      </c>
      <c r="R4061" s="8" t="s">
        <v>260</v>
      </c>
      <c r="S4061" t="str">
        <f t="shared" si="562"/>
        <v>PA</v>
      </c>
    </row>
    <row r="4062" spans="1:19" x14ac:dyDescent="0.3">
      <c r="A4062" t="s">
        <v>8</v>
      </c>
      <c r="B4062">
        <v>2016210029</v>
      </c>
      <c r="C4062" t="s">
        <v>55</v>
      </c>
      <c r="E4062" t="s">
        <v>182</v>
      </c>
      <c r="F4062" t="s">
        <v>171</v>
      </c>
      <c r="G4062">
        <v>2</v>
      </c>
      <c r="H4062" t="s">
        <v>438</v>
      </c>
      <c r="I4062" s="4">
        <f t="shared" si="563"/>
        <v>3</v>
      </c>
      <c r="J4062">
        <f t="shared" si="564"/>
        <v>6</v>
      </c>
      <c r="K4062">
        <v>60</v>
      </c>
      <c r="L4062">
        <v>20</v>
      </c>
      <c r="M4062" s="2">
        <v>3</v>
      </c>
      <c r="N4062">
        <v>2.91</v>
      </c>
      <c r="O4062">
        <v>0</v>
      </c>
      <c r="P4062">
        <v>5</v>
      </c>
      <c r="Q4062" t="s">
        <v>566</v>
      </c>
      <c r="R4062" s="8" t="s">
        <v>260</v>
      </c>
      <c r="S4062" t="str">
        <f t="shared" si="562"/>
        <v>PA</v>
      </c>
    </row>
    <row r="4063" spans="1:19" x14ac:dyDescent="0.3">
      <c r="A4063" t="s">
        <v>8</v>
      </c>
      <c r="B4063">
        <v>2016210029</v>
      </c>
      <c r="C4063" t="s">
        <v>55</v>
      </c>
      <c r="E4063" t="s">
        <v>395</v>
      </c>
      <c r="F4063" t="s">
        <v>396</v>
      </c>
      <c r="G4063">
        <v>2</v>
      </c>
      <c r="H4063" t="s">
        <v>524</v>
      </c>
      <c r="I4063" s="4">
        <f t="shared" si="563"/>
        <v>2</v>
      </c>
      <c r="J4063">
        <f t="shared" si="564"/>
        <v>4</v>
      </c>
      <c r="K4063">
        <v>50</v>
      </c>
      <c r="L4063">
        <v>20</v>
      </c>
      <c r="M4063" s="2">
        <v>2.5</v>
      </c>
      <c r="N4063">
        <v>2.91</v>
      </c>
      <c r="O4063">
        <v>0</v>
      </c>
      <c r="P4063">
        <v>1</v>
      </c>
      <c r="Q4063" t="s">
        <v>558</v>
      </c>
      <c r="R4063" s="8" t="s">
        <v>260</v>
      </c>
      <c r="S4063" t="str">
        <f t="shared" si="562"/>
        <v>PA</v>
      </c>
    </row>
    <row r="4064" spans="1:19" x14ac:dyDescent="0.3">
      <c r="A4064" t="s">
        <v>8</v>
      </c>
      <c r="B4064">
        <v>2016210029</v>
      </c>
      <c r="C4064" t="s">
        <v>55</v>
      </c>
      <c r="E4064" t="s">
        <v>318</v>
      </c>
      <c r="F4064" t="s">
        <v>319</v>
      </c>
      <c r="G4064">
        <v>2</v>
      </c>
      <c r="H4064" t="s">
        <v>524</v>
      </c>
      <c r="I4064" s="4">
        <f t="shared" si="563"/>
        <v>2</v>
      </c>
      <c r="J4064">
        <f t="shared" si="564"/>
        <v>4</v>
      </c>
      <c r="K4064">
        <v>26</v>
      </c>
      <c r="L4064">
        <v>8</v>
      </c>
      <c r="M4064" s="2">
        <v>3.25</v>
      </c>
      <c r="N4064">
        <v>2.91</v>
      </c>
      <c r="O4064">
        <v>0</v>
      </c>
      <c r="P4064">
        <v>9</v>
      </c>
      <c r="Q4064" t="s">
        <v>570</v>
      </c>
      <c r="R4064" s="8" t="s">
        <v>260</v>
      </c>
      <c r="S4064" t="str">
        <f t="shared" si="562"/>
        <v>PA</v>
      </c>
    </row>
    <row r="4065" spans="1:19" x14ac:dyDescent="0.3">
      <c r="A4065" t="s">
        <v>8</v>
      </c>
      <c r="B4065">
        <v>2016210029</v>
      </c>
      <c r="C4065" t="s">
        <v>55</v>
      </c>
      <c r="E4065" t="s">
        <v>119</v>
      </c>
      <c r="F4065" t="s">
        <v>120</v>
      </c>
      <c r="G4065">
        <v>2</v>
      </c>
      <c r="H4065" t="s">
        <v>524</v>
      </c>
      <c r="I4065" s="4">
        <f t="shared" si="563"/>
        <v>2</v>
      </c>
      <c r="J4065">
        <f t="shared" si="564"/>
        <v>4</v>
      </c>
      <c r="K4065">
        <v>66</v>
      </c>
      <c r="L4065">
        <v>24</v>
      </c>
      <c r="M4065" s="2">
        <v>2.75</v>
      </c>
      <c r="N4065">
        <v>2.91</v>
      </c>
      <c r="O4065">
        <v>0</v>
      </c>
      <c r="P4065">
        <v>6</v>
      </c>
      <c r="Q4065" t="s">
        <v>567</v>
      </c>
      <c r="R4065" s="8" t="s">
        <v>260</v>
      </c>
      <c r="S4065" t="str">
        <f t="shared" si="562"/>
        <v>PA</v>
      </c>
    </row>
    <row r="4066" spans="1:19" x14ac:dyDescent="0.3">
      <c r="A4066" t="s">
        <v>8</v>
      </c>
      <c r="B4066">
        <v>2016210029</v>
      </c>
      <c r="C4066" t="s">
        <v>55</v>
      </c>
      <c r="E4066" t="s">
        <v>355</v>
      </c>
      <c r="F4066" t="s">
        <v>274</v>
      </c>
      <c r="G4066">
        <v>2</v>
      </c>
      <c r="H4066" t="s">
        <v>524</v>
      </c>
      <c r="I4066" s="4">
        <f t="shared" si="563"/>
        <v>2</v>
      </c>
      <c r="J4066">
        <f t="shared" si="564"/>
        <v>4</v>
      </c>
      <c r="K4066">
        <v>38</v>
      </c>
      <c r="L4066">
        <v>16</v>
      </c>
      <c r="M4066" s="2">
        <v>2.38</v>
      </c>
      <c r="N4066">
        <v>2.91</v>
      </c>
      <c r="O4066">
        <v>0</v>
      </c>
      <c r="P4066">
        <v>4</v>
      </c>
      <c r="Q4066" t="s">
        <v>565</v>
      </c>
      <c r="R4066" s="8" t="s">
        <v>260</v>
      </c>
      <c r="S4066" t="str">
        <f t="shared" si="562"/>
        <v>PA</v>
      </c>
    </row>
    <row r="4067" spans="1:19" x14ac:dyDescent="0.3">
      <c r="A4067" t="s">
        <v>8</v>
      </c>
      <c r="B4067">
        <v>2016210029</v>
      </c>
      <c r="C4067" t="s">
        <v>55</v>
      </c>
      <c r="E4067" t="s">
        <v>449</v>
      </c>
      <c r="F4067" t="s">
        <v>460</v>
      </c>
      <c r="G4067">
        <v>4</v>
      </c>
      <c r="H4067" t="s">
        <v>524</v>
      </c>
      <c r="I4067" s="4">
        <f t="shared" si="563"/>
        <v>2</v>
      </c>
      <c r="J4067">
        <f t="shared" si="564"/>
        <v>8</v>
      </c>
      <c r="K4067">
        <v>38</v>
      </c>
      <c r="L4067">
        <v>16</v>
      </c>
      <c r="M4067" s="2">
        <v>2.38</v>
      </c>
      <c r="N4067">
        <v>2.91</v>
      </c>
      <c r="O4067">
        <v>0</v>
      </c>
      <c r="P4067">
        <v>4</v>
      </c>
      <c r="Q4067" t="s">
        <v>565</v>
      </c>
      <c r="R4067" s="8" t="s">
        <v>260</v>
      </c>
      <c r="S4067" t="str">
        <f t="shared" si="562"/>
        <v>PA</v>
      </c>
    </row>
    <row r="4068" spans="1:19" x14ac:dyDescent="0.3">
      <c r="A4068" t="s">
        <v>8</v>
      </c>
      <c r="B4068">
        <v>2016210029</v>
      </c>
      <c r="C4068" t="s">
        <v>55</v>
      </c>
      <c r="E4068" t="s">
        <v>515</v>
      </c>
      <c r="F4068" t="s">
        <v>78</v>
      </c>
      <c r="G4068">
        <v>2</v>
      </c>
      <c r="H4068" t="s">
        <v>524</v>
      </c>
      <c r="I4068" s="4">
        <f t="shared" si="563"/>
        <v>2</v>
      </c>
      <c r="J4068">
        <f t="shared" si="564"/>
        <v>4</v>
      </c>
      <c r="K4068">
        <v>46</v>
      </c>
      <c r="L4068">
        <v>16</v>
      </c>
      <c r="M4068" s="2">
        <v>2.88</v>
      </c>
      <c r="N4068">
        <v>2.91</v>
      </c>
      <c r="O4068">
        <v>0</v>
      </c>
      <c r="P4068">
        <v>7</v>
      </c>
      <c r="Q4068" t="s">
        <v>568</v>
      </c>
      <c r="R4068" s="8" t="s">
        <v>260</v>
      </c>
      <c r="S4068" t="str">
        <f t="shared" si="562"/>
        <v>PA</v>
      </c>
    </row>
    <row r="4069" spans="1:19" x14ac:dyDescent="0.3">
      <c r="A4069" t="s">
        <v>8</v>
      </c>
      <c r="B4069">
        <v>2016210029</v>
      </c>
      <c r="C4069" t="s">
        <v>55</v>
      </c>
      <c r="E4069" t="s">
        <v>157</v>
      </c>
      <c r="F4069" t="s">
        <v>158</v>
      </c>
      <c r="G4069">
        <v>2</v>
      </c>
      <c r="H4069" t="s">
        <v>524</v>
      </c>
      <c r="I4069" s="4">
        <f t="shared" si="563"/>
        <v>2</v>
      </c>
      <c r="J4069">
        <f t="shared" si="564"/>
        <v>4</v>
      </c>
      <c r="K4069">
        <v>28</v>
      </c>
      <c r="L4069">
        <v>18</v>
      </c>
      <c r="M4069" s="2">
        <v>1.56</v>
      </c>
      <c r="N4069">
        <v>2.91</v>
      </c>
      <c r="O4069">
        <v>0</v>
      </c>
      <c r="P4069">
        <v>3</v>
      </c>
      <c r="Q4069" t="s">
        <v>563</v>
      </c>
      <c r="R4069" s="8" t="s">
        <v>260</v>
      </c>
      <c r="S4069" t="str">
        <f t="shared" si="562"/>
        <v>PA</v>
      </c>
    </row>
    <row r="4070" spans="1:19" x14ac:dyDescent="0.3">
      <c r="A4070" t="s">
        <v>8</v>
      </c>
      <c r="B4070">
        <v>2016210029</v>
      </c>
      <c r="C4070" t="s">
        <v>55</v>
      </c>
      <c r="E4070" t="s">
        <v>188</v>
      </c>
      <c r="F4070" t="s">
        <v>189</v>
      </c>
      <c r="G4070">
        <v>4</v>
      </c>
      <c r="H4070" t="s">
        <v>524</v>
      </c>
      <c r="I4070" s="4">
        <f t="shared" si="563"/>
        <v>2</v>
      </c>
      <c r="J4070">
        <f t="shared" si="564"/>
        <v>8</v>
      </c>
      <c r="K4070">
        <v>60</v>
      </c>
      <c r="L4070">
        <v>20</v>
      </c>
      <c r="M4070" s="2">
        <v>3</v>
      </c>
      <c r="N4070">
        <v>2.91</v>
      </c>
      <c r="O4070">
        <v>0</v>
      </c>
      <c r="P4070">
        <v>5</v>
      </c>
      <c r="Q4070" t="s">
        <v>566</v>
      </c>
      <c r="R4070" s="8" t="s">
        <v>260</v>
      </c>
      <c r="S4070" t="str">
        <f t="shared" si="562"/>
        <v>PA</v>
      </c>
    </row>
    <row r="4071" spans="1:19" x14ac:dyDescent="0.3">
      <c r="A4071" t="s">
        <v>8</v>
      </c>
      <c r="B4071">
        <v>2016210029</v>
      </c>
      <c r="C4071" t="s">
        <v>55</v>
      </c>
      <c r="E4071" t="s">
        <v>180</v>
      </c>
      <c r="F4071" t="s">
        <v>181</v>
      </c>
      <c r="G4071">
        <v>4</v>
      </c>
      <c r="H4071" t="s">
        <v>524</v>
      </c>
      <c r="I4071" s="4">
        <f t="shared" si="563"/>
        <v>2</v>
      </c>
      <c r="J4071">
        <f t="shared" si="564"/>
        <v>8</v>
      </c>
      <c r="K4071">
        <v>30</v>
      </c>
      <c r="L4071">
        <v>14</v>
      </c>
      <c r="M4071" s="2">
        <v>2.14</v>
      </c>
      <c r="N4071">
        <v>2.91</v>
      </c>
      <c r="O4071">
        <v>0</v>
      </c>
      <c r="P4071">
        <v>8</v>
      </c>
      <c r="Q4071" t="s">
        <v>569</v>
      </c>
      <c r="R4071" s="8" t="s">
        <v>260</v>
      </c>
      <c r="S4071" t="str">
        <f t="shared" si="562"/>
        <v>PA</v>
      </c>
    </row>
    <row r="4072" spans="1:19" x14ac:dyDescent="0.3">
      <c r="A4072" t="s">
        <v>8</v>
      </c>
      <c r="B4072">
        <v>2016210029</v>
      </c>
      <c r="C4072" t="s">
        <v>55</v>
      </c>
      <c r="E4072" t="s">
        <v>136</v>
      </c>
      <c r="F4072" t="s">
        <v>137</v>
      </c>
      <c r="G4072">
        <v>4</v>
      </c>
      <c r="H4072" t="s">
        <v>524</v>
      </c>
      <c r="I4072" s="4">
        <f t="shared" si="563"/>
        <v>2</v>
      </c>
      <c r="J4072">
        <f t="shared" si="564"/>
        <v>8</v>
      </c>
      <c r="K4072">
        <v>66</v>
      </c>
      <c r="L4072">
        <v>24</v>
      </c>
      <c r="M4072" s="2">
        <v>2.75</v>
      </c>
      <c r="N4072">
        <v>2.91</v>
      </c>
      <c r="O4072">
        <v>0</v>
      </c>
      <c r="P4072">
        <v>6</v>
      </c>
      <c r="Q4072" t="s">
        <v>567</v>
      </c>
      <c r="R4072" s="8" t="s">
        <v>260</v>
      </c>
      <c r="S4072" t="str">
        <f t="shared" si="562"/>
        <v>PA</v>
      </c>
    </row>
    <row r="4073" spans="1:19" x14ac:dyDescent="0.3">
      <c r="A4073" t="s">
        <v>8</v>
      </c>
      <c r="B4073">
        <v>2016210029</v>
      </c>
      <c r="C4073" t="s">
        <v>55</v>
      </c>
      <c r="E4073" t="s">
        <v>246</v>
      </c>
      <c r="F4073" t="s">
        <v>247</v>
      </c>
      <c r="G4073">
        <v>4</v>
      </c>
      <c r="H4073" t="s">
        <v>524</v>
      </c>
      <c r="I4073" s="4">
        <f t="shared" si="563"/>
        <v>2</v>
      </c>
      <c r="J4073">
        <f t="shared" si="564"/>
        <v>8</v>
      </c>
      <c r="K4073">
        <v>38</v>
      </c>
      <c r="L4073">
        <v>16</v>
      </c>
      <c r="M4073" s="2">
        <v>2.38</v>
      </c>
      <c r="N4073">
        <v>2.91</v>
      </c>
      <c r="O4073">
        <v>0</v>
      </c>
      <c r="P4073">
        <v>4</v>
      </c>
      <c r="Q4073" t="s">
        <v>565</v>
      </c>
      <c r="R4073" s="8" t="s">
        <v>260</v>
      </c>
      <c r="S4073" t="str">
        <f t="shared" si="562"/>
        <v>PA</v>
      </c>
    </row>
    <row r="4074" spans="1:19" x14ac:dyDescent="0.3">
      <c r="A4074" t="s">
        <v>8</v>
      </c>
      <c r="B4074">
        <v>2016210029</v>
      </c>
      <c r="C4074" t="s">
        <v>55</v>
      </c>
      <c r="E4074" t="s">
        <v>105</v>
      </c>
      <c r="F4074" t="s">
        <v>106</v>
      </c>
      <c r="G4074">
        <v>2</v>
      </c>
      <c r="H4074" t="s">
        <v>524</v>
      </c>
      <c r="I4074" s="4">
        <f t="shared" si="563"/>
        <v>2</v>
      </c>
      <c r="J4074">
        <f t="shared" si="564"/>
        <v>4</v>
      </c>
      <c r="K4074">
        <v>46</v>
      </c>
      <c r="L4074">
        <v>16</v>
      </c>
      <c r="M4074" s="2">
        <v>2.88</v>
      </c>
      <c r="N4074">
        <v>2.91</v>
      </c>
      <c r="O4074">
        <v>0</v>
      </c>
      <c r="P4074">
        <v>7</v>
      </c>
      <c r="Q4074" t="s">
        <v>568</v>
      </c>
      <c r="R4074" s="8" t="s">
        <v>260</v>
      </c>
      <c r="S4074" t="str">
        <f t="shared" si="562"/>
        <v>PA</v>
      </c>
    </row>
    <row r="4075" spans="1:19" x14ac:dyDescent="0.3">
      <c r="A4075" t="s">
        <v>8</v>
      </c>
      <c r="B4075">
        <v>2016210029</v>
      </c>
      <c r="C4075" t="s">
        <v>55</v>
      </c>
      <c r="E4075" t="s">
        <v>110</v>
      </c>
      <c r="F4075" t="s">
        <v>111</v>
      </c>
      <c r="G4075">
        <v>4</v>
      </c>
      <c r="H4075" t="s">
        <v>524</v>
      </c>
      <c r="I4075" s="4">
        <f t="shared" si="563"/>
        <v>2</v>
      </c>
      <c r="J4075">
        <f t="shared" si="564"/>
        <v>8</v>
      </c>
      <c r="K4075">
        <v>50</v>
      </c>
      <c r="L4075">
        <v>20</v>
      </c>
      <c r="M4075" s="2">
        <v>2.5</v>
      </c>
      <c r="N4075">
        <v>2.91</v>
      </c>
      <c r="O4075">
        <v>0</v>
      </c>
      <c r="P4075">
        <v>1</v>
      </c>
      <c r="Q4075" t="s">
        <v>558</v>
      </c>
      <c r="R4075" s="8" t="s">
        <v>260</v>
      </c>
      <c r="S4075" t="str">
        <f t="shared" si="562"/>
        <v>PA</v>
      </c>
    </row>
    <row r="4076" spans="1:19" x14ac:dyDescent="0.3">
      <c r="A4076" t="s">
        <v>8</v>
      </c>
      <c r="B4076">
        <v>2016210029</v>
      </c>
      <c r="C4076" t="s">
        <v>55</v>
      </c>
      <c r="E4076" t="s">
        <v>110</v>
      </c>
      <c r="F4076" t="s">
        <v>111</v>
      </c>
      <c r="G4076">
        <v>4</v>
      </c>
      <c r="H4076" t="s">
        <v>260</v>
      </c>
      <c r="I4076" s="4">
        <f t="shared" si="563"/>
        <v>4</v>
      </c>
      <c r="J4076">
        <f t="shared" si="564"/>
        <v>16</v>
      </c>
      <c r="K4076">
        <v>26</v>
      </c>
      <c r="L4076">
        <v>8</v>
      </c>
      <c r="M4076" s="2">
        <v>3.25</v>
      </c>
      <c r="N4076">
        <v>2.91</v>
      </c>
      <c r="O4076">
        <v>1</v>
      </c>
      <c r="P4076">
        <v>9</v>
      </c>
      <c r="Q4076" t="s">
        <v>570</v>
      </c>
      <c r="R4076" s="8" t="s">
        <v>260</v>
      </c>
      <c r="S4076" t="str">
        <f t="shared" si="562"/>
        <v>PA</v>
      </c>
    </row>
    <row r="4077" spans="1:19" x14ac:dyDescent="0.3">
      <c r="A4077" t="s">
        <v>8</v>
      </c>
      <c r="B4077">
        <v>2016210029</v>
      </c>
      <c r="C4077" t="s">
        <v>55</v>
      </c>
      <c r="E4077" t="s">
        <v>222</v>
      </c>
      <c r="F4077" t="s">
        <v>223</v>
      </c>
      <c r="G4077">
        <v>2</v>
      </c>
      <c r="H4077" t="s">
        <v>524</v>
      </c>
      <c r="I4077" s="4">
        <f t="shared" si="563"/>
        <v>2</v>
      </c>
      <c r="J4077">
        <f t="shared" si="564"/>
        <v>4</v>
      </c>
      <c r="K4077">
        <v>30</v>
      </c>
      <c r="L4077">
        <v>14</v>
      </c>
      <c r="M4077" s="2">
        <v>2.14</v>
      </c>
      <c r="N4077">
        <v>2.91</v>
      </c>
      <c r="O4077">
        <v>1</v>
      </c>
      <c r="P4077">
        <v>8</v>
      </c>
      <c r="Q4077" t="s">
        <v>569</v>
      </c>
      <c r="R4077" s="8" t="s">
        <v>260</v>
      </c>
      <c r="S4077" t="str">
        <f t="shared" si="562"/>
        <v>PA</v>
      </c>
    </row>
    <row r="4078" spans="1:19" x14ac:dyDescent="0.3">
      <c r="A4078" t="s">
        <v>8</v>
      </c>
      <c r="B4078">
        <v>2016210029</v>
      </c>
      <c r="C4078" t="s">
        <v>55</v>
      </c>
      <c r="E4078" t="s">
        <v>222</v>
      </c>
      <c r="F4078" t="s">
        <v>223</v>
      </c>
      <c r="G4078">
        <v>2</v>
      </c>
      <c r="H4078" t="s">
        <v>535</v>
      </c>
      <c r="I4078" s="4">
        <f t="shared" si="563"/>
        <v>1</v>
      </c>
      <c r="J4078">
        <f t="shared" si="564"/>
        <v>2</v>
      </c>
      <c r="K4078">
        <v>66</v>
      </c>
      <c r="L4078">
        <v>24</v>
      </c>
      <c r="M4078" s="2">
        <v>2.75</v>
      </c>
      <c r="N4078">
        <v>2.91</v>
      </c>
      <c r="O4078">
        <v>0</v>
      </c>
      <c r="P4078">
        <v>6</v>
      </c>
      <c r="Q4078" t="s">
        <v>567</v>
      </c>
      <c r="R4078" s="8" t="s">
        <v>260</v>
      </c>
      <c r="S4078" t="str">
        <f t="shared" si="562"/>
        <v>FA</v>
      </c>
    </row>
    <row r="4079" spans="1:19" x14ac:dyDescent="0.3">
      <c r="A4079" t="s">
        <v>8</v>
      </c>
      <c r="B4079">
        <v>2016210029</v>
      </c>
      <c r="C4079" t="s">
        <v>55</v>
      </c>
      <c r="E4079" t="s">
        <v>44</v>
      </c>
      <c r="F4079" t="s">
        <v>45</v>
      </c>
      <c r="G4079">
        <v>2</v>
      </c>
      <c r="H4079" t="s">
        <v>535</v>
      </c>
      <c r="I4079" s="4">
        <f t="shared" si="563"/>
        <v>1</v>
      </c>
      <c r="J4079">
        <f t="shared" si="564"/>
        <v>2</v>
      </c>
      <c r="K4079">
        <v>14</v>
      </c>
      <c r="L4079">
        <v>18</v>
      </c>
      <c r="M4079" s="2">
        <v>0.78</v>
      </c>
      <c r="N4079">
        <v>2.91</v>
      </c>
      <c r="O4079">
        <v>0</v>
      </c>
      <c r="P4079">
        <v>2</v>
      </c>
      <c r="Q4079" t="s">
        <v>559</v>
      </c>
      <c r="R4079" s="8" t="s">
        <v>260</v>
      </c>
      <c r="S4079" t="str">
        <f t="shared" si="562"/>
        <v>FA</v>
      </c>
    </row>
    <row r="4080" spans="1:19" x14ac:dyDescent="0.3">
      <c r="A4080" t="s">
        <v>8</v>
      </c>
      <c r="B4080">
        <v>2016210029</v>
      </c>
      <c r="C4080" t="s">
        <v>55</v>
      </c>
      <c r="E4080" t="s">
        <v>44</v>
      </c>
      <c r="F4080" t="s">
        <v>45</v>
      </c>
      <c r="G4080">
        <v>2</v>
      </c>
      <c r="H4080" t="s">
        <v>438</v>
      </c>
      <c r="I4080" s="4">
        <f t="shared" si="563"/>
        <v>3</v>
      </c>
      <c r="J4080">
        <f t="shared" si="564"/>
        <v>6</v>
      </c>
      <c r="K4080">
        <v>74</v>
      </c>
      <c r="L4080">
        <v>28</v>
      </c>
      <c r="M4080" s="2">
        <v>2.64</v>
      </c>
      <c r="N4080">
        <v>2.91</v>
      </c>
      <c r="O4080">
        <v>1</v>
      </c>
      <c r="P4080">
        <v>8</v>
      </c>
      <c r="Q4080" t="s">
        <v>571</v>
      </c>
      <c r="R4080" s="8" t="s">
        <v>260</v>
      </c>
      <c r="S4080" t="str">
        <f t="shared" si="562"/>
        <v>PA</v>
      </c>
    </row>
    <row r="4081" spans="1:19" x14ac:dyDescent="0.3">
      <c r="A4081" t="s">
        <v>8</v>
      </c>
      <c r="B4081">
        <v>2016210029</v>
      </c>
      <c r="C4081" t="s">
        <v>55</v>
      </c>
      <c r="E4081" t="s">
        <v>266</v>
      </c>
      <c r="F4081" t="s">
        <v>91</v>
      </c>
      <c r="G4081">
        <v>2</v>
      </c>
      <c r="H4081" t="s">
        <v>260</v>
      </c>
      <c r="I4081" s="4">
        <f t="shared" si="563"/>
        <v>4</v>
      </c>
      <c r="J4081">
        <f t="shared" si="564"/>
        <v>8</v>
      </c>
      <c r="K4081">
        <v>30</v>
      </c>
      <c r="L4081">
        <v>14</v>
      </c>
      <c r="M4081" s="2">
        <v>2.14</v>
      </c>
      <c r="N4081">
        <v>2.91</v>
      </c>
      <c r="O4081">
        <v>1</v>
      </c>
      <c r="P4081">
        <v>8</v>
      </c>
      <c r="Q4081" t="s">
        <v>569</v>
      </c>
      <c r="R4081" s="8" t="s">
        <v>260</v>
      </c>
      <c r="S4081" t="str">
        <f t="shared" si="562"/>
        <v>PA</v>
      </c>
    </row>
    <row r="4082" spans="1:19" x14ac:dyDescent="0.3">
      <c r="A4082" t="s">
        <v>8</v>
      </c>
      <c r="B4082">
        <v>2016210029</v>
      </c>
      <c r="C4082" t="s">
        <v>55</v>
      </c>
      <c r="E4082" t="s">
        <v>266</v>
      </c>
      <c r="F4082" t="s">
        <v>91</v>
      </c>
      <c r="G4082">
        <v>2</v>
      </c>
      <c r="H4082" t="s">
        <v>535</v>
      </c>
      <c r="I4082" s="4">
        <f t="shared" si="563"/>
        <v>1</v>
      </c>
      <c r="J4082">
        <f t="shared" si="564"/>
        <v>2</v>
      </c>
      <c r="K4082">
        <v>14</v>
      </c>
      <c r="L4082">
        <v>18</v>
      </c>
      <c r="M4082" s="2">
        <v>0.78</v>
      </c>
      <c r="N4082">
        <v>2.91</v>
      </c>
      <c r="O4082">
        <v>0</v>
      </c>
      <c r="P4082">
        <v>2</v>
      </c>
      <c r="Q4082" t="s">
        <v>559</v>
      </c>
      <c r="R4082" s="8" t="s">
        <v>260</v>
      </c>
      <c r="S4082" t="str">
        <f t="shared" si="562"/>
        <v>FA</v>
      </c>
    </row>
    <row r="4083" spans="1:19" x14ac:dyDescent="0.3">
      <c r="A4083" t="s">
        <v>8</v>
      </c>
      <c r="B4083">
        <v>2016210029</v>
      </c>
      <c r="C4083" t="s">
        <v>55</v>
      </c>
      <c r="E4083" t="s">
        <v>77</v>
      </c>
      <c r="F4083" t="s">
        <v>78</v>
      </c>
      <c r="G4083">
        <v>2</v>
      </c>
      <c r="H4083" t="s">
        <v>535</v>
      </c>
      <c r="I4083" s="4">
        <f t="shared" si="563"/>
        <v>1</v>
      </c>
      <c r="J4083">
        <f t="shared" si="564"/>
        <v>2</v>
      </c>
      <c r="K4083">
        <v>50</v>
      </c>
      <c r="L4083">
        <v>20</v>
      </c>
      <c r="M4083" s="2">
        <v>2.5</v>
      </c>
      <c r="N4083">
        <v>2.91</v>
      </c>
      <c r="O4083">
        <v>0</v>
      </c>
      <c r="P4083">
        <v>1</v>
      </c>
      <c r="Q4083" t="s">
        <v>558</v>
      </c>
      <c r="R4083" s="8" t="s">
        <v>260</v>
      </c>
      <c r="S4083" t="str">
        <f t="shared" si="562"/>
        <v>FA</v>
      </c>
    </row>
    <row r="4084" spans="1:19" x14ac:dyDescent="0.3">
      <c r="A4084" t="s">
        <v>8</v>
      </c>
      <c r="B4084">
        <v>2016210029</v>
      </c>
      <c r="C4084" t="s">
        <v>55</v>
      </c>
      <c r="E4084" t="s">
        <v>115</v>
      </c>
      <c r="F4084" t="s">
        <v>116</v>
      </c>
      <c r="G4084">
        <v>4</v>
      </c>
      <c r="H4084" t="s">
        <v>535</v>
      </c>
      <c r="I4084" s="4">
        <f t="shared" si="563"/>
        <v>1</v>
      </c>
      <c r="J4084">
        <f t="shared" si="564"/>
        <v>4</v>
      </c>
      <c r="K4084">
        <v>14</v>
      </c>
      <c r="L4084">
        <v>18</v>
      </c>
      <c r="M4084" s="2">
        <v>0.78</v>
      </c>
      <c r="N4084">
        <v>2.91</v>
      </c>
      <c r="O4084">
        <v>0</v>
      </c>
      <c r="P4084">
        <v>2</v>
      </c>
      <c r="Q4084" t="s">
        <v>559</v>
      </c>
      <c r="R4084" s="8" t="s">
        <v>260</v>
      </c>
      <c r="S4084" t="str">
        <f t="shared" si="562"/>
        <v>FA</v>
      </c>
    </row>
    <row r="4085" spans="1:19" x14ac:dyDescent="0.3">
      <c r="A4085" t="s">
        <v>8</v>
      </c>
      <c r="B4085">
        <v>2016210029</v>
      </c>
      <c r="C4085" t="s">
        <v>55</v>
      </c>
      <c r="E4085" t="s">
        <v>115</v>
      </c>
      <c r="F4085" t="s">
        <v>116</v>
      </c>
      <c r="G4085">
        <v>4</v>
      </c>
      <c r="H4085" t="s">
        <v>260</v>
      </c>
      <c r="I4085" s="4">
        <f t="shared" si="563"/>
        <v>4</v>
      </c>
      <c r="J4085">
        <f t="shared" si="564"/>
        <v>16</v>
      </c>
      <c r="K4085">
        <v>74</v>
      </c>
      <c r="L4085">
        <v>28</v>
      </c>
      <c r="M4085" s="2">
        <v>2.64</v>
      </c>
      <c r="N4085">
        <v>2.91</v>
      </c>
      <c r="O4085">
        <v>1</v>
      </c>
      <c r="P4085">
        <v>8</v>
      </c>
      <c r="Q4085" t="s">
        <v>571</v>
      </c>
      <c r="R4085" s="8" t="s">
        <v>260</v>
      </c>
      <c r="S4085" t="str">
        <f t="shared" si="562"/>
        <v>PA</v>
      </c>
    </row>
    <row r="4086" spans="1:19" x14ac:dyDescent="0.3">
      <c r="A4086" t="s">
        <v>8</v>
      </c>
      <c r="B4086">
        <v>2016210029</v>
      </c>
      <c r="C4086" t="s">
        <v>55</v>
      </c>
      <c r="E4086" t="s">
        <v>232</v>
      </c>
      <c r="F4086" t="s">
        <v>245</v>
      </c>
      <c r="G4086">
        <v>2</v>
      </c>
      <c r="H4086" t="s">
        <v>539</v>
      </c>
      <c r="I4086" s="4">
        <f t="shared" si="563"/>
        <v>0</v>
      </c>
      <c r="J4086">
        <f t="shared" si="564"/>
        <v>0</v>
      </c>
      <c r="K4086">
        <v>30</v>
      </c>
      <c r="L4086">
        <v>14</v>
      </c>
      <c r="M4086" s="2">
        <v>2.14</v>
      </c>
      <c r="N4086">
        <v>2.91</v>
      </c>
      <c r="O4086">
        <v>0</v>
      </c>
      <c r="P4086">
        <v>8</v>
      </c>
      <c r="Q4086" t="s">
        <v>569</v>
      </c>
      <c r="R4086" s="8" t="s">
        <v>260</v>
      </c>
      <c r="S4086" t="str">
        <f t="shared" si="562"/>
        <v>FA</v>
      </c>
    </row>
    <row r="4087" spans="1:19" x14ac:dyDescent="0.3">
      <c r="A4087" t="s">
        <v>8</v>
      </c>
      <c r="B4087">
        <v>2016210029</v>
      </c>
      <c r="C4087" t="s">
        <v>55</v>
      </c>
      <c r="E4087" t="s">
        <v>117</v>
      </c>
      <c r="F4087" t="s">
        <v>118</v>
      </c>
      <c r="G4087">
        <v>2</v>
      </c>
      <c r="H4087" t="s">
        <v>539</v>
      </c>
      <c r="I4087" s="4">
        <f t="shared" si="563"/>
        <v>0</v>
      </c>
      <c r="J4087">
        <f t="shared" si="564"/>
        <v>0</v>
      </c>
      <c r="K4087">
        <v>14</v>
      </c>
      <c r="L4087">
        <v>18</v>
      </c>
      <c r="M4087" s="2">
        <v>0.78</v>
      </c>
      <c r="N4087">
        <v>2.91</v>
      </c>
      <c r="O4087">
        <v>0</v>
      </c>
      <c r="P4087">
        <v>2</v>
      </c>
      <c r="Q4087" t="s">
        <v>559</v>
      </c>
      <c r="R4087" s="8" t="s">
        <v>260</v>
      </c>
      <c r="S4087" t="str">
        <f t="shared" si="562"/>
        <v>FA</v>
      </c>
    </row>
    <row r="4088" spans="1:19" x14ac:dyDescent="0.3">
      <c r="A4088" t="s">
        <v>8</v>
      </c>
      <c r="B4088">
        <v>2016210029</v>
      </c>
      <c r="C4088" t="s">
        <v>55</v>
      </c>
      <c r="E4088" t="s">
        <v>401</v>
      </c>
      <c r="F4088" t="s">
        <v>258</v>
      </c>
      <c r="G4088">
        <v>4</v>
      </c>
      <c r="H4088" t="s">
        <v>539</v>
      </c>
      <c r="I4088" s="4">
        <f t="shared" si="563"/>
        <v>0</v>
      </c>
      <c r="J4088">
        <f t="shared" si="564"/>
        <v>0</v>
      </c>
      <c r="K4088">
        <v>28</v>
      </c>
      <c r="L4088">
        <v>18</v>
      </c>
      <c r="M4088" s="2">
        <v>1.56</v>
      </c>
      <c r="N4088">
        <v>2.91</v>
      </c>
      <c r="O4088">
        <v>0</v>
      </c>
      <c r="P4088">
        <v>3</v>
      </c>
      <c r="Q4088" t="s">
        <v>563</v>
      </c>
      <c r="R4088" s="8" t="s">
        <v>260</v>
      </c>
      <c r="S4088" t="str">
        <f t="shared" si="562"/>
        <v>FA</v>
      </c>
    </row>
    <row r="4089" spans="1:19" x14ac:dyDescent="0.3">
      <c r="A4089" t="s">
        <v>8</v>
      </c>
      <c r="B4089">
        <v>2016210029</v>
      </c>
      <c r="C4089" t="s">
        <v>55</v>
      </c>
      <c r="E4089" t="s">
        <v>125</v>
      </c>
      <c r="F4089" t="s">
        <v>126</v>
      </c>
      <c r="G4089">
        <v>4</v>
      </c>
      <c r="H4089" t="s">
        <v>539</v>
      </c>
      <c r="I4089" s="4">
        <f t="shared" si="563"/>
        <v>0</v>
      </c>
      <c r="J4089">
        <f t="shared" si="564"/>
        <v>0</v>
      </c>
      <c r="K4089">
        <v>14</v>
      </c>
      <c r="L4089">
        <v>18</v>
      </c>
      <c r="M4089" s="2">
        <v>0.78</v>
      </c>
      <c r="N4089">
        <v>2.91</v>
      </c>
      <c r="O4089">
        <v>0</v>
      </c>
      <c r="P4089">
        <v>2</v>
      </c>
      <c r="Q4089" t="s">
        <v>559</v>
      </c>
      <c r="R4089" s="8" t="s">
        <v>260</v>
      </c>
      <c r="S4089" t="str">
        <f t="shared" si="562"/>
        <v>FA</v>
      </c>
    </row>
    <row r="4090" spans="1:19" x14ac:dyDescent="0.3">
      <c r="A4090" t="s">
        <v>8</v>
      </c>
      <c r="B4090">
        <v>2016210029</v>
      </c>
      <c r="C4090" t="s">
        <v>55</v>
      </c>
      <c r="E4090" t="s">
        <v>117</v>
      </c>
      <c r="F4090" t="s">
        <v>118</v>
      </c>
      <c r="G4090">
        <v>2</v>
      </c>
      <c r="H4090" t="s">
        <v>260</v>
      </c>
      <c r="I4090" s="4">
        <f t="shared" si="563"/>
        <v>4</v>
      </c>
      <c r="J4090">
        <f t="shared" si="564"/>
        <v>8</v>
      </c>
      <c r="K4090">
        <v>74</v>
      </c>
      <c r="L4090">
        <v>28</v>
      </c>
      <c r="M4090" s="2">
        <v>2.64</v>
      </c>
      <c r="N4090">
        <v>2.91</v>
      </c>
      <c r="O4090">
        <v>1</v>
      </c>
      <c r="P4090">
        <v>8</v>
      </c>
      <c r="Q4090" t="s">
        <v>571</v>
      </c>
      <c r="R4090" s="8" t="s">
        <v>260</v>
      </c>
      <c r="S4090" t="str">
        <f t="shared" si="562"/>
        <v>PA</v>
      </c>
    </row>
    <row r="4091" spans="1:19" x14ac:dyDescent="0.3">
      <c r="A4091" t="s">
        <v>8</v>
      </c>
      <c r="B4091">
        <v>2016210029</v>
      </c>
      <c r="C4091" t="s">
        <v>55</v>
      </c>
      <c r="E4091" t="s">
        <v>401</v>
      </c>
      <c r="F4091" t="s">
        <v>258</v>
      </c>
      <c r="G4091">
        <v>4</v>
      </c>
      <c r="H4091" t="s">
        <v>260</v>
      </c>
      <c r="I4091" s="4">
        <f t="shared" si="563"/>
        <v>4</v>
      </c>
      <c r="J4091">
        <f t="shared" si="564"/>
        <v>16</v>
      </c>
      <c r="K4091">
        <v>74</v>
      </c>
      <c r="L4091">
        <v>28</v>
      </c>
      <c r="M4091" s="2">
        <v>2.64</v>
      </c>
      <c r="N4091">
        <v>2.91</v>
      </c>
      <c r="O4091">
        <v>1</v>
      </c>
      <c r="P4091">
        <v>8</v>
      </c>
      <c r="Q4091" t="s">
        <v>571</v>
      </c>
      <c r="R4091" s="8" t="s">
        <v>260</v>
      </c>
      <c r="S4091" t="str">
        <f t="shared" si="562"/>
        <v>PA</v>
      </c>
    </row>
    <row r="4092" spans="1:19" x14ac:dyDescent="0.3">
      <c r="A4092" t="s">
        <v>8</v>
      </c>
      <c r="B4092">
        <v>2016210029</v>
      </c>
      <c r="C4092" t="s">
        <v>55</v>
      </c>
      <c r="E4092" t="s">
        <v>125</v>
      </c>
      <c r="F4092" t="s">
        <v>126</v>
      </c>
      <c r="G4092">
        <v>4</v>
      </c>
      <c r="H4092" t="s">
        <v>438</v>
      </c>
      <c r="I4092" s="4">
        <f t="shared" si="563"/>
        <v>3</v>
      </c>
      <c r="J4092">
        <f t="shared" si="564"/>
        <v>12</v>
      </c>
      <c r="K4092">
        <v>74</v>
      </c>
      <c r="L4092">
        <v>28</v>
      </c>
      <c r="M4092" s="2">
        <v>2.64</v>
      </c>
      <c r="N4092">
        <v>2.91</v>
      </c>
      <c r="O4092">
        <v>1</v>
      </c>
      <c r="P4092">
        <v>8</v>
      </c>
      <c r="Q4092" t="s">
        <v>571</v>
      </c>
      <c r="R4092" s="8" t="s">
        <v>260</v>
      </c>
      <c r="S4092" t="str">
        <f t="shared" si="562"/>
        <v>PA</v>
      </c>
    </row>
    <row r="4093" spans="1:19" x14ac:dyDescent="0.3">
      <c r="A4093" t="s">
        <v>8</v>
      </c>
      <c r="B4093">
        <v>2016210029</v>
      </c>
      <c r="C4093" t="s">
        <v>55</v>
      </c>
      <c r="E4093" t="s">
        <v>22</v>
      </c>
      <c r="F4093" t="s">
        <v>23</v>
      </c>
      <c r="G4093">
        <v>2</v>
      </c>
      <c r="H4093" t="s">
        <v>438</v>
      </c>
      <c r="I4093" s="4">
        <f t="shared" si="563"/>
        <v>3</v>
      </c>
      <c r="J4093">
        <f t="shared" si="564"/>
        <v>6</v>
      </c>
      <c r="K4093">
        <v>30</v>
      </c>
      <c r="L4093">
        <v>14</v>
      </c>
      <c r="M4093" s="2">
        <v>2.14</v>
      </c>
      <c r="N4093">
        <v>2.91</v>
      </c>
      <c r="O4093">
        <v>1</v>
      </c>
      <c r="P4093">
        <v>8</v>
      </c>
      <c r="Q4093" t="s">
        <v>569</v>
      </c>
      <c r="R4093" s="8" t="s">
        <v>260</v>
      </c>
      <c r="S4093" t="str">
        <f t="shared" si="562"/>
        <v>PA</v>
      </c>
    </row>
    <row r="4094" spans="1:19" x14ac:dyDescent="0.3">
      <c r="A4094" t="s">
        <v>8</v>
      </c>
      <c r="B4094">
        <v>2016210029</v>
      </c>
      <c r="C4094" t="s">
        <v>55</v>
      </c>
      <c r="E4094" t="s">
        <v>22</v>
      </c>
      <c r="F4094" t="s">
        <v>23</v>
      </c>
      <c r="G4094">
        <v>2</v>
      </c>
      <c r="H4094" t="s">
        <v>539</v>
      </c>
      <c r="I4094" s="4">
        <f t="shared" si="563"/>
        <v>0</v>
      </c>
      <c r="J4094">
        <f t="shared" si="564"/>
        <v>0</v>
      </c>
      <c r="K4094">
        <v>14</v>
      </c>
      <c r="L4094">
        <v>18</v>
      </c>
      <c r="M4094" s="2">
        <v>0.78</v>
      </c>
      <c r="N4094">
        <v>2.91</v>
      </c>
      <c r="O4094">
        <v>0</v>
      </c>
      <c r="P4094">
        <v>2</v>
      </c>
      <c r="Q4094" t="s">
        <v>559</v>
      </c>
      <c r="R4094" s="8" t="s">
        <v>260</v>
      </c>
      <c r="S4094" t="str">
        <f t="shared" si="562"/>
        <v>FA</v>
      </c>
    </row>
    <row r="4095" spans="1:19" x14ac:dyDescent="0.3">
      <c r="A4095" t="s">
        <v>8</v>
      </c>
      <c r="B4095">
        <v>2016210029</v>
      </c>
      <c r="C4095" t="s">
        <v>55</v>
      </c>
      <c r="E4095" t="s">
        <v>112</v>
      </c>
      <c r="F4095" t="s">
        <v>113</v>
      </c>
      <c r="G4095">
        <v>4</v>
      </c>
      <c r="H4095" t="s">
        <v>539</v>
      </c>
      <c r="I4095" s="4">
        <f t="shared" si="563"/>
        <v>0</v>
      </c>
      <c r="J4095">
        <f t="shared" si="564"/>
        <v>0</v>
      </c>
      <c r="K4095">
        <v>28</v>
      </c>
      <c r="L4095">
        <v>18</v>
      </c>
      <c r="M4095" s="2">
        <v>1.56</v>
      </c>
      <c r="N4095">
        <v>2.91</v>
      </c>
      <c r="O4095">
        <v>0</v>
      </c>
      <c r="P4095">
        <v>3</v>
      </c>
      <c r="Q4095" t="s">
        <v>563</v>
      </c>
      <c r="R4095" s="8" t="s">
        <v>260</v>
      </c>
      <c r="S4095" t="str">
        <f t="shared" si="562"/>
        <v>FA</v>
      </c>
    </row>
    <row r="4096" spans="1:19" x14ac:dyDescent="0.3">
      <c r="A4096" t="s">
        <v>8</v>
      </c>
      <c r="B4096">
        <v>2016210029</v>
      </c>
      <c r="C4096" t="s">
        <v>55</v>
      </c>
      <c r="E4096" t="s">
        <v>112</v>
      </c>
      <c r="F4096" t="s">
        <v>113</v>
      </c>
      <c r="G4096">
        <v>4</v>
      </c>
      <c r="H4096" t="s">
        <v>260</v>
      </c>
      <c r="I4096" s="4">
        <f t="shared" si="563"/>
        <v>4</v>
      </c>
      <c r="J4096">
        <f t="shared" si="564"/>
        <v>16</v>
      </c>
      <c r="K4096">
        <v>74</v>
      </c>
      <c r="L4096">
        <v>28</v>
      </c>
      <c r="M4096" s="2">
        <v>2.64</v>
      </c>
      <c r="N4096">
        <v>2.91</v>
      </c>
      <c r="O4096">
        <v>1</v>
      </c>
      <c r="P4096">
        <v>8</v>
      </c>
      <c r="Q4096" t="s">
        <v>571</v>
      </c>
      <c r="R4096" s="8" t="s">
        <v>260</v>
      </c>
      <c r="S4096" t="str">
        <f t="shared" si="562"/>
        <v>PA</v>
      </c>
    </row>
    <row r="4097" spans="1:19" x14ac:dyDescent="0.3">
      <c r="A4097" t="s">
        <v>8</v>
      </c>
      <c r="B4097">
        <v>2016210030</v>
      </c>
      <c r="C4097" t="s">
        <v>53</v>
      </c>
      <c r="E4097" t="s">
        <v>19</v>
      </c>
      <c r="F4097" t="s">
        <v>20</v>
      </c>
      <c r="G4097">
        <v>6</v>
      </c>
      <c r="I4097" s="4"/>
      <c r="J4097">
        <f t="shared" ref="J4097:J4121" si="565">G4097*I4097</f>
        <v>0</v>
      </c>
      <c r="K4097">
        <v>8</v>
      </c>
      <c r="L4097">
        <v>4</v>
      </c>
      <c r="M4097" s="2">
        <v>2</v>
      </c>
      <c r="N4097">
        <v>3.05</v>
      </c>
      <c r="O4097">
        <v>0</v>
      </c>
      <c r="P4097">
        <v>11</v>
      </c>
      <c r="Q4097" t="s">
        <v>573</v>
      </c>
      <c r="R4097" s="8" t="s">
        <v>260</v>
      </c>
      <c r="S4097" t="s">
        <v>595</v>
      </c>
    </row>
    <row r="4098" spans="1:19" x14ac:dyDescent="0.3">
      <c r="A4098" t="s">
        <v>8</v>
      </c>
      <c r="B4098">
        <v>2016210030</v>
      </c>
      <c r="C4098" t="s">
        <v>53</v>
      </c>
      <c r="E4098" t="s">
        <v>19</v>
      </c>
      <c r="F4098" t="s">
        <v>20</v>
      </c>
      <c r="G4098">
        <v>6</v>
      </c>
      <c r="H4098" t="s">
        <v>438</v>
      </c>
      <c r="I4098" s="4">
        <f t="shared" ref="I4098:I4121" si="566">IF(H4098="A",4,IF(H4098="B",3,IF(H4098="C",2,IF(H4098="D",1,0))))</f>
        <v>3</v>
      </c>
      <c r="J4098">
        <f t="shared" si="565"/>
        <v>18</v>
      </c>
      <c r="K4098">
        <v>38</v>
      </c>
      <c r="L4098">
        <v>14</v>
      </c>
      <c r="M4098" s="2">
        <v>2.71</v>
      </c>
      <c r="N4098">
        <v>3.05</v>
      </c>
      <c r="O4098">
        <v>1</v>
      </c>
      <c r="P4098">
        <v>12</v>
      </c>
      <c r="Q4098" t="s">
        <v>575</v>
      </c>
      <c r="R4098" t="s">
        <v>596</v>
      </c>
      <c r="S4098" t="str">
        <f>IF(OR(H4098="A",H4098="B",H4098="C"),"PA","FA")</f>
        <v>PA</v>
      </c>
    </row>
    <row r="4099" spans="1:19" x14ac:dyDescent="0.3">
      <c r="A4099" t="s">
        <v>8</v>
      </c>
      <c r="B4099">
        <v>2016210030</v>
      </c>
      <c r="C4099" t="s">
        <v>53</v>
      </c>
      <c r="E4099" t="s">
        <v>125</v>
      </c>
      <c r="F4099" t="s">
        <v>126</v>
      </c>
      <c r="G4099">
        <v>4</v>
      </c>
      <c r="I4099" s="4"/>
      <c r="J4099">
        <f t="shared" si="565"/>
        <v>0</v>
      </c>
      <c r="K4099">
        <v>22</v>
      </c>
      <c r="L4099">
        <v>8</v>
      </c>
      <c r="M4099">
        <v>2.75</v>
      </c>
      <c r="N4099">
        <v>3.05</v>
      </c>
      <c r="O4099">
        <v>1</v>
      </c>
      <c r="P4099">
        <v>10</v>
      </c>
      <c r="Q4099" t="s">
        <v>560</v>
      </c>
      <c r="R4099" s="8" t="s">
        <v>260</v>
      </c>
      <c r="S4099" t="s">
        <v>595</v>
      </c>
    </row>
    <row r="4100" spans="1:19" x14ac:dyDescent="0.3">
      <c r="A4100" t="s">
        <v>8</v>
      </c>
      <c r="B4100">
        <v>2016210030</v>
      </c>
      <c r="C4100" t="s">
        <v>53</v>
      </c>
      <c r="E4100" t="s">
        <v>125</v>
      </c>
      <c r="F4100" t="s">
        <v>126</v>
      </c>
      <c r="G4100">
        <v>4</v>
      </c>
      <c r="H4100" t="s">
        <v>524</v>
      </c>
      <c r="I4100" s="4">
        <f t="shared" si="566"/>
        <v>2</v>
      </c>
      <c r="J4100">
        <f t="shared" si="565"/>
        <v>8</v>
      </c>
      <c r="K4100">
        <v>38</v>
      </c>
      <c r="L4100">
        <v>14</v>
      </c>
      <c r="M4100" s="2">
        <v>2.71</v>
      </c>
      <c r="N4100">
        <v>3.05</v>
      </c>
      <c r="O4100">
        <v>2</v>
      </c>
      <c r="P4100">
        <v>12</v>
      </c>
      <c r="Q4100" t="s">
        <v>575</v>
      </c>
      <c r="R4100" t="s">
        <v>596</v>
      </c>
      <c r="S4100" t="str">
        <f>IF(OR(H4100="A",H4100="B",H4100="C"),"PA","FA")</f>
        <v>PA</v>
      </c>
    </row>
    <row r="4101" spans="1:19" x14ac:dyDescent="0.3">
      <c r="A4101" t="s">
        <v>8</v>
      </c>
      <c r="B4101">
        <v>2016210030</v>
      </c>
      <c r="C4101" t="s">
        <v>53</v>
      </c>
      <c r="E4101" t="s">
        <v>125</v>
      </c>
      <c r="F4101" t="s">
        <v>126</v>
      </c>
      <c r="G4101">
        <v>4</v>
      </c>
      <c r="I4101" s="4"/>
      <c r="J4101">
        <f t="shared" si="565"/>
        <v>0</v>
      </c>
      <c r="K4101">
        <v>40</v>
      </c>
      <c r="L4101">
        <v>14</v>
      </c>
      <c r="M4101" s="2">
        <v>2.86</v>
      </c>
      <c r="N4101">
        <v>3.05</v>
      </c>
      <c r="O4101">
        <v>0</v>
      </c>
      <c r="P4101">
        <v>2</v>
      </c>
      <c r="Q4101" t="s">
        <v>559</v>
      </c>
      <c r="R4101" s="8" t="s">
        <v>260</v>
      </c>
      <c r="S4101" t="s">
        <v>595</v>
      </c>
    </row>
    <row r="4102" spans="1:19" x14ac:dyDescent="0.3">
      <c r="A4102" t="s">
        <v>8</v>
      </c>
      <c r="B4102">
        <v>2016210030</v>
      </c>
      <c r="C4102" t="s">
        <v>53</v>
      </c>
      <c r="E4102" t="s">
        <v>185</v>
      </c>
      <c r="F4102" t="s">
        <v>186</v>
      </c>
      <c r="G4102">
        <v>4</v>
      </c>
      <c r="I4102" s="4"/>
      <c r="J4102">
        <f t="shared" si="565"/>
        <v>0</v>
      </c>
      <c r="K4102">
        <v>30</v>
      </c>
      <c r="L4102">
        <v>10</v>
      </c>
      <c r="M4102" s="2">
        <v>3</v>
      </c>
      <c r="N4102">
        <v>3.05</v>
      </c>
      <c r="O4102">
        <v>0</v>
      </c>
      <c r="P4102">
        <v>5</v>
      </c>
      <c r="Q4102" t="s">
        <v>566</v>
      </c>
      <c r="R4102" s="8" t="s">
        <v>260</v>
      </c>
      <c r="S4102" t="s">
        <v>595</v>
      </c>
    </row>
    <row r="4103" spans="1:19" x14ac:dyDescent="0.3">
      <c r="A4103" t="s">
        <v>8</v>
      </c>
      <c r="B4103">
        <v>2016210030</v>
      </c>
      <c r="C4103" t="s">
        <v>53</v>
      </c>
      <c r="E4103" t="s">
        <v>185</v>
      </c>
      <c r="F4103" t="s">
        <v>186</v>
      </c>
      <c r="G4103">
        <v>4</v>
      </c>
      <c r="H4103" t="s">
        <v>524</v>
      </c>
      <c r="I4103" s="4">
        <f t="shared" ref="I4103" si="567">IF(H4103="A",4,IF(H4103="B",3,IF(H4103="C",2,IF(H4103="D",1,0))))</f>
        <v>2</v>
      </c>
      <c r="J4103">
        <f t="shared" ref="J4103" si="568">G4103*I4103</f>
        <v>8</v>
      </c>
      <c r="K4103">
        <v>34</v>
      </c>
      <c r="L4103">
        <v>14</v>
      </c>
      <c r="M4103" s="2">
        <v>2.4300000000000002</v>
      </c>
      <c r="N4103">
        <v>3.05</v>
      </c>
      <c r="O4103">
        <v>1</v>
      </c>
      <c r="P4103">
        <v>7</v>
      </c>
      <c r="Q4103" t="s">
        <v>568</v>
      </c>
      <c r="R4103" s="8" t="s">
        <v>260</v>
      </c>
      <c r="S4103" t="str">
        <f t="shared" ref="S4103:S4104" si="569">IF(OR(H4103="A",H4103="B",H4103="C"),"PA","FA")</f>
        <v>PA</v>
      </c>
    </row>
    <row r="4104" spans="1:19" x14ac:dyDescent="0.3">
      <c r="A4104" t="s">
        <v>8</v>
      </c>
      <c r="B4104">
        <v>2016210030</v>
      </c>
      <c r="C4104" t="s">
        <v>53</v>
      </c>
      <c r="E4104" t="s">
        <v>185</v>
      </c>
      <c r="F4104" t="s">
        <v>186</v>
      </c>
      <c r="G4104">
        <v>4</v>
      </c>
      <c r="H4104" t="s">
        <v>260</v>
      </c>
      <c r="I4104" s="4">
        <f t="shared" si="566"/>
        <v>4</v>
      </c>
      <c r="J4104">
        <f t="shared" si="565"/>
        <v>16</v>
      </c>
      <c r="K4104">
        <v>98</v>
      </c>
      <c r="L4104">
        <v>26</v>
      </c>
      <c r="M4104" s="2">
        <v>3.77</v>
      </c>
      <c r="N4104">
        <v>3.05</v>
      </c>
      <c r="O4104">
        <v>2</v>
      </c>
      <c r="P4104">
        <v>10</v>
      </c>
      <c r="Q4104" s="4" t="s">
        <v>578</v>
      </c>
      <c r="R4104" s="8" t="s">
        <v>260</v>
      </c>
      <c r="S4104" t="str">
        <f t="shared" si="569"/>
        <v>PA</v>
      </c>
    </row>
    <row r="4105" spans="1:19" x14ac:dyDescent="0.3">
      <c r="A4105" t="s">
        <v>8</v>
      </c>
      <c r="B4105">
        <v>2016210030</v>
      </c>
      <c r="C4105" t="s">
        <v>53</v>
      </c>
      <c r="E4105" t="s">
        <v>216</v>
      </c>
      <c r="F4105" t="s">
        <v>217</v>
      </c>
      <c r="G4105">
        <v>2</v>
      </c>
      <c r="I4105" s="4"/>
      <c r="J4105">
        <f t="shared" si="565"/>
        <v>0</v>
      </c>
      <c r="K4105">
        <v>6</v>
      </c>
      <c r="L4105">
        <v>6</v>
      </c>
      <c r="M4105" s="2">
        <v>1</v>
      </c>
      <c r="N4105">
        <v>3.05</v>
      </c>
      <c r="O4105">
        <v>0</v>
      </c>
      <c r="P4105">
        <v>4</v>
      </c>
      <c r="Q4105" t="s">
        <v>565</v>
      </c>
      <c r="R4105" s="8" t="s">
        <v>260</v>
      </c>
      <c r="S4105" t="s">
        <v>595</v>
      </c>
    </row>
    <row r="4106" spans="1:19" x14ac:dyDescent="0.3">
      <c r="A4106" t="s">
        <v>8</v>
      </c>
      <c r="B4106">
        <v>2016210030</v>
      </c>
      <c r="C4106" t="s">
        <v>53</v>
      </c>
      <c r="E4106" t="s">
        <v>216</v>
      </c>
      <c r="F4106" t="s">
        <v>217</v>
      </c>
      <c r="G4106">
        <v>2</v>
      </c>
      <c r="H4106" t="s">
        <v>524</v>
      </c>
      <c r="I4106" s="4">
        <f t="shared" si="566"/>
        <v>2</v>
      </c>
      <c r="J4106">
        <f t="shared" si="565"/>
        <v>4</v>
      </c>
      <c r="K4106">
        <v>22</v>
      </c>
      <c r="L4106">
        <v>8</v>
      </c>
      <c r="M4106">
        <v>2.75</v>
      </c>
      <c r="N4106">
        <v>3.05</v>
      </c>
      <c r="O4106">
        <v>1</v>
      </c>
      <c r="P4106">
        <v>10</v>
      </c>
      <c r="Q4106" t="s">
        <v>560</v>
      </c>
      <c r="R4106" s="8" t="s">
        <v>260</v>
      </c>
      <c r="S4106" t="str">
        <f>IF(OR(H4106="A",H4106="B",H4106="C"),"PA","FA")</f>
        <v>PA</v>
      </c>
    </row>
    <row r="4107" spans="1:19" x14ac:dyDescent="0.3">
      <c r="A4107" t="s">
        <v>8</v>
      </c>
      <c r="B4107">
        <v>2016210030</v>
      </c>
      <c r="C4107" t="s">
        <v>53</v>
      </c>
      <c r="E4107" t="s">
        <v>180</v>
      </c>
      <c r="F4107" t="s">
        <v>181</v>
      </c>
      <c r="G4107">
        <v>4</v>
      </c>
      <c r="I4107" s="4"/>
      <c r="J4107">
        <f t="shared" si="565"/>
        <v>0</v>
      </c>
      <c r="K4107">
        <v>6</v>
      </c>
      <c r="L4107">
        <v>6</v>
      </c>
      <c r="M4107" s="2">
        <v>1</v>
      </c>
      <c r="N4107">
        <v>3.05</v>
      </c>
      <c r="O4107">
        <v>0</v>
      </c>
      <c r="P4107">
        <v>4</v>
      </c>
      <c r="Q4107" t="s">
        <v>565</v>
      </c>
      <c r="R4107" s="8" t="s">
        <v>260</v>
      </c>
      <c r="S4107" t="s">
        <v>595</v>
      </c>
    </row>
    <row r="4108" spans="1:19" x14ac:dyDescent="0.3">
      <c r="A4108" t="s">
        <v>8</v>
      </c>
      <c r="B4108">
        <v>2016210030</v>
      </c>
      <c r="C4108" t="s">
        <v>53</v>
      </c>
      <c r="E4108" t="s">
        <v>180</v>
      </c>
      <c r="F4108" t="s">
        <v>181</v>
      </c>
      <c r="G4108">
        <v>4</v>
      </c>
      <c r="H4108" t="s">
        <v>438</v>
      </c>
      <c r="I4108" s="4">
        <f t="shared" si="566"/>
        <v>3</v>
      </c>
      <c r="J4108">
        <f t="shared" si="565"/>
        <v>12</v>
      </c>
      <c r="K4108">
        <v>22</v>
      </c>
      <c r="L4108">
        <v>8</v>
      </c>
      <c r="M4108">
        <v>2.75</v>
      </c>
      <c r="N4108">
        <v>3.05</v>
      </c>
      <c r="O4108">
        <v>1</v>
      </c>
      <c r="P4108">
        <v>10</v>
      </c>
      <c r="Q4108" t="s">
        <v>560</v>
      </c>
      <c r="R4108" s="8" t="s">
        <v>260</v>
      </c>
      <c r="S4108" t="str">
        <f>IF(OR(H4108="A",H4108="B",H4108="C"),"PA","FA")</f>
        <v>PA</v>
      </c>
    </row>
    <row r="4109" spans="1:19" x14ac:dyDescent="0.3">
      <c r="A4109" t="s">
        <v>8</v>
      </c>
      <c r="B4109">
        <v>2016210030</v>
      </c>
      <c r="C4109" t="s">
        <v>53</v>
      </c>
      <c r="E4109" t="s">
        <v>193</v>
      </c>
      <c r="F4109" t="s">
        <v>194</v>
      </c>
      <c r="G4109">
        <v>4</v>
      </c>
      <c r="I4109" s="4"/>
      <c r="J4109">
        <f t="shared" si="565"/>
        <v>0</v>
      </c>
      <c r="K4109">
        <v>34</v>
      </c>
      <c r="L4109">
        <v>14</v>
      </c>
      <c r="M4109" s="2">
        <v>2.4300000000000002</v>
      </c>
      <c r="N4109">
        <v>3.05</v>
      </c>
      <c r="O4109">
        <v>0</v>
      </c>
      <c r="P4109">
        <v>7</v>
      </c>
      <c r="Q4109" t="s">
        <v>568</v>
      </c>
      <c r="R4109" s="8" t="s">
        <v>260</v>
      </c>
      <c r="S4109" t="s">
        <v>595</v>
      </c>
    </row>
    <row r="4110" spans="1:19" x14ac:dyDescent="0.3">
      <c r="A4110" t="s">
        <v>8</v>
      </c>
      <c r="B4110">
        <v>2016210030</v>
      </c>
      <c r="C4110" t="s">
        <v>53</v>
      </c>
      <c r="E4110" t="s">
        <v>193</v>
      </c>
      <c r="F4110" t="s">
        <v>194</v>
      </c>
      <c r="G4110">
        <v>4</v>
      </c>
      <c r="H4110" t="s">
        <v>438</v>
      </c>
      <c r="I4110" s="4">
        <f t="shared" si="566"/>
        <v>3</v>
      </c>
      <c r="J4110">
        <f t="shared" si="565"/>
        <v>12</v>
      </c>
      <c r="K4110">
        <v>52</v>
      </c>
      <c r="L4110">
        <v>18</v>
      </c>
      <c r="M4110" s="2">
        <v>2.89</v>
      </c>
      <c r="N4110">
        <v>3.05</v>
      </c>
      <c r="O4110">
        <v>1</v>
      </c>
      <c r="P4110">
        <v>9</v>
      </c>
      <c r="Q4110" t="s">
        <v>570</v>
      </c>
      <c r="R4110" s="8" t="s">
        <v>260</v>
      </c>
      <c r="S4110" t="str">
        <f>IF(OR(H4110="A",H4110="B",H4110="C"),"PA","FA")</f>
        <v>PA</v>
      </c>
    </row>
    <row r="4111" spans="1:19" x14ac:dyDescent="0.3">
      <c r="A4111" t="s">
        <v>8</v>
      </c>
      <c r="B4111">
        <v>2016210030</v>
      </c>
      <c r="C4111" t="s">
        <v>53</v>
      </c>
      <c r="E4111" t="s">
        <v>182</v>
      </c>
      <c r="F4111" t="s">
        <v>171</v>
      </c>
      <c r="G4111">
        <v>2</v>
      </c>
      <c r="I4111" s="4"/>
      <c r="J4111">
        <f t="shared" si="565"/>
        <v>0</v>
      </c>
      <c r="K4111">
        <v>30</v>
      </c>
      <c r="L4111">
        <v>10</v>
      </c>
      <c r="M4111" s="2">
        <v>3</v>
      </c>
      <c r="N4111">
        <v>3.05</v>
      </c>
      <c r="O4111">
        <v>0</v>
      </c>
      <c r="P4111">
        <v>5</v>
      </c>
      <c r="Q4111" t="s">
        <v>566</v>
      </c>
      <c r="R4111" s="8" t="s">
        <v>260</v>
      </c>
      <c r="S4111" t="s">
        <v>595</v>
      </c>
    </row>
    <row r="4112" spans="1:19" x14ac:dyDescent="0.3">
      <c r="A4112" t="s">
        <v>8</v>
      </c>
      <c r="B4112">
        <v>2016210030</v>
      </c>
      <c r="C4112" t="s">
        <v>53</v>
      </c>
      <c r="E4112" t="s">
        <v>182</v>
      </c>
      <c r="F4112" t="s">
        <v>171</v>
      </c>
      <c r="G4112">
        <v>2</v>
      </c>
      <c r="H4112" t="s">
        <v>524</v>
      </c>
      <c r="I4112" s="4">
        <f t="shared" si="566"/>
        <v>2</v>
      </c>
      <c r="J4112">
        <f t="shared" si="565"/>
        <v>4</v>
      </c>
      <c r="K4112">
        <v>52</v>
      </c>
      <c r="L4112">
        <v>18</v>
      </c>
      <c r="M4112" s="2">
        <v>2.89</v>
      </c>
      <c r="N4112">
        <v>3.05</v>
      </c>
      <c r="O4112">
        <v>1</v>
      </c>
      <c r="P4112">
        <v>9</v>
      </c>
      <c r="Q4112" t="s">
        <v>570</v>
      </c>
      <c r="R4112" s="8" t="s">
        <v>260</v>
      </c>
      <c r="S4112" t="str">
        <f t="shared" ref="S4112:S4113" si="570">IF(OR(H4112="A",H4112="B",H4112="C"),"PA","FA")</f>
        <v>PA</v>
      </c>
    </row>
    <row r="4113" spans="1:19" x14ac:dyDescent="0.3">
      <c r="A4113" t="s">
        <v>8</v>
      </c>
      <c r="B4113">
        <v>2016210030</v>
      </c>
      <c r="C4113" t="s">
        <v>53</v>
      </c>
      <c r="E4113" t="s">
        <v>112</v>
      </c>
      <c r="F4113" t="s">
        <v>113</v>
      </c>
      <c r="G4113">
        <v>4</v>
      </c>
      <c r="H4113" t="s">
        <v>260</v>
      </c>
      <c r="I4113" s="4">
        <f t="shared" si="566"/>
        <v>4</v>
      </c>
      <c r="J4113">
        <f t="shared" si="565"/>
        <v>16</v>
      </c>
      <c r="K4113">
        <v>52</v>
      </c>
      <c r="L4113">
        <v>18</v>
      </c>
      <c r="M4113" s="2">
        <v>2.89</v>
      </c>
      <c r="N4113">
        <v>3.05</v>
      </c>
      <c r="O4113">
        <v>1</v>
      </c>
      <c r="P4113">
        <v>9</v>
      </c>
      <c r="Q4113" t="s">
        <v>570</v>
      </c>
      <c r="R4113" s="8" t="s">
        <v>260</v>
      </c>
      <c r="S4113" t="str">
        <f t="shared" si="570"/>
        <v>PA</v>
      </c>
    </row>
    <row r="4114" spans="1:19" x14ac:dyDescent="0.3">
      <c r="A4114" t="s">
        <v>8</v>
      </c>
      <c r="B4114">
        <v>2016210030</v>
      </c>
      <c r="C4114" t="s">
        <v>53</v>
      </c>
      <c r="E4114" t="s">
        <v>112</v>
      </c>
      <c r="F4114" t="s">
        <v>113</v>
      </c>
      <c r="G4114">
        <v>4</v>
      </c>
      <c r="I4114" s="4"/>
      <c r="J4114">
        <f t="shared" si="565"/>
        <v>0</v>
      </c>
      <c r="K4114">
        <v>18</v>
      </c>
      <c r="L4114">
        <v>12</v>
      </c>
      <c r="M4114" s="2">
        <v>1.5</v>
      </c>
      <c r="N4114">
        <v>3.05</v>
      </c>
      <c r="O4114">
        <v>0</v>
      </c>
      <c r="P4114">
        <v>3</v>
      </c>
      <c r="Q4114" t="s">
        <v>563</v>
      </c>
      <c r="R4114" s="8" t="s">
        <v>260</v>
      </c>
      <c r="S4114" t="s">
        <v>595</v>
      </c>
    </row>
    <row r="4115" spans="1:19" x14ac:dyDescent="0.3">
      <c r="A4115" t="s">
        <v>8</v>
      </c>
      <c r="B4115">
        <v>2016210030</v>
      </c>
      <c r="C4115" t="s">
        <v>53</v>
      </c>
      <c r="E4115" t="s">
        <v>80</v>
      </c>
      <c r="F4115" t="s">
        <v>81</v>
      </c>
      <c r="G4115">
        <v>4</v>
      </c>
      <c r="I4115" s="4"/>
      <c r="J4115">
        <f t="shared" si="565"/>
        <v>0</v>
      </c>
      <c r="K4115">
        <v>48</v>
      </c>
      <c r="L4115">
        <v>16</v>
      </c>
      <c r="M4115" s="2">
        <v>3</v>
      </c>
      <c r="N4115">
        <v>3.05</v>
      </c>
      <c r="O4115">
        <v>0</v>
      </c>
      <c r="P4115">
        <v>6</v>
      </c>
      <c r="Q4115" t="s">
        <v>567</v>
      </c>
      <c r="R4115" s="8" t="s">
        <v>260</v>
      </c>
      <c r="S4115" t="s">
        <v>595</v>
      </c>
    </row>
    <row r="4116" spans="1:19" x14ac:dyDescent="0.3">
      <c r="A4116" t="s">
        <v>8</v>
      </c>
      <c r="B4116">
        <v>2016210030</v>
      </c>
      <c r="C4116" t="s">
        <v>53</v>
      </c>
      <c r="E4116" t="s">
        <v>80</v>
      </c>
      <c r="F4116" t="s">
        <v>81</v>
      </c>
      <c r="G4116">
        <v>4</v>
      </c>
      <c r="H4116" t="s">
        <v>524</v>
      </c>
      <c r="I4116" s="4">
        <f t="shared" ref="I4116" si="571">IF(H4116="A",4,IF(H4116="B",3,IF(H4116="C",2,IF(H4116="D",1,0))))</f>
        <v>2</v>
      </c>
      <c r="J4116">
        <f t="shared" ref="J4116" si="572">G4116*I4116</f>
        <v>8</v>
      </c>
      <c r="K4116">
        <v>26</v>
      </c>
      <c r="L4116">
        <v>12</v>
      </c>
      <c r="M4116" s="2">
        <v>2.17</v>
      </c>
      <c r="N4116">
        <v>3.05</v>
      </c>
      <c r="O4116">
        <v>1</v>
      </c>
      <c r="P4116">
        <v>8</v>
      </c>
      <c r="Q4116" t="s">
        <v>569</v>
      </c>
      <c r="R4116" s="8" t="s">
        <v>260</v>
      </c>
      <c r="S4116" t="str">
        <f t="shared" ref="S4116:S4118" si="573">IF(OR(H4116="A",H4116="B",H4116="C"),"PA","FA")</f>
        <v>PA</v>
      </c>
    </row>
    <row r="4117" spans="1:19" x14ac:dyDescent="0.3">
      <c r="A4117" t="s">
        <v>8</v>
      </c>
      <c r="B4117">
        <v>2016210030</v>
      </c>
      <c r="C4117" t="s">
        <v>53</v>
      </c>
      <c r="E4117" t="s">
        <v>80</v>
      </c>
      <c r="F4117" t="s">
        <v>81</v>
      </c>
      <c r="G4117">
        <v>4</v>
      </c>
      <c r="H4117" t="s">
        <v>260</v>
      </c>
      <c r="I4117" s="4">
        <f t="shared" si="566"/>
        <v>4</v>
      </c>
      <c r="J4117">
        <f t="shared" si="565"/>
        <v>16</v>
      </c>
      <c r="K4117">
        <v>98</v>
      </c>
      <c r="L4117">
        <v>26</v>
      </c>
      <c r="M4117" s="2">
        <v>3.77</v>
      </c>
      <c r="N4117">
        <v>3.05</v>
      </c>
      <c r="O4117">
        <v>2</v>
      </c>
      <c r="P4117">
        <v>10</v>
      </c>
      <c r="Q4117" s="4" t="s">
        <v>578</v>
      </c>
      <c r="R4117" s="8" t="s">
        <v>260</v>
      </c>
      <c r="S4117" t="str">
        <f t="shared" si="573"/>
        <v>PA</v>
      </c>
    </row>
    <row r="4118" spans="1:19" x14ac:dyDescent="0.3">
      <c r="A4118" t="s">
        <v>8</v>
      </c>
      <c r="B4118">
        <v>2016210030</v>
      </c>
      <c r="C4118" t="s">
        <v>53</v>
      </c>
      <c r="E4118" t="s">
        <v>213</v>
      </c>
      <c r="F4118" t="s">
        <v>214</v>
      </c>
      <c r="G4118">
        <v>4</v>
      </c>
      <c r="H4118" t="s">
        <v>524</v>
      </c>
      <c r="I4118" s="4">
        <f t="shared" si="566"/>
        <v>2</v>
      </c>
      <c r="J4118">
        <f t="shared" si="565"/>
        <v>8</v>
      </c>
      <c r="K4118">
        <v>52</v>
      </c>
      <c r="L4118">
        <v>18</v>
      </c>
      <c r="M4118" s="2">
        <v>2.89</v>
      </c>
      <c r="N4118">
        <v>3.05</v>
      </c>
      <c r="O4118">
        <v>1</v>
      </c>
      <c r="P4118">
        <v>9</v>
      </c>
      <c r="Q4118" t="s">
        <v>570</v>
      </c>
      <c r="R4118" s="8" t="s">
        <v>260</v>
      </c>
      <c r="S4118" t="str">
        <f t="shared" si="573"/>
        <v>PA</v>
      </c>
    </row>
    <row r="4119" spans="1:19" x14ac:dyDescent="0.3">
      <c r="A4119" t="s">
        <v>8</v>
      </c>
      <c r="B4119">
        <v>2016210030</v>
      </c>
      <c r="C4119" t="s">
        <v>53</v>
      </c>
      <c r="E4119" t="s">
        <v>213</v>
      </c>
      <c r="F4119" t="s">
        <v>214</v>
      </c>
      <c r="G4119">
        <v>4</v>
      </c>
      <c r="I4119" s="4"/>
      <c r="J4119">
        <f t="shared" si="565"/>
        <v>0</v>
      </c>
      <c r="K4119">
        <v>18</v>
      </c>
      <c r="L4119">
        <v>12</v>
      </c>
      <c r="M4119" s="2">
        <v>1.5</v>
      </c>
      <c r="N4119">
        <v>3.05</v>
      </c>
      <c r="O4119">
        <v>0</v>
      </c>
      <c r="P4119">
        <v>3</v>
      </c>
      <c r="Q4119" t="s">
        <v>563</v>
      </c>
      <c r="R4119" s="8" t="s">
        <v>260</v>
      </c>
      <c r="S4119" t="s">
        <v>595</v>
      </c>
    </row>
    <row r="4120" spans="1:19" x14ac:dyDescent="0.3">
      <c r="A4120" t="s">
        <v>8</v>
      </c>
      <c r="B4120">
        <v>2016210030</v>
      </c>
      <c r="C4120" t="s">
        <v>53</v>
      </c>
      <c r="E4120" t="s">
        <v>253</v>
      </c>
      <c r="F4120" t="s">
        <v>254</v>
      </c>
      <c r="G4120">
        <v>2</v>
      </c>
      <c r="I4120" s="4"/>
      <c r="J4120">
        <f t="shared" si="565"/>
        <v>0</v>
      </c>
      <c r="K4120">
        <v>6</v>
      </c>
      <c r="L4120">
        <v>6</v>
      </c>
      <c r="M4120" s="2">
        <v>1</v>
      </c>
      <c r="N4120">
        <v>3.05</v>
      </c>
      <c r="O4120">
        <v>0</v>
      </c>
      <c r="P4120">
        <v>4</v>
      </c>
      <c r="Q4120" t="s">
        <v>565</v>
      </c>
      <c r="R4120" s="8" t="s">
        <v>260</v>
      </c>
      <c r="S4120" t="s">
        <v>595</v>
      </c>
    </row>
    <row r="4121" spans="1:19" x14ac:dyDescent="0.3">
      <c r="A4121" t="s">
        <v>8</v>
      </c>
      <c r="B4121">
        <v>2016210030</v>
      </c>
      <c r="C4121" t="s">
        <v>53</v>
      </c>
      <c r="E4121" t="s">
        <v>253</v>
      </c>
      <c r="F4121" t="s">
        <v>254</v>
      </c>
      <c r="G4121">
        <v>2</v>
      </c>
      <c r="H4121" t="s">
        <v>260</v>
      </c>
      <c r="I4121" s="4">
        <f t="shared" si="566"/>
        <v>4</v>
      </c>
      <c r="J4121">
        <f t="shared" si="565"/>
        <v>8</v>
      </c>
      <c r="K4121">
        <v>38</v>
      </c>
      <c r="L4121">
        <v>14</v>
      </c>
      <c r="M4121" s="2">
        <v>2.71</v>
      </c>
      <c r="N4121">
        <v>3.05</v>
      </c>
      <c r="O4121">
        <v>1</v>
      </c>
      <c r="P4121">
        <v>12</v>
      </c>
      <c r="Q4121" t="s">
        <v>575</v>
      </c>
      <c r="R4121" t="s">
        <v>596</v>
      </c>
      <c r="S4121" t="str">
        <f t="shared" ref="S4121:S4176" si="574">IF(OR(H4121="A",H4121="B",H4121="C"),"PA","FA")</f>
        <v>PA</v>
      </c>
    </row>
    <row r="4122" spans="1:19" x14ac:dyDescent="0.3">
      <c r="A4122" t="s">
        <v>8</v>
      </c>
      <c r="B4122">
        <v>2016210030</v>
      </c>
      <c r="C4122" t="s">
        <v>53</v>
      </c>
      <c r="E4122" t="s">
        <v>597</v>
      </c>
      <c r="F4122" t="s">
        <v>275</v>
      </c>
      <c r="G4122">
        <v>2</v>
      </c>
      <c r="H4122" t="s">
        <v>260</v>
      </c>
      <c r="I4122" s="4">
        <f t="shared" ref="I4122:I4176" si="575">IF(H4122="A",4,IF(H4122="B",3,IF(H4122="C",2,IF(H4122="D",1,0))))</f>
        <v>4</v>
      </c>
      <c r="J4122">
        <f t="shared" ref="J4122:J4176" si="576">G4122*I4122</f>
        <v>8</v>
      </c>
      <c r="K4122">
        <v>48</v>
      </c>
      <c r="L4122">
        <v>16</v>
      </c>
      <c r="M4122" s="2">
        <v>3</v>
      </c>
      <c r="N4122">
        <v>3.05</v>
      </c>
      <c r="O4122">
        <v>0</v>
      </c>
      <c r="P4122">
        <v>6</v>
      </c>
      <c r="Q4122" t="s">
        <v>567</v>
      </c>
      <c r="R4122" s="8" t="s">
        <v>260</v>
      </c>
      <c r="S4122" t="str">
        <f t="shared" si="574"/>
        <v>PA</v>
      </c>
    </row>
    <row r="4123" spans="1:19" x14ac:dyDescent="0.3">
      <c r="A4123" t="s">
        <v>8</v>
      </c>
      <c r="B4123">
        <v>2016210030</v>
      </c>
      <c r="C4123" t="s">
        <v>53</v>
      </c>
      <c r="E4123" t="s">
        <v>77</v>
      </c>
      <c r="F4123" t="s">
        <v>78</v>
      </c>
      <c r="G4123">
        <v>2</v>
      </c>
      <c r="H4123" t="s">
        <v>260</v>
      </c>
      <c r="I4123" s="4">
        <f t="shared" si="575"/>
        <v>4</v>
      </c>
      <c r="J4123">
        <f t="shared" si="576"/>
        <v>8</v>
      </c>
      <c r="K4123">
        <v>52</v>
      </c>
      <c r="L4123">
        <v>20</v>
      </c>
      <c r="M4123" s="2">
        <v>2.6</v>
      </c>
      <c r="N4123">
        <v>3.05</v>
      </c>
      <c r="O4123">
        <v>0</v>
      </c>
      <c r="P4123">
        <v>1</v>
      </c>
      <c r="Q4123" t="s">
        <v>558</v>
      </c>
      <c r="R4123" s="8" t="s">
        <v>260</v>
      </c>
      <c r="S4123" t="str">
        <f t="shared" si="574"/>
        <v>PA</v>
      </c>
    </row>
    <row r="4124" spans="1:19" x14ac:dyDescent="0.3">
      <c r="A4124" t="s">
        <v>8</v>
      </c>
      <c r="B4124">
        <v>2016210030</v>
      </c>
      <c r="C4124" t="s">
        <v>53</v>
      </c>
      <c r="E4124" t="s">
        <v>369</v>
      </c>
      <c r="F4124" t="s">
        <v>307</v>
      </c>
      <c r="G4124">
        <v>2</v>
      </c>
      <c r="H4124" t="s">
        <v>260</v>
      </c>
      <c r="I4124" s="4">
        <f t="shared" si="575"/>
        <v>4</v>
      </c>
      <c r="J4124">
        <f t="shared" si="576"/>
        <v>8</v>
      </c>
      <c r="K4124">
        <v>48</v>
      </c>
      <c r="L4124">
        <v>16</v>
      </c>
      <c r="M4124" s="2">
        <v>3</v>
      </c>
      <c r="N4124">
        <v>3.05</v>
      </c>
      <c r="O4124">
        <v>0</v>
      </c>
      <c r="P4124">
        <v>6</v>
      </c>
      <c r="Q4124" t="s">
        <v>567</v>
      </c>
      <c r="R4124" s="8" t="s">
        <v>260</v>
      </c>
      <c r="S4124" t="str">
        <f t="shared" si="574"/>
        <v>PA</v>
      </c>
    </row>
    <row r="4125" spans="1:19" x14ac:dyDescent="0.3">
      <c r="A4125" t="s">
        <v>8</v>
      </c>
      <c r="B4125">
        <v>2016210030</v>
      </c>
      <c r="C4125" t="s">
        <v>53</v>
      </c>
      <c r="E4125" t="s">
        <v>352</v>
      </c>
      <c r="F4125" t="s">
        <v>353</v>
      </c>
      <c r="G4125">
        <v>2</v>
      </c>
      <c r="H4125" t="s">
        <v>260</v>
      </c>
      <c r="I4125" s="4">
        <f t="shared" si="575"/>
        <v>4</v>
      </c>
      <c r="J4125">
        <f t="shared" si="576"/>
        <v>8</v>
      </c>
      <c r="K4125">
        <v>34</v>
      </c>
      <c r="L4125">
        <v>14</v>
      </c>
      <c r="M4125" s="2">
        <v>2.4300000000000002</v>
      </c>
      <c r="N4125">
        <v>3.05</v>
      </c>
      <c r="O4125">
        <v>0</v>
      </c>
      <c r="P4125">
        <v>7</v>
      </c>
      <c r="Q4125" t="s">
        <v>568</v>
      </c>
      <c r="R4125" s="8" t="s">
        <v>260</v>
      </c>
      <c r="S4125" t="str">
        <f t="shared" si="574"/>
        <v>PA</v>
      </c>
    </row>
    <row r="4126" spans="1:19" x14ac:dyDescent="0.3">
      <c r="A4126" t="s">
        <v>8</v>
      </c>
      <c r="B4126">
        <v>2016210030</v>
      </c>
      <c r="C4126" t="s">
        <v>53</v>
      </c>
      <c r="E4126" t="s">
        <v>362</v>
      </c>
      <c r="F4126" t="s">
        <v>363</v>
      </c>
      <c r="G4126">
        <v>2</v>
      </c>
      <c r="H4126" t="s">
        <v>260</v>
      </c>
      <c r="I4126" s="4">
        <f t="shared" si="575"/>
        <v>4</v>
      </c>
      <c r="J4126">
        <f t="shared" si="576"/>
        <v>8</v>
      </c>
      <c r="K4126">
        <v>30</v>
      </c>
      <c r="L4126">
        <v>10</v>
      </c>
      <c r="M4126" s="2">
        <v>3</v>
      </c>
      <c r="N4126">
        <v>3.05</v>
      </c>
      <c r="O4126">
        <v>0</v>
      </c>
      <c r="P4126">
        <v>5</v>
      </c>
      <c r="Q4126" t="s">
        <v>566</v>
      </c>
      <c r="R4126" s="8" t="s">
        <v>260</v>
      </c>
      <c r="S4126" t="str">
        <f t="shared" si="574"/>
        <v>PA</v>
      </c>
    </row>
    <row r="4127" spans="1:19" x14ac:dyDescent="0.3">
      <c r="A4127" t="s">
        <v>8</v>
      </c>
      <c r="B4127">
        <v>2016210030</v>
      </c>
      <c r="C4127" t="s">
        <v>53</v>
      </c>
      <c r="E4127" t="s">
        <v>22</v>
      </c>
      <c r="F4127" t="s">
        <v>23</v>
      </c>
      <c r="G4127">
        <v>2</v>
      </c>
      <c r="H4127" t="s">
        <v>260</v>
      </c>
      <c r="I4127" s="4">
        <f t="shared" si="575"/>
        <v>4</v>
      </c>
      <c r="J4127">
        <f t="shared" si="576"/>
        <v>8</v>
      </c>
      <c r="K4127">
        <v>40</v>
      </c>
      <c r="L4127">
        <v>14</v>
      </c>
      <c r="M4127" s="2">
        <v>2.86</v>
      </c>
      <c r="N4127">
        <v>3.05</v>
      </c>
      <c r="O4127">
        <v>0</v>
      </c>
      <c r="P4127">
        <v>2</v>
      </c>
      <c r="Q4127" t="s">
        <v>559</v>
      </c>
      <c r="R4127" s="8" t="s">
        <v>260</v>
      </c>
      <c r="S4127" t="str">
        <f t="shared" si="574"/>
        <v>PA</v>
      </c>
    </row>
    <row r="4128" spans="1:19" x14ac:dyDescent="0.3">
      <c r="A4128" t="s">
        <v>8</v>
      </c>
      <c r="B4128">
        <v>2016210030</v>
      </c>
      <c r="C4128" t="s">
        <v>53</v>
      </c>
      <c r="E4128" t="s">
        <v>395</v>
      </c>
      <c r="F4128" t="s">
        <v>396</v>
      </c>
      <c r="G4128">
        <v>2</v>
      </c>
      <c r="H4128" t="s">
        <v>260</v>
      </c>
      <c r="I4128" s="4">
        <f t="shared" si="575"/>
        <v>4</v>
      </c>
      <c r="J4128">
        <f t="shared" si="576"/>
        <v>8</v>
      </c>
      <c r="K4128">
        <v>52</v>
      </c>
      <c r="L4128">
        <v>20</v>
      </c>
      <c r="M4128" s="2">
        <v>2.6</v>
      </c>
      <c r="N4128">
        <v>3.05</v>
      </c>
      <c r="O4128">
        <v>0</v>
      </c>
      <c r="P4128">
        <v>1</v>
      </c>
      <c r="Q4128" t="s">
        <v>558</v>
      </c>
      <c r="R4128" s="8" t="s">
        <v>260</v>
      </c>
      <c r="S4128" t="str">
        <f t="shared" si="574"/>
        <v>PA</v>
      </c>
    </row>
    <row r="4129" spans="1:19" x14ac:dyDescent="0.3">
      <c r="A4129" t="s">
        <v>8</v>
      </c>
      <c r="B4129">
        <v>2016210030</v>
      </c>
      <c r="C4129" t="s">
        <v>53</v>
      </c>
      <c r="E4129" t="s">
        <v>163</v>
      </c>
      <c r="F4129" t="s">
        <v>164</v>
      </c>
      <c r="G4129">
        <v>2</v>
      </c>
      <c r="H4129" t="s">
        <v>438</v>
      </c>
      <c r="I4129" s="4">
        <f t="shared" si="575"/>
        <v>3</v>
      </c>
      <c r="J4129">
        <f t="shared" si="576"/>
        <v>6</v>
      </c>
      <c r="K4129">
        <v>52</v>
      </c>
      <c r="L4129">
        <v>20</v>
      </c>
      <c r="M4129" s="2">
        <v>2.6</v>
      </c>
      <c r="N4129">
        <v>3.05</v>
      </c>
      <c r="O4129">
        <v>0</v>
      </c>
      <c r="P4129">
        <v>1</v>
      </c>
      <c r="Q4129" t="s">
        <v>558</v>
      </c>
      <c r="R4129" s="8" t="s">
        <v>260</v>
      </c>
      <c r="S4129" t="str">
        <f t="shared" si="574"/>
        <v>PA</v>
      </c>
    </row>
    <row r="4130" spans="1:19" x14ac:dyDescent="0.3">
      <c r="A4130" t="s">
        <v>8</v>
      </c>
      <c r="B4130">
        <v>2016210030</v>
      </c>
      <c r="C4130" t="s">
        <v>53</v>
      </c>
      <c r="E4130" t="s">
        <v>295</v>
      </c>
      <c r="F4130" t="s">
        <v>296</v>
      </c>
      <c r="G4130">
        <v>2</v>
      </c>
      <c r="H4130" t="s">
        <v>438</v>
      </c>
      <c r="I4130" s="4">
        <f t="shared" si="575"/>
        <v>3</v>
      </c>
      <c r="J4130">
        <f t="shared" si="576"/>
        <v>6</v>
      </c>
      <c r="K4130">
        <v>34</v>
      </c>
      <c r="L4130">
        <v>14</v>
      </c>
      <c r="M4130" s="2">
        <v>2.4300000000000002</v>
      </c>
      <c r="N4130">
        <v>3.05</v>
      </c>
      <c r="O4130">
        <v>0</v>
      </c>
      <c r="P4130">
        <v>7</v>
      </c>
      <c r="Q4130" t="s">
        <v>568</v>
      </c>
      <c r="R4130" s="8" t="s">
        <v>260</v>
      </c>
      <c r="S4130" t="str">
        <f t="shared" si="574"/>
        <v>PA</v>
      </c>
    </row>
    <row r="4131" spans="1:19" x14ac:dyDescent="0.3">
      <c r="A4131" t="s">
        <v>8</v>
      </c>
      <c r="B4131">
        <v>2016210030</v>
      </c>
      <c r="C4131" t="s">
        <v>53</v>
      </c>
      <c r="E4131" t="s">
        <v>242</v>
      </c>
      <c r="F4131" t="s">
        <v>166</v>
      </c>
      <c r="G4131">
        <v>2</v>
      </c>
      <c r="H4131" t="s">
        <v>438</v>
      </c>
      <c r="I4131" s="4">
        <f t="shared" si="575"/>
        <v>3</v>
      </c>
      <c r="J4131">
        <f t="shared" si="576"/>
        <v>6</v>
      </c>
      <c r="K4131">
        <v>6</v>
      </c>
      <c r="L4131">
        <v>6</v>
      </c>
      <c r="M4131" s="2">
        <v>1</v>
      </c>
      <c r="N4131">
        <v>3.05</v>
      </c>
      <c r="O4131">
        <v>0</v>
      </c>
      <c r="P4131">
        <v>4</v>
      </c>
      <c r="Q4131" t="s">
        <v>565</v>
      </c>
      <c r="R4131" s="8" t="s">
        <v>260</v>
      </c>
      <c r="S4131" t="str">
        <f t="shared" si="574"/>
        <v>PA</v>
      </c>
    </row>
    <row r="4132" spans="1:19" x14ac:dyDescent="0.3">
      <c r="A4132" t="s">
        <v>8</v>
      </c>
      <c r="B4132">
        <v>2016210030</v>
      </c>
      <c r="C4132" t="s">
        <v>53</v>
      </c>
      <c r="E4132" t="s">
        <v>188</v>
      </c>
      <c r="F4132" t="s">
        <v>189</v>
      </c>
      <c r="G4132">
        <v>4</v>
      </c>
      <c r="H4132" t="s">
        <v>438</v>
      </c>
      <c r="I4132" s="4">
        <f t="shared" si="575"/>
        <v>3</v>
      </c>
      <c r="J4132">
        <f t="shared" si="576"/>
        <v>12</v>
      </c>
      <c r="K4132">
        <v>30</v>
      </c>
      <c r="L4132">
        <v>10</v>
      </c>
      <c r="M4132" s="2">
        <v>3</v>
      </c>
      <c r="N4132">
        <v>3.05</v>
      </c>
      <c r="O4132">
        <v>0</v>
      </c>
      <c r="P4132">
        <v>5</v>
      </c>
      <c r="Q4132" t="s">
        <v>566</v>
      </c>
      <c r="R4132" s="8" t="s">
        <v>260</v>
      </c>
      <c r="S4132" t="str">
        <f t="shared" si="574"/>
        <v>PA</v>
      </c>
    </row>
    <row r="4133" spans="1:19" x14ac:dyDescent="0.3">
      <c r="A4133" t="s">
        <v>8</v>
      </c>
      <c r="B4133">
        <v>2016210030</v>
      </c>
      <c r="C4133" t="s">
        <v>53</v>
      </c>
      <c r="E4133" t="s">
        <v>266</v>
      </c>
      <c r="F4133" t="s">
        <v>91</v>
      </c>
      <c r="G4133">
        <v>2</v>
      </c>
      <c r="H4133" t="s">
        <v>438</v>
      </c>
      <c r="I4133" s="4">
        <f t="shared" si="575"/>
        <v>3</v>
      </c>
      <c r="J4133">
        <f t="shared" si="576"/>
        <v>6</v>
      </c>
      <c r="K4133">
        <v>40</v>
      </c>
      <c r="L4133">
        <v>14</v>
      </c>
      <c r="M4133" s="2">
        <v>2.86</v>
      </c>
      <c r="N4133">
        <v>3.05</v>
      </c>
      <c r="O4133">
        <v>0</v>
      </c>
      <c r="P4133">
        <v>2</v>
      </c>
      <c r="Q4133" t="s">
        <v>559</v>
      </c>
      <c r="R4133" s="8" t="s">
        <v>260</v>
      </c>
      <c r="S4133" t="str">
        <f t="shared" si="574"/>
        <v>PA</v>
      </c>
    </row>
    <row r="4134" spans="1:19" x14ac:dyDescent="0.3">
      <c r="A4134" t="s">
        <v>8</v>
      </c>
      <c r="B4134">
        <v>2016210030</v>
      </c>
      <c r="C4134" t="s">
        <v>53</v>
      </c>
      <c r="E4134" t="s">
        <v>232</v>
      </c>
      <c r="F4134" t="s">
        <v>245</v>
      </c>
      <c r="G4134">
        <v>2</v>
      </c>
      <c r="H4134" t="s">
        <v>438</v>
      </c>
      <c r="I4134" s="4">
        <f t="shared" si="575"/>
        <v>3</v>
      </c>
      <c r="J4134">
        <f t="shared" si="576"/>
        <v>6</v>
      </c>
      <c r="K4134">
        <v>40</v>
      </c>
      <c r="L4134">
        <v>14</v>
      </c>
      <c r="M4134" s="2">
        <v>2.86</v>
      </c>
      <c r="N4134">
        <v>3.05</v>
      </c>
      <c r="O4134">
        <v>0</v>
      </c>
      <c r="P4134">
        <v>2</v>
      </c>
      <c r="Q4134" t="s">
        <v>559</v>
      </c>
      <c r="R4134" s="8" t="s">
        <v>260</v>
      </c>
      <c r="S4134" t="str">
        <f t="shared" si="574"/>
        <v>PA</v>
      </c>
    </row>
    <row r="4135" spans="1:19" x14ac:dyDescent="0.3">
      <c r="A4135" t="s">
        <v>8</v>
      </c>
      <c r="B4135">
        <v>2016210030</v>
      </c>
      <c r="C4135" t="s">
        <v>53</v>
      </c>
      <c r="E4135" t="s">
        <v>87</v>
      </c>
      <c r="F4135" t="s">
        <v>88</v>
      </c>
      <c r="G4135">
        <v>2</v>
      </c>
      <c r="H4135" t="s">
        <v>438</v>
      </c>
      <c r="I4135" s="4">
        <f t="shared" si="575"/>
        <v>3</v>
      </c>
      <c r="J4135">
        <f t="shared" si="576"/>
        <v>6</v>
      </c>
      <c r="K4135">
        <v>26</v>
      </c>
      <c r="L4135">
        <v>12</v>
      </c>
      <c r="M4135" s="2">
        <v>2.17</v>
      </c>
      <c r="N4135">
        <v>3.05</v>
      </c>
      <c r="O4135">
        <v>0</v>
      </c>
      <c r="P4135">
        <v>8</v>
      </c>
      <c r="Q4135" t="s">
        <v>569</v>
      </c>
      <c r="R4135" s="8" t="s">
        <v>260</v>
      </c>
      <c r="S4135" t="str">
        <f t="shared" si="574"/>
        <v>PA</v>
      </c>
    </row>
    <row r="4136" spans="1:19" x14ac:dyDescent="0.3">
      <c r="A4136" t="s">
        <v>8</v>
      </c>
      <c r="B4136">
        <v>2016210030</v>
      </c>
      <c r="C4136" t="s">
        <v>53</v>
      </c>
      <c r="E4136" t="s">
        <v>157</v>
      </c>
      <c r="F4136" t="s">
        <v>158</v>
      </c>
      <c r="G4136">
        <v>2</v>
      </c>
      <c r="H4136" t="s">
        <v>438</v>
      </c>
      <c r="I4136" s="4">
        <f t="shared" si="575"/>
        <v>3</v>
      </c>
      <c r="J4136">
        <f t="shared" si="576"/>
        <v>6</v>
      </c>
      <c r="K4136">
        <v>18</v>
      </c>
      <c r="L4136">
        <v>12</v>
      </c>
      <c r="M4136" s="2">
        <v>1.5</v>
      </c>
      <c r="N4136">
        <v>3.05</v>
      </c>
      <c r="O4136">
        <v>0</v>
      </c>
      <c r="P4136">
        <v>3</v>
      </c>
      <c r="Q4136" t="s">
        <v>563</v>
      </c>
      <c r="R4136" s="8" t="s">
        <v>260</v>
      </c>
      <c r="S4136" t="str">
        <f t="shared" si="574"/>
        <v>PA</v>
      </c>
    </row>
    <row r="4137" spans="1:19" x14ac:dyDescent="0.3">
      <c r="A4137" t="s">
        <v>8</v>
      </c>
      <c r="B4137">
        <v>2016210030</v>
      </c>
      <c r="C4137" t="s">
        <v>53</v>
      </c>
      <c r="E4137" t="s">
        <v>311</v>
      </c>
      <c r="F4137" t="s">
        <v>312</v>
      </c>
      <c r="G4137">
        <v>2</v>
      </c>
      <c r="H4137" t="s">
        <v>438</v>
      </c>
      <c r="I4137" s="4">
        <f t="shared" si="575"/>
        <v>3</v>
      </c>
      <c r="J4137">
        <f t="shared" si="576"/>
        <v>6</v>
      </c>
      <c r="K4137">
        <v>52</v>
      </c>
      <c r="L4137">
        <v>18</v>
      </c>
      <c r="M4137" s="2">
        <v>2.89</v>
      </c>
      <c r="N4137">
        <v>3.05</v>
      </c>
      <c r="O4137">
        <v>0</v>
      </c>
      <c r="P4137">
        <v>9</v>
      </c>
      <c r="Q4137" t="s">
        <v>570</v>
      </c>
      <c r="R4137" s="8" t="s">
        <v>260</v>
      </c>
      <c r="S4137" t="str">
        <f t="shared" si="574"/>
        <v>PA</v>
      </c>
    </row>
    <row r="4138" spans="1:19" x14ac:dyDescent="0.3">
      <c r="A4138" t="s">
        <v>8</v>
      </c>
      <c r="B4138">
        <v>2016210030</v>
      </c>
      <c r="C4138" t="s">
        <v>53</v>
      </c>
      <c r="E4138" t="s">
        <v>131</v>
      </c>
      <c r="F4138" t="s">
        <v>132</v>
      </c>
      <c r="G4138">
        <v>2</v>
      </c>
      <c r="H4138" t="s">
        <v>438</v>
      </c>
      <c r="I4138" s="4">
        <f t="shared" si="575"/>
        <v>3</v>
      </c>
      <c r="J4138">
        <f t="shared" si="576"/>
        <v>6</v>
      </c>
      <c r="K4138">
        <v>52</v>
      </c>
      <c r="L4138">
        <v>20</v>
      </c>
      <c r="M4138" s="2">
        <v>2.6</v>
      </c>
      <c r="N4138">
        <v>3.05</v>
      </c>
      <c r="O4138">
        <v>0</v>
      </c>
      <c r="P4138">
        <v>1</v>
      </c>
      <c r="Q4138" t="s">
        <v>558</v>
      </c>
      <c r="R4138" s="8" t="s">
        <v>260</v>
      </c>
      <c r="S4138" t="str">
        <f t="shared" si="574"/>
        <v>PA</v>
      </c>
    </row>
    <row r="4139" spans="1:19" x14ac:dyDescent="0.3">
      <c r="A4139" t="s">
        <v>8</v>
      </c>
      <c r="B4139">
        <v>2016210030</v>
      </c>
      <c r="C4139" t="s">
        <v>53</v>
      </c>
      <c r="E4139" t="s">
        <v>107</v>
      </c>
      <c r="F4139" t="s">
        <v>108</v>
      </c>
      <c r="G4139">
        <v>2</v>
      </c>
      <c r="H4139" t="s">
        <v>438</v>
      </c>
      <c r="I4139" s="4">
        <f t="shared" si="575"/>
        <v>3</v>
      </c>
      <c r="J4139">
        <f t="shared" si="576"/>
        <v>6</v>
      </c>
      <c r="K4139">
        <v>48</v>
      </c>
      <c r="L4139">
        <v>16</v>
      </c>
      <c r="M4139" s="2">
        <v>3</v>
      </c>
      <c r="N4139">
        <v>3.05</v>
      </c>
      <c r="O4139">
        <v>0</v>
      </c>
      <c r="P4139">
        <v>6</v>
      </c>
      <c r="Q4139" t="s">
        <v>567</v>
      </c>
      <c r="R4139" s="8" t="s">
        <v>260</v>
      </c>
      <c r="S4139" t="str">
        <f t="shared" si="574"/>
        <v>PA</v>
      </c>
    </row>
    <row r="4140" spans="1:19" x14ac:dyDescent="0.3">
      <c r="A4140" t="s">
        <v>8</v>
      </c>
      <c r="B4140">
        <v>2016210030</v>
      </c>
      <c r="C4140" t="s">
        <v>53</v>
      </c>
      <c r="E4140" t="s">
        <v>202</v>
      </c>
      <c r="F4140" t="s">
        <v>203</v>
      </c>
      <c r="G4140">
        <v>4</v>
      </c>
      <c r="H4140" t="s">
        <v>438</v>
      </c>
      <c r="I4140" s="4">
        <f t="shared" si="575"/>
        <v>3</v>
      </c>
      <c r="J4140">
        <f t="shared" si="576"/>
        <v>12</v>
      </c>
      <c r="K4140">
        <v>52</v>
      </c>
      <c r="L4140">
        <v>20</v>
      </c>
      <c r="M4140" s="2">
        <v>2.6</v>
      </c>
      <c r="N4140">
        <v>3.05</v>
      </c>
      <c r="O4140">
        <v>0</v>
      </c>
      <c r="P4140">
        <v>1</v>
      </c>
      <c r="Q4140" t="s">
        <v>558</v>
      </c>
      <c r="R4140" s="8" t="s">
        <v>260</v>
      </c>
      <c r="S4140" t="str">
        <f t="shared" si="574"/>
        <v>PA</v>
      </c>
    </row>
    <row r="4141" spans="1:19" x14ac:dyDescent="0.3">
      <c r="A4141" t="s">
        <v>8</v>
      </c>
      <c r="B4141">
        <v>2016210030</v>
      </c>
      <c r="C4141" t="s">
        <v>53</v>
      </c>
      <c r="E4141" t="s">
        <v>147</v>
      </c>
      <c r="F4141" t="s">
        <v>148</v>
      </c>
      <c r="G4141">
        <v>4</v>
      </c>
      <c r="H4141" t="s">
        <v>438</v>
      </c>
      <c r="I4141" s="4">
        <f t="shared" si="575"/>
        <v>3</v>
      </c>
      <c r="J4141">
        <f t="shared" si="576"/>
        <v>12</v>
      </c>
      <c r="K4141">
        <v>52</v>
      </c>
      <c r="L4141">
        <v>20</v>
      </c>
      <c r="M4141" s="2">
        <v>2.6</v>
      </c>
      <c r="N4141">
        <v>3.05</v>
      </c>
      <c r="O4141">
        <v>0</v>
      </c>
      <c r="P4141">
        <v>1</v>
      </c>
      <c r="Q4141" t="s">
        <v>558</v>
      </c>
      <c r="R4141" s="8" t="s">
        <v>260</v>
      </c>
      <c r="S4141" t="str">
        <f t="shared" si="574"/>
        <v>PA</v>
      </c>
    </row>
    <row r="4142" spans="1:19" x14ac:dyDescent="0.3">
      <c r="A4142" t="s">
        <v>8</v>
      </c>
      <c r="B4142">
        <v>2016210030</v>
      </c>
      <c r="C4142" t="s">
        <v>53</v>
      </c>
      <c r="E4142" t="s">
        <v>279</v>
      </c>
      <c r="F4142" t="s">
        <v>280</v>
      </c>
      <c r="G4142">
        <v>2</v>
      </c>
      <c r="H4142" t="s">
        <v>438</v>
      </c>
      <c r="I4142" s="4">
        <f t="shared" si="575"/>
        <v>3</v>
      </c>
      <c r="J4142">
        <f t="shared" si="576"/>
        <v>6</v>
      </c>
      <c r="K4142">
        <v>40</v>
      </c>
      <c r="L4142">
        <v>14</v>
      </c>
      <c r="M4142" s="2">
        <v>2.86</v>
      </c>
      <c r="N4142">
        <v>3.05</v>
      </c>
      <c r="O4142">
        <v>0</v>
      </c>
      <c r="P4142">
        <v>2</v>
      </c>
      <c r="Q4142" t="s">
        <v>559</v>
      </c>
      <c r="R4142" s="8" t="s">
        <v>260</v>
      </c>
      <c r="S4142" t="str">
        <f t="shared" si="574"/>
        <v>PA</v>
      </c>
    </row>
    <row r="4143" spans="1:19" x14ac:dyDescent="0.3">
      <c r="A4143" t="s">
        <v>8</v>
      </c>
      <c r="B4143">
        <v>2016210030</v>
      </c>
      <c r="C4143" t="s">
        <v>53</v>
      </c>
      <c r="E4143" t="s">
        <v>117</v>
      </c>
      <c r="F4143" t="s">
        <v>118</v>
      </c>
      <c r="G4143">
        <v>2</v>
      </c>
      <c r="H4143" t="s">
        <v>438</v>
      </c>
      <c r="I4143" s="4">
        <f t="shared" si="575"/>
        <v>3</v>
      </c>
      <c r="J4143">
        <f t="shared" si="576"/>
        <v>6</v>
      </c>
      <c r="K4143">
        <v>40</v>
      </c>
      <c r="L4143">
        <v>14</v>
      </c>
      <c r="M4143" s="2">
        <v>2.86</v>
      </c>
      <c r="N4143">
        <v>3.05</v>
      </c>
      <c r="O4143">
        <v>0</v>
      </c>
      <c r="P4143">
        <v>2</v>
      </c>
      <c r="Q4143" t="s">
        <v>559</v>
      </c>
      <c r="R4143" s="8" t="s">
        <v>260</v>
      </c>
      <c r="S4143" t="str">
        <f t="shared" si="574"/>
        <v>PA</v>
      </c>
    </row>
    <row r="4144" spans="1:19" x14ac:dyDescent="0.3">
      <c r="A4144" t="s">
        <v>8</v>
      </c>
      <c r="B4144">
        <v>2016210030</v>
      </c>
      <c r="C4144" t="s">
        <v>53</v>
      </c>
      <c r="E4144" t="s">
        <v>219</v>
      </c>
      <c r="F4144" t="s">
        <v>220</v>
      </c>
      <c r="G4144">
        <v>2</v>
      </c>
      <c r="H4144" t="s">
        <v>438</v>
      </c>
      <c r="I4144" s="4">
        <f t="shared" si="575"/>
        <v>3</v>
      </c>
      <c r="J4144">
        <f t="shared" si="576"/>
        <v>6</v>
      </c>
      <c r="K4144">
        <v>30</v>
      </c>
      <c r="L4144">
        <v>10</v>
      </c>
      <c r="M4144" s="2">
        <v>3</v>
      </c>
      <c r="N4144">
        <v>3.05</v>
      </c>
      <c r="O4144">
        <v>0</v>
      </c>
      <c r="P4144">
        <v>5</v>
      </c>
      <c r="Q4144" t="s">
        <v>566</v>
      </c>
      <c r="R4144" s="8" t="s">
        <v>260</v>
      </c>
      <c r="S4144" t="str">
        <f t="shared" si="574"/>
        <v>PA</v>
      </c>
    </row>
    <row r="4145" spans="1:19" x14ac:dyDescent="0.3">
      <c r="A4145" t="s">
        <v>8</v>
      </c>
      <c r="B4145">
        <v>2016210030</v>
      </c>
      <c r="C4145" t="s">
        <v>53</v>
      </c>
      <c r="E4145" t="s">
        <v>238</v>
      </c>
      <c r="F4145" t="s">
        <v>239</v>
      </c>
      <c r="G4145">
        <v>4</v>
      </c>
      <c r="H4145" t="s">
        <v>438</v>
      </c>
      <c r="I4145" s="4">
        <f t="shared" si="575"/>
        <v>3</v>
      </c>
      <c r="J4145">
        <f t="shared" si="576"/>
        <v>12</v>
      </c>
      <c r="K4145">
        <v>26</v>
      </c>
      <c r="L4145">
        <v>12</v>
      </c>
      <c r="M4145" s="2">
        <v>2.17</v>
      </c>
      <c r="N4145">
        <v>3.05</v>
      </c>
      <c r="O4145">
        <v>0</v>
      </c>
      <c r="P4145">
        <v>8</v>
      </c>
      <c r="Q4145" t="s">
        <v>569</v>
      </c>
      <c r="R4145" s="8" t="s">
        <v>260</v>
      </c>
      <c r="S4145" t="str">
        <f t="shared" si="574"/>
        <v>PA</v>
      </c>
    </row>
    <row r="4146" spans="1:19" x14ac:dyDescent="0.3">
      <c r="A4146" t="s">
        <v>8</v>
      </c>
      <c r="B4146">
        <v>2016210030</v>
      </c>
      <c r="C4146" t="s">
        <v>53</v>
      </c>
      <c r="E4146" t="s">
        <v>10</v>
      </c>
      <c r="F4146" t="s">
        <v>11</v>
      </c>
      <c r="G4146">
        <v>2</v>
      </c>
      <c r="H4146" t="s">
        <v>438</v>
      </c>
      <c r="I4146" s="4">
        <f t="shared" si="575"/>
        <v>3</v>
      </c>
      <c r="J4146">
        <f t="shared" si="576"/>
        <v>6</v>
      </c>
      <c r="K4146">
        <v>52</v>
      </c>
      <c r="L4146">
        <v>18</v>
      </c>
      <c r="M4146" s="2">
        <v>2.89</v>
      </c>
      <c r="N4146">
        <v>3.05</v>
      </c>
      <c r="O4146">
        <v>0</v>
      </c>
      <c r="P4146">
        <v>9</v>
      </c>
      <c r="Q4146" t="s">
        <v>570</v>
      </c>
      <c r="R4146" s="8" t="s">
        <v>260</v>
      </c>
      <c r="S4146" t="str">
        <f t="shared" si="574"/>
        <v>PA</v>
      </c>
    </row>
    <row r="4147" spans="1:19" x14ac:dyDescent="0.3">
      <c r="A4147" t="s">
        <v>8</v>
      </c>
      <c r="B4147">
        <v>2016210030</v>
      </c>
      <c r="C4147" t="s">
        <v>53</v>
      </c>
      <c r="E4147" t="s">
        <v>44</v>
      </c>
      <c r="F4147" t="s">
        <v>45</v>
      </c>
      <c r="G4147">
        <v>2</v>
      </c>
      <c r="H4147" t="s">
        <v>438</v>
      </c>
      <c r="I4147" s="4">
        <f t="shared" si="575"/>
        <v>3</v>
      </c>
      <c r="J4147">
        <f t="shared" si="576"/>
        <v>6</v>
      </c>
      <c r="K4147">
        <v>22</v>
      </c>
      <c r="L4147">
        <v>8</v>
      </c>
      <c r="M4147">
        <v>2.75</v>
      </c>
      <c r="N4147">
        <v>3.05</v>
      </c>
      <c r="O4147">
        <v>0</v>
      </c>
      <c r="P4147">
        <v>10</v>
      </c>
      <c r="Q4147" t="s">
        <v>560</v>
      </c>
      <c r="R4147" s="8" t="s">
        <v>260</v>
      </c>
      <c r="S4147" t="str">
        <f t="shared" si="574"/>
        <v>PA</v>
      </c>
    </row>
    <row r="4148" spans="1:19" x14ac:dyDescent="0.3">
      <c r="A4148" t="s">
        <v>8</v>
      </c>
      <c r="B4148">
        <v>2016210030</v>
      </c>
      <c r="C4148" t="s">
        <v>53</v>
      </c>
      <c r="E4148" t="s">
        <v>449</v>
      </c>
      <c r="F4148" t="s">
        <v>460</v>
      </c>
      <c r="G4148">
        <v>4</v>
      </c>
      <c r="H4148" t="s">
        <v>438</v>
      </c>
      <c r="I4148" s="4">
        <f t="shared" si="575"/>
        <v>3</v>
      </c>
      <c r="J4148">
        <f t="shared" si="576"/>
        <v>12</v>
      </c>
      <c r="K4148">
        <v>48</v>
      </c>
      <c r="L4148">
        <v>16</v>
      </c>
      <c r="M4148" s="2">
        <v>3</v>
      </c>
      <c r="N4148">
        <v>3.05</v>
      </c>
      <c r="O4148">
        <v>0</v>
      </c>
      <c r="P4148">
        <v>6</v>
      </c>
      <c r="Q4148" t="s">
        <v>567</v>
      </c>
      <c r="R4148" s="8" t="s">
        <v>260</v>
      </c>
      <c r="S4148" t="str">
        <f t="shared" si="574"/>
        <v>PA</v>
      </c>
    </row>
    <row r="4149" spans="1:19" x14ac:dyDescent="0.3">
      <c r="A4149" t="s">
        <v>8</v>
      </c>
      <c r="B4149">
        <v>2016210030</v>
      </c>
      <c r="C4149" t="s">
        <v>53</v>
      </c>
      <c r="E4149" t="s">
        <v>355</v>
      </c>
      <c r="F4149" t="s">
        <v>274</v>
      </c>
      <c r="G4149">
        <v>2</v>
      </c>
      <c r="H4149" t="s">
        <v>438</v>
      </c>
      <c r="I4149" s="4">
        <f t="shared" si="575"/>
        <v>3</v>
      </c>
      <c r="J4149">
        <f t="shared" si="576"/>
        <v>6</v>
      </c>
      <c r="K4149">
        <v>48</v>
      </c>
      <c r="L4149">
        <v>16</v>
      </c>
      <c r="M4149" s="2">
        <v>3</v>
      </c>
      <c r="N4149">
        <v>3.05</v>
      </c>
      <c r="O4149">
        <v>0</v>
      </c>
      <c r="P4149">
        <v>6</v>
      </c>
      <c r="Q4149" t="s">
        <v>567</v>
      </c>
      <c r="R4149" s="8" t="s">
        <v>260</v>
      </c>
      <c r="S4149" t="str">
        <f t="shared" si="574"/>
        <v>PA</v>
      </c>
    </row>
    <row r="4150" spans="1:19" x14ac:dyDescent="0.3">
      <c r="A4150" t="s">
        <v>8</v>
      </c>
      <c r="B4150">
        <v>2016210030</v>
      </c>
      <c r="C4150" t="s">
        <v>53</v>
      </c>
      <c r="E4150" t="s">
        <v>115</v>
      </c>
      <c r="F4150" t="s">
        <v>116</v>
      </c>
      <c r="G4150">
        <v>4</v>
      </c>
      <c r="H4150" t="s">
        <v>524</v>
      </c>
      <c r="I4150" s="4">
        <f t="shared" si="575"/>
        <v>2</v>
      </c>
      <c r="J4150">
        <f t="shared" si="576"/>
        <v>8</v>
      </c>
      <c r="K4150">
        <v>40</v>
      </c>
      <c r="L4150">
        <v>14</v>
      </c>
      <c r="M4150" s="2">
        <v>2.86</v>
      </c>
      <c r="N4150">
        <v>3.05</v>
      </c>
      <c r="O4150">
        <v>0</v>
      </c>
      <c r="P4150">
        <v>2</v>
      </c>
      <c r="Q4150" t="s">
        <v>559</v>
      </c>
      <c r="R4150" s="8" t="s">
        <v>260</v>
      </c>
      <c r="S4150" t="str">
        <f t="shared" si="574"/>
        <v>PA</v>
      </c>
    </row>
    <row r="4151" spans="1:19" x14ac:dyDescent="0.3">
      <c r="A4151" t="s">
        <v>8</v>
      </c>
      <c r="B4151">
        <v>2016210030</v>
      </c>
      <c r="C4151" t="s">
        <v>53</v>
      </c>
      <c r="E4151" t="s">
        <v>93</v>
      </c>
      <c r="F4151" t="s">
        <v>94</v>
      </c>
      <c r="G4151">
        <v>4</v>
      </c>
      <c r="H4151" t="s">
        <v>524</v>
      </c>
      <c r="I4151" s="4">
        <f t="shared" si="575"/>
        <v>2</v>
      </c>
      <c r="J4151">
        <f t="shared" si="576"/>
        <v>8</v>
      </c>
      <c r="K4151">
        <v>34</v>
      </c>
      <c r="L4151">
        <v>14</v>
      </c>
      <c r="M4151" s="2">
        <v>2.4300000000000002</v>
      </c>
      <c r="N4151">
        <v>3.05</v>
      </c>
      <c r="O4151">
        <v>0</v>
      </c>
      <c r="P4151">
        <v>7</v>
      </c>
      <c r="Q4151" t="s">
        <v>568</v>
      </c>
      <c r="R4151" s="8" t="s">
        <v>260</v>
      </c>
      <c r="S4151" t="str">
        <f t="shared" si="574"/>
        <v>PA</v>
      </c>
    </row>
    <row r="4152" spans="1:19" x14ac:dyDescent="0.3">
      <c r="A4152" t="s">
        <v>8</v>
      </c>
      <c r="B4152">
        <v>2016210030</v>
      </c>
      <c r="C4152" t="s">
        <v>53</v>
      </c>
      <c r="E4152" t="s">
        <v>391</v>
      </c>
      <c r="F4152" t="s">
        <v>392</v>
      </c>
      <c r="G4152">
        <v>2</v>
      </c>
      <c r="H4152" t="s">
        <v>524</v>
      </c>
      <c r="I4152" s="4">
        <f t="shared" si="575"/>
        <v>2</v>
      </c>
      <c r="J4152">
        <f t="shared" si="576"/>
        <v>4</v>
      </c>
      <c r="K4152">
        <v>30</v>
      </c>
      <c r="L4152">
        <v>10</v>
      </c>
      <c r="M4152" s="2">
        <v>3</v>
      </c>
      <c r="N4152">
        <v>3.05</v>
      </c>
      <c r="O4152">
        <v>0</v>
      </c>
      <c r="P4152">
        <v>5</v>
      </c>
      <c r="Q4152" t="s">
        <v>566</v>
      </c>
      <c r="R4152" s="8" t="s">
        <v>260</v>
      </c>
      <c r="S4152" t="str">
        <f t="shared" si="574"/>
        <v>PA</v>
      </c>
    </row>
    <row r="4153" spans="1:19" x14ac:dyDescent="0.3">
      <c r="A4153" t="s">
        <v>8</v>
      </c>
      <c r="B4153">
        <v>2016210030</v>
      </c>
      <c r="C4153" t="s">
        <v>53</v>
      </c>
      <c r="E4153" t="s">
        <v>391</v>
      </c>
      <c r="F4153" t="s">
        <v>392</v>
      </c>
      <c r="G4153">
        <v>2</v>
      </c>
      <c r="H4153" t="s">
        <v>524</v>
      </c>
      <c r="I4153" s="4">
        <f t="shared" si="575"/>
        <v>2</v>
      </c>
      <c r="J4153">
        <f t="shared" si="576"/>
        <v>4</v>
      </c>
      <c r="K4153">
        <v>8</v>
      </c>
      <c r="L4153">
        <v>4</v>
      </c>
      <c r="M4153" s="2">
        <v>2</v>
      </c>
      <c r="N4153">
        <v>3.05</v>
      </c>
      <c r="O4153">
        <v>1</v>
      </c>
      <c r="P4153">
        <v>11</v>
      </c>
      <c r="Q4153" t="s">
        <v>573</v>
      </c>
      <c r="R4153" s="8" t="s">
        <v>260</v>
      </c>
      <c r="S4153" t="str">
        <f t="shared" si="574"/>
        <v>PA</v>
      </c>
    </row>
    <row r="4154" spans="1:19" x14ac:dyDescent="0.3">
      <c r="A4154" t="s">
        <v>8</v>
      </c>
      <c r="B4154">
        <v>2016210030</v>
      </c>
      <c r="C4154" t="s">
        <v>53</v>
      </c>
      <c r="E4154" t="s">
        <v>105</v>
      </c>
      <c r="F4154" t="s">
        <v>106</v>
      </c>
      <c r="G4154">
        <v>2</v>
      </c>
      <c r="H4154" t="s">
        <v>524</v>
      </c>
      <c r="I4154" s="4">
        <f t="shared" si="575"/>
        <v>2</v>
      </c>
      <c r="J4154">
        <f t="shared" si="576"/>
        <v>4</v>
      </c>
      <c r="K4154">
        <v>18</v>
      </c>
      <c r="L4154">
        <v>12</v>
      </c>
      <c r="M4154" s="2">
        <v>1.5</v>
      </c>
      <c r="N4154">
        <v>3.05</v>
      </c>
      <c r="O4154">
        <v>0</v>
      </c>
      <c r="P4154">
        <v>3</v>
      </c>
      <c r="Q4154" t="s">
        <v>563</v>
      </c>
      <c r="R4154" s="8" t="s">
        <v>260</v>
      </c>
      <c r="S4154" t="str">
        <f t="shared" si="574"/>
        <v>PA</v>
      </c>
    </row>
    <row r="4155" spans="1:19" x14ac:dyDescent="0.3">
      <c r="A4155" t="s">
        <v>8</v>
      </c>
      <c r="B4155">
        <v>2016210030</v>
      </c>
      <c r="C4155" t="s">
        <v>53</v>
      </c>
      <c r="E4155" t="s">
        <v>136</v>
      </c>
      <c r="F4155" t="s">
        <v>137</v>
      </c>
      <c r="G4155">
        <v>4</v>
      </c>
      <c r="H4155" t="s">
        <v>524</v>
      </c>
      <c r="I4155" s="4">
        <f t="shared" si="575"/>
        <v>2</v>
      </c>
      <c r="J4155">
        <f t="shared" si="576"/>
        <v>8</v>
      </c>
      <c r="K4155">
        <v>48</v>
      </c>
      <c r="L4155">
        <v>16</v>
      </c>
      <c r="M4155" s="2">
        <v>3</v>
      </c>
      <c r="N4155">
        <v>3.05</v>
      </c>
      <c r="O4155">
        <v>0</v>
      </c>
      <c r="P4155">
        <v>6</v>
      </c>
      <c r="Q4155" t="s">
        <v>567</v>
      </c>
      <c r="R4155" s="8" t="s">
        <v>260</v>
      </c>
      <c r="S4155" t="str">
        <f t="shared" si="574"/>
        <v>PA</v>
      </c>
    </row>
    <row r="4156" spans="1:19" x14ac:dyDescent="0.3">
      <c r="A4156" t="s">
        <v>8</v>
      </c>
      <c r="B4156">
        <v>2016210030</v>
      </c>
      <c r="C4156" t="s">
        <v>53</v>
      </c>
      <c r="E4156" t="s">
        <v>176</v>
      </c>
      <c r="F4156" t="s">
        <v>177</v>
      </c>
      <c r="G4156">
        <v>4</v>
      </c>
      <c r="H4156" t="s">
        <v>524</v>
      </c>
      <c r="I4156" s="4">
        <f t="shared" si="575"/>
        <v>2</v>
      </c>
      <c r="J4156">
        <f t="shared" si="576"/>
        <v>8</v>
      </c>
      <c r="K4156">
        <v>18</v>
      </c>
      <c r="L4156">
        <v>12</v>
      </c>
      <c r="M4156" s="2">
        <v>1.5</v>
      </c>
      <c r="N4156">
        <v>3.05</v>
      </c>
      <c r="O4156">
        <v>0</v>
      </c>
      <c r="P4156">
        <v>3</v>
      </c>
      <c r="Q4156" t="s">
        <v>563</v>
      </c>
      <c r="R4156" s="8" t="s">
        <v>260</v>
      </c>
      <c r="S4156" t="str">
        <f t="shared" si="574"/>
        <v>PA</v>
      </c>
    </row>
    <row r="4157" spans="1:19" x14ac:dyDescent="0.3">
      <c r="A4157" t="s">
        <v>8</v>
      </c>
      <c r="B4157">
        <v>2016210030</v>
      </c>
      <c r="C4157" t="s">
        <v>53</v>
      </c>
      <c r="E4157" t="s">
        <v>176</v>
      </c>
      <c r="F4157" t="s">
        <v>177</v>
      </c>
      <c r="G4157">
        <v>4</v>
      </c>
      <c r="H4157" t="s">
        <v>260</v>
      </c>
      <c r="I4157" s="4">
        <f t="shared" si="575"/>
        <v>4</v>
      </c>
      <c r="J4157">
        <f t="shared" si="576"/>
        <v>16</v>
      </c>
      <c r="K4157">
        <v>98</v>
      </c>
      <c r="L4157">
        <v>26</v>
      </c>
      <c r="M4157" s="2">
        <v>3.77</v>
      </c>
      <c r="N4157">
        <v>3.05</v>
      </c>
      <c r="O4157">
        <v>1</v>
      </c>
      <c r="P4157">
        <v>10</v>
      </c>
      <c r="Q4157" s="4" t="s">
        <v>578</v>
      </c>
      <c r="R4157" s="8" t="s">
        <v>260</v>
      </c>
      <c r="S4157" t="str">
        <f t="shared" si="574"/>
        <v>PA</v>
      </c>
    </row>
    <row r="4158" spans="1:19" x14ac:dyDescent="0.3">
      <c r="A4158" t="s">
        <v>8</v>
      </c>
      <c r="B4158">
        <v>2016210030</v>
      </c>
      <c r="C4158" t="s">
        <v>53</v>
      </c>
      <c r="E4158" t="s">
        <v>119</v>
      </c>
      <c r="F4158" t="s">
        <v>120</v>
      </c>
      <c r="G4158">
        <v>2</v>
      </c>
      <c r="H4158" t="s">
        <v>524</v>
      </c>
      <c r="I4158" s="4">
        <f t="shared" si="575"/>
        <v>2</v>
      </c>
      <c r="J4158">
        <f t="shared" si="576"/>
        <v>4</v>
      </c>
      <c r="K4158">
        <v>38</v>
      </c>
      <c r="L4158">
        <v>14</v>
      </c>
      <c r="M4158" s="2">
        <v>2.71</v>
      </c>
      <c r="N4158">
        <v>3.05</v>
      </c>
      <c r="O4158">
        <v>0</v>
      </c>
      <c r="P4158">
        <v>12</v>
      </c>
      <c r="Q4158" t="s">
        <v>575</v>
      </c>
      <c r="R4158" t="s">
        <v>596</v>
      </c>
      <c r="S4158" t="str">
        <f t="shared" si="574"/>
        <v>PA</v>
      </c>
    </row>
    <row r="4159" spans="1:19" x14ac:dyDescent="0.3">
      <c r="A4159" t="s">
        <v>8</v>
      </c>
      <c r="B4159">
        <v>2016210030</v>
      </c>
      <c r="C4159" t="s">
        <v>53</v>
      </c>
      <c r="E4159" t="s">
        <v>227</v>
      </c>
      <c r="F4159" t="s">
        <v>228</v>
      </c>
      <c r="G4159">
        <v>2</v>
      </c>
      <c r="H4159" t="s">
        <v>524</v>
      </c>
      <c r="I4159" s="4">
        <f t="shared" si="575"/>
        <v>2</v>
      </c>
      <c r="J4159">
        <f t="shared" si="576"/>
        <v>4</v>
      </c>
      <c r="K4159">
        <v>34</v>
      </c>
      <c r="L4159">
        <v>14</v>
      </c>
      <c r="M4159" s="2">
        <v>2.4300000000000002</v>
      </c>
      <c r="N4159">
        <v>3.05</v>
      </c>
      <c r="O4159">
        <v>0</v>
      </c>
      <c r="P4159">
        <v>7</v>
      </c>
      <c r="Q4159" t="s">
        <v>568</v>
      </c>
      <c r="R4159" s="8" t="s">
        <v>260</v>
      </c>
      <c r="S4159" t="str">
        <f t="shared" si="574"/>
        <v>PA</v>
      </c>
    </row>
    <row r="4160" spans="1:19" x14ac:dyDescent="0.3">
      <c r="A4160" t="s">
        <v>8</v>
      </c>
      <c r="B4160">
        <v>2016210030</v>
      </c>
      <c r="C4160" t="s">
        <v>53</v>
      </c>
      <c r="E4160" t="s">
        <v>393</v>
      </c>
      <c r="F4160" t="s">
        <v>492</v>
      </c>
      <c r="G4160">
        <v>2</v>
      </c>
      <c r="H4160" t="s">
        <v>524</v>
      </c>
      <c r="I4160" s="4">
        <f t="shared" si="575"/>
        <v>2</v>
      </c>
      <c r="J4160">
        <f t="shared" si="576"/>
        <v>4</v>
      </c>
      <c r="K4160">
        <v>8</v>
      </c>
      <c r="L4160">
        <v>4</v>
      </c>
      <c r="M4160" s="2">
        <v>2</v>
      </c>
      <c r="N4160">
        <v>3.05</v>
      </c>
      <c r="O4160">
        <v>0</v>
      </c>
      <c r="P4160">
        <v>11</v>
      </c>
      <c r="Q4160" t="s">
        <v>573</v>
      </c>
      <c r="R4160" s="8" t="s">
        <v>260</v>
      </c>
      <c r="S4160" t="str">
        <f t="shared" si="574"/>
        <v>PA</v>
      </c>
    </row>
    <row r="4161" spans="1:19" x14ac:dyDescent="0.3">
      <c r="A4161" t="s">
        <v>8</v>
      </c>
      <c r="B4161">
        <v>2016210030</v>
      </c>
      <c r="C4161" t="s">
        <v>53</v>
      </c>
      <c r="E4161" t="s">
        <v>246</v>
      </c>
      <c r="F4161" t="s">
        <v>247</v>
      </c>
      <c r="G4161">
        <v>4</v>
      </c>
      <c r="H4161" t="s">
        <v>539</v>
      </c>
      <c r="I4161" s="4">
        <f t="shared" si="575"/>
        <v>0</v>
      </c>
      <c r="J4161">
        <f t="shared" si="576"/>
        <v>0</v>
      </c>
      <c r="K4161">
        <v>6</v>
      </c>
      <c r="L4161">
        <v>6</v>
      </c>
      <c r="M4161" s="2">
        <v>1</v>
      </c>
      <c r="N4161">
        <v>3.05</v>
      </c>
      <c r="O4161">
        <v>0</v>
      </c>
      <c r="P4161">
        <v>4</v>
      </c>
      <c r="Q4161" t="s">
        <v>565</v>
      </c>
      <c r="R4161" s="8" t="s">
        <v>260</v>
      </c>
      <c r="S4161" t="str">
        <f t="shared" si="574"/>
        <v>FA</v>
      </c>
    </row>
    <row r="4162" spans="1:19" x14ac:dyDescent="0.3">
      <c r="A4162" t="s">
        <v>8</v>
      </c>
      <c r="B4162">
        <v>2016210030</v>
      </c>
      <c r="C4162" t="s">
        <v>53</v>
      </c>
      <c r="E4162" t="s">
        <v>250</v>
      </c>
      <c r="F4162" t="s">
        <v>429</v>
      </c>
      <c r="G4162">
        <v>2</v>
      </c>
      <c r="H4162" t="s">
        <v>539</v>
      </c>
      <c r="I4162" s="4">
        <f t="shared" si="575"/>
        <v>0</v>
      </c>
      <c r="J4162">
        <f t="shared" si="576"/>
        <v>0</v>
      </c>
      <c r="K4162">
        <v>26</v>
      </c>
      <c r="L4162">
        <v>12</v>
      </c>
      <c r="M4162" s="2">
        <v>2.17</v>
      </c>
      <c r="N4162">
        <v>3.05</v>
      </c>
      <c r="O4162">
        <v>0</v>
      </c>
      <c r="P4162">
        <v>8</v>
      </c>
      <c r="Q4162" t="s">
        <v>569</v>
      </c>
      <c r="R4162" s="8" t="s">
        <v>260</v>
      </c>
      <c r="S4162" t="str">
        <f t="shared" si="574"/>
        <v>FA</v>
      </c>
    </row>
    <row r="4163" spans="1:19" x14ac:dyDescent="0.3">
      <c r="A4163" t="s">
        <v>8</v>
      </c>
      <c r="B4163">
        <v>2016210030</v>
      </c>
      <c r="C4163" t="s">
        <v>53</v>
      </c>
      <c r="E4163" t="s">
        <v>401</v>
      </c>
      <c r="F4163" t="s">
        <v>258</v>
      </c>
      <c r="G4163">
        <v>4</v>
      </c>
      <c r="H4163" t="s">
        <v>539</v>
      </c>
      <c r="I4163" s="4">
        <f t="shared" si="575"/>
        <v>0</v>
      </c>
      <c r="J4163">
        <f t="shared" si="576"/>
        <v>0</v>
      </c>
      <c r="K4163">
        <v>18</v>
      </c>
      <c r="L4163">
        <v>12</v>
      </c>
      <c r="M4163" s="2">
        <v>1.5</v>
      </c>
      <c r="N4163">
        <v>3.05</v>
      </c>
      <c r="O4163">
        <v>0</v>
      </c>
      <c r="P4163">
        <v>3</v>
      </c>
      <c r="Q4163" t="s">
        <v>563</v>
      </c>
      <c r="R4163" s="8" t="s">
        <v>260</v>
      </c>
      <c r="S4163" t="str">
        <f t="shared" si="574"/>
        <v>FA</v>
      </c>
    </row>
    <row r="4164" spans="1:19" x14ac:dyDescent="0.3">
      <c r="A4164" t="s">
        <v>8</v>
      </c>
      <c r="B4164">
        <v>2016210030</v>
      </c>
      <c r="C4164" t="s">
        <v>53</v>
      </c>
      <c r="E4164" t="s">
        <v>110</v>
      </c>
      <c r="F4164" t="s">
        <v>111</v>
      </c>
      <c r="G4164">
        <v>4</v>
      </c>
      <c r="H4164" t="s">
        <v>539</v>
      </c>
      <c r="I4164" s="4">
        <f t="shared" si="575"/>
        <v>0</v>
      </c>
      <c r="J4164">
        <f t="shared" si="576"/>
        <v>0</v>
      </c>
      <c r="K4164">
        <v>52</v>
      </c>
      <c r="L4164">
        <v>20</v>
      </c>
      <c r="M4164" s="2">
        <v>2.6</v>
      </c>
      <c r="N4164">
        <v>3.05</v>
      </c>
      <c r="O4164">
        <v>0</v>
      </c>
      <c r="P4164">
        <v>1</v>
      </c>
      <c r="Q4164" t="s">
        <v>558</v>
      </c>
      <c r="R4164" s="8" t="s">
        <v>260</v>
      </c>
      <c r="S4164" t="str">
        <f t="shared" si="574"/>
        <v>FA</v>
      </c>
    </row>
    <row r="4165" spans="1:19" x14ac:dyDescent="0.3">
      <c r="A4165" t="s">
        <v>8</v>
      </c>
      <c r="B4165">
        <v>2016210030</v>
      </c>
      <c r="C4165" t="s">
        <v>53</v>
      </c>
      <c r="E4165" t="s">
        <v>246</v>
      </c>
      <c r="F4165" t="s">
        <v>247</v>
      </c>
      <c r="G4165">
        <v>4</v>
      </c>
      <c r="H4165" t="s">
        <v>260</v>
      </c>
      <c r="I4165" s="4">
        <f t="shared" si="575"/>
        <v>4</v>
      </c>
      <c r="J4165">
        <f t="shared" si="576"/>
        <v>16</v>
      </c>
      <c r="K4165">
        <v>98</v>
      </c>
      <c r="L4165">
        <v>26</v>
      </c>
      <c r="M4165" s="2">
        <v>3.77</v>
      </c>
      <c r="N4165">
        <v>3.05</v>
      </c>
      <c r="O4165">
        <v>1</v>
      </c>
      <c r="P4165">
        <v>10</v>
      </c>
      <c r="Q4165" s="4" t="s">
        <v>578</v>
      </c>
      <c r="R4165" s="8" t="s">
        <v>260</v>
      </c>
      <c r="S4165" t="str">
        <f t="shared" si="574"/>
        <v>PA</v>
      </c>
    </row>
    <row r="4166" spans="1:19" x14ac:dyDescent="0.3">
      <c r="A4166" t="s">
        <v>8</v>
      </c>
      <c r="B4166">
        <v>2016210030</v>
      </c>
      <c r="C4166" t="s">
        <v>53</v>
      </c>
      <c r="E4166" t="s">
        <v>250</v>
      </c>
      <c r="F4166" t="s">
        <v>429</v>
      </c>
      <c r="G4166">
        <v>2</v>
      </c>
      <c r="H4166" t="s">
        <v>438</v>
      </c>
      <c r="I4166" s="4">
        <f t="shared" si="575"/>
        <v>3</v>
      </c>
      <c r="J4166">
        <f t="shared" si="576"/>
        <v>6</v>
      </c>
      <c r="K4166">
        <v>98</v>
      </c>
      <c r="L4166">
        <v>26</v>
      </c>
      <c r="M4166" s="2">
        <v>3.77</v>
      </c>
      <c r="N4166">
        <v>3.05</v>
      </c>
      <c r="O4166">
        <v>1</v>
      </c>
      <c r="P4166">
        <v>10</v>
      </c>
      <c r="Q4166" s="4" t="s">
        <v>578</v>
      </c>
      <c r="R4166" s="8" t="s">
        <v>260</v>
      </c>
      <c r="S4166" t="str">
        <f t="shared" si="574"/>
        <v>PA</v>
      </c>
    </row>
    <row r="4167" spans="1:19" x14ac:dyDescent="0.3">
      <c r="A4167" t="s">
        <v>8</v>
      </c>
      <c r="B4167">
        <v>2016210030</v>
      </c>
      <c r="C4167" t="s">
        <v>53</v>
      </c>
      <c r="E4167" t="s">
        <v>401</v>
      </c>
      <c r="F4167" t="s">
        <v>258</v>
      </c>
      <c r="G4167">
        <v>4</v>
      </c>
      <c r="H4167" t="s">
        <v>260</v>
      </c>
      <c r="I4167" s="4">
        <f t="shared" si="575"/>
        <v>4</v>
      </c>
      <c r="J4167">
        <f t="shared" si="576"/>
        <v>16</v>
      </c>
      <c r="K4167">
        <v>98</v>
      </c>
      <c r="L4167">
        <v>26</v>
      </c>
      <c r="M4167" s="2">
        <v>3.77</v>
      </c>
      <c r="N4167">
        <v>3.05</v>
      </c>
      <c r="O4167">
        <v>1</v>
      </c>
      <c r="P4167">
        <v>10</v>
      </c>
      <c r="Q4167" s="4" t="s">
        <v>578</v>
      </c>
      <c r="R4167" s="8" t="s">
        <v>260</v>
      </c>
      <c r="S4167" t="str">
        <f t="shared" si="574"/>
        <v>PA</v>
      </c>
    </row>
    <row r="4168" spans="1:19" x14ac:dyDescent="0.3">
      <c r="A4168" t="s">
        <v>8</v>
      </c>
      <c r="B4168">
        <v>2016210030</v>
      </c>
      <c r="C4168" t="s">
        <v>53</v>
      </c>
      <c r="E4168" t="s">
        <v>110</v>
      </c>
      <c r="F4168" t="s">
        <v>111</v>
      </c>
      <c r="G4168">
        <v>4</v>
      </c>
      <c r="H4168" t="s">
        <v>438</v>
      </c>
      <c r="I4168" s="4">
        <f t="shared" si="575"/>
        <v>3</v>
      </c>
      <c r="J4168">
        <f t="shared" si="576"/>
        <v>12</v>
      </c>
      <c r="K4168">
        <v>98</v>
      </c>
      <c r="L4168">
        <v>26</v>
      </c>
      <c r="M4168" s="2">
        <v>3.77</v>
      </c>
      <c r="N4168">
        <v>3.05</v>
      </c>
      <c r="O4168">
        <v>1</v>
      </c>
      <c r="P4168">
        <v>10</v>
      </c>
      <c r="Q4168" s="4" t="s">
        <v>578</v>
      </c>
      <c r="R4168" s="8" t="s">
        <v>260</v>
      </c>
      <c r="S4168" t="str">
        <f t="shared" si="574"/>
        <v>PA</v>
      </c>
    </row>
    <row r="4169" spans="1:19" x14ac:dyDescent="0.3">
      <c r="A4169" t="s">
        <v>8</v>
      </c>
      <c r="B4169">
        <v>2016210031</v>
      </c>
      <c r="C4169" t="s">
        <v>468</v>
      </c>
      <c r="E4169" t="s">
        <v>147</v>
      </c>
      <c r="F4169" t="s">
        <v>148</v>
      </c>
      <c r="G4169">
        <v>4</v>
      </c>
      <c r="H4169" t="s">
        <v>438</v>
      </c>
      <c r="I4169" s="4">
        <f t="shared" si="575"/>
        <v>3</v>
      </c>
      <c r="J4169">
        <f t="shared" si="576"/>
        <v>12</v>
      </c>
      <c r="K4169">
        <v>18</v>
      </c>
      <c r="L4169">
        <v>20</v>
      </c>
      <c r="M4169" s="2">
        <v>0.9</v>
      </c>
      <c r="N4169" s="2">
        <v>0.9</v>
      </c>
      <c r="O4169">
        <v>0</v>
      </c>
      <c r="P4169">
        <v>1</v>
      </c>
      <c r="Q4169" s="4" t="str">
        <f>IF(P4169=1,"2016/2017-Ganjil",IF(P4169=2,"2016/2017-Genap",IF(P4169=3,"2017/2018-Ganjil",IF(P4169=4,"2017/2018-Genap",IF(P4169=5,"2018/2019-Ganjil",IF(P4169=6,"2018/2019-Genap",IF(P4169=7,"2019/2020-Ganjil",IF(P4169=8,"2019/2020-Genap",IF(P4169=9,"2020/2021-Ganjil",IF(P4169=10,"2020/2021-Genap",IF(P4169=11,"2021/2022-Ganjil",IF(P4169=12,"2021/2022-Genap",IF(P4169=13,"2022/2023-Ganjil","2022/2023-Genap")))))))))))))</f>
        <v>2016/2017-Ganjil</v>
      </c>
      <c r="R4169" s="8" t="s">
        <v>535</v>
      </c>
      <c r="S4169" t="str">
        <f t="shared" si="574"/>
        <v>PA</v>
      </c>
    </row>
    <row r="4170" spans="1:19" x14ac:dyDescent="0.3">
      <c r="A4170" t="s">
        <v>8</v>
      </c>
      <c r="B4170">
        <v>2016210031</v>
      </c>
      <c r="C4170" t="s">
        <v>468</v>
      </c>
      <c r="E4170" t="s">
        <v>131</v>
      </c>
      <c r="F4170" t="s">
        <v>132</v>
      </c>
      <c r="G4170">
        <v>2</v>
      </c>
      <c r="H4170" t="s">
        <v>438</v>
      </c>
      <c r="I4170" s="4">
        <f t="shared" si="575"/>
        <v>3</v>
      </c>
      <c r="J4170">
        <f t="shared" si="576"/>
        <v>6</v>
      </c>
      <c r="K4170">
        <v>18</v>
      </c>
      <c r="L4170">
        <v>20</v>
      </c>
      <c r="M4170" s="2">
        <v>0.9</v>
      </c>
      <c r="N4170" s="2">
        <v>0.9</v>
      </c>
      <c r="O4170">
        <v>0</v>
      </c>
      <c r="P4170">
        <v>1</v>
      </c>
      <c r="Q4170" s="4" t="str">
        <f t="shared" ref="Q4170:Q4175" si="577">IF(P4170=1,"2016/2017-Ganjil",IF(P4170=2,"2016/2017-Genap",IF(P4170=3,"2017/2018-Ganjil",IF(P4170=4,"2017/2018-Genap",IF(P4170=5,"2018/2019-Ganjil",IF(P4170=6,"2018/2019-Genap",IF(P4170=7,"2019/2020-Ganjil",IF(P4170=8,"2019/2020-Genap",IF(P4170=9,"2020/2021-Ganjil",IF(P4170=10,"2020/2021-Genap",IF(P4170=11,"2021/2022-Ganjil",IF(P4170=12,"2021/2022-Genap",IF(P4170=13,"2022/2023-Ganjil","2022/2023-Genap")))))))))))))</f>
        <v>2016/2017-Ganjil</v>
      </c>
      <c r="R4170" s="8" t="s">
        <v>535</v>
      </c>
      <c r="S4170" t="str">
        <f t="shared" si="574"/>
        <v>PA</v>
      </c>
    </row>
    <row r="4171" spans="1:19" x14ac:dyDescent="0.3">
      <c r="A4171" t="s">
        <v>8</v>
      </c>
      <c r="B4171">
        <v>2016210031</v>
      </c>
      <c r="C4171" t="s">
        <v>468</v>
      </c>
      <c r="E4171" t="s">
        <v>395</v>
      </c>
      <c r="F4171" t="s">
        <v>396</v>
      </c>
      <c r="G4171">
        <v>2</v>
      </c>
      <c r="H4171" t="s">
        <v>539</v>
      </c>
      <c r="I4171" s="4">
        <f t="shared" si="575"/>
        <v>0</v>
      </c>
      <c r="J4171">
        <f t="shared" si="576"/>
        <v>0</v>
      </c>
      <c r="K4171">
        <v>18</v>
      </c>
      <c r="L4171">
        <v>20</v>
      </c>
      <c r="M4171" s="2">
        <v>0.9</v>
      </c>
      <c r="N4171" s="2">
        <v>0.9</v>
      </c>
      <c r="O4171">
        <v>0</v>
      </c>
      <c r="P4171">
        <v>1</v>
      </c>
      <c r="Q4171" s="4" t="str">
        <f t="shared" si="577"/>
        <v>2016/2017-Ganjil</v>
      </c>
      <c r="R4171" s="8" t="s">
        <v>535</v>
      </c>
      <c r="S4171" t="str">
        <f t="shared" si="574"/>
        <v>FA</v>
      </c>
    </row>
    <row r="4172" spans="1:19" x14ac:dyDescent="0.3">
      <c r="A4172" t="s">
        <v>8</v>
      </c>
      <c r="B4172">
        <v>2016210031</v>
      </c>
      <c r="C4172" t="s">
        <v>468</v>
      </c>
      <c r="E4172" t="s">
        <v>163</v>
      </c>
      <c r="F4172" t="s">
        <v>164</v>
      </c>
      <c r="G4172">
        <v>2</v>
      </c>
      <c r="H4172" t="s">
        <v>539</v>
      </c>
      <c r="I4172" s="4">
        <f t="shared" si="575"/>
        <v>0</v>
      </c>
      <c r="J4172">
        <f t="shared" si="576"/>
        <v>0</v>
      </c>
      <c r="K4172">
        <v>18</v>
      </c>
      <c r="L4172">
        <v>20</v>
      </c>
      <c r="M4172" s="2">
        <v>0.9</v>
      </c>
      <c r="N4172" s="2">
        <v>0.9</v>
      </c>
      <c r="O4172">
        <v>0</v>
      </c>
      <c r="P4172">
        <v>1</v>
      </c>
      <c r="Q4172" s="4" t="str">
        <f t="shared" si="577"/>
        <v>2016/2017-Ganjil</v>
      </c>
      <c r="R4172" s="8" t="s">
        <v>535</v>
      </c>
      <c r="S4172" t="str">
        <f t="shared" si="574"/>
        <v>FA</v>
      </c>
    </row>
    <row r="4173" spans="1:19" x14ac:dyDescent="0.3">
      <c r="A4173" t="s">
        <v>8</v>
      </c>
      <c r="B4173">
        <v>2016210031</v>
      </c>
      <c r="C4173" t="s">
        <v>468</v>
      </c>
      <c r="E4173" t="s">
        <v>77</v>
      </c>
      <c r="F4173" t="s">
        <v>78</v>
      </c>
      <c r="G4173">
        <v>2</v>
      </c>
      <c r="H4173" t="s">
        <v>539</v>
      </c>
      <c r="I4173" s="4">
        <f t="shared" si="575"/>
        <v>0</v>
      </c>
      <c r="J4173">
        <f t="shared" si="576"/>
        <v>0</v>
      </c>
      <c r="K4173">
        <v>18</v>
      </c>
      <c r="L4173">
        <v>20</v>
      </c>
      <c r="M4173" s="2">
        <v>0.9</v>
      </c>
      <c r="N4173" s="2">
        <v>0.9</v>
      </c>
      <c r="O4173">
        <v>0</v>
      </c>
      <c r="P4173">
        <v>1</v>
      </c>
      <c r="Q4173" s="4" t="str">
        <f t="shared" si="577"/>
        <v>2016/2017-Ganjil</v>
      </c>
      <c r="R4173" s="8" t="s">
        <v>535</v>
      </c>
      <c r="S4173" t="str">
        <f t="shared" si="574"/>
        <v>FA</v>
      </c>
    </row>
    <row r="4174" spans="1:19" x14ac:dyDescent="0.3">
      <c r="A4174" t="s">
        <v>8</v>
      </c>
      <c r="B4174">
        <v>2016210031</v>
      </c>
      <c r="C4174" t="s">
        <v>468</v>
      </c>
      <c r="E4174" t="s">
        <v>202</v>
      </c>
      <c r="F4174" t="s">
        <v>203</v>
      </c>
      <c r="G4174">
        <v>4</v>
      </c>
      <c r="H4174" t="s">
        <v>539</v>
      </c>
      <c r="I4174" s="4">
        <f t="shared" si="575"/>
        <v>0</v>
      </c>
      <c r="J4174">
        <f t="shared" si="576"/>
        <v>0</v>
      </c>
      <c r="K4174">
        <v>18</v>
      </c>
      <c r="L4174">
        <v>20</v>
      </c>
      <c r="M4174" s="2">
        <v>0.9</v>
      </c>
      <c r="N4174" s="2">
        <v>0.9</v>
      </c>
      <c r="O4174">
        <v>0</v>
      </c>
      <c r="P4174">
        <v>1</v>
      </c>
      <c r="Q4174" s="4" t="str">
        <f t="shared" si="577"/>
        <v>2016/2017-Ganjil</v>
      </c>
      <c r="R4174" s="8" t="s">
        <v>535</v>
      </c>
      <c r="S4174" t="str">
        <f t="shared" si="574"/>
        <v>FA</v>
      </c>
    </row>
    <row r="4175" spans="1:19" x14ac:dyDescent="0.3">
      <c r="A4175" t="s">
        <v>8</v>
      </c>
      <c r="B4175">
        <v>2016210031</v>
      </c>
      <c r="C4175" t="s">
        <v>468</v>
      </c>
      <c r="E4175" t="s">
        <v>110</v>
      </c>
      <c r="F4175" t="s">
        <v>111</v>
      </c>
      <c r="G4175">
        <v>4</v>
      </c>
      <c r="H4175" t="s">
        <v>539</v>
      </c>
      <c r="I4175" s="4">
        <f t="shared" si="575"/>
        <v>0</v>
      </c>
      <c r="J4175">
        <f t="shared" si="576"/>
        <v>0</v>
      </c>
      <c r="K4175">
        <v>18</v>
      </c>
      <c r="L4175">
        <v>20</v>
      </c>
      <c r="M4175" s="2">
        <v>0.9</v>
      </c>
      <c r="N4175" s="2">
        <v>0.9</v>
      </c>
      <c r="O4175">
        <v>0</v>
      </c>
      <c r="P4175">
        <v>1</v>
      </c>
      <c r="Q4175" s="4" t="str">
        <f t="shared" si="577"/>
        <v>2016/2017-Ganjil</v>
      </c>
      <c r="R4175" s="8" t="s">
        <v>535</v>
      </c>
      <c r="S4175" t="str">
        <f t="shared" si="574"/>
        <v>FA</v>
      </c>
    </row>
    <row r="4176" spans="1:19" x14ac:dyDescent="0.3">
      <c r="A4176" t="s">
        <v>8</v>
      </c>
      <c r="B4176">
        <v>2016210032</v>
      </c>
      <c r="C4176" t="s">
        <v>28</v>
      </c>
      <c r="E4176" t="s">
        <v>10</v>
      </c>
      <c r="F4176" t="s">
        <v>11</v>
      </c>
      <c r="G4176">
        <v>2</v>
      </c>
      <c r="H4176" t="s">
        <v>524</v>
      </c>
      <c r="I4176" s="4">
        <f t="shared" si="575"/>
        <v>2</v>
      </c>
      <c r="J4176">
        <f t="shared" si="576"/>
        <v>4</v>
      </c>
      <c r="K4176">
        <v>20</v>
      </c>
      <c r="L4176">
        <v>10</v>
      </c>
      <c r="M4176" s="2">
        <v>2</v>
      </c>
      <c r="N4176">
        <v>2.92</v>
      </c>
      <c r="O4176">
        <v>0</v>
      </c>
      <c r="P4176">
        <v>8</v>
      </c>
      <c r="Q4176" t="s">
        <v>569</v>
      </c>
      <c r="R4176" s="8" t="s">
        <v>260</v>
      </c>
      <c r="S4176" t="str">
        <f t="shared" si="574"/>
        <v>PA</v>
      </c>
    </row>
    <row r="4177" spans="1:19" x14ac:dyDescent="0.3">
      <c r="A4177" t="s">
        <v>8</v>
      </c>
      <c r="B4177">
        <v>2016210032</v>
      </c>
      <c r="C4177" t="s">
        <v>28</v>
      </c>
      <c r="E4177" t="s">
        <v>10</v>
      </c>
      <c r="F4177" t="s">
        <v>11</v>
      </c>
      <c r="G4177">
        <v>2</v>
      </c>
      <c r="I4177" s="4"/>
      <c r="J4177">
        <f t="shared" ref="J4177:J4184" si="578">G4177*I4177</f>
        <v>0</v>
      </c>
      <c r="K4177">
        <v>36</v>
      </c>
      <c r="L4177">
        <v>10</v>
      </c>
      <c r="M4177" s="2">
        <v>3.6</v>
      </c>
      <c r="N4177">
        <v>2.92</v>
      </c>
      <c r="O4177">
        <v>0</v>
      </c>
      <c r="P4177">
        <v>7</v>
      </c>
      <c r="Q4177" t="s">
        <v>568</v>
      </c>
      <c r="R4177" s="8" t="s">
        <v>260</v>
      </c>
      <c r="S4177" t="s">
        <v>595</v>
      </c>
    </row>
    <row r="4178" spans="1:19" x14ac:dyDescent="0.3">
      <c r="A4178" t="s">
        <v>8</v>
      </c>
      <c r="B4178">
        <v>2016210032</v>
      </c>
      <c r="C4178" t="s">
        <v>28</v>
      </c>
      <c r="E4178" t="s">
        <v>19</v>
      </c>
      <c r="F4178" t="s">
        <v>20</v>
      </c>
      <c r="G4178">
        <v>6</v>
      </c>
      <c r="H4178" t="s">
        <v>524</v>
      </c>
      <c r="I4178" s="4">
        <f t="shared" ref="I4178:I4184" si="579">IF(H4178="A",4,IF(H4178="B",3,IF(H4178="C",2,IF(H4178="D",1,0))))</f>
        <v>2</v>
      </c>
      <c r="J4178">
        <f t="shared" si="578"/>
        <v>12</v>
      </c>
      <c r="K4178">
        <v>24</v>
      </c>
      <c r="L4178">
        <v>10</v>
      </c>
      <c r="M4178" s="2">
        <v>2.4</v>
      </c>
      <c r="N4178">
        <v>2.92</v>
      </c>
      <c r="O4178">
        <v>1</v>
      </c>
      <c r="P4178">
        <v>11</v>
      </c>
      <c r="Q4178" t="s">
        <v>573</v>
      </c>
      <c r="R4178" t="s">
        <v>596</v>
      </c>
      <c r="S4178" t="str">
        <f t="shared" ref="S4178:S4179" si="580">IF(OR(H4178="A",H4178="B",H4178="C"),"PA","FA")</f>
        <v>PA</v>
      </c>
    </row>
    <row r="4179" spans="1:19" x14ac:dyDescent="0.3">
      <c r="A4179" t="s">
        <v>8</v>
      </c>
      <c r="B4179">
        <v>2016210032</v>
      </c>
      <c r="C4179" t="s">
        <v>28</v>
      </c>
      <c r="E4179" t="s">
        <v>119</v>
      </c>
      <c r="F4179" t="s">
        <v>120</v>
      </c>
      <c r="G4179">
        <v>2</v>
      </c>
      <c r="H4179" t="s">
        <v>438</v>
      </c>
      <c r="I4179" s="4">
        <f t="shared" si="579"/>
        <v>3</v>
      </c>
      <c r="J4179">
        <f t="shared" si="578"/>
        <v>6</v>
      </c>
      <c r="K4179">
        <v>20</v>
      </c>
      <c r="L4179">
        <v>10</v>
      </c>
      <c r="M4179" s="2">
        <v>2</v>
      </c>
      <c r="N4179">
        <v>2.92</v>
      </c>
      <c r="O4179">
        <v>1</v>
      </c>
      <c r="P4179">
        <v>8</v>
      </c>
      <c r="Q4179" t="s">
        <v>569</v>
      </c>
      <c r="R4179" s="8" t="s">
        <v>260</v>
      </c>
      <c r="S4179" t="str">
        <f t="shared" si="580"/>
        <v>PA</v>
      </c>
    </row>
    <row r="4180" spans="1:19" x14ac:dyDescent="0.3">
      <c r="A4180" t="s">
        <v>8</v>
      </c>
      <c r="B4180">
        <v>2016210032</v>
      </c>
      <c r="C4180" t="s">
        <v>28</v>
      </c>
      <c r="E4180" t="s">
        <v>19</v>
      </c>
      <c r="F4180" t="s">
        <v>20</v>
      </c>
      <c r="G4180">
        <v>6</v>
      </c>
      <c r="I4180" s="4"/>
      <c r="J4180">
        <f t="shared" si="578"/>
        <v>0</v>
      </c>
      <c r="K4180">
        <v>8</v>
      </c>
      <c r="L4180">
        <v>4</v>
      </c>
      <c r="M4180" s="2">
        <v>2</v>
      </c>
      <c r="N4180">
        <v>2.92</v>
      </c>
      <c r="O4180">
        <v>0</v>
      </c>
      <c r="P4180">
        <v>9</v>
      </c>
      <c r="Q4180" t="s">
        <v>570</v>
      </c>
      <c r="R4180" s="8" t="s">
        <v>260</v>
      </c>
      <c r="S4180" t="s">
        <v>595</v>
      </c>
    </row>
    <row r="4181" spans="1:19" x14ac:dyDescent="0.3">
      <c r="A4181" t="s">
        <v>8</v>
      </c>
      <c r="B4181">
        <v>2016210032</v>
      </c>
      <c r="C4181" t="s">
        <v>28</v>
      </c>
      <c r="E4181" t="s">
        <v>295</v>
      </c>
      <c r="F4181" t="s">
        <v>296</v>
      </c>
      <c r="G4181">
        <v>2</v>
      </c>
      <c r="H4181" t="s">
        <v>260</v>
      </c>
      <c r="I4181" s="4">
        <f t="shared" si="579"/>
        <v>4</v>
      </c>
      <c r="J4181">
        <f t="shared" si="578"/>
        <v>8</v>
      </c>
      <c r="K4181">
        <v>48</v>
      </c>
      <c r="L4181">
        <v>20</v>
      </c>
      <c r="M4181" s="2">
        <v>2.4</v>
      </c>
      <c r="N4181">
        <v>2.92</v>
      </c>
      <c r="O4181">
        <v>0</v>
      </c>
      <c r="P4181">
        <v>3</v>
      </c>
      <c r="Q4181" t="s">
        <v>563</v>
      </c>
      <c r="R4181" s="8" t="s">
        <v>260</v>
      </c>
      <c r="S4181" t="str">
        <f t="shared" ref="S4181:S4182" si="581">IF(OR(H4181="A",H4181="B",H4181="C"),"PA","FA")</f>
        <v>PA</v>
      </c>
    </row>
    <row r="4182" spans="1:19" x14ac:dyDescent="0.3">
      <c r="A4182" t="s">
        <v>8</v>
      </c>
      <c r="B4182">
        <v>2016210032</v>
      </c>
      <c r="C4182" t="s">
        <v>28</v>
      </c>
      <c r="E4182" t="s">
        <v>185</v>
      </c>
      <c r="F4182" t="s">
        <v>186</v>
      </c>
      <c r="G4182">
        <v>4</v>
      </c>
      <c r="H4182" t="s">
        <v>260</v>
      </c>
      <c r="I4182" s="4">
        <f t="shared" si="579"/>
        <v>4</v>
      </c>
      <c r="J4182">
        <f t="shared" si="578"/>
        <v>16</v>
      </c>
      <c r="K4182">
        <v>36</v>
      </c>
      <c r="L4182">
        <v>10</v>
      </c>
      <c r="M4182" s="2">
        <v>3.6</v>
      </c>
      <c r="N4182">
        <v>2.92</v>
      </c>
      <c r="O4182">
        <v>0</v>
      </c>
      <c r="P4182">
        <v>7</v>
      </c>
      <c r="Q4182" t="s">
        <v>568</v>
      </c>
      <c r="R4182" s="8" t="s">
        <v>260</v>
      </c>
      <c r="S4182" t="str">
        <f t="shared" si="581"/>
        <v>PA</v>
      </c>
    </row>
    <row r="4183" spans="1:19" x14ac:dyDescent="0.3">
      <c r="A4183" t="s">
        <v>8</v>
      </c>
      <c r="B4183">
        <v>2016210032</v>
      </c>
      <c r="C4183" t="s">
        <v>28</v>
      </c>
      <c r="E4183" t="s">
        <v>119</v>
      </c>
      <c r="F4183" t="s">
        <v>120</v>
      </c>
      <c r="G4183">
        <v>2</v>
      </c>
      <c r="I4183" s="4"/>
      <c r="J4183">
        <f t="shared" si="578"/>
        <v>0</v>
      </c>
      <c r="K4183">
        <v>46</v>
      </c>
      <c r="L4183">
        <v>22</v>
      </c>
      <c r="M4183">
        <v>2.09</v>
      </c>
      <c r="N4183">
        <v>2.92</v>
      </c>
      <c r="O4183">
        <v>0</v>
      </c>
      <c r="P4183">
        <v>6</v>
      </c>
      <c r="Q4183" t="s">
        <v>567</v>
      </c>
      <c r="R4183" s="8" t="s">
        <v>260</v>
      </c>
      <c r="S4183" t="s">
        <v>595</v>
      </c>
    </row>
    <row r="4184" spans="1:19" x14ac:dyDescent="0.3">
      <c r="A4184" t="s">
        <v>8</v>
      </c>
      <c r="B4184">
        <v>2016210032</v>
      </c>
      <c r="C4184" t="s">
        <v>28</v>
      </c>
      <c r="E4184" t="s">
        <v>242</v>
      </c>
      <c r="F4184" t="s">
        <v>166</v>
      </c>
      <c r="G4184">
        <v>2</v>
      </c>
      <c r="H4184" t="s">
        <v>260</v>
      </c>
      <c r="I4184" s="4">
        <f t="shared" si="579"/>
        <v>4</v>
      </c>
      <c r="J4184">
        <f t="shared" si="578"/>
        <v>8</v>
      </c>
      <c r="K4184">
        <v>38</v>
      </c>
      <c r="L4184">
        <v>18</v>
      </c>
      <c r="M4184">
        <v>2.11</v>
      </c>
      <c r="N4184">
        <v>2.92</v>
      </c>
      <c r="O4184">
        <v>0</v>
      </c>
      <c r="P4184">
        <v>4</v>
      </c>
      <c r="Q4184" t="s">
        <v>565</v>
      </c>
      <c r="R4184" s="8" t="s">
        <v>260</v>
      </c>
      <c r="S4184" t="str">
        <f t="shared" ref="S4184:S4247" si="582">IF(OR(H4184="A",H4184="B",H4184="C"),"PA","FA")</f>
        <v>PA</v>
      </c>
    </row>
    <row r="4185" spans="1:19" x14ac:dyDescent="0.3">
      <c r="A4185" t="s">
        <v>8</v>
      </c>
      <c r="B4185">
        <v>2016210032</v>
      </c>
      <c r="C4185" t="s">
        <v>28</v>
      </c>
      <c r="E4185" t="s">
        <v>180</v>
      </c>
      <c r="F4185" t="s">
        <v>181</v>
      </c>
      <c r="G4185">
        <v>4</v>
      </c>
      <c r="H4185" t="s">
        <v>260</v>
      </c>
      <c r="I4185" s="4">
        <f t="shared" ref="I4185:I4248" si="583">IF(H4185="A",4,IF(H4185="B",3,IF(H4185="C",2,IF(H4185="D",1,0))))</f>
        <v>4</v>
      </c>
      <c r="J4185">
        <f t="shared" ref="J4185:J4248" si="584">G4185*I4185</f>
        <v>16</v>
      </c>
      <c r="K4185">
        <v>38</v>
      </c>
      <c r="L4185">
        <v>18</v>
      </c>
      <c r="M4185">
        <v>2.11</v>
      </c>
      <c r="N4185">
        <v>2.92</v>
      </c>
      <c r="O4185">
        <v>0</v>
      </c>
      <c r="P4185">
        <v>4</v>
      </c>
      <c r="Q4185" t="s">
        <v>565</v>
      </c>
      <c r="R4185" s="8" t="s">
        <v>260</v>
      </c>
      <c r="S4185" t="str">
        <f t="shared" si="582"/>
        <v>PA</v>
      </c>
    </row>
    <row r="4186" spans="1:19" x14ac:dyDescent="0.3">
      <c r="A4186" t="s">
        <v>8</v>
      </c>
      <c r="B4186">
        <v>2016210032</v>
      </c>
      <c r="C4186" t="s">
        <v>28</v>
      </c>
      <c r="E4186" t="s">
        <v>369</v>
      </c>
      <c r="F4186" t="s">
        <v>307</v>
      </c>
      <c r="G4186">
        <v>2</v>
      </c>
      <c r="H4186" t="s">
        <v>260</v>
      </c>
      <c r="I4186" s="4">
        <f t="shared" si="583"/>
        <v>4</v>
      </c>
      <c r="J4186">
        <f t="shared" si="584"/>
        <v>8</v>
      </c>
      <c r="K4186">
        <v>46</v>
      </c>
      <c r="L4186">
        <v>22</v>
      </c>
      <c r="M4186">
        <v>2.09</v>
      </c>
      <c r="N4186">
        <v>2.92</v>
      </c>
      <c r="O4186">
        <v>0</v>
      </c>
      <c r="P4186">
        <v>6</v>
      </c>
      <c r="Q4186" t="s">
        <v>567</v>
      </c>
      <c r="R4186" s="8" t="s">
        <v>260</v>
      </c>
      <c r="S4186" t="str">
        <f t="shared" si="582"/>
        <v>PA</v>
      </c>
    </row>
    <row r="4187" spans="1:19" x14ac:dyDescent="0.3">
      <c r="A4187" t="s">
        <v>8</v>
      </c>
      <c r="B4187">
        <v>2016210032</v>
      </c>
      <c r="C4187" t="s">
        <v>28</v>
      </c>
      <c r="E4187" t="s">
        <v>77</v>
      </c>
      <c r="F4187" t="s">
        <v>78</v>
      </c>
      <c r="G4187">
        <v>2</v>
      </c>
      <c r="H4187" t="s">
        <v>260</v>
      </c>
      <c r="I4187" s="4">
        <f t="shared" si="583"/>
        <v>4</v>
      </c>
      <c r="J4187">
        <f t="shared" si="584"/>
        <v>8</v>
      </c>
      <c r="K4187">
        <v>60</v>
      </c>
      <c r="L4187">
        <v>20</v>
      </c>
      <c r="M4187" s="2">
        <v>3</v>
      </c>
      <c r="N4187">
        <v>2.92</v>
      </c>
      <c r="O4187">
        <v>0</v>
      </c>
      <c r="P4187">
        <v>1</v>
      </c>
      <c r="Q4187" t="s">
        <v>558</v>
      </c>
      <c r="R4187" s="8" t="s">
        <v>260</v>
      </c>
      <c r="S4187" t="str">
        <f t="shared" si="582"/>
        <v>PA</v>
      </c>
    </row>
    <row r="4188" spans="1:19" x14ac:dyDescent="0.3">
      <c r="A4188" t="s">
        <v>8</v>
      </c>
      <c r="B4188">
        <v>2016210032</v>
      </c>
      <c r="C4188" t="s">
        <v>28</v>
      </c>
      <c r="E4188" t="s">
        <v>202</v>
      </c>
      <c r="F4188" t="s">
        <v>203</v>
      </c>
      <c r="G4188">
        <v>4</v>
      </c>
      <c r="H4188" t="s">
        <v>260</v>
      </c>
      <c r="I4188" s="4">
        <f t="shared" si="583"/>
        <v>4</v>
      </c>
      <c r="J4188">
        <f t="shared" si="584"/>
        <v>16</v>
      </c>
      <c r="K4188">
        <v>60</v>
      </c>
      <c r="L4188">
        <v>20</v>
      </c>
      <c r="M4188" s="2">
        <v>3</v>
      </c>
      <c r="N4188">
        <v>2.92</v>
      </c>
      <c r="O4188">
        <v>0</v>
      </c>
      <c r="P4188">
        <v>1</v>
      </c>
      <c r="Q4188" t="s">
        <v>558</v>
      </c>
      <c r="R4188" s="8" t="s">
        <v>260</v>
      </c>
      <c r="S4188" t="str">
        <f t="shared" si="582"/>
        <v>PA</v>
      </c>
    </row>
    <row r="4189" spans="1:19" x14ac:dyDescent="0.3">
      <c r="A4189" t="s">
        <v>8</v>
      </c>
      <c r="B4189">
        <v>2016210032</v>
      </c>
      <c r="C4189" t="s">
        <v>28</v>
      </c>
      <c r="E4189" t="s">
        <v>407</v>
      </c>
      <c r="F4189" t="s">
        <v>312</v>
      </c>
      <c r="G4189">
        <v>2</v>
      </c>
      <c r="H4189" t="s">
        <v>260</v>
      </c>
      <c r="I4189" s="4">
        <f t="shared" si="583"/>
        <v>4</v>
      </c>
      <c r="J4189">
        <f t="shared" si="584"/>
        <v>8</v>
      </c>
      <c r="K4189">
        <v>36</v>
      </c>
      <c r="L4189">
        <v>10</v>
      </c>
      <c r="M4189" s="2">
        <v>3.6</v>
      </c>
      <c r="N4189">
        <v>2.92</v>
      </c>
      <c r="O4189">
        <v>0</v>
      </c>
      <c r="P4189">
        <v>7</v>
      </c>
      <c r="Q4189" t="s">
        <v>568</v>
      </c>
      <c r="R4189" s="8" t="s">
        <v>260</v>
      </c>
      <c r="S4189" t="str">
        <f t="shared" si="582"/>
        <v>PA</v>
      </c>
    </row>
    <row r="4190" spans="1:19" x14ac:dyDescent="0.3">
      <c r="A4190" t="s">
        <v>8</v>
      </c>
      <c r="B4190">
        <v>2016210032</v>
      </c>
      <c r="C4190" t="s">
        <v>28</v>
      </c>
      <c r="E4190" t="s">
        <v>266</v>
      </c>
      <c r="F4190" t="s">
        <v>91</v>
      </c>
      <c r="G4190">
        <v>2</v>
      </c>
      <c r="H4190" t="s">
        <v>260</v>
      </c>
      <c r="I4190" s="4">
        <f t="shared" si="583"/>
        <v>4</v>
      </c>
      <c r="J4190">
        <f t="shared" si="584"/>
        <v>8</v>
      </c>
      <c r="K4190">
        <v>44</v>
      </c>
      <c r="L4190">
        <v>18</v>
      </c>
      <c r="M4190">
        <v>2.44</v>
      </c>
      <c r="N4190">
        <v>2.92</v>
      </c>
      <c r="O4190">
        <v>0</v>
      </c>
      <c r="P4190">
        <v>2</v>
      </c>
      <c r="Q4190" t="s">
        <v>559</v>
      </c>
      <c r="R4190" s="8" t="s">
        <v>260</v>
      </c>
      <c r="S4190" t="str">
        <f t="shared" si="582"/>
        <v>PA</v>
      </c>
    </row>
    <row r="4191" spans="1:19" x14ac:dyDescent="0.3">
      <c r="A4191" t="s">
        <v>8</v>
      </c>
      <c r="B4191">
        <v>2016210032</v>
      </c>
      <c r="C4191" t="s">
        <v>28</v>
      </c>
      <c r="E4191" t="s">
        <v>362</v>
      </c>
      <c r="F4191" t="s">
        <v>363</v>
      </c>
      <c r="G4191">
        <v>2</v>
      </c>
      <c r="H4191" t="s">
        <v>260</v>
      </c>
      <c r="I4191" s="4">
        <f t="shared" si="583"/>
        <v>4</v>
      </c>
      <c r="J4191">
        <f t="shared" si="584"/>
        <v>8</v>
      </c>
      <c r="K4191">
        <v>56</v>
      </c>
      <c r="L4191">
        <v>18</v>
      </c>
      <c r="M4191">
        <v>3.11</v>
      </c>
      <c r="N4191">
        <v>2.92</v>
      </c>
      <c r="O4191">
        <v>0</v>
      </c>
      <c r="P4191">
        <v>5</v>
      </c>
      <c r="Q4191" t="s">
        <v>566</v>
      </c>
      <c r="R4191" s="8" t="s">
        <v>260</v>
      </c>
      <c r="S4191" t="str">
        <f t="shared" si="582"/>
        <v>PA</v>
      </c>
    </row>
    <row r="4192" spans="1:19" x14ac:dyDescent="0.3">
      <c r="A4192" t="s">
        <v>8</v>
      </c>
      <c r="B4192">
        <v>2016210032</v>
      </c>
      <c r="C4192" t="s">
        <v>28</v>
      </c>
      <c r="E4192" t="s">
        <v>87</v>
      </c>
      <c r="F4192" t="s">
        <v>88</v>
      </c>
      <c r="G4192">
        <v>2</v>
      </c>
      <c r="H4192" t="s">
        <v>260</v>
      </c>
      <c r="I4192" s="4">
        <f t="shared" si="583"/>
        <v>4</v>
      </c>
      <c r="J4192">
        <f t="shared" si="584"/>
        <v>8</v>
      </c>
      <c r="K4192">
        <v>46</v>
      </c>
      <c r="L4192">
        <v>22</v>
      </c>
      <c r="M4192">
        <v>2.09</v>
      </c>
      <c r="N4192">
        <v>2.92</v>
      </c>
      <c r="O4192">
        <v>0</v>
      </c>
      <c r="P4192">
        <v>6</v>
      </c>
      <c r="Q4192" t="s">
        <v>567</v>
      </c>
      <c r="R4192" s="8" t="s">
        <v>260</v>
      </c>
      <c r="S4192" t="str">
        <f t="shared" si="582"/>
        <v>PA</v>
      </c>
    </row>
    <row r="4193" spans="1:19" x14ac:dyDescent="0.3">
      <c r="A4193" t="s">
        <v>8</v>
      </c>
      <c r="B4193">
        <v>2016210032</v>
      </c>
      <c r="C4193" t="s">
        <v>28</v>
      </c>
      <c r="E4193" t="s">
        <v>318</v>
      </c>
      <c r="F4193" t="s">
        <v>319</v>
      </c>
      <c r="G4193">
        <v>2</v>
      </c>
      <c r="H4193" t="s">
        <v>438</v>
      </c>
      <c r="I4193" s="4">
        <f t="shared" si="583"/>
        <v>3</v>
      </c>
      <c r="J4193">
        <f t="shared" si="584"/>
        <v>6</v>
      </c>
      <c r="K4193">
        <v>56</v>
      </c>
      <c r="L4193">
        <v>18</v>
      </c>
      <c r="M4193">
        <v>3.11</v>
      </c>
      <c r="N4193">
        <v>2.92</v>
      </c>
      <c r="O4193">
        <v>0</v>
      </c>
      <c r="P4193">
        <v>5</v>
      </c>
      <c r="Q4193" t="s">
        <v>566</v>
      </c>
      <c r="R4193" s="8" t="s">
        <v>260</v>
      </c>
      <c r="S4193" t="str">
        <f t="shared" si="582"/>
        <v>PA</v>
      </c>
    </row>
    <row r="4194" spans="1:19" x14ac:dyDescent="0.3">
      <c r="A4194" t="s">
        <v>8</v>
      </c>
      <c r="B4194">
        <v>2016210032</v>
      </c>
      <c r="C4194" t="s">
        <v>28</v>
      </c>
      <c r="E4194" t="s">
        <v>157</v>
      </c>
      <c r="F4194" t="s">
        <v>158</v>
      </c>
      <c r="G4194">
        <v>2</v>
      </c>
      <c r="H4194" t="s">
        <v>438</v>
      </c>
      <c r="I4194" s="4">
        <f t="shared" si="583"/>
        <v>3</v>
      </c>
      <c r="J4194">
        <f t="shared" si="584"/>
        <v>6</v>
      </c>
      <c r="K4194">
        <v>48</v>
      </c>
      <c r="L4194">
        <v>20</v>
      </c>
      <c r="M4194" s="2">
        <v>2.4</v>
      </c>
      <c r="N4194">
        <v>2.92</v>
      </c>
      <c r="O4194">
        <v>0</v>
      </c>
      <c r="P4194">
        <v>3</v>
      </c>
      <c r="Q4194" t="s">
        <v>563</v>
      </c>
      <c r="R4194" s="8" t="s">
        <v>260</v>
      </c>
      <c r="S4194" t="str">
        <f t="shared" si="582"/>
        <v>PA</v>
      </c>
    </row>
    <row r="4195" spans="1:19" x14ac:dyDescent="0.3">
      <c r="A4195" t="s">
        <v>8</v>
      </c>
      <c r="B4195">
        <v>2016210032</v>
      </c>
      <c r="C4195" t="s">
        <v>28</v>
      </c>
      <c r="E4195" t="s">
        <v>227</v>
      </c>
      <c r="F4195" t="s">
        <v>228</v>
      </c>
      <c r="G4195">
        <v>2</v>
      </c>
      <c r="H4195" t="s">
        <v>438</v>
      </c>
      <c r="I4195" s="4">
        <f t="shared" si="583"/>
        <v>3</v>
      </c>
      <c r="J4195">
        <f t="shared" si="584"/>
        <v>6</v>
      </c>
      <c r="K4195">
        <v>48</v>
      </c>
      <c r="L4195">
        <v>20</v>
      </c>
      <c r="M4195" s="2">
        <v>2.4</v>
      </c>
      <c r="N4195">
        <v>2.92</v>
      </c>
      <c r="O4195">
        <v>0</v>
      </c>
      <c r="P4195">
        <v>3</v>
      </c>
      <c r="Q4195" t="s">
        <v>563</v>
      </c>
      <c r="R4195" s="8" t="s">
        <v>260</v>
      </c>
      <c r="S4195" t="str">
        <f t="shared" si="582"/>
        <v>PA</v>
      </c>
    </row>
    <row r="4196" spans="1:19" x14ac:dyDescent="0.3">
      <c r="A4196" t="s">
        <v>8</v>
      </c>
      <c r="B4196">
        <v>2016210032</v>
      </c>
      <c r="C4196" t="s">
        <v>28</v>
      </c>
      <c r="E4196" t="s">
        <v>163</v>
      </c>
      <c r="F4196" t="s">
        <v>164</v>
      </c>
      <c r="G4196">
        <v>2</v>
      </c>
      <c r="H4196" t="s">
        <v>438</v>
      </c>
      <c r="I4196" s="4">
        <f t="shared" si="583"/>
        <v>3</v>
      </c>
      <c r="J4196">
        <f t="shared" si="584"/>
        <v>6</v>
      </c>
      <c r="K4196">
        <v>60</v>
      </c>
      <c r="L4196">
        <v>20</v>
      </c>
      <c r="M4196" s="2">
        <v>3</v>
      </c>
      <c r="N4196">
        <v>2.92</v>
      </c>
      <c r="O4196">
        <v>0</v>
      </c>
      <c r="P4196">
        <v>1</v>
      </c>
      <c r="Q4196" t="s">
        <v>558</v>
      </c>
      <c r="R4196" s="8" t="s">
        <v>260</v>
      </c>
      <c r="S4196" t="str">
        <f t="shared" si="582"/>
        <v>PA</v>
      </c>
    </row>
    <row r="4197" spans="1:19" x14ac:dyDescent="0.3">
      <c r="A4197" t="s">
        <v>8</v>
      </c>
      <c r="B4197">
        <v>2016210032</v>
      </c>
      <c r="C4197" t="s">
        <v>28</v>
      </c>
      <c r="E4197" t="s">
        <v>219</v>
      </c>
      <c r="F4197" t="s">
        <v>473</v>
      </c>
      <c r="G4197">
        <v>2</v>
      </c>
      <c r="H4197" t="s">
        <v>438</v>
      </c>
      <c r="I4197" s="4">
        <f t="shared" si="583"/>
        <v>3</v>
      </c>
      <c r="J4197">
        <f t="shared" si="584"/>
        <v>6</v>
      </c>
      <c r="K4197">
        <v>36</v>
      </c>
      <c r="L4197">
        <v>10</v>
      </c>
      <c r="M4197" s="2">
        <v>3.6</v>
      </c>
      <c r="N4197">
        <v>2.92</v>
      </c>
      <c r="O4197">
        <v>0</v>
      </c>
      <c r="P4197">
        <v>7</v>
      </c>
      <c r="Q4197" t="s">
        <v>568</v>
      </c>
      <c r="R4197" s="8" t="s">
        <v>260</v>
      </c>
      <c r="S4197" t="str">
        <f t="shared" si="582"/>
        <v>PA</v>
      </c>
    </row>
    <row r="4198" spans="1:19" x14ac:dyDescent="0.3">
      <c r="A4198" t="s">
        <v>8</v>
      </c>
      <c r="B4198">
        <v>2016210032</v>
      </c>
      <c r="C4198" t="s">
        <v>28</v>
      </c>
      <c r="E4198" t="s">
        <v>147</v>
      </c>
      <c r="F4198" t="s">
        <v>148</v>
      </c>
      <c r="G4198">
        <v>4</v>
      </c>
      <c r="H4198" t="s">
        <v>438</v>
      </c>
      <c r="I4198" s="4">
        <f t="shared" si="583"/>
        <v>3</v>
      </c>
      <c r="J4198">
        <f t="shared" si="584"/>
        <v>12</v>
      </c>
      <c r="K4198">
        <v>60</v>
      </c>
      <c r="L4198">
        <v>20</v>
      </c>
      <c r="M4198" s="2">
        <v>3</v>
      </c>
      <c r="N4198">
        <v>2.92</v>
      </c>
      <c r="O4198">
        <v>0</v>
      </c>
      <c r="P4198">
        <v>1</v>
      </c>
      <c r="Q4198" t="s">
        <v>558</v>
      </c>
      <c r="R4198" s="8" t="s">
        <v>260</v>
      </c>
      <c r="S4198" t="str">
        <f t="shared" si="582"/>
        <v>PA</v>
      </c>
    </row>
    <row r="4199" spans="1:19" x14ac:dyDescent="0.3">
      <c r="A4199" t="s">
        <v>8</v>
      </c>
      <c r="B4199">
        <v>2016210032</v>
      </c>
      <c r="C4199" t="s">
        <v>28</v>
      </c>
      <c r="E4199" t="s">
        <v>117</v>
      </c>
      <c r="F4199" t="s">
        <v>118</v>
      </c>
      <c r="G4199">
        <v>2</v>
      </c>
      <c r="H4199" t="s">
        <v>438</v>
      </c>
      <c r="I4199" s="4">
        <f t="shared" si="583"/>
        <v>3</v>
      </c>
      <c r="J4199">
        <f t="shared" si="584"/>
        <v>6</v>
      </c>
      <c r="K4199">
        <v>44</v>
      </c>
      <c r="L4199">
        <v>18</v>
      </c>
      <c r="M4199">
        <v>2.44</v>
      </c>
      <c r="N4199">
        <v>2.92</v>
      </c>
      <c r="O4199">
        <v>0</v>
      </c>
      <c r="P4199">
        <v>2</v>
      </c>
      <c r="Q4199" t="s">
        <v>559</v>
      </c>
      <c r="R4199" s="8" t="s">
        <v>260</v>
      </c>
      <c r="S4199" t="str">
        <f t="shared" si="582"/>
        <v>PA</v>
      </c>
    </row>
    <row r="4200" spans="1:19" x14ac:dyDescent="0.3">
      <c r="A4200" t="s">
        <v>8</v>
      </c>
      <c r="B4200">
        <v>2016210032</v>
      </c>
      <c r="C4200" t="s">
        <v>28</v>
      </c>
      <c r="E4200" t="s">
        <v>355</v>
      </c>
      <c r="F4200" t="s">
        <v>274</v>
      </c>
      <c r="G4200">
        <v>2</v>
      </c>
      <c r="H4200" t="s">
        <v>438</v>
      </c>
      <c r="I4200" s="4">
        <f t="shared" si="583"/>
        <v>3</v>
      </c>
      <c r="J4200">
        <f t="shared" si="584"/>
        <v>6</v>
      </c>
      <c r="K4200">
        <v>38</v>
      </c>
      <c r="L4200">
        <v>18</v>
      </c>
      <c r="M4200">
        <v>2.11</v>
      </c>
      <c r="N4200">
        <v>2.92</v>
      </c>
      <c r="O4200">
        <v>0</v>
      </c>
      <c r="P4200">
        <v>4</v>
      </c>
      <c r="Q4200" t="s">
        <v>565</v>
      </c>
      <c r="R4200" s="8" t="s">
        <v>260</v>
      </c>
      <c r="S4200" t="str">
        <f t="shared" si="582"/>
        <v>PA</v>
      </c>
    </row>
    <row r="4201" spans="1:19" x14ac:dyDescent="0.3">
      <c r="A4201" t="s">
        <v>8</v>
      </c>
      <c r="B4201">
        <v>2016210032</v>
      </c>
      <c r="C4201" t="s">
        <v>28</v>
      </c>
      <c r="E4201" t="s">
        <v>216</v>
      </c>
      <c r="F4201" t="s">
        <v>217</v>
      </c>
      <c r="G4201">
        <v>2</v>
      </c>
      <c r="H4201" t="s">
        <v>438</v>
      </c>
      <c r="I4201" s="4">
        <f t="shared" si="583"/>
        <v>3</v>
      </c>
      <c r="J4201">
        <f t="shared" si="584"/>
        <v>6</v>
      </c>
      <c r="K4201">
        <v>20</v>
      </c>
      <c r="L4201">
        <v>10</v>
      </c>
      <c r="M4201" s="2">
        <v>2</v>
      </c>
      <c r="N4201">
        <v>2.92</v>
      </c>
      <c r="O4201">
        <v>0</v>
      </c>
      <c r="P4201">
        <v>8</v>
      </c>
      <c r="Q4201" t="s">
        <v>569</v>
      </c>
      <c r="R4201" s="8" t="s">
        <v>260</v>
      </c>
      <c r="S4201" t="str">
        <f t="shared" si="582"/>
        <v>PA</v>
      </c>
    </row>
    <row r="4202" spans="1:19" x14ac:dyDescent="0.3">
      <c r="A4202" t="s">
        <v>8</v>
      </c>
      <c r="B4202">
        <v>2016210032</v>
      </c>
      <c r="C4202" t="s">
        <v>28</v>
      </c>
      <c r="E4202" t="s">
        <v>188</v>
      </c>
      <c r="F4202" t="s">
        <v>189</v>
      </c>
      <c r="G4202">
        <v>4</v>
      </c>
      <c r="H4202" t="s">
        <v>438</v>
      </c>
      <c r="I4202" s="4">
        <f t="shared" si="583"/>
        <v>3</v>
      </c>
      <c r="J4202">
        <f t="shared" si="584"/>
        <v>12</v>
      </c>
      <c r="K4202">
        <v>56</v>
      </c>
      <c r="L4202">
        <v>18</v>
      </c>
      <c r="M4202">
        <v>3.11</v>
      </c>
      <c r="N4202">
        <v>2.92</v>
      </c>
      <c r="O4202">
        <v>0</v>
      </c>
      <c r="P4202">
        <v>5</v>
      </c>
      <c r="Q4202" t="s">
        <v>566</v>
      </c>
      <c r="R4202" s="8" t="s">
        <v>260</v>
      </c>
      <c r="S4202" t="str">
        <f t="shared" si="582"/>
        <v>PA</v>
      </c>
    </row>
    <row r="4203" spans="1:19" x14ac:dyDescent="0.3">
      <c r="A4203" t="s">
        <v>8</v>
      </c>
      <c r="B4203">
        <v>2016210032</v>
      </c>
      <c r="C4203" t="s">
        <v>28</v>
      </c>
      <c r="E4203" t="s">
        <v>279</v>
      </c>
      <c r="F4203" t="s">
        <v>280</v>
      </c>
      <c r="G4203">
        <v>2</v>
      </c>
      <c r="H4203" t="s">
        <v>438</v>
      </c>
      <c r="I4203" s="4">
        <f t="shared" si="583"/>
        <v>3</v>
      </c>
      <c r="J4203">
        <f t="shared" si="584"/>
        <v>6</v>
      </c>
      <c r="K4203">
        <v>44</v>
      </c>
      <c r="L4203">
        <v>18</v>
      </c>
      <c r="M4203">
        <v>2.44</v>
      </c>
      <c r="N4203">
        <v>2.92</v>
      </c>
      <c r="O4203">
        <v>0</v>
      </c>
      <c r="P4203">
        <v>2</v>
      </c>
      <c r="Q4203" t="s">
        <v>559</v>
      </c>
      <c r="R4203" s="8" t="s">
        <v>260</v>
      </c>
      <c r="S4203" t="str">
        <f t="shared" si="582"/>
        <v>PA</v>
      </c>
    </row>
    <row r="4204" spans="1:19" x14ac:dyDescent="0.3">
      <c r="A4204" t="s">
        <v>8</v>
      </c>
      <c r="B4204">
        <v>2016210032</v>
      </c>
      <c r="C4204" t="s">
        <v>28</v>
      </c>
      <c r="E4204" t="s">
        <v>352</v>
      </c>
      <c r="F4204" t="s">
        <v>353</v>
      </c>
      <c r="G4204">
        <v>2</v>
      </c>
      <c r="H4204" t="s">
        <v>438</v>
      </c>
      <c r="I4204" s="4">
        <f t="shared" si="583"/>
        <v>3</v>
      </c>
      <c r="J4204">
        <f t="shared" si="584"/>
        <v>6</v>
      </c>
      <c r="K4204">
        <v>56</v>
      </c>
      <c r="L4204">
        <v>18</v>
      </c>
      <c r="M4204">
        <v>3.11</v>
      </c>
      <c r="N4204">
        <v>2.92</v>
      </c>
      <c r="O4204">
        <v>0</v>
      </c>
      <c r="P4204">
        <v>5</v>
      </c>
      <c r="Q4204" t="s">
        <v>566</v>
      </c>
      <c r="R4204" s="8" t="s">
        <v>260</v>
      </c>
      <c r="S4204" t="str">
        <f t="shared" si="582"/>
        <v>PA</v>
      </c>
    </row>
    <row r="4205" spans="1:19" x14ac:dyDescent="0.3">
      <c r="A4205" t="s">
        <v>8</v>
      </c>
      <c r="B4205">
        <v>2016210032</v>
      </c>
      <c r="C4205" t="s">
        <v>28</v>
      </c>
      <c r="E4205" t="s">
        <v>93</v>
      </c>
      <c r="F4205" t="s">
        <v>94</v>
      </c>
      <c r="G4205">
        <v>4</v>
      </c>
      <c r="H4205" t="s">
        <v>438</v>
      </c>
      <c r="I4205" s="4">
        <f t="shared" si="583"/>
        <v>3</v>
      </c>
      <c r="J4205">
        <f t="shared" si="584"/>
        <v>12</v>
      </c>
      <c r="K4205">
        <v>48</v>
      </c>
      <c r="L4205">
        <v>20</v>
      </c>
      <c r="M4205" s="2">
        <v>2.4</v>
      </c>
      <c r="N4205">
        <v>2.92</v>
      </c>
      <c r="O4205">
        <v>0</v>
      </c>
      <c r="P4205">
        <v>3</v>
      </c>
      <c r="Q4205" t="s">
        <v>563</v>
      </c>
      <c r="R4205" s="8" t="s">
        <v>260</v>
      </c>
      <c r="S4205" t="str">
        <f t="shared" si="582"/>
        <v>PA</v>
      </c>
    </row>
    <row r="4206" spans="1:19" x14ac:dyDescent="0.3">
      <c r="A4206" t="s">
        <v>8</v>
      </c>
      <c r="B4206">
        <v>2016210032</v>
      </c>
      <c r="C4206" t="s">
        <v>28</v>
      </c>
      <c r="E4206" t="s">
        <v>213</v>
      </c>
      <c r="F4206" t="s">
        <v>214</v>
      </c>
      <c r="G4206">
        <v>4</v>
      </c>
      <c r="H4206" t="s">
        <v>438</v>
      </c>
      <c r="I4206" s="4">
        <f t="shared" si="583"/>
        <v>3</v>
      </c>
      <c r="J4206">
        <f t="shared" si="584"/>
        <v>12</v>
      </c>
      <c r="K4206">
        <v>56</v>
      </c>
      <c r="L4206">
        <v>18</v>
      </c>
      <c r="M4206">
        <v>3.11</v>
      </c>
      <c r="N4206">
        <v>2.92</v>
      </c>
      <c r="O4206">
        <v>0</v>
      </c>
      <c r="P4206">
        <v>5</v>
      </c>
      <c r="Q4206" t="s">
        <v>566</v>
      </c>
      <c r="R4206" s="8" t="s">
        <v>260</v>
      </c>
      <c r="S4206" t="str">
        <f t="shared" si="582"/>
        <v>PA</v>
      </c>
    </row>
    <row r="4207" spans="1:19" x14ac:dyDescent="0.3">
      <c r="A4207" t="s">
        <v>8</v>
      </c>
      <c r="B4207">
        <v>2016210032</v>
      </c>
      <c r="C4207" t="s">
        <v>28</v>
      </c>
      <c r="E4207" t="s">
        <v>112</v>
      </c>
      <c r="F4207" t="s">
        <v>113</v>
      </c>
      <c r="G4207">
        <v>4</v>
      </c>
      <c r="H4207" t="s">
        <v>438</v>
      </c>
      <c r="I4207" s="4">
        <f t="shared" si="583"/>
        <v>3</v>
      </c>
      <c r="J4207">
        <f t="shared" si="584"/>
        <v>12</v>
      </c>
      <c r="K4207">
        <v>48</v>
      </c>
      <c r="L4207">
        <v>20</v>
      </c>
      <c r="M4207" s="2">
        <v>2.4</v>
      </c>
      <c r="N4207">
        <v>2.92</v>
      </c>
      <c r="O4207">
        <v>0</v>
      </c>
      <c r="P4207">
        <v>3</v>
      </c>
      <c r="Q4207" t="s">
        <v>563</v>
      </c>
      <c r="R4207" s="8" t="s">
        <v>260</v>
      </c>
      <c r="S4207" t="str">
        <f t="shared" si="582"/>
        <v>PA</v>
      </c>
    </row>
    <row r="4208" spans="1:19" x14ac:dyDescent="0.3">
      <c r="A4208" t="s">
        <v>8</v>
      </c>
      <c r="B4208">
        <v>2016210032</v>
      </c>
      <c r="C4208" t="s">
        <v>28</v>
      </c>
      <c r="E4208" t="s">
        <v>439</v>
      </c>
      <c r="F4208" t="s">
        <v>440</v>
      </c>
      <c r="G4208">
        <v>2</v>
      </c>
      <c r="H4208" t="s">
        <v>438</v>
      </c>
      <c r="I4208" s="4">
        <f t="shared" si="583"/>
        <v>3</v>
      </c>
      <c r="J4208">
        <f t="shared" si="584"/>
        <v>6</v>
      </c>
      <c r="K4208">
        <v>46</v>
      </c>
      <c r="L4208">
        <v>22</v>
      </c>
      <c r="M4208">
        <v>2.09</v>
      </c>
      <c r="N4208">
        <v>2.92</v>
      </c>
      <c r="O4208">
        <v>0</v>
      </c>
      <c r="P4208">
        <v>6</v>
      </c>
      <c r="Q4208" t="s">
        <v>567</v>
      </c>
      <c r="R4208" s="8" t="s">
        <v>260</v>
      </c>
      <c r="S4208" t="str">
        <f t="shared" si="582"/>
        <v>PA</v>
      </c>
    </row>
    <row r="4209" spans="1:19" x14ac:dyDescent="0.3">
      <c r="A4209" t="s">
        <v>8</v>
      </c>
      <c r="B4209">
        <v>2016210032</v>
      </c>
      <c r="C4209" t="s">
        <v>28</v>
      </c>
      <c r="E4209" t="s">
        <v>393</v>
      </c>
      <c r="F4209" t="s">
        <v>492</v>
      </c>
      <c r="G4209">
        <v>2</v>
      </c>
      <c r="H4209" t="s">
        <v>438</v>
      </c>
      <c r="I4209" s="4">
        <f t="shared" si="583"/>
        <v>3</v>
      </c>
      <c r="J4209">
        <f t="shared" si="584"/>
        <v>6</v>
      </c>
      <c r="K4209">
        <v>36</v>
      </c>
      <c r="L4209">
        <v>10</v>
      </c>
      <c r="M4209" s="2">
        <v>3.6</v>
      </c>
      <c r="N4209">
        <v>2.92</v>
      </c>
      <c r="O4209">
        <v>0</v>
      </c>
      <c r="P4209">
        <v>7</v>
      </c>
      <c r="Q4209" t="s">
        <v>568</v>
      </c>
      <c r="R4209" s="8" t="s">
        <v>260</v>
      </c>
      <c r="S4209" t="str">
        <f t="shared" si="582"/>
        <v>PA</v>
      </c>
    </row>
    <row r="4210" spans="1:19" x14ac:dyDescent="0.3">
      <c r="A4210" t="s">
        <v>8</v>
      </c>
      <c r="B4210">
        <v>2016210032</v>
      </c>
      <c r="C4210" t="s">
        <v>28</v>
      </c>
      <c r="E4210" t="s">
        <v>131</v>
      </c>
      <c r="F4210" t="s">
        <v>132</v>
      </c>
      <c r="G4210">
        <v>2</v>
      </c>
      <c r="H4210" t="s">
        <v>438</v>
      </c>
      <c r="I4210" s="4">
        <f t="shared" si="583"/>
        <v>3</v>
      </c>
      <c r="J4210">
        <f t="shared" si="584"/>
        <v>6</v>
      </c>
      <c r="K4210">
        <v>60</v>
      </c>
      <c r="L4210">
        <v>20</v>
      </c>
      <c r="M4210" s="2">
        <v>3</v>
      </c>
      <c r="N4210">
        <v>2.92</v>
      </c>
      <c r="O4210">
        <v>0</v>
      </c>
      <c r="P4210">
        <v>1</v>
      </c>
      <c r="Q4210" t="s">
        <v>558</v>
      </c>
      <c r="R4210" s="8" t="s">
        <v>260</v>
      </c>
      <c r="S4210" t="str">
        <f t="shared" si="582"/>
        <v>PA</v>
      </c>
    </row>
    <row r="4211" spans="1:19" x14ac:dyDescent="0.3">
      <c r="A4211" t="s">
        <v>8</v>
      </c>
      <c r="B4211">
        <v>2016210032</v>
      </c>
      <c r="C4211" t="s">
        <v>28</v>
      </c>
      <c r="E4211" t="s">
        <v>182</v>
      </c>
      <c r="F4211" t="s">
        <v>171</v>
      </c>
      <c r="G4211">
        <v>2</v>
      </c>
      <c r="H4211" t="s">
        <v>438</v>
      </c>
      <c r="I4211" s="4">
        <f t="shared" si="583"/>
        <v>3</v>
      </c>
      <c r="J4211">
        <f t="shared" si="584"/>
        <v>6</v>
      </c>
      <c r="K4211">
        <v>56</v>
      </c>
      <c r="L4211">
        <v>18</v>
      </c>
      <c r="M4211">
        <v>3.11</v>
      </c>
      <c r="N4211">
        <v>2.92</v>
      </c>
      <c r="O4211">
        <v>0</v>
      </c>
      <c r="P4211">
        <v>5</v>
      </c>
      <c r="Q4211" t="s">
        <v>566</v>
      </c>
      <c r="R4211" s="8" t="s">
        <v>260</v>
      </c>
      <c r="S4211" t="str">
        <f t="shared" si="582"/>
        <v>PA</v>
      </c>
    </row>
    <row r="4212" spans="1:19" x14ac:dyDescent="0.3">
      <c r="A4212" t="s">
        <v>8</v>
      </c>
      <c r="B4212">
        <v>2016210032</v>
      </c>
      <c r="C4212" t="s">
        <v>28</v>
      </c>
      <c r="E4212" t="s">
        <v>193</v>
      </c>
      <c r="F4212" t="s">
        <v>194</v>
      </c>
      <c r="G4212">
        <v>4</v>
      </c>
      <c r="H4212" t="s">
        <v>438</v>
      </c>
      <c r="I4212" s="4">
        <f t="shared" si="583"/>
        <v>3</v>
      </c>
      <c r="J4212">
        <f t="shared" si="584"/>
        <v>12</v>
      </c>
      <c r="K4212">
        <v>24</v>
      </c>
      <c r="L4212">
        <v>10</v>
      </c>
      <c r="M4212" s="2">
        <v>2.4</v>
      </c>
      <c r="N4212">
        <v>2.92</v>
      </c>
      <c r="O4212">
        <v>0</v>
      </c>
      <c r="P4212">
        <v>11</v>
      </c>
      <c r="Q4212" s="4" t="str">
        <f>IF(P4212=1,"2016/2017-Ganjil",IF(P4212=2,"2016/2017-Genap",IF(P4212=3,"2017/2018-Ganjil",IF(P4212=4,"2017/2018-Genap",IF(P4212=5,"2018/2019-Ganjil",IF(P4212=6,"2018/2019-Genap",IF(P4212=7,"2019/2020-Ganjil",IF(P4212=8,"2019/2020-Genap",IF(P4212=9,"2020/2021-Ganjil",IF(P4212=10,"2020/2021-Genap",IF(P4212=11,"2021/2022-Ganjil",IF(P4212=12,"2021/2022-Genap",IF(P4212=13,"2022/2023-Ganjil","2022/2023-Genap")))))))))))))</f>
        <v>2021/2022-Ganjil</v>
      </c>
      <c r="R4212" t="s">
        <v>596</v>
      </c>
      <c r="S4212" t="str">
        <f t="shared" si="582"/>
        <v>PA</v>
      </c>
    </row>
    <row r="4213" spans="1:19" x14ac:dyDescent="0.3">
      <c r="A4213" t="s">
        <v>8</v>
      </c>
      <c r="B4213">
        <v>2016210032</v>
      </c>
      <c r="C4213" t="s">
        <v>28</v>
      </c>
      <c r="E4213" t="s">
        <v>22</v>
      </c>
      <c r="F4213" t="s">
        <v>23</v>
      </c>
      <c r="G4213">
        <v>2</v>
      </c>
      <c r="H4213" t="s">
        <v>438</v>
      </c>
      <c r="I4213" s="4">
        <f t="shared" si="583"/>
        <v>3</v>
      </c>
      <c r="J4213">
        <f t="shared" si="584"/>
        <v>6</v>
      </c>
      <c r="K4213">
        <v>44</v>
      </c>
      <c r="L4213">
        <v>18</v>
      </c>
      <c r="M4213">
        <v>2.44</v>
      </c>
      <c r="N4213">
        <v>2.92</v>
      </c>
      <c r="O4213">
        <v>0</v>
      </c>
      <c r="P4213">
        <v>2</v>
      </c>
      <c r="Q4213" t="s">
        <v>559</v>
      </c>
      <c r="R4213" s="8" t="s">
        <v>260</v>
      </c>
      <c r="S4213" t="str">
        <f t="shared" si="582"/>
        <v>PA</v>
      </c>
    </row>
    <row r="4214" spans="1:19" x14ac:dyDescent="0.3">
      <c r="A4214" t="s">
        <v>8</v>
      </c>
      <c r="B4214">
        <v>2016210032</v>
      </c>
      <c r="C4214" t="s">
        <v>28</v>
      </c>
      <c r="E4214" t="s">
        <v>391</v>
      </c>
      <c r="F4214" t="s">
        <v>392</v>
      </c>
      <c r="G4214">
        <v>2</v>
      </c>
      <c r="H4214" t="s">
        <v>438</v>
      </c>
      <c r="I4214" s="4">
        <f t="shared" si="583"/>
        <v>3</v>
      </c>
      <c r="J4214">
        <f t="shared" si="584"/>
        <v>6</v>
      </c>
      <c r="K4214">
        <v>56</v>
      </c>
      <c r="L4214">
        <v>18</v>
      </c>
      <c r="M4214">
        <v>3.11</v>
      </c>
      <c r="N4214">
        <v>2.92</v>
      </c>
      <c r="O4214">
        <v>0</v>
      </c>
      <c r="P4214">
        <v>5</v>
      </c>
      <c r="Q4214" t="s">
        <v>566</v>
      </c>
      <c r="R4214" s="8" t="s">
        <v>260</v>
      </c>
      <c r="S4214" t="str">
        <f t="shared" si="582"/>
        <v>PA</v>
      </c>
    </row>
    <row r="4215" spans="1:19" x14ac:dyDescent="0.3">
      <c r="A4215" t="s">
        <v>8</v>
      </c>
      <c r="B4215">
        <v>2016210032</v>
      </c>
      <c r="C4215" t="s">
        <v>28</v>
      </c>
      <c r="E4215" t="s">
        <v>110</v>
      </c>
      <c r="F4215" t="s">
        <v>111</v>
      </c>
      <c r="G4215">
        <v>4</v>
      </c>
      <c r="H4215" t="s">
        <v>524</v>
      </c>
      <c r="I4215" s="4">
        <f t="shared" si="583"/>
        <v>2</v>
      </c>
      <c r="J4215">
        <f t="shared" si="584"/>
        <v>8</v>
      </c>
      <c r="K4215">
        <v>60</v>
      </c>
      <c r="L4215">
        <v>20</v>
      </c>
      <c r="M4215" s="2">
        <v>3</v>
      </c>
      <c r="N4215">
        <v>2.92</v>
      </c>
      <c r="O4215">
        <v>0</v>
      </c>
      <c r="P4215">
        <v>1</v>
      </c>
      <c r="Q4215" t="s">
        <v>558</v>
      </c>
      <c r="R4215" s="8" t="s">
        <v>260</v>
      </c>
      <c r="S4215" t="str">
        <f t="shared" si="582"/>
        <v>PA</v>
      </c>
    </row>
    <row r="4216" spans="1:19" x14ac:dyDescent="0.3">
      <c r="A4216" t="s">
        <v>8</v>
      </c>
      <c r="B4216">
        <v>2016210032</v>
      </c>
      <c r="C4216" t="s">
        <v>28</v>
      </c>
      <c r="E4216" t="s">
        <v>110</v>
      </c>
      <c r="F4216" t="s">
        <v>111</v>
      </c>
      <c r="G4216">
        <v>4</v>
      </c>
      <c r="H4216" t="s">
        <v>438</v>
      </c>
      <c r="I4216" s="4">
        <f t="shared" si="583"/>
        <v>3</v>
      </c>
      <c r="J4216">
        <f t="shared" si="584"/>
        <v>12</v>
      </c>
      <c r="K4216">
        <v>72</v>
      </c>
      <c r="L4216">
        <v>32</v>
      </c>
      <c r="M4216" s="2">
        <v>2.25</v>
      </c>
      <c r="N4216">
        <v>2.92</v>
      </c>
      <c r="O4216">
        <v>1</v>
      </c>
      <c r="P4216">
        <v>10</v>
      </c>
      <c r="Q4216" t="s">
        <v>578</v>
      </c>
      <c r="R4216" s="8" t="s">
        <v>260</v>
      </c>
      <c r="S4216" t="str">
        <f t="shared" si="582"/>
        <v>PA</v>
      </c>
    </row>
    <row r="4217" spans="1:19" x14ac:dyDescent="0.3">
      <c r="A4217" t="s">
        <v>8</v>
      </c>
      <c r="B4217">
        <v>2016210032</v>
      </c>
      <c r="C4217" t="s">
        <v>28</v>
      </c>
      <c r="E4217" t="s">
        <v>395</v>
      </c>
      <c r="F4217" t="s">
        <v>396</v>
      </c>
      <c r="G4217">
        <v>2</v>
      </c>
      <c r="H4217" t="s">
        <v>524</v>
      </c>
      <c r="I4217" s="4">
        <f t="shared" si="583"/>
        <v>2</v>
      </c>
      <c r="J4217">
        <f t="shared" si="584"/>
        <v>4</v>
      </c>
      <c r="K4217">
        <v>60</v>
      </c>
      <c r="L4217">
        <v>20</v>
      </c>
      <c r="M4217" s="2">
        <v>3</v>
      </c>
      <c r="N4217">
        <v>2.92</v>
      </c>
      <c r="O4217">
        <v>0</v>
      </c>
      <c r="P4217">
        <v>1</v>
      </c>
      <c r="Q4217" t="s">
        <v>558</v>
      </c>
      <c r="R4217" s="8" t="s">
        <v>260</v>
      </c>
      <c r="S4217" t="str">
        <f t="shared" si="582"/>
        <v>PA</v>
      </c>
    </row>
    <row r="4218" spans="1:19" x14ac:dyDescent="0.3">
      <c r="A4218" t="s">
        <v>8</v>
      </c>
      <c r="B4218">
        <v>2016210032</v>
      </c>
      <c r="C4218" t="s">
        <v>28</v>
      </c>
      <c r="E4218" t="s">
        <v>238</v>
      </c>
      <c r="F4218" t="s">
        <v>239</v>
      </c>
      <c r="G4218">
        <v>4</v>
      </c>
      <c r="H4218" t="s">
        <v>524</v>
      </c>
      <c r="I4218" s="4">
        <f t="shared" si="583"/>
        <v>2</v>
      </c>
      <c r="J4218">
        <f t="shared" si="584"/>
        <v>8</v>
      </c>
      <c r="K4218">
        <v>46</v>
      </c>
      <c r="L4218">
        <v>22</v>
      </c>
      <c r="M4218">
        <v>2.09</v>
      </c>
      <c r="N4218">
        <v>2.92</v>
      </c>
      <c r="O4218">
        <v>0</v>
      </c>
      <c r="P4218">
        <v>6</v>
      </c>
      <c r="Q4218" t="s">
        <v>567</v>
      </c>
      <c r="R4218" s="8" t="s">
        <v>260</v>
      </c>
      <c r="S4218" t="str">
        <f t="shared" si="582"/>
        <v>PA</v>
      </c>
    </row>
    <row r="4219" spans="1:19" x14ac:dyDescent="0.3">
      <c r="A4219" t="s">
        <v>8</v>
      </c>
      <c r="B4219">
        <v>2016210032</v>
      </c>
      <c r="C4219" t="s">
        <v>28</v>
      </c>
      <c r="E4219" t="s">
        <v>125</v>
      </c>
      <c r="F4219" t="s">
        <v>126</v>
      </c>
      <c r="G4219">
        <v>4</v>
      </c>
      <c r="H4219" t="s">
        <v>524</v>
      </c>
      <c r="I4219" s="4">
        <f t="shared" si="583"/>
        <v>2</v>
      </c>
      <c r="J4219">
        <f t="shared" si="584"/>
        <v>8</v>
      </c>
      <c r="K4219">
        <v>44</v>
      </c>
      <c r="L4219">
        <v>18</v>
      </c>
      <c r="M4219">
        <v>2.44</v>
      </c>
      <c r="N4219">
        <v>2.92</v>
      </c>
      <c r="O4219">
        <v>0</v>
      </c>
      <c r="P4219">
        <v>2</v>
      </c>
      <c r="Q4219" t="s">
        <v>559</v>
      </c>
      <c r="R4219" s="8" t="s">
        <v>260</v>
      </c>
      <c r="S4219" t="str">
        <f t="shared" si="582"/>
        <v>PA</v>
      </c>
    </row>
    <row r="4220" spans="1:19" x14ac:dyDescent="0.3">
      <c r="A4220" t="s">
        <v>8</v>
      </c>
      <c r="B4220">
        <v>2016210032</v>
      </c>
      <c r="C4220" t="s">
        <v>28</v>
      </c>
      <c r="E4220" t="s">
        <v>136</v>
      </c>
      <c r="F4220" t="s">
        <v>137</v>
      </c>
      <c r="G4220">
        <v>4</v>
      </c>
      <c r="H4220" t="s">
        <v>524</v>
      </c>
      <c r="I4220" s="4">
        <f t="shared" si="583"/>
        <v>2</v>
      </c>
      <c r="J4220">
        <f t="shared" si="584"/>
        <v>8</v>
      </c>
      <c r="K4220">
        <v>46</v>
      </c>
      <c r="L4220">
        <v>22</v>
      </c>
      <c r="M4220">
        <v>2.09</v>
      </c>
      <c r="N4220">
        <v>2.92</v>
      </c>
      <c r="O4220">
        <v>0</v>
      </c>
      <c r="P4220">
        <v>6</v>
      </c>
      <c r="Q4220" t="s">
        <v>567</v>
      </c>
      <c r="R4220" s="8" t="s">
        <v>260</v>
      </c>
      <c r="S4220" t="str">
        <f t="shared" si="582"/>
        <v>PA</v>
      </c>
    </row>
    <row r="4221" spans="1:19" x14ac:dyDescent="0.3">
      <c r="A4221" t="s">
        <v>8</v>
      </c>
      <c r="B4221">
        <v>2016210032</v>
      </c>
      <c r="C4221" t="s">
        <v>28</v>
      </c>
      <c r="E4221" t="s">
        <v>105</v>
      </c>
      <c r="F4221" t="s">
        <v>106</v>
      </c>
      <c r="G4221">
        <v>2</v>
      </c>
      <c r="H4221" t="s">
        <v>524</v>
      </c>
      <c r="I4221" s="4">
        <f t="shared" si="583"/>
        <v>2</v>
      </c>
      <c r="J4221">
        <f t="shared" si="584"/>
        <v>4</v>
      </c>
      <c r="K4221">
        <v>48</v>
      </c>
      <c r="L4221">
        <v>20</v>
      </c>
      <c r="M4221" s="2">
        <v>2.4</v>
      </c>
      <c r="N4221">
        <v>2.92</v>
      </c>
      <c r="O4221">
        <v>0</v>
      </c>
      <c r="P4221">
        <v>3</v>
      </c>
      <c r="Q4221" t="s">
        <v>563</v>
      </c>
      <c r="R4221" s="8" t="s">
        <v>260</v>
      </c>
      <c r="S4221" t="str">
        <f t="shared" si="582"/>
        <v>PA</v>
      </c>
    </row>
    <row r="4222" spans="1:19" x14ac:dyDescent="0.3">
      <c r="A4222" t="s">
        <v>8</v>
      </c>
      <c r="B4222">
        <v>2016210032</v>
      </c>
      <c r="C4222" t="s">
        <v>28</v>
      </c>
      <c r="E4222" t="s">
        <v>115</v>
      </c>
      <c r="F4222" t="s">
        <v>116</v>
      </c>
      <c r="G4222">
        <v>4</v>
      </c>
      <c r="H4222" t="s">
        <v>524</v>
      </c>
      <c r="I4222" s="4">
        <f t="shared" si="583"/>
        <v>2</v>
      </c>
      <c r="J4222">
        <f t="shared" si="584"/>
        <v>8</v>
      </c>
      <c r="K4222">
        <v>44</v>
      </c>
      <c r="L4222">
        <v>18</v>
      </c>
      <c r="M4222">
        <v>2.44</v>
      </c>
      <c r="N4222">
        <v>2.92</v>
      </c>
      <c r="O4222">
        <v>0</v>
      </c>
      <c r="P4222">
        <v>2</v>
      </c>
      <c r="Q4222" t="s">
        <v>559</v>
      </c>
      <c r="R4222" s="8" t="s">
        <v>260</v>
      </c>
      <c r="S4222" t="str">
        <f t="shared" si="582"/>
        <v>PA</v>
      </c>
    </row>
    <row r="4223" spans="1:19" x14ac:dyDescent="0.3">
      <c r="A4223" t="s">
        <v>8</v>
      </c>
      <c r="B4223">
        <v>2016210032</v>
      </c>
      <c r="C4223" t="s">
        <v>28</v>
      </c>
      <c r="E4223" t="s">
        <v>250</v>
      </c>
      <c r="F4223" t="s">
        <v>429</v>
      </c>
      <c r="G4223">
        <v>2</v>
      </c>
      <c r="H4223" t="s">
        <v>524</v>
      </c>
      <c r="I4223" s="4">
        <f t="shared" si="583"/>
        <v>2</v>
      </c>
      <c r="J4223">
        <f t="shared" si="584"/>
        <v>4</v>
      </c>
      <c r="K4223">
        <v>20</v>
      </c>
      <c r="L4223">
        <v>10</v>
      </c>
      <c r="M4223" s="2">
        <v>2</v>
      </c>
      <c r="N4223">
        <v>2.92</v>
      </c>
      <c r="O4223">
        <v>0</v>
      </c>
      <c r="P4223">
        <v>8</v>
      </c>
      <c r="Q4223" t="s">
        <v>569</v>
      </c>
      <c r="R4223" s="8" t="s">
        <v>260</v>
      </c>
      <c r="S4223" t="str">
        <f t="shared" si="582"/>
        <v>PA</v>
      </c>
    </row>
    <row r="4224" spans="1:19" x14ac:dyDescent="0.3">
      <c r="A4224" t="s">
        <v>8</v>
      </c>
      <c r="B4224">
        <v>2016210032</v>
      </c>
      <c r="C4224" t="s">
        <v>28</v>
      </c>
      <c r="E4224" t="s">
        <v>597</v>
      </c>
      <c r="F4224" t="s">
        <v>275</v>
      </c>
      <c r="G4224">
        <v>2</v>
      </c>
      <c r="H4224" t="s">
        <v>524</v>
      </c>
      <c r="I4224" s="4">
        <f t="shared" si="583"/>
        <v>2</v>
      </c>
      <c r="J4224">
        <f t="shared" si="584"/>
        <v>4</v>
      </c>
      <c r="K4224">
        <v>46</v>
      </c>
      <c r="L4224">
        <v>22</v>
      </c>
      <c r="M4224">
        <v>2.09</v>
      </c>
      <c r="N4224">
        <v>2.92</v>
      </c>
      <c r="O4224">
        <v>0</v>
      </c>
      <c r="P4224">
        <v>6</v>
      </c>
      <c r="Q4224" t="s">
        <v>567</v>
      </c>
      <c r="R4224" s="8" t="s">
        <v>260</v>
      </c>
      <c r="S4224" t="str">
        <f t="shared" si="582"/>
        <v>PA</v>
      </c>
    </row>
    <row r="4225" spans="1:19" x14ac:dyDescent="0.3">
      <c r="A4225" t="s">
        <v>8</v>
      </c>
      <c r="B4225">
        <v>2016210032</v>
      </c>
      <c r="C4225" t="s">
        <v>28</v>
      </c>
      <c r="E4225" t="s">
        <v>449</v>
      </c>
      <c r="F4225" t="s">
        <v>460</v>
      </c>
      <c r="G4225">
        <v>4</v>
      </c>
      <c r="H4225" t="s">
        <v>524</v>
      </c>
      <c r="I4225" s="4">
        <f t="shared" si="583"/>
        <v>2</v>
      </c>
      <c r="J4225">
        <f t="shared" si="584"/>
        <v>8</v>
      </c>
      <c r="K4225">
        <v>38</v>
      </c>
      <c r="L4225">
        <v>18</v>
      </c>
      <c r="M4225">
        <v>2.11</v>
      </c>
      <c r="N4225">
        <v>2.92</v>
      </c>
      <c r="O4225">
        <v>0</v>
      </c>
      <c r="P4225">
        <v>4</v>
      </c>
      <c r="Q4225" t="s">
        <v>565</v>
      </c>
      <c r="R4225" s="8" t="s">
        <v>260</v>
      </c>
      <c r="S4225" t="str">
        <f t="shared" si="582"/>
        <v>PA</v>
      </c>
    </row>
    <row r="4226" spans="1:19" x14ac:dyDescent="0.3">
      <c r="A4226" t="s">
        <v>8</v>
      </c>
      <c r="B4226">
        <v>2016210032</v>
      </c>
      <c r="C4226" t="s">
        <v>28</v>
      </c>
      <c r="E4226" t="s">
        <v>176</v>
      </c>
      <c r="F4226" t="s">
        <v>177</v>
      </c>
      <c r="G4226">
        <v>4</v>
      </c>
      <c r="H4226" t="s">
        <v>524</v>
      </c>
      <c r="I4226" s="4">
        <f t="shared" si="583"/>
        <v>2</v>
      </c>
      <c r="J4226">
        <f t="shared" si="584"/>
        <v>8</v>
      </c>
      <c r="K4226">
        <v>8</v>
      </c>
      <c r="L4226">
        <v>4</v>
      </c>
      <c r="M4226" s="2">
        <v>2</v>
      </c>
      <c r="N4226">
        <v>2.92</v>
      </c>
      <c r="O4226">
        <v>0</v>
      </c>
      <c r="P4226">
        <v>9</v>
      </c>
      <c r="Q4226" t="s">
        <v>570</v>
      </c>
      <c r="R4226" s="8" t="s">
        <v>260</v>
      </c>
      <c r="S4226" t="str">
        <f t="shared" si="582"/>
        <v>PA</v>
      </c>
    </row>
    <row r="4227" spans="1:19" x14ac:dyDescent="0.3">
      <c r="A4227" t="s">
        <v>8</v>
      </c>
      <c r="B4227">
        <v>2016210032</v>
      </c>
      <c r="C4227" t="s">
        <v>28</v>
      </c>
      <c r="E4227" t="s">
        <v>80</v>
      </c>
      <c r="F4227" t="s">
        <v>81</v>
      </c>
      <c r="G4227">
        <v>4</v>
      </c>
      <c r="H4227" t="s">
        <v>535</v>
      </c>
      <c r="I4227" s="4">
        <f t="shared" si="583"/>
        <v>1</v>
      </c>
      <c r="J4227">
        <f t="shared" si="584"/>
        <v>4</v>
      </c>
      <c r="K4227">
        <v>46</v>
      </c>
      <c r="L4227">
        <v>22</v>
      </c>
      <c r="M4227">
        <v>2.09</v>
      </c>
      <c r="N4227">
        <v>2.92</v>
      </c>
      <c r="O4227">
        <v>0</v>
      </c>
      <c r="P4227">
        <v>6</v>
      </c>
      <c r="Q4227" t="s">
        <v>567</v>
      </c>
      <c r="R4227" s="8" t="s">
        <v>260</v>
      </c>
      <c r="S4227" t="str">
        <f t="shared" si="582"/>
        <v>FA</v>
      </c>
    </row>
    <row r="4228" spans="1:19" x14ac:dyDescent="0.3">
      <c r="A4228" t="s">
        <v>8</v>
      </c>
      <c r="B4228">
        <v>2016210032</v>
      </c>
      <c r="C4228" t="s">
        <v>28</v>
      </c>
      <c r="E4228" t="s">
        <v>80</v>
      </c>
      <c r="F4228" t="s">
        <v>81</v>
      </c>
      <c r="G4228">
        <v>4</v>
      </c>
      <c r="H4228" t="s">
        <v>438</v>
      </c>
      <c r="I4228" s="4">
        <f t="shared" si="583"/>
        <v>3</v>
      </c>
      <c r="J4228">
        <f t="shared" si="584"/>
        <v>12</v>
      </c>
      <c r="K4228">
        <v>72</v>
      </c>
      <c r="L4228">
        <v>32</v>
      </c>
      <c r="M4228" s="2">
        <v>2.25</v>
      </c>
      <c r="N4228">
        <v>2.92</v>
      </c>
      <c r="O4228">
        <v>1</v>
      </c>
      <c r="P4228">
        <v>10</v>
      </c>
      <c r="Q4228" t="s">
        <v>578</v>
      </c>
      <c r="R4228" s="8" t="s">
        <v>260</v>
      </c>
      <c r="S4228" t="str">
        <f t="shared" si="582"/>
        <v>PA</v>
      </c>
    </row>
    <row r="4229" spans="1:19" x14ac:dyDescent="0.3">
      <c r="A4229" t="s">
        <v>8</v>
      </c>
      <c r="B4229">
        <v>2016210032</v>
      </c>
      <c r="C4229" t="s">
        <v>28</v>
      </c>
      <c r="E4229" t="s">
        <v>44</v>
      </c>
      <c r="F4229" t="s">
        <v>45</v>
      </c>
      <c r="G4229">
        <v>2</v>
      </c>
      <c r="H4229" t="s">
        <v>438</v>
      </c>
      <c r="I4229" s="4">
        <f t="shared" si="583"/>
        <v>3</v>
      </c>
      <c r="J4229">
        <f t="shared" si="584"/>
        <v>6</v>
      </c>
      <c r="K4229">
        <v>72</v>
      </c>
      <c r="L4229">
        <v>32</v>
      </c>
      <c r="M4229" s="2">
        <v>2.25</v>
      </c>
      <c r="N4229">
        <v>2.92</v>
      </c>
      <c r="O4229">
        <v>1</v>
      </c>
      <c r="P4229">
        <v>10</v>
      </c>
      <c r="Q4229" t="s">
        <v>578</v>
      </c>
      <c r="R4229" s="8" t="s">
        <v>260</v>
      </c>
      <c r="S4229" t="str">
        <f t="shared" si="582"/>
        <v>PA</v>
      </c>
    </row>
    <row r="4230" spans="1:19" x14ac:dyDescent="0.3">
      <c r="A4230" t="s">
        <v>8</v>
      </c>
      <c r="B4230">
        <v>2016210032</v>
      </c>
      <c r="C4230" t="s">
        <v>28</v>
      </c>
      <c r="E4230" t="s">
        <v>44</v>
      </c>
      <c r="F4230" t="s">
        <v>45</v>
      </c>
      <c r="G4230">
        <v>2</v>
      </c>
      <c r="H4230" t="s">
        <v>535</v>
      </c>
      <c r="I4230" s="4">
        <f t="shared" si="583"/>
        <v>1</v>
      </c>
      <c r="J4230">
        <f t="shared" si="584"/>
        <v>2</v>
      </c>
      <c r="K4230">
        <v>44</v>
      </c>
      <c r="L4230">
        <v>18</v>
      </c>
      <c r="M4230">
        <v>2.44</v>
      </c>
      <c r="N4230">
        <v>2.92</v>
      </c>
      <c r="O4230">
        <v>0</v>
      </c>
      <c r="P4230">
        <v>2</v>
      </c>
      <c r="Q4230" t="s">
        <v>559</v>
      </c>
      <c r="R4230" s="8" t="s">
        <v>260</v>
      </c>
      <c r="S4230" t="str">
        <f t="shared" si="582"/>
        <v>FA</v>
      </c>
    </row>
    <row r="4231" spans="1:19" x14ac:dyDescent="0.3">
      <c r="A4231" t="s">
        <v>8</v>
      </c>
      <c r="B4231">
        <v>2016210032</v>
      </c>
      <c r="C4231" t="s">
        <v>28</v>
      </c>
      <c r="E4231" t="s">
        <v>107</v>
      </c>
      <c r="F4231" t="s">
        <v>108</v>
      </c>
      <c r="G4231">
        <v>2</v>
      </c>
      <c r="H4231" t="s">
        <v>539</v>
      </c>
      <c r="I4231" s="4">
        <f t="shared" si="583"/>
        <v>0</v>
      </c>
      <c r="J4231">
        <f t="shared" si="584"/>
        <v>0</v>
      </c>
      <c r="K4231">
        <v>46</v>
      </c>
      <c r="L4231">
        <v>22</v>
      </c>
      <c r="M4231">
        <v>2.09</v>
      </c>
      <c r="N4231">
        <v>2.92</v>
      </c>
      <c r="O4231">
        <v>0</v>
      </c>
      <c r="P4231">
        <v>6</v>
      </c>
      <c r="Q4231" t="s">
        <v>567</v>
      </c>
      <c r="R4231" s="8" t="s">
        <v>260</v>
      </c>
      <c r="S4231" t="str">
        <f t="shared" si="582"/>
        <v>FA</v>
      </c>
    </row>
    <row r="4232" spans="1:19" x14ac:dyDescent="0.3">
      <c r="A4232" t="s">
        <v>8</v>
      </c>
      <c r="B4232">
        <v>2016210032</v>
      </c>
      <c r="C4232" t="s">
        <v>28</v>
      </c>
      <c r="E4232" t="s">
        <v>232</v>
      </c>
      <c r="F4232" t="s">
        <v>245</v>
      </c>
      <c r="G4232">
        <v>2</v>
      </c>
      <c r="H4232" t="s">
        <v>539</v>
      </c>
      <c r="I4232" s="4">
        <f t="shared" si="583"/>
        <v>0</v>
      </c>
      <c r="J4232">
        <f t="shared" si="584"/>
        <v>0</v>
      </c>
      <c r="K4232">
        <v>20</v>
      </c>
      <c r="L4232">
        <v>10</v>
      </c>
      <c r="M4232" s="2">
        <v>2</v>
      </c>
      <c r="N4232">
        <v>2.92</v>
      </c>
      <c r="O4232">
        <v>0</v>
      </c>
      <c r="P4232">
        <v>8</v>
      </c>
      <c r="Q4232" s="4" t="str">
        <f>IF(P4232=1,"2016/2017-Ganjil",IF(P4232=2,"2016/2017-Genap",IF(P4232=3,"2017/2018-Ganjil",IF(P4232=4,"2017/2018-Genap",IF(P4232=5,"2018/2019-Ganjil",IF(P4232=6,"2018/2019-Genap",IF(P4232=7,"2019/2020-Ganjil",IF(P4232=8,"2019/2020-Genap",IF(P4232=9,"2020/2021-Ganjil",IF(P4232=10,"2020/2021-Genap",IF(P4232=11,"2021/2022-Ganjil",IF(P4232=12,"2021/2022-Genap",IF(P4232=13,"2022/2023-Ganjil","2022/2023-Genap")))))))))))))</f>
        <v>2019/2020-Genap</v>
      </c>
      <c r="R4232" s="8" t="s">
        <v>260</v>
      </c>
      <c r="S4232" t="str">
        <f t="shared" si="582"/>
        <v>FA</v>
      </c>
    </row>
    <row r="4233" spans="1:19" x14ac:dyDescent="0.3">
      <c r="A4233" t="s">
        <v>8</v>
      </c>
      <c r="B4233">
        <v>2016210032</v>
      </c>
      <c r="C4233" t="s">
        <v>28</v>
      </c>
      <c r="E4233" t="s">
        <v>401</v>
      </c>
      <c r="F4233" t="s">
        <v>258</v>
      </c>
      <c r="G4233">
        <v>4</v>
      </c>
      <c r="H4233" t="s">
        <v>539</v>
      </c>
      <c r="I4233" s="4">
        <f t="shared" si="583"/>
        <v>0</v>
      </c>
      <c r="J4233">
        <f t="shared" si="584"/>
        <v>0</v>
      </c>
      <c r="K4233">
        <v>48</v>
      </c>
      <c r="L4233">
        <v>20</v>
      </c>
      <c r="M4233" s="2">
        <v>2.4</v>
      </c>
      <c r="N4233">
        <v>2.92</v>
      </c>
      <c r="O4233">
        <v>0</v>
      </c>
      <c r="P4233">
        <v>3</v>
      </c>
      <c r="Q4233" t="s">
        <v>563</v>
      </c>
      <c r="R4233" s="8" t="s">
        <v>260</v>
      </c>
      <c r="S4233" t="str">
        <f t="shared" si="582"/>
        <v>FA</v>
      </c>
    </row>
    <row r="4234" spans="1:19" x14ac:dyDescent="0.3">
      <c r="A4234" t="s">
        <v>8</v>
      </c>
      <c r="B4234">
        <v>2016210032</v>
      </c>
      <c r="C4234" t="s">
        <v>28</v>
      </c>
      <c r="E4234" t="s">
        <v>107</v>
      </c>
      <c r="F4234" t="s">
        <v>108</v>
      </c>
      <c r="G4234">
        <v>2</v>
      </c>
      <c r="H4234" t="s">
        <v>438</v>
      </c>
      <c r="I4234" s="4">
        <f t="shared" si="583"/>
        <v>3</v>
      </c>
      <c r="J4234">
        <f t="shared" si="584"/>
        <v>6</v>
      </c>
      <c r="K4234">
        <v>72</v>
      </c>
      <c r="L4234">
        <v>32</v>
      </c>
      <c r="M4234" s="2">
        <v>2.25</v>
      </c>
      <c r="N4234">
        <v>2.92</v>
      </c>
      <c r="O4234">
        <v>1</v>
      </c>
      <c r="P4234">
        <v>10</v>
      </c>
      <c r="Q4234" t="s">
        <v>578</v>
      </c>
      <c r="R4234" s="8" t="s">
        <v>260</v>
      </c>
      <c r="S4234" t="str">
        <f t="shared" si="582"/>
        <v>PA</v>
      </c>
    </row>
    <row r="4235" spans="1:19" x14ac:dyDescent="0.3">
      <c r="A4235" t="s">
        <v>8</v>
      </c>
      <c r="B4235">
        <v>2016210032</v>
      </c>
      <c r="C4235" t="s">
        <v>28</v>
      </c>
      <c r="E4235" t="s">
        <v>232</v>
      </c>
      <c r="F4235" t="s">
        <v>245</v>
      </c>
      <c r="G4235">
        <v>2</v>
      </c>
      <c r="H4235" t="s">
        <v>524</v>
      </c>
      <c r="I4235" s="4">
        <f t="shared" si="583"/>
        <v>2</v>
      </c>
      <c r="J4235">
        <f t="shared" si="584"/>
        <v>4</v>
      </c>
      <c r="K4235">
        <v>72</v>
      </c>
      <c r="L4235">
        <v>32</v>
      </c>
      <c r="M4235" s="2">
        <v>2.25</v>
      </c>
      <c r="N4235">
        <v>2.92</v>
      </c>
      <c r="O4235">
        <v>1</v>
      </c>
      <c r="P4235">
        <v>10</v>
      </c>
      <c r="Q4235" t="s">
        <v>578</v>
      </c>
      <c r="R4235" s="8" t="s">
        <v>260</v>
      </c>
      <c r="S4235" t="str">
        <f t="shared" si="582"/>
        <v>PA</v>
      </c>
    </row>
    <row r="4236" spans="1:19" x14ac:dyDescent="0.3">
      <c r="A4236" t="s">
        <v>8</v>
      </c>
      <c r="B4236">
        <v>2016210032</v>
      </c>
      <c r="C4236" t="s">
        <v>28</v>
      </c>
      <c r="E4236" t="s">
        <v>401</v>
      </c>
      <c r="F4236" t="s">
        <v>258</v>
      </c>
      <c r="G4236">
        <v>4</v>
      </c>
      <c r="H4236" t="s">
        <v>438</v>
      </c>
      <c r="I4236" s="4">
        <f t="shared" si="583"/>
        <v>3</v>
      </c>
      <c r="J4236">
        <f t="shared" si="584"/>
        <v>12</v>
      </c>
      <c r="K4236">
        <v>72</v>
      </c>
      <c r="L4236">
        <v>32</v>
      </c>
      <c r="M4236" s="2">
        <v>2.25</v>
      </c>
      <c r="N4236">
        <v>2.92</v>
      </c>
      <c r="O4236">
        <v>1</v>
      </c>
      <c r="P4236">
        <v>10</v>
      </c>
      <c r="Q4236" t="s">
        <v>578</v>
      </c>
      <c r="R4236" s="8" t="s">
        <v>260</v>
      </c>
      <c r="S4236" t="str">
        <f t="shared" si="582"/>
        <v>PA</v>
      </c>
    </row>
    <row r="4237" spans="1:19" x14ac:dyDescent="0.3">
      <c r="A4237" t="s">
        <v>8</v>
      </c>
      <c r="B4237">
        <v>2016210032</v>
      </c>
      <c r="C4237" t="s">
        <v>28</v>
      </c>
      <c r="E4237" t="s">
        <v>253</v>
      </c>
      <c r="F4237" t="s">
        <v>254</v>
      </c>
      <c r="G4237">
        <v>2</v>
      </c>
      <c r="H4237" t="s">
        <v>260</v>
      </c>
      <c r="I4237" s="4">
        <f t="shared" si="583"/>
        <v>4</v>
      </c>
      <c r="J4237">
        <f t="shared" si="584"/>
        <v>8</v>
      </c>
      <c r="K4237">
        <v>72</v>
      </c>
      <c r="L4237">
        <v>32</v>
      </c>
      <c r="M4237" s="2">
        <v>2.25</v>
      </c>
      <c r="N4237">
        <v>2.92</v>
      </c>
      <c r="O4237">
        <v>1</v>
      </c>
      <c r="P4237">
        <v>10</v>
      </c>
      <c r="Q4237" t="s">
        <v>578</v>
      </c>
      <c r="R4237" s="8" t="s">
        <v>260</v>
      </c>
      <c r="S4237" t="str">
        <f t="shared" si="582"/>
        <v>PA</v>
      </c>
    </row>
    <row r="4238" spans="1:19" x14ac:dyDescent="0.3">
      <c r="A4238" t="s">
        <v>8</v>
      </c>
      <c r="B4238">
        <v>2016210032</v>
      </c>
      <c r="C4238" t="s">
        <v>28</v>
      </c>
      <c r="E4238" t="s">
        <v>253</v>
      </c>
      <c r="F4238" t="s">
        <v>254</v>
      </c>
      <c r="G4238">
        <v>2</v>
      </c>
      <c r="H4238" t="s">
        <v>539</v>
      </c>
      <c r="I4238" s="4">
        <f t="shared" si="583"/>
        <v>0</v>
      </c>
      <c r="J4238">
        <f t="shared" si="584"/>
        <v>0</v>
      </c>
      <c r="K4238">
        <v>38</v>
      </c>
      <c r="L4238">
        <v>18</v>
      </c>
      <c r="M4238">
        <v>2.11</v>
      </c>
      <c r="N4238">
        <v>2.92</v>
      </c>
      <c r="O4238">
        <v>0</v>
      </c>
      <c r="P4238">
        <v>4</v>
      </c>
      <c r="Q4238" s="4" t="str">
        <f>IF(P4238=1,"2016/2017-Ganjil",IF(P4238=2,"2016/2017-Genap",IF(P4238=3,"2017/2018-Ganjil",IF(P4238=4,"2017/2018-Genap",IF(P4238=5,"2018/2019-Ganjil",IF(P4238=6,"2018/2019-Genap",IF(P4238=7,"2019/2020-Ganjil",IF(P4238=8,"2019/2020-Genap",IF(P4238=9,"2020/2021-Ganjil",IF(P4238=10,"2020/2021-Genap",IF(P4238=11,"2021/2022-Ganjil",IF(P4238=12,"2021/2022-Genap",IF(P4238=13,"2022/2023-Ganjil","2022/2023-Genap")))))))))))))</f>
        <v>2017/2018-Genap</v>
      </c>
      <c r="R4238" s="8" t="s">
        <v>260</v>
      </c>
      <c r="S4238" t="str">
        <f t="shared" si="582"/>
        <v>FA</v>
      </c>
    </row>
    <row r="4239" spans="1:19" x14ac:dyDescent="0.3">
      <c r="A4239" t="s">
        <v>8</v>
      </c>
      <c r="B4239">
        <v>2016210032</v>
      </c>
      <c r="C4239" t="s">
        <v>28</v>
      </c>
      <c r="E4239" t="s">
        <v>246</v>
      </c>
      <c r="F4239" t="s">
        <v>247</v>
      </c>
      <c r="G4239">
        <v>4</v>
      </c>
      <c r="H4239" t="s">
        <v>539</v>
      </c>
      <c r="I4239" s="4">
        <f t="shared" si="583"/>
        <v>0</v>
      </c>
      <c r="J4239">
        <f t="shared" si="584"/>
        <v>0</v>
      </c>
      <c r="K4239">
        <v>38</v>
      </c>
      <c r="L4239">
        <v>18</v>
      </c>
      <c r="M4239">
        <v>2.11</v>
      </c>
      <c r="N4239">
        <v>2.92</v>
      </c>
      <c r="O4239">
        <v>0</v>
      </c>
      <c r="P4239">
        <v>4</v>
      </c>
      <c r="Q4239" t="s">
        <v>565</v>
      </c>
      <c r="R4239" s="8" t="s">
        <v>260</v>
      </c>
      <c r="S4239" t="str">
        <f t="shared" si="582"/>
        <v>FA</v>
      </c>
    </row>
    <row r="4240" spans="1:19" x14ac:dyDescent="0.3">
      <c r="A4240" t="s">
        <v>8</v>
      </c>
      <c r="B4240">
        <v>2016210032</v>
      </c>
      <c r="C4240" t="s">
        <v>28</v>
      </c>
      <c r="E4240" t="s">
        <v>246</v>
      </c>
      <c r="F4240" t="s">
        <v>247</v>
      </c>
      <c r="G4240">
        <v>4</v>
      </c>
      <c r="H4240" t="s">
        <v>438</v>
      </c>
      <c r="I4240" s="4">
        <f t="shared" si="583"/>
        <v>3</v>
      </c>
      <c r="J4240">
        <f t="shared" si="584"/>
        <v>12</v>
      </c>
      <c r="K4240">
        <v>72</v>
      </c>
      <c r="L4240">
        <v>32</v>
      </c>
      <c r="M4240" s="2">
        <v>2.25</v>
      </c>
      <c r="N4240">
        <v>2.92</v>
      </c>
      <c r="O4240">
        <v>1</v>
      </c>
      <c r="P4240">
        <v>10</v>
      </c>
      <c r="Q4240" t="s">
        <v>578</v>
      </c>
      <c r="R4240" s="8" t="s">
        <v>260</v>
      </c>
      <c r="S4240" t="str">
        <f t="shared" si="582"/>
        <v>PA</v>
      </c>
    </row>
    <row r="4241" spans="1:19" x14ac:dyDescent="0.3">
      <c r="A4241" t="s">
        <v>8</v>
      </c>
      <c r="B4241">
        <v>2016210033</v>
      </c>
      <c r="C4241" t="s">
        <v>278</v>
      </c>
      <c r="E4241" t="s">
        <v>279</v>
      </c>
      <c r="F4241" t="s">
        <v>280</v>
      </c>
      <c r="G4241">
        <v>2</v>
      </c>
      <c r="H4241" t="s">
        <v>260</v>
      </c>
      <c r="I4241" s="4">
        <f t="shared" si="583"/>
        <v>4</v>
      </c>
      <c r="J4241">
        <f t="shared" si="584"/>
        <v>8</v>
      </c>
      <c r="K4241">
        <v>54</v>
      </c>
      <c r="L4241">
        <v>18</v>
      </c>
      <c r="M4241" s="2">
        <v>3</v>
      </c>
      <c r="N4241">
        <v>3.28</v>
      </c>
      <c r="O4241">
        <v>0</v>
      </c>
      <c r="P4241">
        <v>2</v>
      </c>
      <c r="Q4241" t="s">
        <v>559</v>
      </c>
      <c r="R4241" s="8" t="s">
        <v>260</v>
      </c>
      <c r="S4241" t="str">
        <f t="shared" si="582"/>
        <v>PA</v>
      </c>
    </row>
    <row r="4242" spans="1:19" x14ac:dyDescent="0.3">
      <c r="A4242" t="s">
        <v>8</v>
      </c>
      <c r="B4242">
        <v>2016210033</v>
      </c>
      <c r="C4242" t="s">
        <v>278</v>
      </c>
      <c r="E4242" t="s">
        <v>87</v>
      </c>
      <c r="F4242" t="s">
        <v>88</v>
      </c>
      <c r="G4242">
        <v>2</v>
      </c>
      <c r="H4242" t="s">
        <v>260</v>
      </c>
      <c r="I4242" s="4">
        <f t="shared" si="583"/>
        <v>4</v>
      </c>
      <c r="J4242">
        <f t="shared" si="584"/>
        <v>8</v>
      </c>
      <c r="K4242">
        <v>74</v>
      </c>
      <c r="L4242">
        <v>24</v>
      </c>
      <c r="M4242">
        <v>3.08</v>
      </c>
      <c r="N4242">
        <v>3.28</v>
      </c>
      <c r="O4242">
        <v>0</v>
      </c>
      <c r="P4242">
        <v>6</v>
      </c>
      <c r="Q4242" t="s">
        <v>567</v>
      </c>
      <c r="R4242" s="8" t="s">
        <v>260</v>
      </c>
      <c r="S4242" t="str">
        <f t="shared" si="582"/>
        <v>PA</v>
      </c>
    </row>
    <row r="4243" spans="1:19" x14ac:dyDescent="0.3">
      <c r="A4243" t="s">
        <v>8</v>
      </c>
      <c r="B4243">
        <v>2016210033</v>
      </c>
      <c r="C4243" t="s">
        <v>278</v>
      </c>
      <c r="E4243" t="s">
        <v>216</v>
      </c>
      <c r="F4243" t="s">
        <v>217</v>
      </c>
      <c r="G4243">
        <v>2</v>
      </c>
      <c r="H4243" t="s">
        <v>260</v>
      </c>
      <c r="I4243" s="4">
        <f t="shared" si="583"/>
        <v>4</v>
      </c>
      <c r="J4243">
        <f t="shared" si="584"/>
        <v>8</v>
      </c>
      <c r="K4243">
        <v>82</v>
      </c>
      <c r="L4243">
        <v>24</v>
      </c>
      <c r="M4243">
        <v>3.42</v>
      </c>
      <c r="N4243">
        <v>3.28</v>
      </c>
      <c r="O4243">
        <v>0</v>
      </c>
      <c r="P4243">
        <v>4</v>
      </c>
      <c r="Q4243" t="s">
        <v>565</v>
      </c>
      <c r="R4243" s="8" t="s">
        <v>260</v>
      </c>
      <c r="S4243" t="str">
        <f t="shared" si="582"/>
        <v>PA</v>
      </c>
    </row>
    <row r="4244" spans="1:19" x14ac:dyDescent="0.3">
      <c r="A4244" t="s">
        <v>8</v>
      </c>
      <c r="B4244">
        <v>2016210033</v>
      </c>
      <c r="C4244" t="s">
        <v>278</v>
      </c>
      <c r="E4244" t="s">
        <v>93</v>
      </c>
      <c r="F4244" t="s">
        <v>94</v>
      </c>
      <c r="G4244">
        <v>4</v>
      </c>
      <c r="H4244" t="s">
        <v>260</v>
      </c>
      <c r="I4244" s="4">
        <f t="shared" si="583"/>
        <v>4</v>
      </c>
      <c r="J4244">
        <f t="shared" si="584"/>
        <v>16</v>
      </c>
      <c r="K4244">
        <v>78</v>
      </c>
      <c r="L4244">
        <v>24</v>
      </c>
      <c r="M4244">
        <v>3.25</v>
      </c>
      <c r="N4244">
        <v>3.28</v>
      </c>
      <c r="O4244">
        <v>0</v>
      </c>
      <c r="P4244">
        <v>3</v>
      </c>
      <c r="Q4244" t="s">
        <v>563</v>
      </c>
      <c r="R4244" s="8" t="s">
        <v>260</v>
      </c>
      <c r="S4244" t="str">
        <f t="shared" si="582"/>
        <v>PA</v>
      </c>
    </row>
    <row r="4245" spans="1:19" x14ac:dyDescent="0.3">
      <c r="A4245" t="s">
        <v>8</v>
      </c>
      <c r="B4245">
        <v>2016210033</v>
      </c>
      <c r="C4245" t="s">
        <v>278</v>
      </c>
      <c r="E4245" t="s">
        <v>182</v>
      </c>
      <c r="F4245" t="s">
        <v>171</v>
      </c>
      <c r="G4245">
        <v>2</v>
      </c>
      <c r="H4245" t="s">
        <v>260</v>
      </c>
      <c r="I4245" s="4">
        <f t="shared" si="583"/>
        <v>4</v>
      </c>
      <c r="J4245">
        <f t="shared" si="584"/>
        <v>8</v>
      </c>
      <c r="K4245">
        <v>78</v>
      </c>
      <c r="L4245">
        <v>24</v>
      </c>
      <c r="M4245">
        <v>3.25</v>
      </c>
      <c r="N4245">
        <v>3.28</v>
      </c>
      <c r="O4245">
        <v>0</v>
      </c>
      <c r="P4245">
        <v>5</v>
      </c>
      <c r="Q4245" t="s">
        <v>566</v>
      </c>
      <c r="R4245" s="8" t="s">
        <v>260</v>
      </c>
      <c r="S4245" t="str">
        <f t="shared" si="582"/>
        <v>PA</v>
      </c>
    </row>
    <row r="4246" spans="1:19" x14ac:dyDescent="0.3">
      <c r="A4246" t="s">
        <v>8</v>
      </c>
      <c r="B4246">
        <v>2016210033</v>
      </c>
      <c r="C4246" t="s">
        <v>278</v>
      </c>
      <c r="E4246" t="s">
        <v>295</v>
      </c>
      <c r="F4246" t="s">
        <v>296</v>
      </c>
      <c r="G4246">
        <v>2</v>
      </c>
      <c r="H4246" t="s">
        <v>260</v>
      </c>
      <c r="I4246" s="4">
        <f t="shared" si="583"/>
        <v>4</v>
      </c>
      <c r="J4246">
        <f t="shared" si="584"/>
        <v>8</v>
      </c>
      <c r="K4246">
        <v>78</v>
      </c>
      <c r="L4246">
        <v>24</v>
      </c>
      <c r="M4246">
        <v>3.25</v>
      </c>
      <c r="N4246">
        <v>3.28</v>
      </c>
      <c r="O4246">
        <v>0</v>
      </c>
      <c r="P4246">
        <v>3</v>
      </c>
      <c r="Q4246" t="s">
        <v>563</v>
      </c>
      <c r="R4246" s="8" t="s">
        <v>260</v>
      </c>
      <c r="S4246" t="str">
        <f t="shared" si="582"/>
        <v>PA</v>
      </c>
    </row>
    <row r="4247" spans="1:19" x14ac:dyDescent="0.3">
      <c r="A4247" t="s">
        <v>8</v>
      </c>
      <c r="B4247">
        <v>2016210033</v>
      </c>
      <c r="C4247" t="s">
        <v>278</v>
      </c>
      <c r="E4247" t="s">
        <v>185</v>
      </c>
      <c r="F4247" t="s">
        <v>186</v>
      </c>
      <c r="G4247">
        <v>4</v>
      </c>
      <c r="H4247" t="s">
        <v>260</v>
      </c>
      <c r="I4247" s="4">
        <f t="shared" si="583"/>
        <v>4</v>
      </c>
      <c r="J4247">
        <f t="shared" si="584"/>
        <v>16</v>
      </c>
      <c r="K4247">
        <v>40</v>
      </c>
      <c r="L4247">
        <v>14</v>
      </c>
      <c r="M4247">
        <v>2.86</v>
      </c>
      <c r="N4247">
        <v>3.28</v>
      </c>
      <c r="O4247">
        <v>0</v>
      </c>
      <c r="P4247">
        <v>7</v>
      </c>
      <c r="Q4247" t="s">
        <v>568</v>
      </c>
      <c r="R4247" t="s">
        <v>596</v>
      </c>
      <c r="S4247" t="str">
        <f t="shared" si="582"/>
        <v>PA</v>
      </c>
    </row>
    <row r="4248" spans="1:19" x14ac:dyDescent="0.3">
      <c r="A4248" t="s">
        <v>8</v>
      </c>
      <c r="B4248">
        <v>2016210033</v>
      </c>
      <c r="C4248" t="s">
        <v>278</v>
      </c>
      <c r="E4248" t="s">
        <v>77</v>
      </c>
      <c r="F4248" t="s">
        <v>78</v>
      </c>
      <c r="G4248">
        <v>2</v>
      </c>
      <c r="H4248" t="s">
        <v>260</v>
      </c>
      <c r="I4248" s="4">
        <f t="shared" si="583"/>
        <v>4</v>
      </c>
      <c r="J4248">
        <f t="shared" si="584"/>
        <v>8</v>
      </c>
      <c r="K4248">
        <v>68</v>
      </c>
      <c r="L4248">
        <v>20</v>
      </c>
      <c r="M4248" s="2">
        <v>3.4</v>
      </c>
      <c r="N4248">
        <v>3.28</v>
      </c>
      <c r="O4248">
        <v>0</v>
      </c>
      <c r="P4248">
        <v>1</v>
      </c>
      <c r="Q4248" t="s">
        <v>558</v>
      </c>
      <c r="R4248" s="8" t="s">
        <v>260</v>
      </c>
      <c r="S4248" t="str">
        <f t="shared" ref="S4248:S4293" si="585">IF(OR(H4248="A",H4248="B",H4248="C"),"PA","FA")</f>
        <v>PA</v>
      </c>
    </row>
    <row r="4249" spans="1:19" x14ac:dyDescent="0.3">
      <c r="A4249" t="s">
        <v>8</v>
      </c>
      <c r="B4249">
        <v>2016210033</v>
      </c>
      <c r="C4249" t="s">
        <v>278</v>
      </c>
      <c r="E4249" t="s">
        <v>176</v>
      </c>
      <c r="F4249" t="s">
        <v>177</v>
      </c>
      <c r="G4249">
        <v>4</v>
      </c>
      <c r="H4249" t="s">
        <v>260</v>
      </c>
      <c r="I4249" s="4">
        <f t="shared" ref="I4249:I4293" si="586">IF(H4249="A",4,IF(H4249="B",3,IF(H4249="C",2,IF(H4249="D",1,0))))</f>
        <v>4</v>
      </c>
      <c r="J4249">
        <f t="shared" ref="J4249:J4293" si="587">G4249*I4249</f>
        <v>16</v>
      </c>
      <c r="K4249">
        <v>78</v>
      </c>
      <c r="L4249">
        <v>24</v>
      </c>
      <c r="M4249">
        <v>3.25</v>
      </c>
      <c r="N4249">
        <v>3.28</v>
      </c>
      <c r="O4249">
        <v>0</v>
      </c>
      <c r="P4249">
        <v>5</v>
      </c>
      <c r="Q4249" t="s">
        <v>566</v>
      </c>
      <c r="R4249" s="8" t="s">
        <v>260</v>
      </c>
      <c r="S4249" t="str">
        <f t="shared" si="585"/>
        <v>PA</v>
      </c>
    </row>
    <row r="4250" spans="1:19" x14ac:dyDescent="0.3">
      <c r="A4250" t="s">
        <v>8</v>
      </c>
      <c r="B4250">
        <v>2016210033</v>
      </c>
      <c r="C4250" t="s">
        <v>278</v>
      </c>
      <c r="E4250" t="s">
        <v>202</v>
      </c>
      <c r="F4250" t="s">
        <v>203</v>
      </c>
      <c r="G4250">
        <v>4</v>
      </c>
      <c r="H4250" t="s">
        <v>260</v>
      </c>
      <c r="I4250" s="4">
        <f t="shared" si="586"/>
        <v>4</v>
      </c>
      <c r="J4250">
        <f t="shared" si="587"/>
        <v>16</v>
      </c>
      <c r="K4250">
        <v>68</v>
      </c>
      <c r="L4250">
        <v>20</v>
      </c>
      <c r="M4250" s="2">
        <v>3.4</v>
      </c>
      <c r="N4250">
        <v>3.28</v>
      </c>
      <c r="O4250">
        <v>0</v>
      </c>
      <c r="P4250">
        <v>1</v>
      </c>
      <c r="Q4250" t="s">
        <v>558</v>
      </c>
      <c r="R4250" s="8" t="s">
        <v>260</v>
      </c>
      <c r="S4250" t="str">
        <f t="shared" si="585"/>
        <v>PA</v>
      </c>
    </row>
    <row r="4251" spans="1:19" x14ac:dyDescent="0.3">
      <c r="A4251" t="s">
        <v>8</v>
      </c>
      <c r="B4251">
        <v>2016210033</v>
      </c>
      <c r="C4251" t="s">
        <v>278</v>
      </c>
      <c r="E4251" t="s">
        <v>131</v>
      </c>
      <c r="F4251" t="s">
        <v>132</v>
      </c>
      <c r="G4251">
        <v>2</v>
      </c>
      <c r="H4251" t="s">
        <v>260</v>
      </c>
      <c r="I4251" s="4">
        <f t="shared" si="586"/>
        <v>4</v>
      </c>
      <c r="J4251">
        <f t="shared" si="587"/>
        <v>8</v>
      </c>
      <c r="K4251">
        <v>68</v>
      </c>
      <c r="L4251">
        <v>20</v>
      </c>
      <c r="M4251" s="2">
        <v>3.4</v>
      </c>
      <c r="N4251">
        <v>3.28</v>
      </c>
      <c r="O4251">
        <v>0</v>
      </c>
      <c r="P4251">
        <v>1</v>
      </c>
      <c r="Q4251" t="s">
        <v>558</v>
      </c>
      <c r="R4251" s="8" t="s">
        <v>260</v>
      </c>
      <c r="S4251" t="str">
        <f t="shared" si="585"/>
        <v>PA</v>
      </c>
    </row>
    <row r="4252" spans="1:19" x14ac:dyDescent="0.3">
      <c r="A4252" t="s">
        <v>8</v>
      </c>
      <c r="B4252">
        <v>2016210033</v>
      </c>
      <c r="C4252" t="s">
        <v>278</v>
      </c>
      <c r="E4252" t="s">
        <v>180</v>
      </c>
      <c r="F4252" t="s">
        <v>181</v>
      </c>
      <c r="G4252">
        <v>4</v>
      </c>
      <c r="H4252" t="s">
        <v>260</v>
      </c>
      <c r="I4252" s="4">
        <f t="shared" si="586"/>
        <v>4</v>
      </c>
      <c r="J4252">
        <f t="shared" si="587"/>
        <v>16</v>
      </c>
      <c r="K4252">
        <v>82</v>
      </c>
      <c r="L4252">
        <v>24</v>
      </c>
      <c r="M4252">
        <v>3.42</v>
      </c>
      <c r="N4252">
        <v>3.28</v>
      </c>
      <c r="O4252">
        <v>0</v>
      </c>
      <c r="P4252">
        <v>4</v>
      </c>
      <c r="Q4252" t="s">
        <v>565</v>
      </c>
      <c r="R4252" s="8" t="s">
        <v>260</v>
      </c>
      <c r="S4252" t="str">
        <f t="shared" si="585"/>
        <v>PA</v>
      </c>
    </row>
    <row r="4253" spans="1:19" x14ac:dyDescent="0.3">
      <c r="A4253" t="s">
        <v>8</v>
      </c>
      <c r="B4253">
        <v>2016210033</v>
      </c>
      <c r="C4253" t="s">
        <v>278</v>
      </c>
      <c r="E4253" t="s">
        <v>232</v>
      </c>
      <c r="F4253" t="s">
        <v>233</v>
      </c>
      <c r="G4253">
        <v>2</v>
      </c>
      <c r="H4253" t="s">
        <v>260</v>
      </c>
      <c r="I4253" s="4">
        <f t="shared" si="586"/>
        <v>4</v>
      </c>
      <c r="J4253">
        <f t="shared" si="587"/>
        <v>8</v>
      </c>
      <c r="K4253">
        <v>82</v>
      </c>
      <c r="L4253">
        <v>24</v>
      </c>
      <c r="M4253">
        <v>3.42</v>
      </c>
      <c r="N4253">
        <v>3.28</v>
      </c>
      <c r="O4253">
        <v>0</v>
      </c>
      <c r="P4253">
        <v>4</v>
      </c>
      <c r="Q4253" t="s">
        <v>565</v>
      </c>
      <c r="R4253" s="8" t="s">
        <v>260</v>
      </c>
      <c r="S4253" t="str">
        <f t="shared" si="585"/>
        <v>PA</v>
      </c>
    </row>
    <row r="4254" spans="1:19" x14ac:dyDescent="0.3">
      <c r="A4254" t="s">
        <v>8</v>
      </c>
      <c r="B4254">
        <v>2016210033</v>
      </c>
      <c r="C4254" t="s">
        <v>278</v>
      </c>
      <c r="E4254" t="s">
        <v>266</v>
      </c>
      <c r="F4254" t="s">
        <v>91</v>
      </c>
      <c r="G4254">
        <v>2</v>
      </c>
      <c r="H4254" t="s">
        <v>260</v>
      </c>
      <c r="I4254" s="4">
        <f t="shared" si="586"/>
        <v>4</v>
      </c>
      <c r="J4254">
        <f t="shared" si="587"/>
        <v>8</v>
      </c>
      <c r="K4254">
        <v>54</v>
      </c>
      <c r="L4254">
        <v>18</v>
      </c>
      <c r="M4254" s="2">
        <v>3</v>
      </c>
      <c r="N4254">
        <v>3.28</v>
      </c>
      <c r="O4254">
        <v>0</v>
      </c>
      <c r="P4254">
        <v>2</v>
      </c>
      <c r="Q4254" t="s">
        <v>559</v>
      </c>
      <c r="R4254" s="8" t="s">
        <v>260</v>
      </c>
      <c r="S4254" t="str">
        <f t="shared" si="585"/>
        <v>PA</v>
      </c>
    </row>
    <row r="4255" spans="1:19" x14ac:dyDescent="0.3">
      <c r="A4255" t="s">
        <v>8</v>
      </c>
      <c r="B4255">
        <v>2016210033</v>
      </c>
      <c r="C4255" t="s">
        <v>278</v>
      </c>
      <c r="E4255" t="s">
        <v>597</v>
      </c>
      <c r="F4255" t="s">
        <v>275</v>
      </c>
      <c r="G4255">
        <v>2</v>
      </c>
      <c r="H4255" t="s">
        <v>260</v>
      </c>
      <c r="I4255" s="4">
        <f t="shared" si="586"/>
        <v>4</v>
      </c>
      <c r="J4255">
        <f t="shared" si="587"/>
        <v>8</v>
      </c>
      <c r="K4255">
        <v>74</v>
      </c>
      <c r="L4255">
        <v>24</v>
      </c>
      <c r="M4255">
        <v>3.08</v>
      </c>
      <c r="N4255">
        <v>3.28</v>
      </c>
      <c r="O4255">
        <v>0</v>
      </c>
      <c r="P4255">
        <v>6</v>
      </c>
      <c r="Q4255" t="s">
        <v>567</v>
      </c>
      <c r="R4255" s="8" t="s">
        <v>260</v>
      </c>
      <c r="S4255" t="str">
        <f t="shared" si="585"/>
        <v>PA</v>
      </c>
    </row>
    <row r="4256" spans="1:19" x14ac:dyDescent="0.3">
      <c r="A4256" t="s">
        <v>8</v>
      </c>
      <c r="B4256">
        <v>2016210033</v>
      </c>
      <c r="C4256" t="s">
        <v>278</v>
      </c>
      <c r="E4256" t="s">
        <v>163</v>
      </c>
      <c r="F4256" t="s">
        <v>164</v>
      </c>
      <c r="G4256">
        <v>2</v>
      </c>
      <c r="H4256" t="s">
        <v>260</v>
      </c>
      <c r="I4256" s="4">
        <f t="shared" si="586"/>
        <v>4</v>
      </c>
      <c r="J4256">
        <f t="shared" si="587"/>
        <v>8</v>
      </c>
      <c r="K4256">
        <v>68</v>
      </c>
      <c r="L4256">
        <v>20</v>
      </c>
      <c r="M4256" s="2">
        <v>3.4</v>
      </c>
      <c r="N4256">
        <v>3.28</v>
      </c>
      <c r="O4256">
        <v>0</v>
      </c>
      <c r="P4256">
        <v>1</v>
      </c>
      <c r="Q4256" t="s">
        <v>558</v>
      </c>
      <c r="R4256" s="8" t="s">
        <v>260</v>
      </c>
      <c r="S4256" t="str">
        <f t="shared" si="585"/>
        <v>PA</v>
      </c>
    </row>
    <row r="4257" spans="1:19" x14ac:dyDescent="0.3">
      <c r="A4257" t="s">
        <v>8</v>
      </c>
      <c r="B4257">
        <v>2016210033</v>
      </c>
      <c r="C4257" t="s">
        <v>278</v>
      </c>
      <c r="E4257" t="s">
        <v>242</v>
      </c>
      <c r="F4257" t="s">
        <v>166</v>
      </c>
      <c r="G4257">
        <v>2</v>
      </c>
      <c r="H4257" t="s">
        <v>260</v>
      </c>
      <c r="I4257" s="4">
        <f t="shared" si="586"/>
        <v>4</v>
      </c>
      <c r="J4257">
        <f t="shared" si="587"/>
        <v>8</v>
      </c>
      <c r="K4257">
        <v>82</v>
      </c>
      <c r="L4257">
        <v>24</v>
      </c>
      <c r="M4257">
        <v>3.42</v>
      </c>
      <c r="N4257">
        <v>3.28</v>
      </c>
      <c r="O4257">
        <v>0</v>
      </c>
      <c r="P4257">
        <v>4</v>
      </c>
      <c r="Q4257" t="s">
        <v>565</v>
      </c>
      <c r="R4257" s="8" t="s">
        <v>260</v>
      </c>
      <c r="S4257" t="str">
        <f t="shared" si="585"/>
        <v>PA</v>
      </c>
    </row>
    <row r="4258" spans="1:19" x14ac:dyDescent="0.3">
      <c r="A4258" t="s">
        <v>8</v>
      </c>
      <c r="B4258">
        <v>2016210033</v>
      </c>
      <c r="C4258" t="s">
        <v>278</v>
      </c>
      <c r="E4258" t="s">
        <v>147</v>
      </c>
      <c r="F4258" t="s">
        <v>148</v>
      </c>
      <c r="G4258">
        <v>4</v>
      </c>
      <c r="H4258" t="s">
        <v>260</v>
      </c>
      <c r="I4258" s="4">
        <f t="shared" si="586"/>
        <v>4</v>
      </c>
      <c r="J4258">
        <f t="shared" si="587"/>
        <v>16</v>
      </c>
      <c r="K4258">
        <v>68</v>
      </c>
      <c r="L4258">
        <v>20</v>
      </c>
      <c r="M4258" s="2">
        <v>3.4</v>
      </c>
      <c r="N4258">
        <v>3.28</v>
      </c>
      <c r="O4258">
        <v>0</v>
      </c>
      <c r="P4258">
        <v>1</v>
      </c>
      <c r="Q4258" t="s">
        <v>558</v>
      </c>
      <c r="R4258" s="8" t="s">
        <v>260</v>
      </c>
      <c r="S4258" t="str">
        <f t="shared" si="585"/>
        <v>PA</v>
      </c>
    </row>
    <row r="4259" spans="1:19" x14ac:dyDescent="0.3">
      <c r="A4259" t="s">
        <v>8</v>
      </c>
      <c r="B4259">
        <v>2016210033</v>
      </c>
      <c r="C4259" t="s">
        <v>278</v>
      </c>
      <c r="E4259" t="s">
        <v>125</v>
      </c>
      <c r="F4259" t="s">
        <v>126</v>
      </c>
      <c r="G4259">
        <v>4</v>
      </c>
      <c r="H4259" t="s">
        <v>438</v>
      </c>
      <c r="I4259" s="4">
        <f t="shared" si="586"/>
        <v>3</v>
      </c>
      <c r="J4259">
        <f t="shared" si="587"/>
        <v>12</v>
      </c>
      <c r="K4259">
        <v>54</v>
      </c>
      <c r="L4259">
        <v>18</v>
      </c>
      <c r="M4259" s="2">
        <v>3</v>
      </c>
      <c r="N4259">
        <v>3.28</v>
      </c>
      <c r="O4259">
        <v>0</v>
      </c>
      <c r="P4259">
        <v>2</v>
      </c>
      <c r="Q4259" t="s">
        <v>559</v>
      </c>
      <c r="R4259" s="8" t="s">
        <v>260</v>
      </c>
      <c r="S4259" t="str">
        <f t="shared" si="585"/>
        <v>PA</v>
      </c>
    </row>
    <row r="4260" spans="1:19" x14ac:dyDescent="0.3">
      <c r="A4260" t="s">
        <v>8</v>
      </c>
      <c r="B4260">
        <v>2016210033</v>
      </c>
      <c r="C4260" t="s">
        <v>278</v>
      </c>
      <c r="E4260" t="s">
        <v>238</v>
      </c>
      <c r="F4260" t="s">
        <v>239</v>
      </c>
      <c r="G4260">
        <v>4</v>
      </c>
      <c r="H4260" t="s">
        <v>438</v>
      </c>
      <c r="I4260" s="4">
        <f t="shared" si="586"/>
        <v>3</v>
      </c>
      <c r="J4260">
        <f t="shared" si="587"/>
        <v>12</v>
      </c>
      <c r="K4260">
        <v>74</v>
      </c>
      <c r="L4260">
        <v>24</v>
      </c>
      <c r="M4260">
        <v>3.08</v>
      </c>
      <c r="N4260">
        <v>3.28</v>
      </c>
      <c r="O4260">
        <v>0</v>
      </c>
      <c r="P4260">
        <v>6</v>
      </c>
      <c r="Q4260" t="s">
        <v>567</v>
      </c>
      <c r="R4260" s="8" t="s">
        <v>260</v>
      </c>
      <c r="S4260" t="str">
        <f t="shared" si="585"/>
        <v>PA</v>
      </c>
    </row>
    <row r="4261" spans="1:19" x14ac:dyDescent="0.3">
      <c r="A4261" t="s">
        <v>8</v>
      </c>
      <c r="B4261">
        <v>2016210033</v>
      </c>
      <c r="C4261" t="s">
        <v>278</v>
      </c>
      <c r="E4261" t="s">
        <v>355</v>
      </c>
      <c r="F4261" t="s">
        <v>274</v>
      </c>
      <c r="G4261">
        <v>2</v>
      </c>
      <c r="H4261" t="s">
        <v>438</v>
      </c>
      <c r="I4261" s="4">
        <f t="shared" si="586"/>
        <v>3</v>
      </c>
      <c r="J4261">
        <f t="shared" si="587"/>
        <v>6</v>
      </c>
      <c r="K4261">
        <v>82</v>
      </c>
      <c r="L4261">
        <v>24</v>
      </c>
      <c r="M4261">
        <v>3.42</v>
      </c>
      <c r="N4261">
        <v>3.28</v>
      </c>
      <c r="O4261">
        <v>0</v>
      </c>
      <c r="P4261">
        <v>4</v>
      </c>
      <c r="Q4261" t="s">
        <v>565</v>
      </c>
      <c r="R4261" s="8" t="s">
        <v>260</v>
      </c>
      <c r="S4261" t="str">
        <f t="shared" si="585"/>
        <v>PA</v>
      </c>
    </row>
    <row r="4262" spans="1:19" x14ac:dyDescent="0.3">
      <c r="A4262" t="s">
        <v>8</v>
      </c>
      <c r="B4262">
        <v>2016210033</v>
      </c>
      <c r="C4262" t="s">
        <v>278</v>
      </c>
      <c r="E4262" t="s">
        <v>17</v>
      </c>
      <c r="F4262" t="s">
        <v>11</v>
      </c>
      <c r="G4262">
        <v>2</v>
      </c>
      <c r="H4262" t="s">
        <v>438</v>
      </c>
      <c r="I4262" s="4">
        <f t="shared" si="586"/>
        <v>3</v>
      </c>
      <c r="J4262">
        <f t="shared" si="587"/>
        <v>6</v>
      </c>
      <c r="K4262">
        <v>74</v>
      </c>
      <c r="L4262">
        <v>24</v>
      </c>
      <c r="M4262">
        <v>3.08</v>
      </c>
      <c r="N4262">
        <v>3.28</v>
      </c>
      <c r="O4262">
        <v>0</v>
      </c>
      <c r="P4262">
        <v>6</v>
      </c>
      <c r="Q4262" t="s">
        <v>567</v>
      </c>
      <c r="R4262" s="8" t="s">
        <v>260</v>
      </c>
      <c r="S4262" t="str">
        <f t="shared" si="585"/>
        <v>PA</v>
      </c>
    </row>
    <row r="4263" spans="1:19" x14ac:dyDescent="0.3">
      <c r="A4263" t="s">
        <v>8</v>
      </c>
      <c r="B4263">
        <v>2016210033</v>
      </c>
      <c r="C4263" t="s">
        <v>278</v>
      </c>
      <c r="E4263" t="s">
        <v>105</v>
      </c>
      <c r="F4263" t="s">
        <v>106</v>
      </c>
      <c r="G4263">
        <v>2</v>
      </c>
      <c r="H4263" t="s">
        <v>438</v>
      </c>
      <c r="I4263" s="4">
        <f t="shared" si="586"/>
        <v>3</v>
      </c>
      <c r="J4263">
        <f t="shared" si="587"/>
        <v>6</v>
      </c>
      <c r="K4263">
        <v>78</v>
      </c>
      <c r="L4263">
        <v>24</v>
      </c>
      <c r="M4263">
        <v>3.25</v>
      </c>
      <c r="N4263">
        <v>3.28</v>
      </c>
      <c r="O4263">
        <v>0</v>
      </c>
      <c r="P4263">
        <v>3</v>
      </c>
      <c r="Q4263" t="s">
        <v>563</v>
      </c>
      <c r="R4263" s="8" t="s">
        <v>260</v>
      </c>
      <c r="S4263" t="str">
        <f t="shared" si="585"/>
        <v>PA</v>
      </c>
    </row>
    <row r="4264" spans="1:19" x14ac:dyDescent="0.3">
      <c r="A4264" t="s">
        <v>8</v>
      </c>
      <c r="B4264">
        <v>2016210033</v>
      </c>
      <c r="C4264" t="s">
        <v>278</v>
      </c>
      <c r="E4264" t="s">
        <v>213</v>
      </c>
      <c r="F4264" t="s">
        <v>214</v>
      </c>
      <c r="G4264">
        <v>4</v>
      </c>
      <c r="H4264" t="s">
        <v>438</v>
      </c>
      <c r="I4264" s="4">
        <f t="shared" si="586"/>
        <v>3</v>
      </c>
      <c r="J4264">
        <f t="shared" si="587"/>
        <v>12</v>
      </c>
      <c r="K4264">
        <v>78</v>
      </c>
      <c r="L4264">
        <v>24</v>
      </c>
      <c r="M4264">
        <v>3.25</v>
      </c>
      <c r="N4264">
        <v>3.28</v>
      </c>
      <c r="O4264">
        <v>0</v>
      </c>
      <c r="P4264">
        <v>5</v>
      </c>
      <c r="Q4264" t="s">
        <v>566</v>
      </c>
      <c r="R4264" s="8" t="s">
        <v>260</v>
      </c>
      <c r="S4264" t="str">
        <f t="shared" si="585"/>
        <v>PA</v>
      </c>
    </row>
    <row r="4265" spans="1:19" x14ac:dyDescent="0.3">
      <c r="A4265" t="s">
        <v>8</v>
      </c>
      <c r="B4265">
        <v>2016210033</v>
      </c>
      <c r="C4265" t="s">
        <v>278</v>
      </c>
      <c r="E4265" t="s">
        <v>227</v>
      </c>
      <c r="F4265" t="s">
        <v>228</v>
      </c>
      <c r="G4265">
        <v>2</v>
      </c>
      <c r="H4265" t="s">
        <v>438</v>
      </c>
      <c r="I4265" s="4">
        <f t="shared" si="586"/>
        <v>3</v>
      </c>
      <c r="J4265">
        <f t="shared" si="587"/>
        <v>6</v>
      </c>
      <c r="K4265">
        <v>78</v>
      </c>
      <c r="L4265">
        <v>24</v>
      </c>
      <c r="M4265">
        <v>3.25</v>
      </c>
      <c r="N4265">
        <v>3.28</v>
      </c>
      <c r="O4265">
        <v>0</v>
      </c>
      <c r="P4265">
        <v>3</v>
      </c>
      <c r="Q4265" t="s">
        <v>563</v>
      </c>
      <c r="R4265" s="8" t="s">
        <v>260</v>
      </c>
      <c r="S4265" t="str">
        <f t="shared" si="585"/>
        <v>PA</v>
      </c>
    </row>
    <row r="4266" spans="1:19" x14ac:dyDescent="0.3">
      <c r="A4266" t="s">
        <v>8</v>
      </c>
      <c r="B4266">
        <v>2016210033</v>
      </c>
      <c r="C4266" t="s">
        <v>278</v>
      </c>
      <c r="E4266" t="s">
        <v>393</v>
      </c>
      <c r="F4266" t="s">
        <v>436</v>
      </c>
      <c r="G4266">
        <v>2</v>
      </c>
      <c r="H4266" t="s">
        <v>438</v>
      </c>
      <c r="I4266" s="4">
        <f t="shared" si="586"/>
        <v>3</v>
      </c>
      <c r="J4266">
        <f t="shared" si="587"/>
        <v>6</v>
      </c>
      <c r="K4266">
        <v>78</v>
      </c>
      <c r="L4266">
        <v>24</v>
      </c>
      <c r="M4266">
        <v>3.25</v>
      </c>
      <c r="N4266">
        <v>3.28</v>
      </c>
      <c r="O4266">
        <v>0</v>
      </c>
      <c r="P4266">
        <v>5</v>
      </c>
      <c r="Q4266" t="s">
        <v>566</v>
      </c>
      <c r="R4266" s="8" t="s">
        <v>260</v>
      </c>
      <c r="S4266" t="str">
        <f t="shared" si="585"/>
        <v>PA</v>
      </c>
    </row>
    <row r="4267" spans="1:19" x14ac:dyDescent="0.3">
      <c r="A4267" t="s">
        <v>8</v>
      </c>
      <c r="B4267">
        <v>2016210033</v>
      </c>
      <c r="C4267" t="s">
        <v>278</v>
      </c>
      <c r="E4267" t="s">
        <v>115</v>
      </c>
      <c r="F4267" t="s">
        <v>116</v>
      </c>
      <c r="G4267">
        <v>4</v>
      </c>
      <c r="H4267" t="s">
        <v>438</v>
      </c>
      <c r="I4267" s="4">
        <f t="shared" si="586"/>
        <v>3</v>
      </c>
      <c r="J4267">
        <f t="shared" si="587"/>
        <v>12</v>
      </c>
      <c r="K4267">
        <v>54</v>
      </c>
      <c r="L4267">
        <v>18</v>
      </c>
      <c r="M4267" s="2">
        <v>3</v>
      </c>
      <c r="N4267">
        <v>3.28</v>
      </c>
      <c r="O4267">
        <v>0</v>
      </c>
      <c r="P4267">
        <v>2</v>
      </c>
      <c r="Q4267" t="s">
        <v>559</v>
      </c>
      <c r="R4267" s="8" t="s">
        <v>260</v>
      </c>
      <c r="S4267" t="str">
        <f t="shared" si="585"/>
        <v>PA</v>
      </c>
    </row>
    <row r="4268" spans="1:19" x14ac:dyDescent="0.3">
      <c r="A4268" t="s">
        <v>8</v>
      </c>
      <c r="B4268">
        <v>2016210033</v>
      </c>
      <c r="C4268" t="s">
        <v>278</v>
      </c>
      <c r="E4268" t="s">
        <v>136</v>
      </c>
      <c r="F4268" t="s">
        <v>137</v>
      </c>
      <c r="G4268">
        <v>4</v>
      </c>
      <c r="H4268" t="s">
        <v>438</v>
      </c>
      <c r="I4268" s="4">
        <f t="shared" si="586"/>
        <v>3</v>
      </c>
      <c r="J4268">
        <f t="shared" si="587"/>
        <v>12</v>
      </c>
      <c r="K4268">
        <v>74</v>
      </c>
      <c r="L4268">
        <v>24</v>
      </c>
      <c r="M4268">
        <v>3.08</v>
      </c>
      <c r="N4268">
        <v>3.28</v>
      </c>
      <c r="O4268">
        <v>0</v>
      </c>
      <c r="P4268">
        <v>6</v>
      </c>
      <c r="Q4268" t="s">
        <v>567</v>
      </c>
      <c r="R4268" s="8" t="s">
        <v>260</v>
      </c>
      <c r="S4268" t="str">
        <f t="shared" si="585"/>
        <v>PA</v>
      </c>
    </row>
    <row r="4269" spans="1:19" x14ac:dyDescent="0.3">
      <c r="A4269" t="s">
        <v>8</v>
      </c>
      <c r="B4269">
        <v>2016210033</v>
      </c>
      <c r="C4269" t="s">
        <v>278</v>
      </c>
      <c r="E4269" t="s">
        <v>246</v>
      </c>
      <c r="F4269" t="s">
        <v>247</v>
      </c>
      <c r="G4269">
        <v>4</v>
      </c>
      <c r="H4269" t="s">
        <v>438</v>
      </c>
      <c r="I4269" s="4">
        <f t="shared" si="586"/>
        <v>3</v>
      </c>
      <c r="J4269">
        <f t="shared" si="587"/>
        <v>12</v>
      </c>
      <c r="K4269">
        <v>82</v>
      </c>
      <c r="L4269">
        <v>24</v>
      </c>
      <c r="M4269">
        <v>3.42</v>
      </c>
      <c r="N4269">
        <v>3.28</v>
      </c>
      <c r="O4269">
        <v>0</v>
      </c>
      <c r="P4269">
        <v>4</v>
      </c>
      <c r="Q4269" t="s">
        <v>565</v>
      </c>
      <c r="R4269" s="8" t="s">
        <v>260</v>
      </c>
      <c r="S4269" t="str">
        <f t="shared" si="585"/>
        <v>PA</v>
      </c>
    </row>
    <row r="4270" spans="1:19" x14ac:dyDescent="0.3">
      <c r="A4270" t="s">
        <v>8</v>
      </c>
      <c r="B4270">
        <v>2016210033</v>
      </c>
      <c r="C4270" t="s">
        <v>278</v>
      </c>
      <c r="E4270" t="s">
        <v>107</v>
      </c>
      <c r="F4270" t="s">
        <v>108</v>
      </c>
      <c r="G4270">
        <v>2</v>
      </c>
      <c r="H4270" t="s">
        <v>438</v>
      </c>
      <c r="I4270" s="4">
        <f t="shared" si="586"/>
        <v>3</v>
      </c>
      <c r="J4270">
        <f t="shared" si="587"/>
        <v>6</v>
      </c>
      <c r="K4270">
        <v>74</v>
      </c>
      <c r="L4270">
        <v>24</v>
      </c>
      <c r="M4270">
        <v>3.08</v>
      </c>
      <c r="N4270">
        <v>3.28</v>
      </c>
      <c r="O4270">
        <v>0</v>
      </c>
      <c r="P4270">
        <v>6</v>
      </c>
      <c r="Q4270" t="s">
        <v>567</v>
      </c>
      <c r="R4270" s="8" t="s">
        <v>260</v>
      </c>
      <c r="S4270" t="str">
        <f t="shared" si="585"/>
        <v>PA</v>
      </c>
    </row>
    <row r="4271" spans="1:19" x14ac:dyDescent="0.3">
      <c r="A4271" t="s">
        <v>8</v>
      </c>
      <c r="B4271">
        <v>2016210033</v>
      </c>
      <c r="C4271" t="s">
        <v>278</v>
      </c>
      <c r="E4271" t="s">
        <v>449</v>
      </c>
      <c r="F4271" t="s">
        <v>460</v>
      </c>
      <c r="G4271">
        <v>4</v>
      </c>
      <c r="H4271" t="s">
        <v>438</v>
      </c>
      <c r="I4271" s="4">
        <f t="shared" si="586"/>
        <v>3</v>
      </c>
      <c r="J4271">
        <f t="shared" si="587"/>
        <v>12</v>
      </c>
      <c r="K4271">
        <v>82</v>
      </c>
      <c r="L4271">
        <v>24</v>
      </c>
      <c r="M4271">
        <v>3.42</v>
      </c>
      <c r="N4271">
        <v>3.28</v>
      </c>
      <c r="O4271">
        <v>0</v>
      </c>
      <c r="P4271">
        <v>4</v>
      </c>
      <c r="Q4271" t="s">
        <v>565</v>
      </c>
      <c r="R4271" s="8" t="s">
        <v>260</v>
      </c>
      <c r="S4271" t="str">
        <f t="shared" si="585"/>
        <v>PA</v>
      </c>
    </row>
    <row r="4272" spans="1:19" x14ac:dyDescent="0.3">
      <c r="A4272" t="s">
        <v>8</v>
      </c>
      <c r="B4272">
        <v>2016210033</v>
      </c>
      <c r="C4272" t="s">
        <v>278</v>
      </c>
      <c r="E4272" t="s">
        <v>22</v>
      </c>
      <c r="F4272" t="s">
        <v>23</v>
      </c>
      <c r="G4272">
        <v>2</v>
      </c>
      <c r="H4272" t="s">
        <v>438</v>
      </c>
      <c r="I4272" s="4">
        <f t="shared" si="586"/>
        <v>3</v>
      </c>
      <c r="J4272">
        <f t="shared" si="587"/>
        <v>6</v>
      </c>
      <c r="K4272">
        <v>54</v>
      </c>
      <c r="L4272">
        <v>18</v>
      </c>
      <c r="M4272" s="2">
        <v>3</v>
      </c>
      <c r="N4272">
        <v>3.28</v>
      </c>
      <c r="O4272">
        <v>0</v>
      </c>
      <c r="P4272">
        <v>2</v>
      </c>
      <c r="Q4272" t="s">
        <v>559</v>
      </c>
      <c r="R4272" s="8" t="s">
        <v>260</v>
      </c>
      <c r="S4272" t="str">
        <f t="shared" si="585"/>
        <v>PA</v>
      </c>
    </row>
    <row r="4273" spans="1:19" x14ac:dyDescent="0.3">
      <c r="A4273" t="s">
        <v>8</v>
      </c>
      <c r="B4273">
        <v>2016210033</v>
      </c>
      <c r="C4273" t="s">
        <v>278</v>
      </c>
      <c r="E4273" t="s">
        <v>439</v>
      </c>
      <c r="F4273" t="s">
        <v>440</v>
      </c>
      <c r="G4273">
        <v>2</v>
      </c>
      <c r="H4273" t="s">
        <v>438</v>
      </c>
      <c r="I4273" s="4">
        <f t="shared" si="586"/>
        <v>3</v>
      </c>
      <c r="J4273">
        <f t="shared" si="587"/>
        <v>6</v>
      </c>
      <c r="K4273">
        <v>74</v>
      </c>
      <c r="L4273">
        <v>24</v>
      </c>
      <c r="M4273">
        <v>3.08</v>
      </c>
      <c r="N4273">
        <v>3.28</v>
      </c>
      <c r="O4273">
        <v>0</v>
      </c>
      <c r="P4273">
        <v>6</v>
      </c>
      <c r="Q4273" t="s">
        <v>567</v>
      </c>
      <c r="R4273" s="8" t="s">
        <v>260</v>
      </c>
      <c r="S4273" t="str">
        <f t="shared" si="585"/>
        <v>PA</v>
      </c>
    </row>
    <row r="4274" spans="1:19" x14ac:dyDescent="0.3">
      <c r="A4274" t="s">
        <v>8</v>
      </c>
      <c r="B4274">
        <v>2016210033</v>
      </c>
      <c r="C4274" t="s">
        <v>278</v>
      </c>
      <c r="E4274" t="s">
        <v>188</v>
      </c>
      <c r="F4274" t="s">
        <v>189</v>
      </c>
      <c r="G4274">
        <v>4</v>
      </c>
      <c r="H4274" t="s">
        <v>438</v>
      </c>
      <c r="I4274" s="4">
        <f t="shared" si="586"/>
        <v>3</v>
      </c>
      <c r="J4274">
        <f t="shared" si="587"/>
        <v>12</v>
      </c>
      <c r="K4274">
        <v>78</v>
      </c>
      <c r="L4274">
        <v>24</v>
      </c>
      <c r="M4274">
        <v>3.25</v>
      </c>
      <c r="N4274">
        <v>3.28</v>
      </c>
      <c r="O4274">
        <v>0</v>
      </c>
      <c r="P4274">
        <v>5</v>
      </c>
      <c r="Q4274" t="s">
        <v>566</v>
      </c>
      <c r="R4274" s="8" t="s">
        <v>260</v>
      </c>
      <c r="S4274" t="str">
        <f t="shared" si="585"/>
        <v>PA</v>
      </c>
    </row>
    <row r="4275" spans="1:19" x14ac:dyDescent="0.3">
      <c r="A4275" t="s">
        <v>8</v>
      </c>
      <c r="B4275">
        <v>2016210033</v>
      </c>
      <c r="C4275" t="s">
        <v>278</v>
      </c>
      <c r="E4275" t="s">
        <v>352</v>
      </c>
      <c r="F4275" t="s">
        <v>353</v>
      </c>
      <c r="G4275">
        <v>2</v>
      </c>
      <c r="H4275" t="s">
        <v>438</v>
      </c>
      <c r="I4275" s="4">
        <f t="shared" si="586"/>
        <v>3</v>
      </c>
      <c r="J4275">
        <f t="shared" si="587"/>
        <v>6</v>
      </c>
      <c r="K4275">
        <v>78</v>
      </c>
      <c r="L4275">
        <v>24</v>
      </c>
      <c r="M4275">
        <v>3.25</v>
      </c>
      <c r="N4275">
        <v>3.28</v>
      </c>
      <c r="O4275">
        <v>0</v>
      </c>
      <c r="P4275">
        <v>5</v>
      </c>
      <c r="Q4275" t="s">
        <v>566</v>
      </c>
      <c r="R4275" s="8" t="s">
        <v>260</v>
      </c>
      <c r="S4275" t="str">
        <f t="shared" si="585"/>
        <v>PA</v>
      </c>
    </row>
    <row r="4276" spans="1:19" x14ac:dyDescent="0.3">
      <c r="A4276" t="s">
        <v>8</v>
      </c>
      <c r="B4276">
        <v>2016210033</v>
      </c>
      <c r="C4276" t="s">
        <v>278</v>
      </c>
      <c r="E4276" t="s">
        <v>401</v>
      </c>
      <c r="F4276" t="s">
        <v>258</v>
      </c>
      <c r="G4276">
        <v>4</v>
      </c>
      <c r="H4276" t="s">
        <v>438</v>
      </c>
      <c r="I4276" s="4">
        <f t="shared" si="586"/>
        <v>3</v>
      </c>
      <c r="J4276">
        <f t="shared" si="587"/>
        <v>12</v>
      </c>
      <c r="K4276">
        <v>78</v>
      </c>
      <c r="L4276">
        <v>24</v>
      </c>
      <c r="M4276">
        <v>3.25</v>
      </c>
      <c r="N4276">
        <v>3.28</v>
      </c>
      <c r="O4276">
        <v>0</v>
      </c>
      <c r="P4276">
        <v>3</v>
      </c>
      <c r="Q4276" t="s">
        <v>563</v>
      </c>
      <c r="R4276" s="8" t="s">
        <v>260</v>
      </c>
      <c r="S4276" t="str">
        <f t="shared" si="585"/>
        <v>PA</v>
      </c>
    </row>
    <row r="4277" spans="1:19" x14ac:dyDescent="0.3">
      <c r="A4277" t="s">
        <v>8</v>
      </c>
      <c r="B4277">
        <v>2016210033</v>
      </c>
      <c r="C4277" t="s">
        <v>278</v>
      </c>
      <c r="E4277" t="s">
        <v>193</v>
      </c>
      <c r="F4277" t="s">
        <v>194</v>
      </c>
      <c r="G4277">
        <v>4</v>
      </c>
      <c r="H4277" t="s">
        <v>438</v>
      </c>
      <c r="I4277" s="4">
        <f t="shared" si="586"/>
        <v>3</v>
      </c>
      <c r="J4277">
        <f t="shared" si="587"/>
        <v>12</v>
      </c>
      <c r="K4277">
        <v>40</v>
      </c>
      <c r="L4277">
        <v>14</v>
      </c>
      <c r="M4277">
        <v>2.86</v>
      </c>
      <c r="N4277">
        <v>3.28</v>
      </c>
      <c r="O4277">
        <v>0</v>
      </c>
      <c r="P4277">
        <v>7</v>
      </c>
      <c r="Q4277" t="s">
        <v>568</v>
      </c>
      <c r="R4277" t="s">
        <v>596</v>
      </c>
      <c r="S4277" t="str">
        <f t="shared" si="585"/>
        <v>PA</v>
      </c>
    </row>
    <row r="4278" spans="1:19" x14ac:dyDescent="0.3">
      <c r="A4278" t="s">
        <v>8</v>
      </c>
      <c r="B4278">
        <v>2016210033</v>
      </c>
      <c r="C4278" t="s">
        <v>278</v>
      </c>
      <c r="E4278" t="s">
        <v>391</v>
      </c>
      <c r="F4278" t="s">
        <v>392</v>
      </c>
      <c r="G4278">
        <v>2</v>
      </c>
      <c r="H4278" t="s">
        <v>438</v>
      </c>
      <c r="I4278" s="4">
        <f t="shared" si="586"/>
        <v>3</v>
      </c>
      <c r="J4278">
        <f t="shared" si="587"/>
        <v>6</v>
      </c>
      <c r="K4278">
        <v>78</v>
      </c>
      <c r="L4278">
        <v>24</v>
      </c>
      <c r="M4278">
        <v>3.25</v>
      </c>
      <c r="N4278">
        <v>3.28</v>
      </c>
      <c r="O4278">
        <v>0</v>
      </c>
      <c r="P4278">
        <v>5</v>
      </c>
      <c r="Q4278" t="s">
        <v>566</v>
      </c>
      <c r="R4278" s="8" t="s">
        <v>260</v>
      </c>
      <c r="S4278" t="str">
        <f t="shared" si="585"/>
        <v>PA</v>
      </c>
    </row>
    <row r="4279" spans="1:19" x14ac:dyDescent="0.3">
      <c r="A4279" t="s">
        <v>8</v>
      </c>
      <c r="B4279">
        <v>2016210033</v>
      </c>
      <c r="C4279" t="s">
        <v>278</v>
      </c>
      <c r="E4279" t="s">
        <v>157</v>
      </c>
      <c r="F4279" t="s">
        <v>158</v>
      </c>
      <c r="G4279">
        <v>2</v>
      </c>
      <c r="H4279" t="s">
        <v>438</v>
      </c>
      <c r="I4279" s="4">
        <f t="shared" si="586"/>
        <v>3</v>
      </c>
      <c r="J4279">
        <f t="shared" si="587"/>
        <v>6</v>
      </c>
      <c r="K4279">
        <v>78</v>
      </c>
      <c r="L4279">
        <v>24</v>
      </c>
      <c r="M4279">
        <v>3.25</v>
      </c>
      <c r="N4279">
        <v>3.28</v>
      </c>
      <c r="O4279">
        <v>0</v>
      </c>
      <c r="P4279">
        <v>3</v>
      </c>
      <c r="Q4279" t="s">
        <v>563</v>
      </c>
      <c r="R4279" s="8" t="s">
        <v>260</v>
      </c>
      <c r="S4279" t="str">
        <f t="shared" si="585"/>
        <v>PA</v>
      </c>
    </row>
    <row r="4280" spans="1:19" x14ac:dyDescent="0.3">
      <c r="A4280" t="s">
        <v>8</v>
      </c>
      <c r="B4280">
        <v>2016210033</v>
      </c>
      <c r="C4280" t="s">
        <v>278</v>
      </c>
      <c r="E4280" t="s">
        <v>318</v>
      </c>
      <c r="F4280" t="s">
        <v>319</v>
      </c>
      <c r="G4280">
        <v>2</v>
      </c>
      <c r="H4280" t="s">
        <v>438</v>
      </c>
      <c r="I4280" s="4">
        <f t="shared" si="586"/>
        <v>3</v>
      </c>
      <c r="J4280">
        <f t="shared" si="587"/>
        <v>6</v>
      </c>
      <c r="K4280">
        <v>78</v>
      </c>
      <c r="L4280">
        <v>24</v>
      </c>
      <c r="M4280">
        <v>3.25</v>
      </c>
      <c r="N4280">
        <v>3.28</v>
      </c>
      <c r="O4280">
        <v>0</v>
      </c>
      <c r="P4280">
        <v>5</v>
      </c>
      <c r="Q4280" t="s">
        <v>566</v>
      </c>
      <c r="R4280" s="8" t="s">
        <v>260</v>
      </c>
      <c r="S4280" t="str">
        <f t="shared" si="585"/>
        <v>PA</v>
      </c>
    </row>
    <row r="4281" spans="1:19" x14ac:dyDescent="0.3">
      <c r="A4281" t="s">
        <v>8</v>
      </c>
      <c r="B4281">
        <v>2016210033</v>
      </c>
      <c r="C4281" t="s">
        <v>278</v>
      </c>
      <c r="E4281" t="s">
        <v>407</v>
      </c>
      <c r="F4281" t="s">
        <v>312</v>
      </c>
      <c r="G4281">
        <v>2</v>
      </c>
      <c r="H4281" t="s">
        <v>438</v>
      </c>
      <c r="I4281" s="4">
        <f t="shared" si="586"/>
        <v>3</v>
      </c>
      <c r="J4281">
        <f t="shared" si="587"/>
        <v>6</v>
      </c>
      <c r="K4281">
        <v>78</v>
      </c>
      <c r="L4281">
        <v>24</v>
      </c>
      <c r="M4281">
        <v>3.25</v>
      </c>
      <c r="N4281">
        <v>3.28</v>
      </c>
      <c r="O4281">
        <v>0</v>
      </c>
      <c r="P4281">
        <v>5</v>
      </c>
      <c r="Q4281" t="s">
        <v>566</v>
      </c>
      <c r="R4281" s="8" t="s">
        <v>260</v>
      </c>
      <c r="S4281" t="str">
        <f t="shared" si="585"/>
        <v>PA</v>
      </c>
    </row>
    <row r="4282" spans="1:19" x14ac:dyDescent="0.3">
      <c r="A4282" t="s">
        <v>8</v>
      </c>
      <c r="B4282">
        <v>2016210033</v>
      </c>
      <c r="C4282" t="s">
        <v>278</v>
      </c>
      <c r="E4282" t="s">
        <v>253</v>
      </c>
      <c r="F4282" t="s">
        <v>254</v>
      </c>
      <c r="G4282">
        <v>2</v>
      </c>
      <c r="H4282" t="s">
        <v>438</v>
      </c>
      <c r="I4282" s="4">
        <f t="shared" si="586"/>
        <v>3</v>
      </c>
      <c r="J4282">
        <f t="shared" si="587"/>
        <v>6</v>
      </c>
      <c r="K4282">
        <v>82</v>
      </c>
      <c r="L4282">
        <v>24</v>
      </c>
      <c r="M4282">
        <v>3.42</v>
      </c>
      <c r="N4282">
        <v>3.28</v>
      </c>
      <c r="O4282">
        <v>0</v>
      </c>
      <c r="P4282">
        <v>4</v>
      </c>
      <c r="Q4282" t="s">
        <v>565</v>
      </c>
      <c r="R4282" s="8" t="s">
        <v>260</v>
      </c>
      <c r="S4282" t="str">
        <f t="shared" si="585"/>
        <v>PA</v>
      </c>
    </row>
    <row r="4283" spans="1:19" x14ac:dyDescent="0.3">
      <c r="A4283" t="s">
        <v>8</v>
      </c>
      <c r="B4283">
        <v>2016210033</v>
      </c>
      <c r="C4283" t="s">
        <v>278</v>
      </c>
      <c r="E4283" t="s">
        <v>117</v>
      </c>
      <c r="F4283" t="s">
        <v>118</v>
      </c>
      <c r="G4283">
        <v>2</v>
      </c>
      <c r="H4283" t="s">
        <v>438</v>
      </c>
      <c r="I4283" s="4">
        <f t="shared" si="586"/>
        <v>3</v>
      </c>
      <c r="J4283">
        <f t="shared" si="587"/>
        <v>6</v>
      </c>
      <c r="K4283">
        <v>54</v>
      </c>
      <c r="L4283">
        <v>18</v>
      </c>
      <c r="M4283" s="2">
        <v>3</v>
      </c>
      <c r="N4283">
        <v>3.28</v>
      </c>
      <c r="O4283">
        <v>0</v>
      </c>
      <c r="P4283">
        <v>2</v>
      </c>
      <c r="Q4283" t="s">
        <v>559</v>
      </c>
      <c r="R4283" s="8" t="s">
        <v>260</v>
      </c>
      <c r="S4283" t="str">
        <f t="shared" si="585"/>
        <v>PA</v>
      </c>
    </row>
    <row r="4284" spans="1:19" x14ac:dyDescent="0.3">
      <c r="A4284" t="s">
        <v>8</v>
      </c>
      <c r="B4284">
        <v>2016210033</v>
      </c>
      <c r="C4284" t="s">
        <v>278</v>
      </c>
      <c r="E4284" t="s">
        <v>80</v>
      </c>
      <c r="F4284" t="s">
        <v>81</v>
      </c>
      <c r="G4284">
        <v>4</v>
      </c>
      <c r="H4284" t="s">
        <v>438</v>
      </c>
      <c r="I4284" s="4">
        <f t="shared" si="586"/>
        <v>3</v>
      </c>
      <c r="J4284">
        <f t="shared" si="587"/>
        <v>12</v>
      </c>
      <c r="K4284">
        <v>74</v>
      </c>
      <c r="L4284">
        <v>24</v>
      </c>
      <c r="M4284">
        <v>3.08</v>
      </c>
      <c r="N4284">
        <v>3.28</v>
      </c>
      <c r="O4284">
        <v>0</v>
      </c>
      <c r="P4284">
        <v>6</v>
      </c>
      <c r="Q4284" t="s">
        <v>567</v>
      </c>
      <c r="R4284" s="8" t="s">
        <v>260</v>
      </c>
      <c r="S4284" t="str">
        <f t="shared" si="585"/>
        <v>PA</v>
      </c>
    </row>
    <row r="4285" spans="1:19" x14ac:dyDescent="0.3">
      <c r="A4285" t="s">
        <v>8</v>
      </c>
      <c r="B4285">
        <v>2016210033</v>
      </c>
      <c r="C4285" t="s">
        <v>278</v>
      </c>
      <c r="E4285" t="s">
        <v>369</v>
      </c>
      <c r="F4285" t="s">
        <v>307</v>
      </c>
      <c r="G4285">
        <v>2</v>
      </c>
      <c r="H4285" t="s">
        <v>438</v>
      </c>
      <c r="I4285" s="4">
        <f t="shared" si="586"/>
        <v>3</v>
      </c>
      <c r="J4285">
        <f t="shared" si="587"/>
        <v>6</v>
      </c>
      <c r="K4285">
        <v>82</v>
      </c>
      <c r="L4285">
        <v>24</v>
      </c>
      <c r="M4285">
        <v>3.42</v>
      </c>
      <c r="N4285">
        <v>3.28</v>
      </c>
      <c r="O4285">
        <v>0</v>
      </c>
      <c r="P4285">
        <v>4</v>
      </c>
      <c r="Q4285" t="s">
        <v>565</v>
      </c>
      <c r="R4285" s="8" t="s">
        <v>260</v>
      </c>
      <c r="S4285" t="str">
        <f t="shared" si="585"/>
        <v>PA</v>
      </c>
    </row>
    <row r="4286" spans="1:19" x14ac:dyDescent="0.3">
      <c r="A4286" t="s">
        <v>8</v>
      </c>
      <c r="B4286">
        <v>2016210033</v>
      </c>
      <c r="C4286" t="s">
        <v>278</v>
      </c>
      <c r="E4286" t="s">
        <v>19</v>
      </c>
      <c r="F4286" t="s">
        <v>20</v>
      </c>
      <c r="G4286">
        <v>6</v>
      </c>
      <c r="H4286" t="s">
        <v>524</v>
      </c>
      <c r="I4286" s="4">
        <f t="shared" si="586"/>
        <v>2</v>
      </c>
      <c r="J4286">
        <f t="shared" si="587"/>
        <v>12</v>
      </c>
      <c r="K4286">
        <v>40</v>
      </c>
      <c r="L4286">
        <v>14</v>
      </c>
      <c r="M4286">
        <v>2.86</v>
      </c>
      <c r="N4286">
        <v>3.28</v>
      </c>
      <c r="O4286">
        <v>0</v>
      </c>
      <c r="P4286">
        <v>7</v>
      </c>
      <c r="Q4286" t="s">
        <v>568</v>
      </c>
      <c r="R4286" t="s">
        <v>596</v>
      </c>
      <c r="S4286" t="str">
        <f t="shared" si="585"/>
        <v>PA</v>
      </c>
    </row>
    <row r="4287" spans="1:19" x14ac:dyDescent="0.3">
      <c r="A4287" t="s">
        <v>8</v>
      </c>
      <c r="B4287">
        <v>2016210033</v>
      </c>
      <c r="C4287" t="s">
        <v>278</v>
      </c>
      <c r="E4287" t="s">
        <v>119</v>
      </c>
      <c r="F4287" t="s">
        <v>120</v>
      </c>
      <c r="G4287">
        <v>2</v>
      </c>
      <c r="H4287" t="s">
        <v>524</v>
      </c>
      <c r="I4287" s="4">
        <f t="shared" si="586"/>
        <v>2</v>
      </c>
      <c r="J4287">
        <f t="shared" si="587"/>
        <v>4</v>
      </c>
      <c r="K4287">
        <v>74</v>
      </c>
      <c r="L4287">
        <v>24</v>
      </c>
      <c r="M4287">
        <v>3.08</v>
      </c>
      <c r="N4287">
        <v>3.28</v>
      </c>
      <c r="O4287">
        <v>0</v>
      </c>
      <c r="P4287">
        <v>6</v>
      </c>
      <c r="Q4287" t="s">
        <v>567</v>
      </c>
      <c r="R4287" s="8" t="s">
        <v>260</v>
      </c>
      <c r="S4287" t="str">
        <f t="shared" si="585"/>
        <v>PA</v>
      </c>
    </row>
    <row r="4288" spans="1:19" x14ac:dyDescent="0.3">
      <c r="A4288" t="s">
        <v>8</v>
      </c>
      <c r="B4288">
        <v>2016210033</v>
      </c>
      <c r="C4288" t="s">
        <v>278</v>
      </c>
      <c r="E4288" t="s">
        <v>112</v>
      </c>
      <c r="F4288" t="s">
        <v>113</v>
      </c>
      <c r="G4288">
        <v>4</v>
      </c>
      <c r="H4288" t="s">
        <v>524</v>
      </c>
      <c r="I4288" s="4">
        <f t="shared" si="586"/>
        <v>2</v>
      </c>
      <c r="J4288">
        <f t="shared" si="587"/>
        <v>8</v>
      </c>
      <c r="K4288">
        <v>78</v>
      </c>
      <c r="L4288">
        <v>24</v>
      </c>
      <c r="M4288">
        <v>3.25</v>
      </c>
      <c r="N4288">
        <v>3.28</v>
      </c>
      <c r="O4288">
        <v>0</v>
      </c>
      <c r="P4288">
        <v>3</v>
      </c>
      <c r="Q4288" t="s">
        <v>563</v>
      </c>
      <c r="R4288" s="8" t="s">
        <v>260</v>
      </c>
      <c r="S4288" t="str">
        <f t="shared" si="585"/>
        <v>PA</v>
      </c>
    </row>
    <row r="4289" spans="1:19" x14ac:dyDescent="0.3">
      <c r="A4289" t="s">
        <v>8</v>
      </c>
      <c r="B4289">
        <v>2016210033</v>
      </c>
      <c r="C4289" t="s">
        <v>278</v>
      </c>
      <c r="E4289" t="s">
        <v>110</v>
      </c>
      <c r="F4289" t="s">
        <v>111</v>
      </c>
      <c r="G4289">
        <v>4</v>
      </c>
      <c r="H4289" t="s">
        <v>524</v>
      </c>
      <c r="I4289" s="4">
        <f t="shared" si="586"/>
        <v>2</v>
      </c>
      <c r="J4289">
        <f t="shared" si="587"/>
        <v>8</v>
      </c>
      <c r="K4289">
        <v>68</v>
      </c>
      <c r="L4289">
        <v>20</v>
      </c>
      <c r="M4289" s="2">
        <v>3.4</v>
      </c>
      <c r="N4289">
        <v>3.28</v>
      </c>
      <c r="O4289">
        <v>0</v>
      </c>
      <c r="P4289">
        <v>1</v>
      </c>
      <c r="Q4289" s="4" t="str">
        <f>IF(P4289=1,"2016/2017-Ganjil",IF(P4289=2,"2016/2017-Genap",IF(P4289=3,"2017/2018-Ganjil",IF(P4289=4,"2017/2018-Genap",IF(P4289=5,"2018/2019-Ganjil",IF(P4289=6,"2018/2019-Genap",IF(P4289=7,"2019/2020-Ganjil",IF(P4289=8,"2019/2020-Genap",IF(P4289=9,"2020/2021-Ganjil",IF(P4289=10,"2020/2021-Genap",IF(P4289=11,"2021/2022-Ganjil",IF(P4289=12,"2021/2022-Genap",IF(P4289=13,"2022/2023-Ganjil","2022/2023-Genap")))))))))))))</f>
        <v>2016/2017-Ganjil</v>
      </c>
      <c r="R4289" s="8" t="s">
        <v>260</v>
      </c>
      <c r="S4289" t="str">
        <f t="shared" si="585"/>
        <v>PA</v>
      </c>
    </row>
    <row r="4290" spans="1:19" x14ac:dyDescent="0.3">
      <c r="A4290" t="s">
        <v>8</v>
      </c>
      <c r="B4290">
        <v>2016210033</v>
      </c>
      <c r="C4290" t="s">
        <v>278</v>
      </c>
      <c r="E4290" t="s">
        <v>110</v>
      </c>
      <c r="F4290" t="s">
        <v>111</v>
      </c>
      <c r="G4290">
        <v>4</v>
      </c>
      <c r="H4290" t="s">
        <v>260</v>
      </c>
      <c r="I4290" s="4">
        <f t="shared" si="586"/>
        <v>4</v>
      </c>
      <c r="J4290">
        <f t="shared" si="587"/>
        <v>16</v>
      </c>
      <c r="K4290">
        <v>78</v>
      </c>
      <c r="L4290">
        <v>24</v>
      </c>
      <c r="M4290" s="2">
        <v>3.25</v>
      </c>
      <c r="N4290">
        <v>3.28</v>
      </c>
      <c r="O4290">
        <v>1</v>
      </c>
      <c r="P4290">
        <v>3</v>
      </c>
      <c r="Q4290" s="4" t="str">
        <f>IF(P4290=1,"2016/2017-Ganjil",IF(P4290=2,"2016/2017-Genap",IF(P4290=3,"2017/2018-Ganjil",IF(P4290=4,"2017/2018-Genap",IF(P4290=5,"2018/2019-Ganjil",IF(P4290=6,"2018/2019-Genap",IF(P4290=7,"2019/2020-Ganjil",IF(P4290=8,"2019/2020-Genap",IF(P4290=9,"2020/2021-Ganjil",IF(P4290=10,"2020/2021-Genap",IF(P4290=11,"2021/2022-Ganjil",IF(P4290=12,"2021/2022-Genap",IF(P4290=13,"2022/2023-Ganjil","2022/2023-Genap")))))))))))))</f>
        <v>2017/2018-Ganjil</v>
      </c>
      <c r="R4290" s="8" t="s">
        <v>260</v>
      </c>
      <c r="S4290" t="str">
        <f t="shared" si="585"/>
        <v>PA</v>
      </c>
    </row>
    <row r="4291" spans="1:19" x14ac:dyDescent="0.3">
      <c r="A4291" t="s">
        <v>8</v>
      </c>
      <c r="B4291">
        <v>2016210033</v>
      </c>
      <c r="C4291" t="s">
        <v>278</v>
      </c>
      <c r="E4291" t="s">
        <v>395</v>
      </c>
      <c r="F4291" t="s">
        <v>396</v>
      </c>
      <c r="G4291">
        <v>2</v>
      </c>
      <c r="H4291" t="s">
        <v>524</v>
      </c>
      <c r="I4291" s="4">
        <f t="shared" si="586"/>
        <v>2</v>
      </c>
      <c r="J4291">
        <f t="shared" si="587"/>
        <v>4</v>
      </c>
      <c r="K4291">
        <v>68</v>
      </c>
      <c r="L4291">
        <v>20</v>
      </c>
      <c r="M4291" s="2">
        <v>3.4</v>
      </c>
      <c r="N4291">
        <v>3.28</v>
      </c>
      <c r="O4291">
        <v>0</v>
      </c>
      <c r="P4291">
        <v>1</v>
      </c>
      <c r="Q4291" t="s">
        <v>558</v>
      </c>
      <c r="R4291" s="8" t="s">
        <v>260</v>
      </c>
      <c r="S4291" t="str">
        <f t="shared" si="585"/>
        <v>PA</v>
      </c>
    </row>
    <row r="4292" spans="1:19" x14ac:dyDescent="0.3">
      <c r="A4292" t="s">
        <v>8</v>
      </c>
      <c r="B4292">
        <v>2016210033</v>
      </c>
      <c r="C4292" t="s">
        <v>278</v>
      </c>
      <c r="E4292" t="s">
        <v>44</v>
      </c>
      <c r="F4292" t="s">
        <v>45</v>
      </c>
      <c r="G4292">
        <v>2</v>
      </c>
      <c r="H4292" t="s">
        <v>535</v>
      </c>
      <c r="I4292" s="4">
        <f t="shared" si="586"/>
        <v>1</v>
      </c>
      <c r="J4292">
        <f t="shared" si="587"/>
        <v>2</v>
      </c>
      <c r="K4292">
        <v>54</v>
      </c>
      <c r="L4292">
        <v>18</v>
      </c>
      <c r="M4292" s="2">
        <v>3</v>
      </c>
      <c r="N4292">
        <v>3.28</v>
      </c>
      <c r="O4292">
        <v>0</v>
      </c>
      <c r="P4292">
        <v>2</v>
      </c>
      <c r="Q4292" s="4" t="str">
        <f>IF(P4292=1,"2016/2017-Ganjil",IF(P4292=2,"2016/2017-Genap",IF(P4292=3,"2017/2018-Ganjil",IF(P4292=4,"2017/2018-Genap",IF(P4292=5,"2018/2019-Ganjil",IF(P4292=6,"2018/2019-Genap",IF(P4292=7,"2019/2020-Ganjil",IF(P4292=8,"2019/2020-Genap",IF(P4292=9,"2020/2021-Ganjil",IF(P4292=10,"2020/2021-Genap",IF(P4292=11,"2021/2022-Ganjil",IF(P4292=12,"2021/2022-Genap",IF(P4292=13,"2022/2023-Ganjil","2022/2023-Genap")))))))))))))</f>
        <v>2016/2017-Genap</v>
      </c>
      <c r="R4292" s="8" t="s">
        <v>260</v>
      </c>
      <c r="S4292" t="str">
        <f t="shared" si="585"/>
        <v>FA</v>
      </c>
    </row>
    <row r="4293" spans="1:19" x14ac:dyDescent="0.3">
      <c r="A4293" t="s">
        <v>8</v>
      </c>
      <c r="B4293">
        <v>2016210033</v>
      </c>
      <c r="C4293" t="s">
        <v>278</v>
      </c>
      <c r="E4293" t="s">
        <v>44</v>
      </c>
      <c r="F4293" t="s">
        <v>45</v>
      </c>
      <c r="G4293">
        <v>2</v>
      </c>
      <c r="H4293" t="s">
        <v>260</v>
      </c>
      <c r="I4293" s="4">
        <f t="shared" si="586"/>
        <v>4</v>
      </c>
      <c r="J4293">
        <f t="shared" si="587"/>
        <v>8</v>
      </c>
      <c r="K4293">
        <v>8</v>
      </c>
      <c r="L4293">
        <v>2</v>
      </c>
      <c r="M4293" s="2">
        <v>4</v>
      </c>
      <c r="N4293">
        <v>3.28</v>
      </c>
      <c r="O4293">
        <v>1</v>
      </c>
      <c r="P4293">
        <v>6</v>
      </c>
      <c r="Q4293" s="4" t="s">
        <v>572</v>
      </c>
      <c r="R4293" s="8" t="s">
        <v>260</v>
      </c>
      <c r="S4293" t="str">
        <f t="shared" si="585"/>
        <v>PA</v>
      </c>
    </row>
    <row r="4294" spans="1:19" x14ac:dyDescent="0.3">
      <c r="A4294" t="s">
        <v>8</v>
      </c>
      <c r="B4294">
        <v>2016210034</v>
      </c>
      <c r="C4294" t="s">
        <v>16</v>
      </c>
      <c r="E4294" t="s">
        <v>17</v>
      </c>
      <c r="F4294" t="s">
        <v>11</v>
      </c>
      <c r="G4294">
        <v>2</v>
      </c>
      <c r="I4294" s="4"/>
      <c r="J4294">
        <v>0</v>
      </c>
      <c r="K4294">
        <v>66</v>
      </c>
      <c r="L4294">
        <v>22</v>
      </c>
      <c r="M4294" s="2">
        <v>3</v>
      </c>
      <c r="N4294" s="2">
        <v>3.33</v>
      </c>
      <c r="O4294">
        <v>0</v>
      </c>
      <c r="P4294">
        <v>6</v>
      </c>
      <c r="Q4294" s="4" t="str">
        <f>IF(P4294=1,"2016/2017-Ganjil",IF(P4294=2,"2016/2017-Genap",IF(P4294=3,"2017/2018-Ganjil",IF(P4294=4,"2017/2018-Genap",IF(P4294=5,"2018/2019-Ganjil",IF(P4294=6,"2018/2019-Genap",IF(P4294=7,"2019/2020-Ganjil",IF(P4294=8,"2019/2020-Genap",IF(P4294=9,"2020/2021-Ganjil",IF(P4294=10,"2020/2021-Genap",IF(P4294=11,"2021/2022-Ganjil",IF(P4294=12,"2021/2022-Genap",IF(P4294=13,"2022/2023-Ganjil","2022/2023-Genap")))))))))))))</f>
        <v>2018/2019-Genap</v>
      </c>
      <c r="R4294" s="8" t="s">
        <v>260</v>
      </c>
      <c r="S4294" t="s">
        <v>595</v>
      </c>
    </row>
    <row r="4295" spans="1:19" x14ac:dyDescent="0.3">
      <c r="A4295" t="s">
        <v>8</v>
      </c>
      <c r="B4295">
        <v>2016210034</v>
      </c>
      <c r="C4295" t="s">
        <v>16</v>
      </c>
      <c r="E4295" t="s">
        <v>17</v>
      </c>
      <c r="F4295" t="s">
        <v>11</v>
      </c>
      <c r="G4295">
        <v>2</v>
      </c>
      <c r="I4295" s="4"/>
      <c r="J4295">
        <v>0</v>
      </c>
      <c r="K4295">
        <v>4</v>
      </c>
      <c r="L4295">
        <v>4</v>
      </c>
      <c r="M4295" s="2">
        <v>1</v>
      </c>
      <c r="N4295" s="2">
        <v>3.33</v>
      </c>
      <c r="O4295">
        <v>1</v>
      </c>
      <c r="P4295">
        <v>7</v>
      </c>
      <c r="Q4295" s="4" t="str">
        <f>IF(P4295=1,"2016/2017-Ganjil",IF(P4295=2,"2016/2017-Genap",IF(P4295=3,"2017/2018-Ganjil",IF(P4295=4,"2017/2018-Genap",IF(P4295=5,"2018/2019-Ganjil",IF(P4295=6,"2018/2019-Genap",IF(P4295=7,"2019/2020-Ganjil",IF(P4295=8,"2019/2020-Genap",IF(P4295=9,"2020/2021-Ganjil",IF(P4295=10,"2020/2021-Genap",IF(P4295=11,"2021/2022-Ganjil",IF(P4295=12,"2021/2022-Genap",IF(P4295=13,"2022/2023-Ganjil","2022/2023-Genap")))))))))))))</f>
        <v>2019/2020-Ganjil</v>
      </c>
      <c r="R4295" s="8" t="s">
        <v>260</v>
      </c>
      <c r="S4295" t="s">
        <v>595</v>
      </c>
    </row>
    <row r="4296" spans="1:19" x14ac:dyDescent="0.3">
      <c r="A4296" t="s">
        <v>8</v>
      </c>
      <c r="B4296">
        <v>2016210034</v>
      </c>
      <c r="C4296" t="s">
        <v>16</v>
      </c>
      <c r="E4296" t="s">
        <v>17</v>
      </c>
      <c r="F4296" t="s">
        <v>11</v>
      </c>
      <c r="G4296">
        <v>2</v>
      </c>
      <c r="I4296" s="4"/>
      <c r="J4296">
        <v>0</v>
      </c>
      <c r="K4296">
        <v>8</v>
      </c>
      <c r="L4296">
        <v>4</v>
      </c>
      <c r="M4296" s="2">
        <v>2</v>
      </c>
      <c r="N4296" s="2">
        <v>3.33</v>
      </c>
      <c r="O4296">
        <v>2</v>
      </c>
      <c r="P4296">
        <v>8</v>
      </c>
      <c r="Q4296" s="4" t="str">
        <f>IF(P4296=1,"2016/2017-Ganjil",IF(P4296=2,"2016/2017-Genap",IF(P4296=3,"2017/2018-Ganjil",IF(P4296=4,"2017/2018-Genap",IF(P4296=5,"2018/2019-Ganjil",IF(P4296=6,"2018/2019-Genap",IF(P4296=7,"2019/2020-Ganjil",IF(P4296=8,"2019/2020-Genap",IF(P4296=9,"2020/2021-Ganjil",IF(P4296=10,"2020/2021-Genap",IF(P4296=11,"2021/2022-Ganjil",IF(P4296=12,"2021/2022-Genap",IF(P4296=13,"2022/2023-Ganjil","2022/2023-Genap")))))))))))))</f>
        <v>2019/2020-Genap</v>
      </c>
      <c r="R4296" s="8" t="s">
        <v>260</v>
      </c>
      <c r="S4296" t="s">
        <v>595</v>
      </c>
    </row>
    <row r="4297" spans="1:19" x14ac:dyDescent="0.3">
      <c r="A4297" t="s">
        <v>8</v>
      </c>
      <c r="B4297">
        <v>2016210034</v>
      </c>
      <c r="C4297" t="s">
        <v>16</v>
      </c>
      <c r="E4297" t="s">
        <v>17</v>
      </c>
      <c r="F4297" t="s">
        <v>11</v>
      </c>
      <c r="G4297">
        <v>2</v>
      </c>
      <c r="H4297" t="s">
        <v>260</v>
      </c>
      <c r="I4297" s="4">
        <f t="shared" ref="I4297" si="588">IF(H4297="A",4,IF(H4297="B",3,IF(H4297="C",2,IF(H4297="D",1,0))))</f>
        <v>4</v>
      </c>
      <c r="J4297">
        <f t="shared" ref="J4297:J4360" si="589">G4297*I4297</f>
        <v>8</v>
      </c>
      <c r="K4297">
        <v>20</v>
      </c>
      <c r="L4297">
        <v>6</v>
      </c>
      <c r="M4297" s="2">
        <v>3.33</v>
      </c>
      <c r="N4297" s="2">
        <v>3.33</v>
      </c>
      <c r="O4297">
        <v>3</v>
      </c>
      <c r="P4297">
        <v>9</v>
      </c>
      <c r="Q4297" s="4" t="str">
        <f>IF(P4297=1,"2016/2017-Ganjil",IF(P4297=2,"2016/2017-Genap",IF(P4297=3,"2017/2018-Ganjil",IF(P4297=4,"2017/2018-Genap",IF(P4297=5,"2018/2019-Ganjil",IF(P4297=6,"2018/2019-Genap",IF(P4297=7,"2019/2020-Ganjil",IF(P4297=8,"2019/2020-Genap",IF(P4297=9,"2020/2021-Ganjil",IF(P4297=10,"2020/2021-Genap",IF(P4297=11,"2021/2022-Ganjil",IF(P4297=12,"2021/2022-Genap",IF(P4297=13,"2022/2023-Ganjil","2022/2023-Genap")))))))))))))</f>
        <v>2020/2021-Ganjil</v>
      </c>
      <c r="R4297" s="8" t="s">
        <v>260</v>
      </c>
      <c r="S4297" t="str">
        <f>IF(OR(H4297="A",H4297="B",H4297="C"),"PA","FA")</f>
        <v>PA</v>
      </c>
    </row>
    <row r="4298" spans="1:19" x14ac:dyDescent="0.3">
      <c r="A4298" t="s">
        <v>8</v>
      </c>
      <c r="B4298">
        <v>2016210034</v>
      </c>
      <c r="C4298" t="s">
        <v>16</v>
      </c>
      <c r="E4298" t="s">
        <v>19</v>
      </c>
      <c r="F4298" t="s">
        <v>20</v>
      </c>
      <c r="G4298">
        <v>6</v>
      </c>
      <c r="I4298" s="4"/>
      <c r="J4298">
        <f t="shared" si="589"/>
        <v>0</v>
      </c>
      <c r="K4298">
        <v>0</v>
      </c>
      <c r="L4298">
        <v>0</v>
      </c>
      <c r="M4298" s="2" t="s">
        <v>574</v>
      </c>
      <c r="N4298" s="2">
        <v>3.33</v>
      </c>
      <c r="O4298">
        <v>0</v>
      </c>
      <c r="P4298">
        <v>10</v>
      </c>
      <c r="Q4298" s="4" t="str">
        <f>IF(P4298=1,"2016/2017-Ganjil",IF(P4298=2,"2016/2017-Genap",IF(P4298=3,"2017/2018-Ganjil",IF(P4298=4,"2017/2018-Genap",IF(P4298=5,"2018/2019-Ganjil",IF(P4298=6,"2018/2019-Genap",IF(P4298=7,"2019/2020-Ganjil",IF(P4298=8,"2019/2020-Genap",IF(P4298=9,"2020/2021-Ganjil",IF(P4298=10,"2020/2021-Genap",IF(P4298=11,"2021/2022-Ganjil",IF(P4298=12,"2021/2022-Genap",IF(P4298=13,"2022/2023-Ganjil","2022/2023-Genap")))))))))))))</f>
        <v>2020/2021-Genap</v>
      </c>
      <c r="R4298" s="8" t="s">
        <v>260</v>
      </c>
      <c r="S4298" t="s">
        <v>595</v>
      </c>
    </row>
    <row r="4299" spans="1:19" x14ac:dyDescent="0.3">
      <c r="A4299" t="s">
        <v>8</v>
      </c>
      <c r="B4299">
        <v>2016210034</v>
      </c>
      <c r="C4299" t="s">
        <v>16</v>
      </c>
      <c r="E4299" t="s">
        <v>19</v>
      </c>
      <c r="F4299" t="s">
        <v>20</v>
      </c>
      <c r="G4299">
        <v>6</v>
      </c>
      <c r="I4299" s="4"/>
      <c r="J4299">
        <f t="shared" si="589"/>
        <v>0</v>
      </c>
      <c r="K4299">
        <v>0</v>
      </c>
      <c r="L4299">
        <v>0</v>
      </c>
      <c r="M4299" s="2" t="s">
        <v>574</v>
      </c>
      <c r="N4299" s="2">
        <v>3.33</v>
      </c>
      <c r="O4299">
        <v>1</v>
      </c>
      <c r="P4299">
        <v>11</v>
      </c>
      <c r="Q4299" t="s">
        <v>573</v>
      </c>
      <c r="R4299" s="8" t="s">
        <v>260</v>
      </c>
      <c r="S4299" t="s">
        <v>595</v>
      </c>
    </row>
    <row r="4300" spans="1:19" x14ac:dyDescent="0.3">
      <c r="A4300" t="s">
        <v>8</v>
      </c>
      <c r="B4300">
        <v>2016210034</v>
      </c>
      <c r="C4300" t="s">
        <v>16</v>
      </c>
      <c r="E4300" t="s">
        <v>19</v>
      </c>
      <c r="F4300" t="s">
        <v>20</v>
      </c>
      <c r="G4300">
        <v>6</v>
      </c>
      <c r="H4300" t="s">
        <v>438</v>
      </c>
      <c r="I4300" s="4">
        <f t="shared" ref="I4300:I4360" si="590">IF(H4300="A",4,IF(H4300="B",3,IF(H4300="C",2,IF(H4300="D",1,0))))</f>
        <v>3</v>
      </c>
      <c r="J4300">
        <f t="shared" si="589"/>
        <v>18</v>
      </c>
      <c r="K4300">
        <v>18</v>
      </c>
      <c r="L4300">
        <v>6</v>
      </c>
      <c r="M4300" s="2">
        <v>3</v>
      </c>
      <c r="N4300" s="2">
        <v>3.33</v>
      </c>
      <c r="O4300">
        <v>2</v>
      </c>
      <c r="P4300">
        <v>12</v>
      </c>
      <c r="Q4300" t="s">
        <v>575</v>
      </c>
      <c r="R4300" t="s">
        <v>596</v>
      </c>
      <c r="S4300" t="str">
        <f t="shared" ref="S4300:S4358" si="591">IF(OR(H4300="A",H4300="B",H4300="C"),"PA","FA")</f>
        <v>PA</v>
      </c>
    </row>
    <row r="4301" spans="1:19" x14ac:dyDescent="0.3">
      <c r="A4301" t="s">
        <v>8</v>
      </c>
      <c r="B4301">
        <v>2016210034</v>
      </c>
      <c r="C4301" t="s">
        <v>16</v>
      </c>
      <c r="E4301" t="s">
        <v>193</v>
      </c>
      <c r="F4301" t="s">
        <v>194</v>
      </c>
      <c r="G4301">
        <v>4</v>
      </c>
      <c r="H4301" t="s">
        <v>539</v>
      </c>
      <c r="I4301" s="4">
        <f t="shared" ref="I4301:I4358" si="592">IF(H4301="A",4,IF(H4301="B",3,IF(H4301="C",2,IF(H4301="D",1,0))))</f>
        <v>0</v>
      </c>
      <c r="J4301">
        <f t="shared" ref="J4301:J4358" si="593">G4301*I4301</f>
        <v>0</v>
      </c>
      <c r="K4301">
        <v>4</v>
      </c>
      <c r="L4301">
        <v>4</v>
      </c>
      <c r="M4301" s="2">
        <v>1</v>
      </c>
      <c r="N4301" s="2">
        <v>3.33</v>
      </c>
      <c r="O4301">
        <v>0</v>
      </c>
      <c r="P4301">
        <v>7</v>
      </c>
      <c r="Q4301" s="4" t="str">
        <f t="shared" ref="Q4301:Q4347" si="594">IF(P4301=1,"2016/2017-Ganjil",IF(P4301=2,"2016/2017-Genap",IF(P4301=3,"2017/2018-Ganjil",IF(P4301=4,"2017/2018-Genap",IF(P4301=5,"2018/2019-Ganjil",IF(P4301=6,"2018/2019-Genap",IF(P4301=7,"2019/2020-Ganjil",IF(P4301=8,"2019/2020-Genap",IF(P4301=9,"2020/2021-Ganjil",IF(P4301=10,"2020/2021-Genap",IF(P4301=11,"2021/2022-Ganjil",IF(P4301=12,"2021/2022-Genap",IF(P4301=13,"2022/2023-Ganjil","2022/2023-Genap")))))))))))))</f>
        <v>2019/2020-Ganjil</v>
      </c>
      <c r="R4301" s="8" t="s">
        <v>260</v>
      </c>
      <c r="S4301" t="str">
        <f t="shared" si="591"/>
        <v>FA</v>
      </c>
    </row>
    <row r="4302" spans="1:19" x14ac:dyDescent="0.3">
      <c r="A4302" t="s">
        <v>8</v>
      </c>
      <c r="B4302">
        <v>2016210034</v>
      </c>
      <c r="C4302" t="s">
        <v>16</v>
      </c>
      <c r="E4302" t="s">
        <v>193</v>
      </c>
      <c r="F4302" t="s">
        <v>194</v>
      </c>
      <c r="G4302">
        <v>4</v>
      </c>
      <c r="H4302" t="s">
        <v>438</v>
      </c>
      <c r="I4302" s="4">
        <f t="shared" si="592"/>
        <v>3</v>
      </c>
      <c r="J4302">
        <f t="shared" si="593"/>
        <v>12</v>
      </c>
      <c r="K4302">
        <v>20</v>
      </c>
      <c r="L4302">
        <v>6</v>
      </c>
      <c r="M4302" s="2">
        <v>3.33</v>
      </c>
      <c r="N4302" s="2">
        <v>3.33</v>
      </c>
      <c r="O4302">
        <v>1</v>
      </c>
      <c r="P4302">
        <v>9</v>
      </c>
      <c r="Q4302" s="4" t="str">
        <f t="shared" si="594"/>
        <v>2020/2021-Ganjil</v>
      </c>
      <c r="R4302" s="8" t="s">
        <v>260</v>
      </c>
      <c r="S4302" t="str">
        <f t="shared" si="591"/>
        <v>PA</v>
      </c>
    </row>
    <row r="4303" spans="1:19" x14ac:dyDescent="0.3">
      <c r="A4303" t="s">
        <v>8</v>
      </c>
      <c r="B4303">
        <v>2016210034</v>
      </c>
      <c r="C4303" t="s">
        <v>16</v>
      </c>
      <c r="E4303" t="s">
        <v>242</v>
      </c>
      <c r="F4303" t="s">
        <v>166</v>
      </c>
      <c r="G4303">
        <v>2</v>
      </c>
      <c r="H4303" t="s">
        <v>260</v>
      </c>
      <c r="I4303" s="4">
        <f t="shared" si="592"/>
        <v>4</v>
      </c>
      <c r="J4303">
        <f t="shared" si="593"/>
        <v>8</v>
      </c>
      <c r="K4303">
        <v>84</v>
      </c>
      <c r="L4303">
        <v>24</v>
      </c>
      <c r="M4303" s="2">
        <v>3.5</v>
      </c>
      <c r="N4303" s="2">
        <v>3.33</v>
      </c>
      <c r="O4303">
        <v>0</v>
      </c>
      <c r="P4303">
        <v>4</v>
      </c>
      <c r="Q4303" s="4" t="str">
        <f t="shared" si="594"/>
        <v>2017/2018-Genap</v>
      </c>
      <c r="R4303" s="8" t="s">
        <v>260</v>
      </c>
      <c r="S4303" t="str">
        <f t="shared" si="591"/>
        <v>PA</v>
      </c>
    </row>
    <row r="4304" spans="1:19" x14ac:dyDescent="0.3">
      <c r="A4304" t="s">
        <v>8</v>
      </c>
      <c r="B4304">
        <v>2016210034</v>
      </c>
      <c r="C4304" t="s">
        <v>16</v>
      </c>
      <c r="E4304" t="s">
        <v>180</v>
      </c>
      <c r="F4304" t="s">
        <v>181</v>
      </c>
      <c r="G4304">
        <v>4</v>
      </c>
      <c r="H4304" t="s">
        <v>260</v>
      </c>
      <c r="I4304" s="4">
        <f t="shared" si="592"/>
        <v>4</v>
      </c>
      <c r="J4304">
        <f t="shared" si="593"/>
        <v>16</v>
      </c>
      <c r="K4304">
        <v>84</v>
      </c>
      <c r="L4304">
        <v>24</v>
      </c>
      <c r="M4304" s="2">
        <v>3.5</v>
      </c>
      <c r="N4304" s="2">
        <v>3.33</v>
      </c>
      <c r="O4304">
        <v>0</v>
      </c>
      <c r="P4304">
        <v>4</v>
      </c>
      <c r="Q4304" s="4" t="str">
        <f t="shared" si="594"/>
        <v>2017/2018-Genap</v>
      </c>
      <c r="R4304" s="8" t="s">
        <v>260</v>
      </c>
      <c r="S4304" t="str">
        <f t="shared" si="591"/>
        <v>PA</v>
      </c>
    </row>
    <row r="4305" spans="1:19" x14ac:dyDescent="0.3">
      <c r="A4305" t="s">
        <v>8</v>
      </c>
      <c r="B4305">
        <v>2016210034</v>
      </c>
      <c r="C4305" t="s">
        <v>16</v>
      </c>
      <c r="E4305" t="s">
        <v>266</v>
      </c>
      <c r="F4305" t="s">
        <v>91</v>
      </c>
      <c r="G4305">
        <v>2</v>
      </c>
      <c r="H4305" t="s">
        <v>260</v>
      </c>
      <c r="I4305" s="4">
        <f t="shared" si="592"/>
        <v>4</v>
      </c>
      <c r="J4305">
        <f t="shared" si="593"/>
        <v>8</v>
      </c>
      <c r="K4305">
        <v>54</v>
      </c>
      <c r="L4305">
        <v>18</v>
      </c>
      <c r="M4305" s="2">
        <v>3</v>
      </c>
      <c r="N4305" s="2">
        <v>3.33</v>
      </c>
      <c r="O4305">
        <v>0</v>
      </c>
      <c r="P4305">
        <v>2</v>
      </c>
      <c r="Q4305" s="4" t="str">
        <f t="shared" si="594"/>
        <v>2016/2017-Genap</v>
      </c>
      <c r="R4305" s="8" t="s">
        <v>260</v>
      </c>
      <c r="S4305" t="str">
        <f t="shared" si="591"/>
        <v>PA</v>
      </c>
    </row>
    <row r="4306" spans="1:19" x14ac:dyDescent="0.3">
      <c r="A4306" t="s">
        <v>8</v>
      </c>
      <c r="B4306">
        <v>2016210034</v>
      </c>
      <c r="C4306" t="s">
        <v>16</v>
      </c>
      <c r="E4306" t="s">
        <v>216</v>
      </c>
      <c r="F4306" t="s">
        <v>217</v>
      </c>
      <c r="G4306">
        <v>2</v>
      </c>
      <c r="H4306" t="s">
        <v>260</v>
      </c>
      <c r="I4306" s="4">
        <f t="shared" si="592"/>
        <v>4</v>
      </c>
      <c r="J4306">
        <f t="shared" si="593"/>
        <v>8</v>
      </c>
      <c r="K4306">
        <v>84</v>
      </c>
      <c r="L4306">
        <v>24</v>
      </c>
      <c r="M4306" s="2">
        <v>3.5</v>
      </c>
      <c r="N4306" s="2">
        <v>3.33</v>
      </c>
      <c r="O4306">
        <v>0</v>
      </c>
      <c r="P4306">
        <v>4</v>
      </c>
      <c r="Q4306" s="4" t="str">
        <f t="shared" si="594"/>
        <v>2017/2018-Genap</v>
      </c>
      <c r="R4306" s="8" t="s">
        <v>260</v>
      </c>
      <c r="S4306" t="str">
        <f t="shared" si="591"/>
        <v>PA</v>
      </c>
    </row>
    <row r="4307" spans="1:19" x14ac:dyDescent="0.3">
      <c r="A4307" t="s">
        <v>8</v>
      </c>
      <c r="B4307">
        <v>2016210034</v>
      </c>
      <c r="C4307" t="s">
        <v>16</v>
      </c>
      <c r="E4307" t="s">
        <v>369</v>
      </c>
      <c r="F4307" t="s">
        <v>307</v>
      </c>
      <c r="G4307">
        <v>2</v>
      </c>
      <c r="H4307" t="s">
        <v>260</v>
      </c>
      <c r="I4307" s="4">
        <f t="shared" si="592"/>
        <v>4</v>
      </c>
      <c r="J4307">
        <f t="shared" si="593"/>
        <v>8</v>
      </c>
      <c r="K4307">
        <v>84</v>
      </c>
      <c r="L4307">
        <v>24</v>
      </c>
      <c r="M4307" s="2">
        <v>3.5</v>
      </c>
      <c r="N4307" s="2">
        <v>3.33</v>
      </c>
      <c r="O4307">
        <v>0</v>
      </c>
      <c r="P4307">
        <v>4</v>
      </c>
      <c r="Q4307" s="4" t="str">
        <f t="shared" si="594"/>
        <v>2017/2018-Genap</v>
      </c>
      <c r="R4307" s="8" t="s">
        <v>260</v>
      </c>
      <c r="S4307" t="str">
        <f t="shared" si="591"/>
        <v>PA</v>
      </c>
    </row>
    <row r="4308" spans="1:19" x14ac:dyDescent="0.3">
      <c r="A4308" t="s">
        <v>8</v>
      </c>
      <c r="B4308">
        <v>2016210034</v>
      </c>
      <c r="C4308" t="s">
        <v>16</v>
      </c>
      <c r="E4308" t="s">
        <v>93</v>
      </c>
      <c r="F4308" t="s">
        <v>94</v>
      </c>
      <c r="G4308">
        <v>4</v>
      </c>
      <c r="H4308" t="s">
        <v>260</v>
      </c>
      <c r="I4308" s="4">
        <f t="shared" si="592"/>
        <v>4</v>
      </c>
      <c r="J4308">
        <f t="shared" si="593"/>
        <v>16</v>
      </c>
      <c r="K4308">
        <v>74</v>
      </c>
      <c r="L4308">
        <v>24</v>
      </c>
      <c r="M4308">
        <v>3.08</v>
      </c>
      <c r="N4308" s="2">
        <v>3.33</v>
      </c>
      <c r="O4308">
        <v>0</v>
      </c>
      <c r="P4308">
        <v>3</v>
      </c>
      <c r="Q4308" s="4" t="str">
        <f t="shared" si="594"/>
        <v>2017/2018-Ganjil</v>
      </c>
      <c r="R4308" s="8" t="s">
        <v>260</v>
      </c>
      <c r="S4308" t="str">
        <f t="shared" si="591"/>
        <v>PA</v>
      </c>
    </row>
    <row r="4309" spans="1:19" x14ac:dyDescent="0.3">
      <c r="A4309" t="s">
        <v>8</v>
      </c>
      <c r="B4309">
        <v>2016210034</v>
      </c>
      <c r="C4309" t="s">
        <v>16</v>
      </c>
      <c r="E4309" t="s">
        <v>232</v>
      </c>
      <c r="F4309" t="s">
        <v>233</v>
      </c>
      <c r="G4309">
        <v>2</v>
      </c>
      <c r="H4309" t="s">
        <v>260</v>
      </c>
      <c r="I4309" s="4">
        <f t="shared" si="592"/>
        <v>4</v>
      </c>
      <c r="J4309">
        <f t="shared" si="593"/>
        <v>8</v>
      </c>
      <c r="K4309">
        <v>84</v>
      </c>
      <c r="L4309">
        <v>24</v>
      </c>
      <c r="M4309" s="2">
        <v>3.5</v>
      </c>
      <c r="N4309" s="2">
        <v>3.33</v>
      </c>
      <c r="O4309">
        <v>0</v>
      </c>
      <c r="P4309">
        <v>4</v>
      </c>
      <c r="Q4309" s="4" t="str">
        <f t="shared" si="594"/>
        <v>2017/2018-Genap</v>
      </c>
      <c r="R4309" s="8" t="s">
        <v>260</v>
      </c>
      <c r="S4309" t="str">
        <f t="shared" si="591"/>
        <v>PA</v>
      </c>
    </row>
    <row r="4310" spans="1:19" x14ac:dyDescent="0.3">
      <c r="A4310" t="s">
        <v>8</v>
      </c>
      <c r="B4310">
        <v>2016210034</v>
      </c>
      <c r="C4310" t="s">
        <v>16</v>
      </c>
      <c r="E4310" t="s">
        <v>77</v>
      </c>
      <c r="F4310" t="s">
        <v>78</v>
      </c>
      <c r="G4310">
        <v>2</v>
      </c>
      <c r="H4310" t="s">
        <v>260</v>
      </c>
      <c r="I4310" s="4">
        <f t="shared" si="592"/>
        <v>4</v>
      </c>
      <c r="J4310">
        <f t="shared" si="593"/>
        <v>8</v>
      </c>
      <c r="K4310">
        <v>66</v>
      </c>
      <c r="L4310">
        <v>20</v>
      </c>
      <c r="M4310" s="2">
        <v>3.3</v>
      </c>
      <c r="N4310" s="2">
        <v>3.33</v>
      </c>
      <c r="O4310">
        <v>0</v>
      </c>
      <c r="P4310">
        <v>1</v>
      </c>
      <c r="Q4310" s="4" t="str">
        <f t="shared" si="594"/>
        <v>2016/2017-Ganjil</v>
      </c>
      <c r="R4310" s="8" t="s">
        <v>260</v>
      </c>
      <c r="S4310" t="str">
        <f t="shared" si="591"/>
        <v>PA</v>
      </c>
    </row>
    <row r="4311" spans="1:19" x14ac:dyDescent="0.3">
      <c r="A4311" t="s">
        <v>8</v>
      </c>
      <c r="B4311">
        <v>2016210034</v>
      </c>
      <c r="C4311" t="s">
        <v>16</v>
      </c>
      <c r="E4311" t="s">
        <v>202</v>
      </c>
      <c r="F4311" t="s">
        <v>203</v>
      </c>
      <c r="G4311">
        <v>4</v>
      </c>
      <c r="H4311" t="s">
        <v>260</v>
      </c>
      <c r="I4311" s="4">
        <f t="shared" si="592"/>
        <v>4</v>
      </c>
      <c r="J4311">
        <f t="shared" si="593"/>
        <v>16</v>
      </c>
      <c r="K4311">
        <v>66</v>
      </c>
      <c r="L4311">
        <v>20</v>
      </c>
      <c r="M4311" s="2">
        <v>3.3</v>
      </c>
      <c r="N4311" s="2">
        <v>3.33</v>
      </c>
      <c r="O4311">
        <v>0</v>
      </c>
      <c r="P4311">
        <v>1</v>
      </c>
      <c r="Q4311" s="4" t="str">
        <f t="shared" si="594"/>
        <v>2016/2017-Ganjil</v>
      </c>
      <c r="R4311" s="8" t="s">
        <v>260</v>
      </c>
      <c r="S4311" t="str">
        <f t="shared" si="591"/>
        <v>PA</v>
      </c>
    </row>
    <row r="4312" spans="1:19" x14ac:dyDescent="0.3">
      <c r="A4312" t="s">
        <v>8</v>
      </c>
      <c r="B4312">
        <v>2016210034</v>
      </c>
      <c r="C4312" t="s">
        <v>16</v>
      </c>
      <c r="E4312" t="s">
        <v>176</v>
      </c>
      <c r="F4312" t="s">
        <v>177</v>
      </c>
      <c r="G4312">
        <v>4</v>
      </c>
      <c r="H4312" t="s">
        <v>260</v>
      </c>
      <c r="I4312" s="4">
        <f t="shared" si="592"/>
        <v>4</v>
      </c>
      <c r="J4312">
        <f t="shared" si="593"/>
        <v>16</v>
      </c>
      <c r="K4312">
        <v>74</v>
      </c>
      <c r="L4312">
        <v>24</v>
      </c>
      <c r="M4312">
        <v>3.08</v>
      </c>
      <c r="N4312" s="2">
        <v>3.33</v>
      </c>
      <c r="O4312">
        <v>0</v>
      </c>
      <c r="P4312">
        <v>3</v>
      </c>
      <c r="Q4312" s="4" t="str">
        <f t="shared" si="594"/>
        <v>2017/2018-Ganjil</v>
      </c>
      <c r="R4312" s="8" t="s">
        <v>260</v>
      </c>
      <c r="S4312" t="str">
        <f t="shared" si="591"/>
        <v>PA</v>
      </c>
    </row>
    <row r="4313" spans="1:19" x14ac:dyDescent="0.3">
      <c r="A4313" t="s">
        <v>8</v>
      </c>
      <c r="B4313">
        <v>2016210034</v>
      </c>
      <c r="C4313" t="s">
        <v>16</v>
      </c>
      <c r="E4313" t="s">
        <v>131</v>
      </c>
      <c r="F4313" t="s">
        <v>132</v>
      </c>
      <c r="G4313">
        <v>2</v>
      </c>
      <c r="H4313" t="s">
        <v>260</v>
      </c>
      <c r="I4313" s="4">
        <f t="shared" si="592"/>
        <v>4</v>
      </c>
      <c r="J4313">
        <f t="shared" si="593"/>
        <v>8</v>
      </c>
      <c r="K4313">
        <v>66</v>
      </c>
      <c r="L4313">
        <v>20</v>
      </c>
      <c r="M4313" s="2">
        <v>3.3</v>
      </c>
      <c r="N4313" s="2">
        <v>3.33</v>
      </c>
      <c r="O4313">
        <v>0</v>
      </c>
      <c r="P4313">
        <v>1</v>
      </c>
      <c r="Q4313" s="4" t="str">
        <f t="shared" si="594"/>
        <v>2016/2017-Ganjil</v>
      </c>
      <c r="R4313" s="8" t="s">
        <v>260</v>
      </c>
      <c r="S4313" t="str">
        <f t="shared" si="591"/>
        <v>PA</v>
      </c>
    </row>
    <row r="4314" spans="1:19" x14ac:dyDescent="0.3">
      <c r="A4314" t="s">
        <v>8</v>
      </c>
      <c r="B4314">
        <v>2016210034</v>
      </c>
      <c r="C4314" t="s">
        <v>16</v>
      </c>
      <c r="E4314" t="s">
        <v>22</v>
      </c>
      <c r="F4314" t="s">
        <v>23</v>
      </c>
      <c r="G4314">
        <v>2</v>
      </c>
      <c r="H4314" t="s">
        <v>260</v>
      </c>
      <c r="I4314" s="4">
        <f t="shared" si="592"/>
        <v>4</v>
      </c>
      <c r="J4314">
        <f t="shared" si="593"/>
        <v>8</v>
      </c>
      <c r="K4314">
        <v>54</v>
      </c>
      <c r="L4314">
        <v>18</v>
      </c>
      <c r="M4314" s="2">
        <v>3</v>
      </c>
      <c r="N4314" s="2">
        <v>3.33</v>
      </c>
      <c r="O4314">
        <v>0</v>
      </c>
      <c r="P4314">
        <v>2</v>
      </c>
      <c r="Q4314" s="4" t="str">
        <f t="shared" si="594"/>
        <v>2016/2017-Genap</v>
      </c>
      <c r="R4314" s="8" t="s">
        <v>260</v>
      </c>
      <c r="S4314" t="str">
        <f t="shared" si="591"/>
        <v>PA</v>
      </c>
    </row>
    <row r="4315" spans="1:19" x14ac:dyDescent="0.3">
      <c r="A4315" t="s">
        <v>8</v>
      </c>
      <c r="B4315">
        <v>2016210034</v>
      </c>
      <c r="C4315" t="s">
        <v>16</v>
      </c>
      <c r="E4315" t="s">
        <v>279</v>
      </c>
      <c r="F4315" t="s">
        <v>280</v>
      </c>
      <c r="G4315">
        <v>2</v>
      </c>
      <c r="H4315" t="s">
        <v>260</v>
      </c>
      <c r="I4315" s="4">
        <f t="shared" si="592"/>
        <v>4</v>
      </c>
      <c r="J4315">
        <f t="shared" si="593"/>
        <v>8</v>
      </c>
      <c r="K4315">
        <v>54</v>
      </c>
      <c r="L4315">
        <v>18</v>
      </c>
      <c r="M4315" s="2">
        <v>3</v>
      </c>
      <c r="N4315" s="2">
        <v>3.33</v>
      </c>
      <c r="O4315">
        <v>0</v>
      </c>
      <c r="P4315">
        <v>2</v>
      </c>
      <c r="Q4315" s="4" t="str">
        <f t="shared" si="594"/>
        <v>2016/2017-Genap</v>
      </c>
      <c r="R4315" s="8" t="s">
        <v>260</v>
      </c>
      <c r="S4315" t="str">
        <f t="shared" si="591"/>
        <v>PA</v>
      </c>
    </row>
    <row r="4316" spans="1:19" x14ac:dyDescent="0.3">
      <c r="A4316" t="s">
        <v>8</v>
      </c>
      <c r="B4316">
        <v>2016210034</v>
      </c>
      <c r="C4316" t="s">
        <v>16</v>
      </c>
      <c r="E4316" t="s">
        <v>391</v>
      </c>
      <c r="F4316" t="s">
        <v>392</v>
      </c>
      <c r="G4316">
        <v>2</v>
      </c>
      <c r="H4316" t="s">
        <v>260</v>
      </c>
      <c r="I4316" s="4">
        <f t="shared" si="592"/>
        <v>4</v>
      </c>
      <c r="J4316">
        <f t="shared" si="593"/>
        <v>8</v>
      </c>
      <c r="K4316">
        <v>68</v>
      </c>
      <c r="L4316">
        <v>22</v>
      </c>
      <c r="M4316" s="2">
        <v>3.09</v>
      </c>
      <c r="N4316" s="2">
        <v>3.33</v>
      </c>
      <c r="O4316">
        <v>0</v>
      </c>
      <c r="P4316">
        <v>5</v>
      </c>
      <c r="Q4316" s="4" t="str">
        <f t="shared" si="594"/>
        <v>2018/2019-Ganjil</v>
      </c>
      <c r="R4316" s="8" t="s">
        <v>260</v>
      </c>
      <c r="S4316" t="str">
        <f t="shared" si="591"/>
        <v>PA</v>
      </c>
    </row>
    <row r="4317" spans="1:19" x14ac:dyDescent="0.3">
      <c r="A4317" t="s">
        <v>8</v>
      </c>
      <c r="B4317">
        <v>2016210034</v>
      </c>
      <c r="C4317" t="s">
        <v>16</v>
      </c>
      <c r="E4317" t="s">
        <v>163</v>
      </c>
      <c r="F4317" t="s">
        <v>164</v>
      </c>
      <c r="G4317">
        <v>2</v>
      </c>
      <c r="H4317" t="s">
        <v>260</v>
      </c>
      <c r="I4317" s="4">
        <f t="shared" si="592"/>
        <v>4</v>
      </c>
      <c r="J4317">
        <f t="shared" si="593"/>
        <v>8</v>
      </c>
      <c r="K4317">
        <v>66</v>
      </c>
      <c r="L4317">
        <v>20</v>
      </c>
      <c r="M4317" s="2">
        <v>3.3</v>
      </c>
      <c r="N4317" s="2">
        <v>3.33</v>
      </c>
      <c r="O4317">
        <v>0</v>
      </c>
      <c r="P4317">
        <v>1</v>
      </c>
      <c r="Q4317" s="4" t="str">
        <f t="shared" si="594"/>
        <v>2016/2017-Ganjil</v>
      </c>
      <c r="R4317" s="8" t="s">
        <v>260</v>
      </c>
      <c r="S4317" t="str">
        <f t="shared" si="591"/>
        <v>PA</v>
      </c>
    </row>
    <row r="4318" spans="1:19" x14ac:dyDescent="0.3">
      <c r="A4318" t="s">
        <v>8</v>
      </c>
      <c r="B4318">
        <v>2016210034</v>
      </c>
      <c r="C4318" t="s">
        <v>16</v>
      </c>
      <c r="E4318" t="s">
        <v>80</v>
      </c>
      <c r="F4318" t="s">
        <v>81</v>
      </c>
      <c r="G4318">
        <v>4</v>
      </c>
      <c r="H4318" t="s">
        <v>438</v>
      </c>
      <c r="I4318" s="4">
        <f t="shared" si="592"/>
        <v>3</v>
      </c>
      <c r="J4318">
        <f t="shared" si="593"/>
        <v>12</v>
      </c>
      <c r="K4318">
        <v>66</v>
      </c>
      <c r="L4318">
        <v>22</v>
      </c>
      <c r="M4318" s="2">
        <v>3</v>
      </c>
      <c r="N4318" s="2">
        <v>3.33</v>
      </c>
      <c r="O4318">
        <v>0</v>
      </c>
      <c r="P4318">
        <v>6</v>
      </c>
      <c r="Q4318" s="4" t="str">
        <f t="shared" si="594"/>
        <v>2018/2019-Genap</v>
      </c>
      <c r="R4318" s="8" t="s">
        <v>260</v>
      </c>
      <c r="S4318" t="str">
        <f t="shared" si="591"/>
        <v>PA</v>
      </c>
    </row>
    <row r="4319" spans="1:19" x14ac:dyDescent="0.3">
      <c r="A4319" t="s">
        <v>8</v>
      </c>
      <c r="B4319">
        <v>2016210034</v>
      </c>
      <c r="C4319" t="s">
        <v>16</v>
      </c>
      <c r="E4319" t="s">
        <v>117</v>
      </c>
      <c r="F4319" t="s">
        <v>118</v>
      </c>
      <c r="G4319">
        <v>2</v>
      </c>
      <c r="H4319" t="s">
        <v>438</v>
      </c>
      <c r="I4319" s="4">
        <f t="shared" si="592"/>
        <v>3</v>
      </c>
      <c r="J4319">
        <f t="shared" si="593"/>
        <v>6</v>
      </c>
      <c r="K4319">
        <v>54</v>
      </c>
      <c r="L4319">
        <v>18</v>
      </c>
      <c r="M4319" s="2">
        <v>3</v>
      </c>
      <c r="N4319" s="2">
        <v>3.33</v>
      </c>
      <c r="O4319">
        <v>0</v>
      </c>
      <c r="P4319">
        <v>2</v>
      </c>
      <c r="Q4319" s="4" t="str">
        <f t="shared" si="594"/>
        <v>2016/2017-Genap</v>
      </c>
      <c r="R4319" s="8" t="s">
        <v>260</v>
      </c>
      <c r="S4319" t="str">
        <f t="shared" si="591"/>
        <v>PA</v>
      </c>
    </row>
    <row r="4320" spans="1:19" x14ac:dyDescent="0.3">
      <c r="A4320" t="s">
        <v>8</v>
      </c>
      <c r="B4320">
        <v>2016210034</v>
      </c>
      <c r="C4320" t="s">
        <v>16</v>
      </c>
      <c r="E4320" t="s">
        <v>597</v>
      </c>
      <c r="F4320" t="s">
        <v>275</v>
      </c>
      <c r="G4320">
        <v>2</v>
      </c>
      <c r="H4320" t="s">
        <v>438</v>
      </c>
      <c r="I4320" s="4">
        <f t="shared" si="592"/>
        <v>3</v>
      </c>
      <c r="J4320">
        <f t="shared" si="593"/>
        <v>6</v>
      </c>
      <c r="K4320">
        <v>66</v>
      </c>
      <c r="L4320">
        <v>22</v>
      </c>
      <c r="M4320" s="2">
        <v>3</v>
      </c>
      <c r="N4320" s="2">
        <v>3.33</v>
      </c>
      <c r="O4320">
        <v>0</v>
      </c>
      <c r="P4320">
        <v>6</v>
      </c>
      <c r="Q4320" s="4" t="str">
        <f t="shared" si="594"/>
        <v>2018/2019-Genap</v>
      </c>
      <c r="R4320" s="8" t="s">
        <v>260</v>
      </c>
      <c r="S4320" t="str">
        <f t="shared" si="591"/>
        <v>PA</v>
      </c>
    </row>
    <row r="4321" spans="1:19" x14ac:dyDescent="0.3">
      <c r="A4321" t="s">
        <v>8</v>
      </c>
      <c r="B4321">
        <v>2016210034</v>
      </c>
      <c r="C4321" t="s">
        <v>16</v>
      </c>
      <c r="E4321" t="s">
        <v>107</v>
      </c>
      <c r="F4321" t="s">
        <v>108</v>
      </c>
      <c r="G4321">
        <v>2</v>
      </c>
      <c r="H4321" t="s">
        <v>438</v>
      </c>
      <c r="I4321" s="4">
        <f t="shared" si="592"/>
        <v>3</v>
      </c>
      <c r="J4321">
        <f t="shared" si="593"/>
        <v>6</v>
      </c>
      <c r="K4321">
        <v>66</v>
      </c>
      <c r="L4321">
        <v>22</v>
      </c>
      <c r="M4321" s="2">
        <v>3</v>
      </c>
      <c r="N4321" s="2">
        <v>3.33</v>
      </c>
      <c r="O4321">
        <v>0</v>
      </c>
      <c r="P4321">
        <v>6</v>
      </c>
      <c r="Q4321" s="4" t="str">
        <f t="shared" si="594"/>
        <v>2018/2019-Genap</v>
      </c>
      <c r="R4321" s="8" t="s">
        <v>260</v>
      </c>
      <c r="S4321" t="str">
        <f t="shared" si="591"/>
        <v>PA</v>
      </c>
    </row>
    <row r="4322" spans="1:19" x14ac:dyDescent="0.3">
      <c r="A4322" t="s">
        <v>8</v>
      </c>
      <c r="B4322">
        <v>2016210034</v>
      </c>
      <c r="C4322" t="s">
        <v>16</v>
      </c>
      <c r="E4322" t="s">
        <v>401</v>
      </c>
      <c r="F4322" t="s">
        <v>258</v>
      </c>
      <c r="G4322">
        <v>4</v>
      </c>
      <c r="H4322" t="s">
        <v>438</v>
      </c>
      <c r="I4322" s="4">
        <f t="shared" si="592"/>
        <v>3</v>
      </c>
      <c r="J4322">
        <f t="shared" si="593"/>
        <v>12</v>
      </c>
      <c r="K4322">
        <v>74</v>
      </c>
      <c r="L4322">
        <v>24</v>
      </c>
      <c r="M4322">
        <v>3.08</v>
      </c>
      <c r="N4322" s="2">
        <v>3.33</v>
      </c>
      <c r="O4322">
        <v>0</v>
      </c>
      <c r="P4322">
        <v>3</v>
      </c>
      <c r="Q4322" s="4" t="str">
        <f t="shared" si="594"/>
        <v>2017/2018-Ganjil</v>
      </c>
      <c r="R4322" s="8" t="s">
        <v>260</v>
      </c>
      <c r="S4322" t="str">
        <f t="shared" si="591"/>
        <v>PA</v>
      </c>
    </row>
    <row r="4323" spans="1:19" x14ac:dyDescent="0.3">
      <c r="A4323" t="s">
        <v>8</v>
      </c>
      <c r="B4323">
        <v>2016210034</v>
      </c>
      <c r="C4323" t="s">
        <v>16</v>
      </c>
      <c r="E4323" t="s">
        <v>352</v>
      </c>
      <c r="F4323" t="s">
        <v>353</v>
      </c>
      <c r="G4323">
        <v>2</v>
      </c>
      <c r="H4323" t="s">
        <v>438</v>
      </c>
      <c r="I4323" s="4">
        <f t="shared" si="592"/>
        <v>3</v>
      </c>
      <c r="J4323">
        <f t="shared" si="593"/>
        <v>6</v>
      </c>
      <c r="K4323">
        <v>68</v>
      </c>
      <c r="L4323">
        <v>22</v>
      </c>
      <c r="M4323">
        <v>3.09</v>
      </c>
      <c r="N4323" s="2">
        <v>3.33</v>
      </c>
      <c r="O4323">
        <v>0</v>
      </c>
      <c r="P4323">
        <v>5</v>
      </c>
      <c r="Q4323" s="4" t="str">
        <f t="shared" si="594"/>
        <v>2018/2019-Ganjil</v>
      </c>
      <c r="R4323" s="8" t="s">
        <v>260</v>
      </c>
      <c r="S4323" t="str">
        <f t="shared" si="591"/>
        <v>PA</v>
      </c>
    </row>
    <row r="4324" spans="1:19" x14ac:dyDescent="0.3">
      <c r="A4324" t="s">
        <v>8</v>
      </c>
      <c r="B4324">
        <v>2016210034</v>
      </c>
      <c r="C4324" t="s">
        <v>16</v>
      </c>
      <c r="E4324" t="s">
        <v>105</v>
      </c>
      <c r="F4324" t="s">
        <v>106</v>
      </c>
      <c r="G4324">
        <v>2</v>
      </c>
      <c r="H4324" t="s">
        <v>438</v>
      </c>
      <c r="I4324" s="4">
        <f t="shared" si="592"/>
        <v>3</v>
      </c>
      <c r="J4324">
        <f t="shared" si="593"/>
        <v>6</v>
      </c>
      <c r="K4324">
        <v>74</v>
      </c>
      <c r="L4324">
        <v>24</v>
      </c>
      <c r="M4324">
        <v>3.08</v>
      </c>
      <c r="N4324" s="2">
        <v>3.33</v>
      </c>
      <c r="O4324">
        <v>0</v>
      </c>
      <c r="P4324">
        <v>3</v>
      </c>
      <c r="Q4324" s="4" t="str">
        <f t="shared" si="594"/>
        <v>2017/2018-Ganjil</v>
      </c>
      <c r="R4324" s="8" t="s">
        <v>260</v>
      </c>
      <c r="S4324" t="str">
        <f t="shared" si="591"/>
        <v>PA</v>
      </c>
    </row>
    <row r="4325" spans="1:19" x14ac:dyDescent="0.3">
      <c r="A4325" t="s">
        <v>8</v>
      </c>
      <c r="B4325">
        <v>2016210034</v>
      </c>
      <c r="C4325" t="s">
        <v>16</v>
      </c>
      <c r="E4325" t="s">
        <v>250</v>
      </c>
      <c r="F4325" t="s">
        <v>429</v>
      </c>
      <c r="G4325">
        <v>2</v>
      </c>
      <c r="H4325" t="s">
        <v>438</v>
      </c>
      <c r="I4325" s="4">
        <f t="shared" si="592"/>
        <v>3</v>
      </c>
      <c r="J4325">
        <f t="shared" si="593"/>
        <v>6</v>
      </c>
      <c r="K4325">
        <v>8</v>
      </c>
      <c r="L4325">
        <v>4</v>
      </c>
      <c r="M4325" s="2">
        <v>2</v>
      </c>
      <c r="N4325" s="2">
        <v>3.33</v>
      </c>
      <c r="O4325">
        <v>0</v>
      </c>
      <c r="P4325">
        <v>8</v>
      </c>
      <c r="Q4325" s="4" t="str">
        <f t="shared" si="594"/>
        <v>2019/2020-Genap</v>
      </c>
      <c r="R4325" s="8" t="s">
        <v>260</v>
      </c>
      <c r="S4325" t="str">
        <f t="shared" si="591"/>
        <v>PA</v>
      </c>
    </row>
    <row r="4326" spans="1:19" x14ac:dyDescent="0.3">
      <c r="A4326" t="s">
        <v>8</v>
      </c>
      <c r="B4326">
        <v>2016210034</v>
      </c>
      <c r="C4326" t="s">
        <v>16</v>
      </c>
      <c r="E4326" t="s">
        <v>213</v>
      </c>
      <c r="F4326" t="s">
        <v>214</v>
      </c>
      <c r="G4326">
        <v>4</v>
      </c>
      <c r="H4326" t="s">
        <v>438</v>
      </c>
      <c r="I4326" s="4">
        <f t="shared" si="592"/>
        <v>3</v>
      </c>
      <c r="J4326">
        <f t="shared" si="593"/>
        <v>12</v>
      </c>
      <c r="K4326">
        <v>68</v>
      </c>
      <c r="L4326">
        <v>22</v>
      </c>
      <c r="M4326">
        <v>3.09</v>
      </c>
      <c r="N4326" s="2">
        <v>3.33</v>
      </c>
      <c r="O4326">
        <v>0</v>
      </c>
      <c r="P4326">
        <v>5</v>
      </c>
      <c r="Q4326" s="4" t="str">
        <f t="shared" si="594"/>
        <v>2018/2019-Ganjil</v>
      </c>
      <c r="R4326" s="8" t="s">
        <v>260</v>
      </c>
      <c r="S4326" t="str">
        <f t="shared" si="591"/>
        <v>PA</v>
      </c>
    </row>
    <row r="4327" spans="1:19" x14ac:dyDescent="0.3">
      <c r="A4327" t="s">
        <v>8</v>
      </c>
      <c r="B4327">
        <v>2016210034</v>
      </c>
      <c r="C4327" t="s">
        <v>16</v>
      </c>
      <c r="E4327" t="s">
        <v>407</v>
      </c>
      <c r="F4327" t="s">
        <v>312</v>
      </c>
      <c r="G4327">
        <v>2</v>
      </c>
      <c r="H4327" t="s">
        <v>438</v>
      </c>
      <c r="I4327" s="4">
        <f t="shared" si="592"/>
        <v>3</v>
      </c>
      <c r="J4327">
        <f t="shared" si="593"/>
        <v>6</v>
      </c>
      <c r="K4327">
        <v>68</v>
      </c>
      <c r="L4327">
        <v>22</v>
      </c>
      <c r="M4327">
        <v>3.09</v>
      </c>
      <c r="N4327" s="2">
        <v>3.33</v>
      </c>
      <c r="O4327">
        <v>0</v>
      </c>
      <c r="P4327">
        <v>5</v>
      </c>
      <c r="Q4327" s="4" t="str">
        <f t="shared" si="594"/>
        <v>2018/2019-Ganjil</v>
      </c>
      <c r="R4327" s="8" t="s">
        <v>260</v>
      </c>
      <c r="S4327" t="str">
        <f t="shared" si="591"/>
        <v>PA</v>
      </c>
    </row>
    <row r="4328" spans="1:19" x14ac:dyDescent="0.3">
      <c r="A4328" t="s">
        <v>8</v>
      </c>
      <c r="B4328">
        <v>2016210034</v>
      </c>
      <c r="C4328" t="s">
        <v>16</v>
      </c>
      <c r="E4328" t="s">
        <v>219</v>
      </c>
      <c r="F4328" t="s">
        <v>220</v>
      </c>
      <c r="G4328">
        <v>2</v>
      </c>
      <c r="H4328" t="s">
        <v>438</v>
      </c>
      <c r="I4328" s="4">
        <f t="shared" si="592"/>
        <v>3</v>
      </c>
      <c r="J4328">
        <f t="shared" si="593"/>
        <v>6</v>
      </c>
      <c r="K4328">
        <v>74</v>
      </c>
      <c r="L4328">
        <v>24</v>
      </c>
      <c r="M4328">
        <v>3.08</v>
      </c>
      <c r="N4328" s="2">
        <v>3.33</v>
      </c>
      <c r="O4328">
        <v>0</v>
      </c>
      <c r="P4328">
        <v>3</v>
      </c>
      <c r="Q4328" s="4" t="str">
        <f t="shared" si="594"/>
        <v>2017/2018-Ganjil</v>
      </c>
      <c r="R4328" s="8" t="s">
        <v>260</v>
      </c>
      <c r="S4328" t="str">
        <f t="shared" si="591"/>
        <v>PA</v>
      </c>
    </row>
    <row r="4329" spans="1:19" x14ac:dyDescent="0.3">
      <c r="A4329" t="s">
        <v>8</v>
      </c>
      <c r="B4329">
        <v>2016210034</v>
      </c>
      <c r="C4329" t="s">
        <v>16</v>
      </c>
      <c r="E4329" t="s">
        <v>115</v>
      </c>
      <c r="F4329" t="s">
        <v>116</v>
      </c>
      <c r="G4329">
        <v>4</v>
      </c>
      <c r="H4329" t="s">
        <v>438</v>
      </c>
      <c r="I4329" s="4">
        <f t="shared" si="592"/>
        <v>3</v>
      </c>
      <c r="J4329">
        <f t="shared" si="593"/>
        <v>12</v>
      </c>
      <c r="K4329">
        <v>54</v>
      </c>
      <c r="L4329">
        <v>18</v>
      </c>
      <c r="M4329" s="2">
        <v>3</v>
      </c>
      <c r="N4329" s="2">
        <v>3.33</v>
      </c>
      <c r="O4329">
        <v>0</v>
      </c>
      <c r="P4329">
        <v>2</v>
      </c>
      <c r="Q4329" s="4" t="str">
        <f t="shared" si="594"/>
        <v>2016/2017-Genap</v>
      </c>
      <c r="R4329" s="8" t="s">
        <v>260</v>
      </c>
      <c r="S4329" t="str">
        <f t="shared" si="591"/>
        <v>PA</v>
      </c>
    </row>
    <row r="4330" spans="1:19" x14ac:dyDescent="0.3">
      <c r="A4330" t="s">
        <v>8</v>
      </c>
      <c r="B4330">
        <v>2016210034</v>
      </c>
      <c r="C4330" t="s">
        <v>16</v>
      </c>
      <c r="E4330" t="s">
        <v>238</v>
      </c>
      <c r="F4330" t="s">
        <v>239</v>
      </c>
      <c r="G4330">
        <v>4</v>
      </c>
      <c r="H4330" t="s">
        <v>438</v>
      </c>
      <c r="I4330" s="4">
        <f t="shared" si="592"/>
        <v>3</v>
      </c>
      <c r="J4330">
        <f t="shared" si="593"/>
        <v>12</v>
      </c>
      <c r="K4330">
        <v>66</v>
      </c>
      <c r="L4330">
        <v>22</v>
      </c>
      <c r="M4330" s="2">
        <v>3</v>
      </c>
      <c r="N4330" s="2">
        <v>3.33</v>
      </c>
      <c r="O4330">
        <v>0</v>
      </c>
      <c r="P4330">
        <v>6</v>
      </c>
      <c r="Q4330" s="4" t="str">
        <f t="shared" si="594"/>
        <v>2018/2019-Genap</v>
      </c>
      <c r="R4330" s="8" t="s">
        <v>260</v>
      </c>
      <c r="S4330" t="str">
        <f t="shared" si="591"/>
        <v>PA</v>
      </c>
    </row>
    <row r="4331" spans="1:19" x14ac:dyDescent="0.3">
      <c r="A4331" t="s">
        <v>8</v>
      </c>
      <c r="B4331">
        <v>2016210034</v>
      </c>
      <c r="C4331" t="s">
        <v>16</v>
      </c>
      <c r="E4331" t="s">
        <v>253</v>
      </c>
      <c r="F4331" t="s">
        <v>254</v>
      </c>
      <c r="G4331">
        <v>2</v>
      </c>
      <c r="H4331" t="s">
        <v>438</v>
      </c>
      <c r="I4331" s="4">
        <f t="shared" si="592"/>
        <v>3</v>
      </c>
      <c r="J4331">
        <f t="shared" si="593"/>
        <v>6</v>
      </c>
      <c r="K4331">
        <v>84</v>
      </c>
      <c r="L4331">
        <v>24</v>
      </c>
      <c r="M4331" s="2">
        <v>3.5</v>
      </c>
      <c r="N4331" s="2">
        <v>3.33</v>
      </c>
      <c r="O4331">
        <v>0</v>
      </c>
      <c r="P4331">
        <v>4</v>
      </c>
      <c r="Q4331" s="4" t="str">
        <f t="shared" si="594"/>
        <v>2017/2018-Genap</v>
      </c>
      <c r="R4331" s="8" t="s">
        <v>260</v>
      </c>
      <c r="S4331" t="str">
        <f t="shared" si="591"/>
        <v>PA</v>
      </c>
    </row>
    <row r="4332" spans="1:19" x14ac:dyDescent="0.3">
      <c r="A4332" t="s">
        <v>8</v>
      </c>
      <c r="B4332">
        <v>2016210034</v>
      </c>
      <c r="C4332" t="s">
        <v>16</v>
      </c>
      <c r="E4332" t="s">
        <v>87</v>
      </c>
      <c r="F4332" t="s">
        <v>88</v>
      </c>
      <c r="G4332">
        <v>2</v>
      </c>
      <c r="H4332" t="s">
        <v>438</v>
      </c>
      <c r="I4332" s="4">
        <f t="shared" si="592"/>
        <v>3</v>
      </c>
      <c r="J4332">
        <f t="shared" si="593"/>
        <v>6</v>
      </c>
      <c r="K4332">
        <v>66</v>
      </c>
      <c r="L4332">
        <v>22</v>
      </c>
      <c r="M4332" s="2">
        <v>3</v>
      </c>
      <c r="N4332" s="2">
        <v>3.33</v>
      </c>
      <c r="O4332">
        <v>0</v>
      </c>
      <c r="P4332">
        <v>6</v>
      </c>
      <c r="Q4332" s="4" t="str">
        <f t="shared" si="594"/>
        <v>2018/2019-Genap</v>
      </c>
      <c r="R4332" s="8" t="s">
        <v>260</v>
      </c>
      <c r="S4332" t="str">
        <f t="shared" si="591"/>
        <v>PA</v>
      </c>
    </row>
    <row r="4333" spans="1:19" x14ac:dyDescent="0.3">
      <c r="A4333" t="s">
        <v>8</v>
      </c>
      <c r="B4333">
        <v>2016210034</v>
      </c>
      <c r="C4333" t="s">
        <v>16</v>
      </c>
      <c r="E4333" t="s">
        <v>246</v>
      </c>
      <c r="F4333" t="s">
        <v>247</v>
      </c>
      <c r="G4333">
        <v>4</v>
      </c>
      <c r="H4333" t="s">
        <v>438</v>
      </c>
      <c r="I4333" s="4">
        <f t="shared" si="592"/>
        <v>3</v>
      </c>
      <c r="J4333">
        <f t="shared" si="593"/>
        <v>12</v>
      </c>
      <c r="K4333">
        <v>84</v>
      </c>
      <c r="L4333">
        <v>24</v>
      </c>
      <c r="M4333" s="2">
        <v>3.5</v>
      </c>
      <c r="N4333" s="2">
        <v>3.33</v>
      </c>
      <c r="O4333">
        <v>0</v>
      </c>
      <c r="P4333">
        <v>4</v>
      </c>
      <c r="Q4333" s="4" t="str">
        <f t="shared" si="594"/>
        <v>2017/2018-Genap</v>
      </c>
      <c r="R4333" s="8" t="s">
        <v>260</v>
      </c>
      <c r="S4333" t="str">
        <f t="shared" si="591"/>
        <v>PA</v>
      </c>
    </row>
    <row r="4334" spans="1:19" x14ac:dyDescent="0.3">
      <c r="A4334" t="s">
        <v>8</v>
      </c>
      <c r="B4334">
        <v>2016210034</v>
      </c>
      <c r="C4334" t="s">
        <v>16</v>
      </c>
      <c r="E4334" t="s">
        <v>136</v>
      </c>
      <c r="F4334" t="s">
        <v>137</v>
      </c>
      <c r="G4334">
        <v>4</v>
      </c>
      <c r="H4334" t="s">
        <v>438</v>
      </c>
      <c r="I4334" s="4">
        <f t="shared" si="592"/>
        <v>3</v>
      </c>
      <c r="J4334">
        <f t="shared" si="593"/>
        <v>12</v>
      </c>
      <c r="K4334">
        <v>66</v>
      </c>
      <c r="L4334">
        <v>22</v>
      </c>
      <c r="M4334" s="2">
        <v>3</v>
      </c>
      <c r="N4334" s="2">
        <v>3.33</v>
      </c>
      <c r="O4334">
        <v>0</v>
      </c>
      <c r="P4334">
        <v>6</v>
      </c>
      <c r="Q4334" s="4" t="str">
        <f t="shared" si="594"/>
        <v>2018/2019-Genap</v>
      </c>
      <c r="R4334" s="8" t="s">
        <v>260</v>
      </c>
      <c r="S4334" t="str">
        <f t="shared" si="591"/>
        <v>PA</v>
      </c>
    </row>
    <row r="4335" spans="1:19" x14ac:dyDescent="0.3">
      <c r="A4335" t="s">
        <v>8</v>
      </c>
      <c r="B4335">
        <v>2016210034</v>
      </c>
      <c r="C4335" t="s">
        <v>16</v>
      </c>
      <c r="E4335" t="s">
        <v>449</v>
      </c>
      <c r="F4335" t="s">
        <v>460</v>
      </c>
      <c r="G4335">
        <v>4</v>
      </c>
      <c r="H4335" t="s">
        <v>438</v>
      </c>
      <c r="I4335" s="4">
        <f t="shared" si="592"/>
        <v>3</v>
      </c>
      <c r="J4335">
        <f t="shared" si="593"/>
        <v>12</v>
      </c>
      <c r="K4335">
        <v>84</v>
      </c>
      <c r="L4335">
        <v>24</v>
      </c>
      <c r="M4335" s="2">
        <v>3.5</v>
      </c>
      <c r="N4335" s="2">
        <v>3.33</v>
      </c>
      <c r="O4335">
        <v>0</v>
      </c>
      <c r="P4335">
        <v>4</v>
      </c>
      <c r="Q4335" s="4" t="str">
        <f t="shared" si="594"/>
        <v>2017/2018-Genap</v>
      </c>
      <c r="R4335" s="8" t="s">
        <v>260</v>
      </c>
      <c r="S4335" t="str">
        <f t="shared" si="591"/>
        <v>PA</v>
      </c>
    </row>
    <row r="4336" spans="1:19" x14ac:dyDescent="0.3">
      <c r="A4336" t="s">
        <v>8</v>
      </c>
      <c r="B4336">
        <v>2016210034</v>
      </c>
      <c r="C4336" t="s">
        <v>16</v>
      </c>
      <c r="E4336" t="s">
        <v>119</v>
      </c>
      <c r="F4336" t="s">
        <v>120</v>
      </c>
      <c r="G4336">
        <v>2</v>
      </c>
      <c r="H4336" t="s">
        <v>438</v>
      </c>
      <c r="I4336" s="4">
        <f t="shared" si="592"/>
        <v>3</v>
      </c>
      <c r="J4336">
        <f t="shared" si="593"/>
        <v>6</v>
      </c>
      <c r="K4336">
        <v>66</v>
      </c>
      <c r="L4336">
        <v>22</v>
      </c>
      <c r="M4336" s="2">
        <v>3</v>
      </c>
      <c r="N4336" s="2">
        <v>3.33</v>
      </c>
      <c r="O4336">
        <v>0</v>
      </c>
      <c r="P4336">
        <v>6</v>
      </c>
      <c r="Q4336" s="4" t="str">
        <f t="shared" si="594"/>
        <v>2018/2019-Genap</v>
      </c>
      <c r="R4336" s="8" t="s">
        <v>260</v>
      </c>
      <c r="S4336" t="str">
        <f t="shared" si="591"/>
        <v>PA</v>
      </c>
    </row>
    <row r="4337" spans="1:19" x14ac:dyDescent="0.3">
      <c r="A4337" t="s">
        <v>8</v>
      </c>
      <c r="B4337">
        <v>2016210034</v>
      </c>
      <c r="C4337" t="s">
        <v>16</v>
      </c>
      <c r="E4337" t="s">
        <v>355</v>
      </c>
      <c r="F4337" t="s">
        <v>274</v>
      </c>
      <c r="G4337">
        <v>2</v>
      </c>
      <c r="H4337" t="s">
        <v>438</v>
      </c>
      <c r="I4337" s="4">
        <f t="shared" si="592"/>
        <v>3</v>
      </c>
      <c r="J4337">
        <f t="shared" si="593"/>
        <v>6</v>
      </c>
      <c r="K4337">
        <v>84</v>
      </c>
      <c r="L4337">
        <v>24</v>
      </c>
      <c r="M4337" s="2">
        <v>3.5</v>
      </c>
      <c r="N4337" s="2">
        <v>3.33</v>
      </c>
      <c r="O4337">
        <v>0</v>
      </c>
      <c r="P4337">
        <v>4</v>
      </c>
      <c r="Q4337" s="4" t="str">
        <f t="shared" si="594"/>
        <v>2017/2018-Genap</v>
      </c>
      <c r="R4337" s="8" t="s">
        <v>260</v>
      </c>
      <c r="S4337" t="str">
        <f t="shared" si="591"/>
        <v>PA</v>
      </c>
    </row>
    <row r="4338" spans="1:19" x14ac:dyDescent="0.3">
      <c r="A4338" t="s">
        <v>8</v>
      </c>
      <c r="B4338">
        <v>2016210034</v>
      </c>
      <c r="C4338" t="s">
        <v>16</v>
      </c>
      <c r="E4338" t="s">
        <v>110</v>
      </c>
      <c r="F4338" t="s">
        <v>111</v>
      </c>
      <c r="G4338">
        <v>4</v>
      </c>
      <c r="H4338" t="s">
        <v>438</v>
      </c>
      <c r="I4338" s="4">
        <f t="shared" si="592"/>
        <v>3</v>
      </c>
      <c r="J4338">
        <f t="shared" si="593"/>
        <v>12</v>
      </c>
      <c r="K4338">
        <v>66</v>
      </c>
      <c r="L4338">
        <v>20</v>
      </c>
      <c r="M4338" s="2">
        <v>3.3</v>
      </c>
      <c r="N4338" s="2">
        <v>3.33</v>
      </c>
      <c r="O4338">
        <v>0</v>
      </c>
      <c r="P4338">
        <v>1</v>
      </c>
      <c r="Q4338" s="4" t="str">
        <f t="shared" si="594"/>
        <v>2016/2017-Ganjil</v>
      </c>
      <c r="R4338" s="8" t="s">
        <v>260</v>
      </c>
      <c r="S4338" t="str">
        <f t="shared" si="591"/>
        <v>PA</v>
      </c>
    </row>
    <row r="4339" spans="1:19" x14ac:dyDescent="0.3">
      <c r="A4339" t="s">
        <v>8</v>
      </c>
      <c r="B4339">
        <v>2016210034</v>
      </c>
      <c r="C4339" t="s">
        <v>16</v>
      </c>
      <c r="E4339" t="s">
        <v>188</v>
      </c>
      <c r="F4339" t="s">
        <v>189</v>
      </c>
      <c r="G4339">
        <v>4</v>
      </c>
      <c r="H4339" t="s">
        <v>438</v>
      </c>
      <c r="I4339" s="4">
        <f t="shared" si="592"/>
        <v>3</v>
      </c>
      <c r="J4339">
        <f t="shared" si="593"/>
        <v>12</v>
      </c>
      <c r="K4339">
        <v>68</v>
      </c>
      <c r="L4339">
        <v>22</v>
      </c>
      <c r="M4339" s="2">
        <v>3.09</v>
      </c>
      <c r="N4339" s="2">
        <v>3.33</v>
      </c>
      <c r="O4339">
        <v>0</v>
      </c>
      <c r="P4339">
        <v>5</v>
      </c>
      <c r="Q4339" s="4" t="str">
        <f t="shared" si="594"/>
        <v>2018/2019-Ganjil</v>
      </c>
      <c r="R4339" s="8" t="s">
        <v>260</v>
      </c>
      <c r="S4339" t="str">
        <f t="shared" si="591"/>
        <v>PA</v>
      </c>
    </row>
    <row r="4340" spans="1:19" x14ac:dyDescent="0.3">
      <c r="A4340" t="s">
        <v>8</v>
      </c>
      <c r="B4340">
        <v>2016210034</v>
      </c>
      <c r="C4340" t="s">
        <v>16</v>
      </c>
      <c r="E4340" t="s">
        <v>227</v>
      </c>
      <c r="F4340" t="s">
        <v>228</v>
      </c>
      <c r="G4340">
        <v>2</v>
      </c>
      <c r="H4340" t="s">
        <v>438</v>
      </c>
      <c r="I4340" s="4">
        <f t="shared" si="592"/>
        <v>3</v>
      </c>
      <c r="J4340">
        <f t="shared" si="593"/>
        <v>6</v>
      </c>
      <c r="K4340">
        <v>74</v>
      </c>
      <c r="L4340">
        <v>24</v>
      </c>
      <c r="M4340">
        <v>3.08</v>
      </c>
      <c r="N4340" s="2">
        <v>3.33</v>
      </c>
      <c r="O4340">
        <v>0</v>
      </c>
      <c r="P4340">
        <v>3</v>
      </c>
      <c r="Q4340" s="4" t="str">
        <f t="shared" si="594"/>
        <v>2017/2018-Ganjil</v>
      </c>
      <c r="R4340" s="8" t="s">
        <v>260</v>
      </c>
      <c r="S4340" t="str">
        <f t="shared" si="591"/>
        <v>PA</v>
      </c>
    </row>
    <row r="4341" spans="1:19" x14ac:dyDescent="0.3">
      <c r="A4341" t="s">
        <v>8</v>
      </c>
      <c r="B4341">
        <v>2016210034</v>
      </c>
      <c r="C4341" t="s">
        <v>16</v>
      </c>
      <c r="E4341" t="s">
        <v>295</v>
      </c>
      <c r="F4341" t="s">
        <v>296</v>
      </c>
      <c r="G4341">
        <v>2</v>
      </c>
      <c r="H4341" t="s">
        <v>438</v>
      </c>
      <c r="I4341" s="4">
        <f t="shared" si="592"/>
        <v>3</v>
      </c>
      <c r="J4341">
        <f t="shared" si="593"/>
        <v>6</v>
      </c>
      <c r="K4341">
        <v>74</v>
      </c>
      <c r="L4341">
        <v>24</v>
      </c>
      <c r="M4341">
        <v>3.08</v>
      </c>
      <c r="N4341" s="2">
        <v>3.33</v>
      </c>
      <c r="O4341">
        <v>0</v>
      </c>
      <c r="P4341">
        <v>3</v>
      </c>
      <c r="Q4341" s="4" t="str">
        <f t="shared" si="594"/>
        <v>2017/2018-Ganjil</v>
      </c>
      <c r="R4341" s="8" t="s">
        <v>260</v>
      </c>
      <c r="S4341" t="str">
        <f t="shared" si="591"/>
        <v>PA</v>
      </c>
    </row>
    <row r="4342" spans="1:19" x14ac:dyDescent="0.3">
      <c r="A4342" t="s">
        <v>8</v>
      </c>
      <c r="B4342">
        <v>2016210034</v>
      </c>
      <c r="C4342" t="s">
        <v>16</v>
      </c>
      <c r="E4342" t="s">
        <v>362</v>
      </c>
      <c r="F4342" t="s">
        <v>363</v>
      </c>
      <c r="G4342">
        <v>2</v>
      </c>
      <c r="H4342" t="s">
        <v>438</v>
      </c>
      <c r="I4342" s="4">
        <f t="shared" si="592"/>
        <v>3</v>
      </c>
      <c r="J4342">
        <f t="shared" si="593"/>
        <v>6</v>
      </c>
      <c r="K4342">
        <v>68</v>
      </c>
      <c r="L4342">
        <v>22</v>
      </c>
      <c r="M4342" s="2">
        <v>3.09</v>
      </c>
      <c r="N4342" s="2">
        <v>3.33</v>
      </c>
      <c r="O4342">
        <v>0</v>
      </c>
      <c r="P4342">
        <v>5</v>
      </c>
      <c r="Q4342" s="4" t="str">
        <f t="shared" si="594"/>
        <v>2018/2019-Ganjil</v>
      </c>
      <c r="R4342" s="8" t="s">
        <v>260</v>
      </c>
      <c r="S4342" t="str">
        <f t="shared" si="591"/>
        <v>PA</v>
      </c>
    </row>
    <row r="4343" spans="1:19" x14ac:dyDescent="0.3">
      <c r="A4343" t="s">
        <v>8</v>
      </c>
      <c r="B4343">
        <v>2016210034</v>
      </c>
      <c r="C4343" t="s">
        <v>16</v>
      </c>
      <c r="E4343" t="s">
        <v>147</v>
      </c>
      <c r="F4343" t="s">
        <v>148</v>
      </c>
      <c r="G4343">
        <v>4</v>
      </c>
      <c r="H4343" t="s">
        <v>438</v>
      </c>
      <c r="I4343" s="4">
        <f t="shared" si="592"/>
        <v>3</v>
      </c>
      <c r="J4343">
        <f t="shared" si="593"/>
        <v>12</v>
      </c>
      <c r="K4343">
        <v>66</v>
      </c>
      <c r="L4343">
        <v>20</v>
      </c>
      <c r="M4343" s="2">
        <v>3.3</v>
      </c>
      <c r="N4343" s="2">
        <v>3.33</v>
      </c>
      <c r="O4343">
        <v>0</v>
      </c>
      <c r="P4343">
        <v>1</v>
      </c>
      <c r="Q4343" s="4" t="str">
        <f t="shared" si="594"/>
        <v>2016/2017-Ganjil</v>
      </c>
      <c r="R4343" s="8" t="s">
        <v>260</v>
      </c>
      <c r="S4343" t="str">
        <f t="shared" si="591"/>
        <v>PA</v>
      </c>
    </row>
    <row r="4344" spans="1:19" x14ac:dyDescent="0.3">
      <c r="A4344" t="s">
        <v>8</v>
      </c>
      <c r="B4344">
        <v>2016210034</v>
      </c>
      <c r="C4344" t="s">
        <v>16</v>
      </c>
      <c r="E4344" t="s">
        <v>112</v>
      </c>
      <c r="F4344" t="s">
        <v>113</v>
      </c>
      <c r="G4344">
        <v>4</v>
      </c>
      <c r="H4344" t="s">
        <v>438</v>
      </c>
      <c r="I4344" s="4">
        <f t="shared" si="592"/>
        <v>3</v>
      </c>
      <c r="J4344">
        <f t="shared" si="593"/>
        <v>12</v>
      </c>
      <c r="K4344">
        <v>68</v>
      </c>
      <c r="L4344">
        <v>22</v>
      </c>
      <c r="M4344" s="2">
        <v>3.09</v>
      </c>
      <c r="N4344" s="2">
        <v>3.33</v>
      </c>
      <c r="O4344">
        <v>0</v>
      </c>
      <c r="P4344">
        <v>5</v>
      </c>
      <c r="Q4344" s="4" t="str">
        <f t="shared" si="594"/>
        <v>2018/2019-Ganjil</v>
      </c>
      <c r="R4344" s="8" t="s">
        <v>260</v>
      </c>
      <c r="S4344" t="str">
        <f t="shared" si="591"/>
        <v>PA</v>
      </c>
    </row>
    <row r="4345" spans="1:19" x14ac:dyDescent="0.3">
      <c r="A4345" t="s">
        <v>8</v>
      </c>
      <c r="B4345">
        <v>2016210034</v>
      </c>
      <c r="C4345" t="s">
        <v>16</v>
      </c>
      <c r="E4345" t="s">
        <v>44</v>
      </c>
      <c r="F4345" t="s">
        <v>45</v>
      </c>
      <c r="G4345">
        <v>2</v>
      </c>
      <c r="H4345" t="s">
        <v>524</v>
      </c>
      <c r="I4345" s="4">
        <f t="shared" si="592"/>
        <v>2</v>
      </c>
      <c r="J4345">
        <f t="shared" si="593"/>
        <v>4</v>
      </c>
      <c r="K4345">
        <v>54</v>
      </c>
      <c r="L4345">
        <v>18</v>
      </c>
      <c r="M4345" s="2">
        <v>3</v>
      </c>
      <c r="N4345" s="2">
        <v>3.33</v>
      </c>
      <c r="O4345">
        <v>0</v>
      </c>
      <c r="P4345">
        <v>2</v>
      </c>
      <c r="Q4345" s="4" t="str">
        <f t="shared" si="594"/>
        <v>2016/2017-Genap</v>
      </c>
      <c r="R4345" s="8" t="s">
        <v>260</v>
      </c>
      <c r="S4345" t="str">
        <f t="shared" si="591"/>
        <v>PA</v>
      </c>
    </row>
    <row r="4346" spans="1:19" x14ac:dyDescent="0.3">
      <c r="A4346" t="s">
        <v>8</v>
      </c>
      <c r="B4346">
        <v>2016210034</v>
      </c>
      <c r="C4346" t="s">
        <v>16</v>
      </c>
      <c r="E4346" t="s">
        <v>44</v>
      </c>
      <c r="F4346" t="s">
        <v>45</v>
      </c>
      <c r="G4346">
        <v>2</v>
      </c>
      <c r="H4346" t="s">
        <v>438</v>
      </c>
      <c r="I4346" s="4">
        <f t="shared" si="592"/>
        <v>3</v>
      </c>
      <c r="J4346">
        <f t="shared" si="593"/>
        <v>6</v>
      </c>
      <c r="K4346">
        <v>66</v>
      </c>
      <c r="L4346">
        <v>22</v>
      </c>
      <c r="M4346" s="2">
        <v>3</v>
      </c>
      <c r="N4346" s="2">
        <v>3.33</v>
      </c>
      <c r="O4346">
        <v>1</v>
      </c>
      <c r="P4346">
        <v>6</v>
      </c>
      <c r="Q4346" s="4" t="str">
        <f t="shared" si="594"/>
        <v>2018/2019-Genap</v>
      </c>
      <c r="R4346" s="8" t="s">
        <v>260</v>
      </c>
      <c r="S4346" t="str">
        <f t="shared" si="591"/>
        <v>PA</v>
      </c>
    </row>
    <row r="4347" spans="1:19" x14ac:dyDescent="0.3">
      <c r="A4347" t="s">
        <v>8</v>
      </c>
      <c r="B4347">
        <v>2016210034</v>
      </c>
      <c r="C4347" t="s">
        <v>16</v>
      </c>
      <c r="E4347" t="s">
        <v>125</v>
      </c>
      <c r="F4347" t="s">
        <v>126</v>
      </c>
      <c r="G4347">
        <v>4</v>
      </c>
      <c r="H4347" t="s">
        <v>524</v>
      </c>
      <c r="I4347" s="4">
        <f t="shared" si="592"/>
        <v>2</v>
      </c>
      <c r="J4347">
        <f t="shared" si="593"/>
        <v>8</v>
      </c>
      <c r="K4347">
        <v>54</v>
      </c>
      <c r="L4347">
        <v>18</v>
      </c>
      <c r="M4347" s="2">
        <v>3</v>
      </c>
      <c r="N4347" s="2">
        <v>3.33</v>
      </c>
      <c r="O4347">
        <v>0</v>
      </c>
      <c r="P4347">
        <v>2</v>
      </c>
      <c r="Q4347" s="4" t="str">
        <f t="shared" si="594"/>
        <v>2016/2017-Genap</v>
      </c>
      <c r="R4347" s="8" t="s">
        <v>260</v>
      </c>
      <c r="S4347" t="str">
        <f t="shared" si="591"/>
        <v>PA</v>
      </c>
    </row>
    <row r="4348" spans="1:19" x14ac:dyDescent="0.3">
      <c r="A4348" t="s">
        <v>8</v>
      </c>
      <c r="B4348">
        <v>2016210034</v>
      </c>
      <c r="C4348" t="s">
        <v>16</v>
      </c>
      <c r="E4348" t="s">
        <v>125</v>
      </c>
      <c r="F4348" t="s">
        <v>126</v>
      </c>
      <c r="G4348">
        <v>4</v>
      </c>
      <c r="H4348" t="s">
        <v>260</v>
      </c>
      <c r="I4348" s="4">
        <f t="shared" si="592"/>
        <v>4</v>
      </c>
      <c r="J4348">
        <f t="shared" si="593"/>
        <v>16</v>
      </c>
      <c r="K4348">
        <v>50</v>
      </c>
      <c r="L4348">
        <v>14</v>
      </c>
      <c r="M4348" s="2">
        <v>3.57</v>
      </c>
      <c r="N4348" s="2">
        <v>3.33</v>
      </c>
      <c r="O4348">
        <v>1</v>
      </c>
      <c r="P4348">
        <v>8</v>
      </c>
      <c r="Q4348" s="4" t="s">
        <v>571</v>
      </c>
      <c r="R4348" s="8" t="s">
        <v>260</v>
      </c>
      <c r="S4348" t="str">
        <f t="shared" si="591"/>
        <v>PA</v>
      </c>
    </row>
    <row r="4349" spans="1:19" x14ac:dyDescent="0.3">
      <c r="A4349" t="s">
        <v>8</v>
      </c>
      <c r="B4349">
        <v>2016210034</v>
      </c>
      <c r="C4349" t="s">
        <v>16</v>
      </c>
      <c r="E4349" t="s">
        <v>157</v>
      </c>
      <c r="F4349" t="s">
        <v>158</v>
      </c>
      <c r="G4349">
        <v>2</v>
      </c>
      <c r="H4349" t="s">
        <v>524</v>
      </c>
      <c r="I4349" s="4">
        <f t="shared" si="592"/>
        <v>2</v>
      </c>
      <c r="J4349">
        <f t="shared" si="593"/>
        <v>4</v>
      </c>
      <c r="K4349">
        <v>74</v>
      </c>
      <c r="L4349">
        <v>24</v>
      </c>
      <c r="M4349" s="2">
        <v>3.08</v>
      </c>
      <c r="N4349" s="2">
        <v>3.33</v>
      </c>
      <c r="O4349">
        <v>0</v>
      </c>
      <c r="P4349">
        <v>3</v>
      </c>
      <c r="Q4349" s="4" t="str">
        <f>IF(P4349=1,"2016/2017-Ganjil",IF(P4349=2,"2016/2017-Genap",IF(P4349=3,"2017/2018-Ganjil",IF(P4349=4,"2017/2018-Genap",IF(P4349=5,"2018/2019-Ganjil",IF(P4349=6,"2018/2019-Genap",IF(P4349=7,"2019/2020-Ganjil",IF(P4349=8,"2019/2020-Genap",IF(P4349=9,"2020/2021-Ganjil",IF(P4349=10,"2020/2021-Genap",IF(P4349=11,"2021/2022-Ganjil",IF(P4349=12,"2021/2022-Genap",IF(P4349=13,"2022/2023-Ganjil","2022/2023-Genap")))))))))))))</f>
        <v>2017/2018-Ganjil</v>
      </c>
      <c r="R4349" s="8" t="s">
        <v>260</v>
      </c>
      <c r="S4349" t="str">
        <f t="shared" si="591"/>
        <v>PA</v>
      </c>
    </row>
    <row r="4350" spans="1:19" x14ac:dyDescent="0.3">
      <c r="A4350" t="s">
        <v>8</v>
      </c>
      <c r="B4350">
        <v>2016210034</v>
      </c>
      <c r="C4350" t="s">
        <v>16</v>
      </c>
      <c r="E4350" t="s">
        <v>157</v>
      </c>
      <c r="F4350" t="s">
        <v>158</v>
      </c>
      <c r="G4350">
        <v>2</v>
      </c>
      <c r="H4350" t="s">
        <v>438</v>
      </c>
      <c r="I4350" s="4">
        <f t="shared" si="592"/>
        <v>3</v>
      </c>
      <c r="J4350">
        <f t="shared" si="593"/>
        <v>6</v>
      </c>
      <c r="K4350">
        <v>68</v>
      </c>
      <c r="L4350">
        <v>22</v>
      </c>
      <c r="M4350" s="2">
        <v>3.09</v>
      </c>
      <c r="N4350" s="2">
        <v>3.33</v>
      </c>
      <c r="O4350">
        <v>1</v>
      </c>
      <c r="P4350">
        <v>5</v>
      </c>
      <c r="Q4350" s="4" t="str">
        <f>IF(P4350=1,"2016/2017-Ganjil",IF(P4350=2,"2016/2017-Genap",IF(P4350=3,"2017/2018-Ganjil",IF(P4350=4,"2017/2018-Genap",IF(P4350=5,"2018/2019-Ganjil",IF(P4350=6,"2018/2019-Genap",IF(P4350=7,"2019/2020-Ganjil",IF(P4350=8,"2019/2020-Genap",IF(P4350=9,"2020/2021-Ganjil",IF(P4350=10,"2020/2021-Genap",IF(P4350=11,"2021/2022-Ganjil",IF(P4350=12,"2021/2022-Genap",IF(P4350=13,"2022/2023-Ganjil","2022/2023-Genap")))))))))))))</f>
        <v>2018/2019-Ganjil</v>
      </c>
      <c r="R4350" s="8" t="s">
        <v>260</v>
      </c>
      <c r="S4350" t="str">
        <f t="shared" si="591"/>
        <v>PA</v>
      </c>
    </row>
    <row r="4351" spans="1:19" x14ac:dyDescent="0.3">
      <c r="A4351" t="s">
        <v>8</v>
      </c>
      <c r="B4351">
        <v>2016210034</v>
      </c>
      <c r="C4351" t="s">
        <v>16</v>
      </c>
      <c r="E4351" t="s">
        <v>185</v>
      </c>
      <c r="F4351" t="s">
        <v>186</v>
      </c>
      <c r="G4351">
        <v>4</v>
      </c>
      <c r="H4351" t="s">
        <v>535</v>
      </c>
      <c r="I4351" s="4">
        <f t="shared" si="592"/>
        <v>1</v>
      </c>
      <c r="J4351">
        <f t="shared" si="593"/>
        <v>4</v>
      </c>
      <c r="K4351">
        <v>4</v>
      </c>
      <c r="L4351">
        <v>4</v>
      </c>
      <c r="M4351" s="2">
        <v>1</v>
      </c>
      <c r="N4351" s="2">
        <v>3.33</v>
      </c>
      <c r="O4351">
        <v>0</v>
      </c>
      <c r="P4351">
        <v>7</v>
      </c>
      <c r="Q4351" s="4" t="str">
        <f>IF(P4351=1,"2016/2017-Ganjil",IF(P4351=2,"2016/2017-Genap",IF(P4351=3,"2017/2018-Ganjil",IF(P4351=4,"2017/2018-Genap",IF(P4351=5,"2018/2019-Ganjil",IF(P4351=6,"2018/2019-Genap",IF(P4351=7,"2019/2020-Ganjil",IF(P4351=8,"2019/2020-Genap",IF(P4351=9,"2020/2021-Ganjil",IF(P4351=10,"2020/2021-Genap",IF(P4351=11,"2021/2022-Ganjil",IF(P4351=12,"2021/2022-Genap",IF(P4351=13,"2022/2023-Ganjil","2022/2023-Genap")))))))))))))</f>
        <v>2019/2020-Ganjil</v>
      </c>
      <c r="R4351" s="8" t="s">
        <v>260</v>
      </c>
      <c r="S4351" t="str">
        <f t="shared" si="591"/>
        <v>FA</v>
      </c>
    </row>
    <row r="4352" spans="1:19" x14ac:dyDescent="0.3">
      <c r="A4352" t="s">
        <v>8</v>
      </c>
      <c r="B4352">
        <v>2016210034</v>
      </c>
      <c r="C4352" t="s">
        <v>16</v>
      </c>
      <c r="E4352" t="s">
        <v>185</v>
      </c>
      <c r="F4352" t="s">
        <v>186</v>
      </c>
      <c r="G4352">
        <v>4</v>
      </c>
      <c r="H4352" t="s">
        <v>438</v>
      </c>
      <c r="I4352" s="4">
        <f t="shared" si="592"/>
        <v>3</v>
      </c>
      <c r="J4352">
        <f t="shared" si="593"/>
        <v>12</v>
      </c>
      <c r="K4352">
        <v>50</v>
      </c>
      <c r="L4352">
        <v>14</v>
      </c>
      <c r="M4352" s="2">
        <v>3.57</v>
      </c>
      <c r="N4352" s="2">
        <v>3.33</v>
      </c>
      <c r="O4352">
        <v>1</v>
      </c>
      <c r="P4352">
        <v>8</v>
      </c>
      <c r="Q4352" s="4" t="s">
        <v>571</v>
      </c>
      <c r="R4352" s="8" t="s">
        <v>260</v>
      </c>
      <c r="S4352" t="str">
        <f t="shared" si="591"/>
        <v>PA</v>
      </c>
    </row>
    <row r="4353" spans="1:19" x14ac:dyDescent="0.3">
      <c r="A4353" t="s">
        <v>8</v>
      </c>
      <c r="B4353">
        <v>2016210034</v>
      </c>
      <c r="C4353" t="s">
        <v>16</v>
      </c>
      <c r="E4353" t="s">
        <v>395</v>
      </c>
      <c r="F4353" t="s">
        <v>396</v>
      </c>
      <c r="G4353">
        <v>2</v>
      </c>
      <c r="H4353" t="s">
        <v>260</v>
      </c>
      <c r="I4353" s="4">
        <f t="shared" si="592"/>
        <v>4</v>
      </c>
      <c r="J4353">
        <f t="shared" si="593"/>
        <v>8</v>
      </c>
      <c r="K4353">
        <v>50</v>
      </c>
      <c r="L4353">
        <v>14</v>
      </c>
      <c r="M4353" s="2">
        <v>3.57</v>
      </c>
      <c r="N4353" s="2">
        <v>3.33</v>
      </c>
      <c r="O4353">
        <v>1</v>
      </c>
      <c r="P4353">
        <v>8</v>
      </c>
      <c r="Q4353" s="4" t="s">
        <v>571</v>
      </c>
      <c r="R4353" s="8" t="s">
        <v>260</v>
      </c>
      <c r="S4353" t="str">
        <f t="shared" si="591"/>
        <v>PA</v>
      </c>
    </row>
    <row r="4354" spans="1:19" x14ac:dyDescent="0.3">
      <c r="A4354" t="s">
        <v>8</v>
      </c>
      <c r="B4354">
        <v>2016210034</v>
      </c>
      <c r="C4354" t="s">
        <v>16</v>
      </c>
      <c r="E4354" t="s">
        <v>395</v>
      </c>
      <c r="F4354" t="s">
        <v>396</v>
      </c>
      <c r="G4354">
        <v>2</v>
      </c>
      <c r="H4354" t="s">
        <v>535</v>
      </c>
      <c r="I4354" s="4">
        <f t="shared" si="592"/>
        <v>1</v>
      </c>
      <c r="J4354">
        <f t="shared" si="593"/>
        <v>2</v>
      </c>
      <c r="K4354">
        <v>66</v>
      </c>
      <c r="L4354">
        <v>20</v>
      </c>
      <c r="M4354" s="2">
        <v>3.3</v>
      </c>
      <c r="N4354" s="2">
        <v>3.33</v>
      </c>
      <c r="O4354">
        <v>0</v>
      </c>
      <c r="P4354">
        <v>1</v>
      </c>
      <c r="Q4354" s="4" t="str">
        <f>IF(P4354=1,"2016/2017-Ganjil",IF(P4354=2,"2016/2017-Genap",IF(P4354=3,"2017/2018-Ganjil",IF(P4354=4,"2017/2018-Genap",IF(P4354=5,"2018/2019-Ganjil",IF(P4354=6,"2018/2019-Genap",IF(P4354=7,"2019/2020-Ganjil",IF(P4354=8,"2019/2020-Genap",IF(P4354=9,"2020/2021-Ganjil",IF(P4354=10,"2020/2021-Genap",IF(P4354=11,"2021/2022-Ganjil",IF(P4354=12,"2021/2022-Genap",IF(P4354=13,"2022/2023-Ganjil","2022/2023-Genap")))))))))))))</f>
        <v>2016/2017-Ganjil</v>
      </c>
      <c r="R4354" s="8" t="s">
        <v>260</v>
      </c>
      <c r="S4354" t="str">
        <f t="shared" si="591"/>
        <v>FA</v>
      </c>
    </row>
    <row r="4355" spans="1:19" x14ac:dyDescent="0.3">
      <c r="A4355" t="s">
        <v>8</v>
      </c>
      <c r="B4355">
        <v>2016210034</v>
      </c>
      <c r="C4355" t="s">
        <v>16</v>
      </c>
      <c r="E4355" t="s">
        <v>222</v>
      </c>
      <c r="F4355" t="s">
        <v>223</v>
      </c>
      <c r="G4355">
        <v>2</v>
      </c>
      <c r="H4355" t="s">
        <v>535</v>
      </c>
      <c r="I4355" s="4">
        <f t="shared" si="592"/>
        <v>1</v>
      </c>
      <c r="J4355">
        <f t="shared" si="593"/>
        <v>2</v>
      </c>
      <c r="K4355">
        <v>8</v>
      </c>
      <c r="L4355">
        <v>4</v>
      </c>
      <c r="M4355" s="2">
        <v>2</v>
      </c>
      <c r="N4355" s="2">
        <v>3.33</v>
      </c>
      <c r="O4355">
        <v>0</v>
      </c>
      <c r="P4355">
        <v>7</v>
      </c>
      <c r="Q4355" t="s">
        <v>579</v>
      </c>
      <c r="R4355" s="8" t="s">
        <v>260</v>
      </c>
      <c r="S4355" t="str">
        <f t="shared" si="591"/>
        <v>FA</v>
      </c>
    </row>
    <row r="4356" spans="1:19" x14ac:dyDescent="0.3">
      <c r="A4356" t="s">
        <v>8</v>
      </c>
      <c r="B4356">
        <v>2016210034</v>
      </c>
      <c r="C4356" t="s">
        <v>16</v>
      </c>
      <c r="E4356" t="s">
        <v>182</v>
      </c>
      <c r="F4356" t="s">
        <v>171</v>
      </c>
      <c r="G4356">
        <v>2</v>
      </c>
      <c r="H4356" t="s">
        <v>535</v>
      </c>
      <c r="I4356" s="4">
        <f t="shared" si="592"/>
        <v>1</v>
      </c>
      <c r="J4356">
        <f t="shared" si="593"/>
        <v>2</v>
      </c>
      <c r="K4356">
        <v>74</v>
      </c>
      <c r="L4356">
        <v>24</v>
      </c>
      <c r="M4356" s="2">
        <v>3.08</v>
      </c>
      <c r="N4356" s="2">
        <v>3.33</v>
      </c>
      <c r="O4356">
        <v>0</v>
      </c>
      <c r="P4356">
        <v>3</v>
      </c>
      <c r="Q4356" s="4" t="str">
        <f>IF(P4356=1,"2016/2017-Ganjil",IF(P4356=2,"2016/2017-Genap",IF(P4356=3,"2017/2018-Ganjil",IF(P4356=4,"2017/2018-Genap",IF(P4356=5,"2018/2019-Ganjil",IF(P4356=6,"2018/2019-Genap",IF(P4356=7,"2019/2020-Ganjil",IF(P4356=8,"2019/2020-Genap",IF(P4356=9,"2020/2021-Ganjil",IF(P4356=10,"2020/2021-Genap",IF(P4356=11,"2021/2022-Ganjil",IF(P4356=12,"2021/2022-Genap",IF(P4356=13,"2022/2023-Ganjil","2022/2023-Genap")))))))))))))</f>
        <v>2017/2018-Ganjil</v>
      </c>
      <c r="R4356" s="8" t="s">
        <v>260</v>
      </c>
      <c r="S4356" t="str">
        <f t="shared" si="591"/>
        <v>FA</v>
      </c>
    </row>
    <row r="4357" spans="1:19" x14ac:dyDescent="0.3">
      <c r="A4357" t="s">
        <v>8</v>
      </c>
      <c r="B4357">
        <v>2016210034</v>
      </c>
      <c r="C4357" t="s">
        <v>16</v>
      </c>
      <c r="E4357" t="s">
        <v>222</v>
      </c>
      <c r="F4357" t="s">
        <v>223</v>
      </c>
      <c r="G4357">
        <v>2</v>
      </c>
      <c r="H4357" t="s">
        <v>438</v>
      </c>
      <c r="I4357" s="4">
        <f t="shared" si="592"/>
        <v>3</v>
      </c>
      <c r="J4357">
        <f t="shared" si="593"/>
        <v>6</v>
      </c>
      <c r="K4357">
        <v>50</v>
      </c>
      <c r="L4357">
        <v>14</v>
      </c>
      <c r="M4357" s="2">
        <v>3.57</v>
      </c>
      <c r="N4357" s="2">
        <v>3.33</v>
      </c>
      <c r="O4357">
        <v>1</v>
      </c>
      <c r="P4357">
        <v>8</v>
      </c>
      <c r="Q4357" s="4" t="s">
        <v>571</v>
      </c>
      <c r="R4357" s="8" t="s">
        <v>260</v>
      </c>
      <c r="S4357" t="str">
        <f t="shared" si="591"/>
        <v>PA</v>
      </c>
    </row>
    <row r="4358" spans="1:19" x14ac:dyDescent="0.3">
      <c r="A4358" t="s">
        <v>8</v>
      </c>
      <c r="B4358">
        <v>2016210034</v>
      </c>
      <c r="C4358" t="s">
        <v>16</v>
      </c>
      <c r="E4358" t="s">
        <v>182</v>
      </c>
      <c r="F4358" t="s">
        <v>171</v>
      </c>
      <c r="G4358">
        <v>2</v>
      </c>
      <c r="H4358" t="s">
        <v>260</v>
      </c>
      <c r="I4358" s="4">
        <f t="shared" si="592"/>
        <v>4</v>
      </c>
      <c r="J4358">
        <f t="shared" si="593"/>
        <v>8</v>
      </c>
      <c r="K4358">
        <v>50</v>
      </c>
      <c r="L4358">
        <v>14</v>
      </c>
      <c r="M4358" s="2">
        <v>3.57</v>
      </c>
      <c r="N4358" s="2">
        <v>3.33</v>
      </c>
      <c r="O4358">
        <v>1</v>
      </c>
      <c r="P4358">
        <v>8</v>
      </c>
      <c r="Q4358" s="4" t="s">
        <v>571</v>
      </c>
      <c r="R4358" s="8" t="s">
        <v>260</v>
      </c>
      <c r="S4358" t="str">
        <f t="shared" si="591"/>
        <v>PA</v>
      </c>
    </row>
    <row r="4359" spans="1:19" x14ac:dyDescent="0.3">
      <c r="A4359" t="s">
        <v>8</v>
      </c>
      <c r="B4359">
        <v>2016210035</v>
      </c>
      <c r="C4359" t="s">
        <v>221</v>
      </c>
      <c r="E4359" t="s">
        <v>105</v>
      </c>
      <c r="F4359" t="s">
        <v>106</v>
      </c>
      <c r="G4359">
        <v>2</v>
      </c>
      <c r="I4359" s="4"/>
      <c r="J4359">
        <f t="shared" si="589"/>
        <v>0</v>
      </c>
      <c r="K4359">
        <v>28</v>
      </c>
      <c r="L4359">
        <v>12</v>
      </c>
      <c r="M4359">
        <v>2.33</v>
      </c>
      <c r="N4359" s="2">
        <v>2.0299999999999998</v>
      </c>
      <c r="O4359">
        <v>0</v>
      </c>
      <c r="P4359">
        <v>3</v>
      </c>
      <c r="Q4359" s="4" t="str">
        <f t="shared" ref="Q4359:Q4390" si="595">IF(P4359=1,"2016/2017-Ganjil",IF(P4359=2,"2016/2017-Genap",IF(P4359=3,"2017/2018-Ganjil",IF(P4359=4,"2017/2018-Genap",IF(P4359=5,"2018/2019-Ganjil",IF(P4359=6,"2018/2019-Genap",IF(P4359=7,"2019/2020-Ganjil",IF(P4359=8,"2019/2020-Genap",IF(P4359=9,"2020/2021-Ganjil",IF(P4359=10,"2020/2021-Genap",IF(P4359=11,"2021/2022-Ganjil",IF(P4359=12,"2021/2022-Genap",IF(P4359=13,"2022/2023-Ganjil","2022/2023-Genap")))))))))))))</f>
        <v>2017/2018-Ganjil</v>
      </c>
      <c r="R4359" s="8" t="s">
        <v>260</v>
      </c>
      <c r="S4359" t="s">
        <v>595</v>
      </c>
    </row>
    <row r="4360" spans="1:19" x14ac:dyDescent="0.3">
      <c r="A4360" t="s">
        <v>8</v>
      </c>
      <c r="B4360">
        <v>2016210035</v>
      </c>
      <c r="C4360" t="s">
        <v>221</v>
      </c>
      <c r="E4360" t="s">
        <v>77</v>
      </c>
      <c r="F4360" t="s">
        <v>78</v>
      </c>
      <c r="G4360">
        <v>2</v>
      </c>
      <c r="H4360" t="s">
        <v>260</v>
      </c>
      <c r="I4360" s="4">
        <f t="shared" si="590"/>
        <v>4</v>
      </c>
      <c r="J4360">
        <f t="shared" si="589"/>
        <v>8</v>
      </c>
      <c r="K4360">
        <v>54</v>
      </c>
      <c r="L4360">
        <v>20</v>
      </c>
      <c r="M4360" s="2">
        <v>2.7</v>
      </c>
      <c r="N4360" s="2">
        <v>2.0299999999999998</v>
      </c>
      <c r="O4360">
        <v>0</v>
      </c>
      <c r="P4360">
        <v>1</v>
      </c>
      <c r="Q4360" s="4" t="str">
        <f t="shared" si="595"/>
        <v>2016/2017-Ganjil</v>
      </c>
      <c r="R4360" s="8" t="s">
        <v>260</v>
      </c>
      <c r="S4360" t="str">
        <f t="shared" ref="S4360:S4384" si="596">IF(OR(H4360="A",H4360="B",H4360="C"),"PA","FA")</f>
        <v>PA</v>
      </c>
    </row>
    <row r="4361" spans="1:19" x14ac:dyDescent="0.3">
      <c r="A4361" t="s">
        <v>8</v>
      </c>
      <c r="B4361">
        <v>2016210035</v>
      </c>
      <c r="C4361" t="s">
        <v>221</v>
      </c>
      <c r="E4361" t="s">
        <v>242</v>
      </c>
      <c r="F4361" t="s">
        <v>166</v>
      </c>
      <c r="G4361">
        <v>2</v>
      </c>
      <c r="H4361" t="s">
        <v>260</v>
      </c>
      <c r="I4361" s="4">
        <f t="shared" ref="I4361:I4384" si="597">IF(H4361="A",4,IF(H4361="B",3,IF(H4361="C",2,IF(H4361="D",1,0))))</f>
        <v>4</v>
      </c>
      <c r="J4361">
        <f t="shared" ref="J4361:J4384" si="598">G4361*I4361</f>
        <v>8</v>
      </c>
      <c r="K4361">
        <v>30</v>
      </c>
      <c r="L4361">
        <v>18</v>
      </c>
      <c r="M4361">
        <v>1.67</v>
      </c>
      <c r="N4361" s="2">
        <v>2.0299999999999998</v>
      </c>
      <c r="O4361">
        <v>0</v>
      </c>
      <c r="P4361">
        <v>4</v>
      </c>
      <c r="Q4361" s="4" t="str">
        <f t="shared" si="595"/>
        <v>2017/2018-Genap</v>
      </c>
      <c r="R4361" s="8" t="s">
        <v>535</v>
      </c>
      <c r="S4361" t="str">
        <f t="shared" si="596"/>
        <v>PA</v>
      </c>
    </row>
    <row r="4362" spans="1:19" x14ac:dyDescent="0.3">
      <c r="A4362" t="s">
        <v>8</v>
      </c>
      <c r="B4362">
        <v>2016210035</v>
      </c>
      <c r="C4362" t="s">
        <v>221</v>
      </c>
      <c r="E4362" t="s">
        <v>157</v>
      </c>
      <c r="F4362" t="s">
        <v>158</v>
      </c>
      <c r="G4362">
        <v>2</v>
      </c>
      <c r="H4362" t="s">
        <v>438</v>
      </c>
      <c r="I4362" s="4">
        <f t="shared" si="597"/>
        <v>3</v>
      </c>
      <c r="J4362">
        <f t="shared" si="598"/>
        <v>6</v>
      </c>
      <c r="K4362">
        <v>28</v>
      </c>
      <c r="L4362">
        <v>12</v>
      </c>
      <c r="M4362">
        <v>2.33</v>
      </c>
      <c r="N4362" s="2">
        <v>2.0299999999999998</v>
      </c>
      <c r="O4362">
        <v>0</v>
      </c>
      <c r="P4362">
        <v>3</v>
      </c>
      <c r="Q4362" s="4" t="str">
        <f t="shared" si="595"/>
        <v>2017/2018-Ganjil</v>
      </c>
      <c r="R4362" s="8" t="s">
        <v>260</v>
      </c>
      <c r="S4362" t="str">
        <f t="shared" si="596"/>
        <v>PA</v>
      </c>
    </row>
    <row r="4363" spans="1:19" x14ac:dyDescent="0.3">
      <c r="A4363" t="s">
        <v>8</v>
      </c>
      <c r="B4363">
        <v>2016210035</v>
      </c>
      <c r="C4363" t="s">
        <v>221</v>
      </c>
      <c r="E4363" t="s">
        <v>202</v>
      </c>
      <c r="F4363" t="s">
        <v>203</v>
      </c>
      <c r="G4363">
        <v>4</v>
      </c>
      <c r="H4363" t="s">
        <v>438</v>
      </c>
      <c r="I4363" s="4">
        <f t="shared" si="597"/>
        <v>3</v>
      </c>
      <c r="J4363">
        <f t="shared" si="598"/>
        <v>12</v>
      </c>
      <c r="K4363">
        <v>54</v>
      </c>
      <c r="L4363">
        <v>20</v>
      </c>
      <c r="M4363" s="2">
        <v>2.7</v>
      </c>
      <c r="N4363" s="2">
        <v>2.0299999999999998</v>
      </c>
      <c r="O4363">
        <v>0</v>
      </c>
      <c r="P4363">
        <v>1</v>
      </c>
      <c r="Q4363" s="4" t="str">
        <f t="shared" si="595"/>
        <v>2016/2017-Ganjil</v>
      </c>
      <c r="R4363" s="8" t="s">
        <v>260</v>
      </c>
      <c r="S4363" t="str">
        <f t="shared" si="596"/>
        <v>PA</v>
      </c>
    </row>
    <row r="4364" spans="1:19" x14ac:dyDescent="0.3">
      <c r="A4364" t="s">
        <v>8</v>
      </c>
      <c r="B4364">
        <v>2016210035</v>
      </c>
      <c r="C4364" t="s">
        <v>221</v>
      </c>
      <c r="E4364" t="s">
        <v>131</v>
      </c>
      <c r="F4364" t="s">
        <v>132</v>
      </c>
      <c r="G4364">
        <v>2</v>
      </c>
      <c r="H4364" t="s">
        <v>438</v>
      </c>
      <c r="I4364" s="4">
        <f t="shared" si="597"/>
        <v>3</v>
      </c>
      <c r="J4364">
        <f t="shared" si="598"/>
        <v>6</v>
      </c>
      <c r="K4364">
        <v>54</v>
      </c>
      <c r="L4364">
        <v>20</v>
      </c>
      <c r="M4364" s="2">
        <v>2.7</v>
      </c>
      <c r="N4364" s="2">
        <v>2.0299999999999998</v>
      </c>
      <c r="O4364">
        <v>0</v>
      </c>
      <c r="P4364">
        <v>1</v>
      </c>
      <c r="Q4364" s="4" t="str">
        <f t="shared" si="595"/>
        <v>2016/2017-Ganjil</v>
      </c>
      <c r="R4364" s="8" t="s">
        <v>260</v>
      </c>
      <c r="S4364" t="str">
        <f t="shared" si="596"/>
        <v>PA</v>
      </c>
    </row>
    <row r="4365" spans="1:19" x14ac:dyDescent="0.3">
      <c r="A4365" t="s">
        <v>8</v>
      </c>
      <c r="B4365">
        <v>2016210035</v>
      </c>
      <c r="C4365" t="s">
        <v>221</v>
      </c>
      <c r="E4365" t="s">
        <v>279</v>
      </c>
      <c r="F4365" t="s">
        <v>280</v>
      </c>
      <c r="G4365">
        <v>2</v>
      </c>
      <c r="H4365" t="s">
        <v>438</v>
      </c>
      <c r="I4365" s="4">
        <f t="shared" si="597"/>
        <v>3</v>
      </c>
      <c r="J4365">
        <f t="shared" si="598"/>
        <v>6</v>
      </c>
      <c r="K4365">
        <v>26</v>
      </c>
      <c r="L4365">
        <v>18</v>
      </c>
      <c r="M4365" s="2">
        <v>1.44</v>
      </c>
      <c r="N4365" s="2">
        <v>2.0299999999999998</v>
      </c>
      <c r="O4365">
        <v>0</v>
      </c>
      <c r="P4365">
        <v>2</v>
      </c>
      <c r="Q4365" s="4" t="str">
        <f t="shared" si="595"/>
        <v>2016/2017-Genap</v>
      </c>
      <c r="R4365" s="8" t="s">
        <v>260</v>
      </c>
      <c r="S4365" t="str">
        <f t="shared" si="596"/>
        <v>PA</v>
      </c>
    </row>
    <row r="4366" spans="1:19" x14ac:dyDescent="0.3">
      <c r="A4366" t="s">
        <v>8</v>
      </c>
      <c r="B4366">
        <v>2016210035</v>
      </c>
      <c r="C4366" t="s">
        <v>221</v>
      </c>
      <c r="E4366" t="s">
        <v>295</v>
      </c>
      <c r="F4366" t="s">
        <v>296</v>
      </c>
      <c r="G4366">
        <v>2</v>
      </c>
      <c r="H4366" t="s">
        <v>438</v>
      </c>
      <c r="I4366" s="4">
        <f t="shared" si="597"/>
        <v>3</v>
      </c>
      <c r="J4366">
        <f t="shared" si="598"/>
        <v>6</v>
      </c>
      <c r="K4366">
        <v>28</v>
      </c>
      <c r="L4366">
        <v>12</v>
      </c>
      <c r="M4366" s="2">
        <v>2.33</v>
      </c>
      <c r="N4366" s="2">
        <v>2.0299999999999998</v>
      </c>
      <c r="O4366">
        <v>0</v>
      </c>
      <c r="P4366">
        <v>3</v>
      </c>
      <c r="Q4366" s="4" t="str">
        <f t="shared" si="595"/>
        <v>2017/2018-Ganjil</v>
      </c>
      <c r="R4366" s="8" t="s">
        <v>260</v>
      </c>
      <c r="S4366" t="str">
        <f t="shared" si="596"/>
        <v>PA</v>
      </c>
    </row>
    <row r="4367" spans="1:19" x14ac:dyDescent="0.3">
      <c r="A4367" t="s">
        <v>8</v>
      </c>
      <c r="B4367">
        <v>2016210035</v>
      </c>
      <c r="C4367" t="s">
        <v>221</v>
      </c>
      <c r="E4367" t="s">
        <v>163</v>
      </c>
      <c r="F4367" t="s">
        <v>164</v>
      </c>
      <c r="G4367">
        <v>2</v>
      </c>
      <c r="H4367" t="s">
        <v>438</v>
      </c>
      <c r="I4367" s="4">
        <f t="shared" si="597"/>
        <v>3</v>
      </c>
      <c r="J4367">
        <f t="shared" si="598"/>
        <v>6</v>
      </c>
      <c r="K4367">
        <v>54</v>
      </c>
      <c r="L4367">
        <v>20</v>
      </c>
      <c r="M4367" s="2">
        <v>2.7</v>
      </c>
      <c r="N4367" s="2">
        <v>2.0299999999999998</v>
      </c>
      <c r="O4367">
        <v>0</v>
      </c>
      <c r="P4367">
        <v>1</v>
      </c>
      <c r="Q4367" s="4" t="str">
        <f t="shared" si="595"/>
        <v>2016/2017-Ganjil</v>
      </c>
      <c r="R4367" s="8" t="s">
        <v>260</v>
      </c>
      <c r="S4367" t="str">
        <f t="shared" si="596"/>
        <v>PA</v>
      </c>
    </row>
    <row r="4368" spans="1:19" x14ac:dyDescent="0.3">
      <c r="A4368" t="s">
        <v>8</v>
      </c>
      <c r="B4368">
        <v>2016210035</v>
      </c>
      <c r="C4368" t="s">
        <v>221</v>
      </c>
      <c r="E4368" t="s">
        <v>147</v>
      </c>
      <c r="F4368" t="s">
        <v>148</v>
      </c>
      <c r="G4368">
        <v>4</v>
      </c>
      <c r="H4368" t="s">
        <v>438</v>
      </c>
      <c r="I4368" s="4">
        <f t="shared" si="597"/>
        <v>3</v>
      </c>
      <c r="J4368">
        <f t="shared" si="598"/>
        <v>12</v>
      </c>
      <c r="K4368">
        <v>54</v>
      </c>
      <c r="L4368">
        <v>20</v>
      </c>
      <c r="M4368" s="2">
        <v>2.7</v>
      </c>
      <c r="N4368" s="2">
        <v>2.0299999999999998</v>
      </c>
      <c r="O4368">
        <v>0</v>
      </c>
      <c r="P4368">
        <v>1</v>
      </c>
      <c r="Q4368" s="4" t="str">
        <f t="shared" si="595"/>
        <v>2016/2017-Ganjil</v>
      </c>
      <c r="R4368" s="8" t="s">
        <v>260</v>
      </c>
      <c r="S4368" t="str">
        <f t="shared" si="596"/>
        <v>PA</v>
      </c>
    </row>
    <row r="4369" spans="1:19" x14ac:dyDescent="0.3">
      <c r="A4369" t="s">
        <v>8</v>
      </c>
      <c r="B4369">
        <v>2016210035</v>
      </c>
      <c r="C4369" t="s">
        <v>221</v>
      </c>
      <c r="E4369" t="s">
        <v>246</v>
      </c>
      <c r="F4369" t="s">
        <v>247</v>
      </c>
      <c r="G4369">
        <v>4</v>
      </c>
      <c r="H4369" t="s">
        <v>438</v>
      </c>
      <c r="I4369" s="4">
        <f t="shared" si="597"/>
        <v>3</v>
      </c>
      <c r="J4369">
        <f t="shared" si="598"/>
        <v>12</v>
      </c>
      <c r="K4369">
        <v>30</v>
      </c>
      <c r="L4369">
        <v>18</v>
      </c>
      <c r="M4369" s="2">
        <v>1.67</v>
      </c>
      <c r="N4369" s="2">
        <v>2.0299999999999998</v>
      </c>
      <c r="O4369">
        <v>0</v>
      </c>
      <c r="P4369">
        <v>4</v>
      </c>
      <c r="Q4369" s="4" t="str">
        <f t="shared" si="595"/>
        <v>2017/2018-Genap</v>
      </c>
      <c r="R4369" s="8" t="s">
        <v>535</v>
      </c>
      <c r="S4369" t="str">
        <f t="shared" si="596"/>
        <v>PA</v>
      </c>
    </row>
    <row r="4370" spans="1:19" x14ac:dyDescent="0.3">
      <c r="A4370" t="s">
        <v>8</v>
      </c>
      <c r="B4370">
        <v>2016210035</v>
      </c>
      <c r="C4370" t="s">
        <v>221</v>
      </c>
      <c r="E4370" t="s">
        <v>22</v>
      </c>
      <c r="F4370" t="s">
        <v>23</v>
      </c>
      <c r="G4370">
        <v>2</v>
      </c>
      <c r="H4370" t="s">
        <v>438</v>
      </c>
      <c r="I4370" s="4">
        <f t="shared" si="597"/>
        <v>3</v>
      </c>
      <c r="J4370">
        <f t="shared" si="598"/>
        <v>6</v>
      </c>
      <c r="K4370">
        <v>26</v>
      </c>
      <c r="L4370">
        <v>18</v>
      </c>
      <c r="M4370" s="2">
        <v>1.44</v>
      </c>
      <c r="N4370" s="2">
        <v>2.0299999999999998</v>
      </c>
      <c r="O4370">
        <v>0</v>
      </c>
      <c r="P4370">
        <v>2</v>
      </c>
      <c r="Q4370" s="4" t="str">
        <f t="shared" si="595"/>
        <v>2016/2017-Genap</v>
      </c>
      <c r="R4370" s="8" t="s">
        <v>260</v>
      </c>
      <c r="S4370" t="str">
        <f t="shared" si="596"/>
        <v>PA</v>
      </c>
    </row>
    <row r="4371" spans="1:19" x14ac:dyDescent="0.3">
      <c r="A4371" t="s">
        <v>8</v>
      </c>
      <c r="B4371">
        <v>2016210035</v>
      </c>
      <c r="C4371" t="s">
        <v>221</v>
      </c>
      <c r="E4371" t="s">
        <v>117</v>
      </c>
      <c r="F4371" t="s">
        <v>118</v>
      </c>
      <c r="G4371">
        <v>2</v>
      </c>
      <c r="H4371" t="s">
        <v>438</v>
      </c>
      <c r="I4371" s="4">
        <f t="shared" si="597"/>
        <v>3</v>
      </c>
      <c r="J4371">
        <f t="shared" si="598"/>
        <v>6</v>
      </c>
      <c r="K4371">
        <v>26</v>
      </c>
      <c r="L4371">
        <v>18</v>
      </c>
      <c r="M4371" s="2">
        <v>1.44</v>
      </c>
      <c r="N4371" s="2">
        <v>2.0299999999999998</v>
      </c>
      <c r="O4371">
        <v>0</v>
      </c>
      <c r="P4371">
        <v>2</v>
      </c>
      <c r="Q4371" s="4" t="str">
        <f t="shared" si="595"/>
        <v>2016/2017-Genap</v>
      </c>
      <c r="R4371" s="8" t="s">
        <v>260</v>
      </c>
      <c r="S4371" t="str">
        <f t="shared" si="596"/>
        <v>PA</v>
      </c>
    </row>
    <row r="4372" spans="1:19" x14ac:dyDescent="0.3">
      <c r="A4372" t="s">
        <v>8</v>
      </c>
      <c r="B4372">
        <v>2016210035</v>
      </c>
      <c r="C4372" t="s">
        <v>221</v>
      </c>
      <c r="E4372" t="s">
        <v>93</v>
      </c>
      <c r="F4372" t="s">
        <v>94</v>
      </c>
      <c r="G4372">
        <v>4</v>
      </c>
      <c r="H4372" t="s">
        <v>438</v>
      </c>
      <c r="I4372" s="4">
        <f t="shared" si="597"/>
        <v>3</v>
      </c>
      <c r="J4372">
        <f t="shared" si="598"/>
        <v>12</v>
      </c>
      <c r="K4372">
        <v>28</v>
      </c>
      <c r="L4372">
        <v>12</v>
      </c>
      <c r="M4372" s="2">
        <v>2.33</v>
      </c>
      <c r="N4372" s="2">
        <v>2.0299999999999998</v>
      </c>
      <c r="O4372">
        <v>0</v>
      </c>
      <c r="P4372">
        <v>3</v>
      </c>
      <c r="Q4372" s="4" t="str">
        <f t="shared" si="595"/>
        <v>2017/2018-Ganjil</v>
      </c>
      <c r="R4372" s="8" t="s">
        <v>260</v>
      </c>
      <c r="S4372" t="str">
        <f t="shared" si="596"/>
        <v>PA</v>
      </c>
    </row>
    <row r="4373" spans="1:19" x14ac:dyDescent="0.3">
      <c r="A4373" t="s">
        <v>8</v>
      </c>
      <c r="B4373">
        <v>2016210035</v>
      </c>
      <c r="C4373" t="s">
        <v>221</v>
      </c>
      <c r="E4373" t="s">
        <v>216</v>
      </c>
      <c r="F4373" t="s">
        <v>217</v>
      </c>
      <c r="G4373">
        <v>2</v>
      </c>
      <c r="H4373" t="s">
        <v>524</v>
      </c>
      <c r="I4373" s="4">
        <f t="shared" si="597"/>
        <v>2</v>
      </c>
      <c r="J4373">
        <f t="shared" si="598"/>
        <v>4</v>
      </c>
      <c r="K4373">
        <v>30</v>
      </c>
      <c r="L4373">
        <v>18</v>
      </c>
      <c r="M4373" s="2">
        <v>1.67</v>
      </c>
      <c r="N4373" s="2">
        <v>2.0299999999999998</v>
      </c>
      <c r="O4373">
        <v>0</v>
      </c>
      <c r="P4373">
        <v>4</v>
      </c>
      <c r="Q4373" s="4" t="str">
        <f t="shared" si="595"/>
        <v>2017/2018-Genap</v>
      </c>
      <c r="R4373" s="8" t="s">
        <v>535</v>
      </c>
      <c r="S4373" t="str">
        <f t="shared" si="596"/>
        <v>PA</v>
      </c>
    </row>
    <row r="4374" spans="1:19" x14ac:dyDescent="0.3">
      <c r="A4374" t="s">
        <v>8</v>
      </c>
      <c r="B4374">
        <v>2016210035</v>
      </c>
      <c r="C4374" t="s">
        <v>221</v>
      </c>
      <c r="E4374" t="s">
        <v>110</v>
      </c>
      <c r="F4374" t="s">
        <v>111</v>
      </c>
      <c r="G4374">
        <v>4</v>
      </c>
      <c r="H4374" t="s">
        <v>524</v>
      </c>
      <c r="I4374" s="4">
        <f t="shared" si="597"/>
        <v>2</v>
      </c>
      <c r="J4374">
        <f t="shared" si="598"/>
        <v>8</v>
      </c>
      <c r="K4374">
        <v>54</v>
      </c>
      <c r="L4374">
        <v>20</v>
      </c>
      <c r="M4374" s="2">
        <v>2.7</v>
      </c>
      <c r="N4374" s="2">
        <v>2.0299999999999998</v>
      </c>
      <c r="O4374">
        <v>0</v>
      </c>
      <c r="P4374">
        <v>1</v>
      </c>
      <c r="Q4374" s="4" t="str">
        <f t="shared" si="595"/>
        <v>2016/2017-Ganjil</v>
      </c>
      <c r="R4374" s="8" t="s">
        <v>260</v>
      </c>
      <c r="S4374" t="str">
        <f t="shared" si="596"/>
        <v>PA</v>
      </c>
    </row>
    <row r="4375" spans="1:19" x14ac:dyDescent="0.3">
      <c r="A4375" t="s">
        <v>8</v>
      </c>
      <c r="B4375">
        <v>2016210035</v>
      </c>
      <c r="C4375" t="s">
        <v>221</v>
      </c>
      <c r="E4375" t="s">
        <v>112</v>
      </c>
      <c r="F4375" t="s">
        <v>113</v>
      </c>
      <c r="G4375">
        <v>4</v>
      </c>
      <c r="H4375" t="s">
        <v>535</v>
      </c>
      <c r="I4375" s="4">
        <f t="shared" si="597"/>
        <v>1</v>
      </c>
      <c r="J4375">
        <f t="shared" si="598"/>
        <v>4</v>
      </c>
      <c r="K4375">
        <v>28</v>
      </c>
      <c r="L4375">
        <v>12</v>
      </c>
      <c r="M4375" s="2">
        <v>2.33</v>
      </c>
      <c r="N4375" s="2">
        <v>2.0299999999999998</v>
      </c>
      <c r="O4375">
        <v>0</v>
      </c>
      <c r="P4375">
        <v>3</v>
      </c>
      <c r="Q4375" s="4" t="str">
        <f t="shared" si="595"/>
        <v>2017/2018-Ganjil</v>
      </c>
      <c r="R4375" s="8" t="s">
        <v>260</v>
      </c>
      <c r="S4375" t="str">
        <f t="shared" si="596"/>
        <v>FA</v>
      </c>
    </row>
    <row r="4376" spans="1:19" x14ac:dyDescent="0.3">
      <c r="A4376" t="s">
        <v>8</v>
      </c>
      <c r="B4376">
        <v>2016210035</v>
      </c>
      <c r="C4376" t="s">
        <v>221</v>
      </c>
      <c r="E4376" t="s">
        <v>449</v>
      </c>
      <c r="F4376" t="s">
        <v>460</v>
      </c>
      <c r="G4376">
        <v>4</v>
      </c>
      <c r="H4376" t="s">
        <v>535</v>
      </c>
      <c r="I4376" s="4">
        <f t="shared" si="597"/>
        <v>1</v>
      </c>
      <c r="J4376">
        <f t="shared" si="598"/>
        <v>4</v>
      </c>
      <c r="K4376">
        <v>30</v>
      </c>
      <c r="L4376">
        <v>18</v>
      </c>
      <c r="M4376" s="2">
        <v>1.67</v>
      </c>
      <c r="N4376" s="2">
        <v>2.0299999999999998</v>
      </c>
      <c r="O4376">
        <v>0</v>
      </c>
      <c r="P4376">
        <v>4</v>
      </c>
      <c r="Q4376" s="4" t="str">
        <f t="shared" si="595"/>
        <v>2017/2018-Genap</v>
      </c>
      <c r="R4376" s="8" t="s">
        <v>535</v>
      </c>
      <c r="S4376" t="str">
        <f t="shared" si="596"/>
        <v>FA</v>
      </c>
    </row>
    <row r="4377" spans="1:19" x14ac:dyDescent="0.3">
      <c r="A4377" t="s">
        <v>8</v>
      </c>
      <c r="B4377">
        <v>2016210035</v>
      </c>
      <c r="C4377" t="s">
        <v>221</v>
      </c>
      <c r="E4377" t="s">
        <v>125</v>
      </c>
      <c r="F4377" t="s">
        <v>126</v>
      </c>
      <c r="G4377">
        <v>4</v>
      </c>
      <c r="H4377" t="s">
        <v>535</v>
      </c>
      <c r="I4377" s="4">
        <f t="shared" si="597"/>
        <v>1</v>
      </c>
      <c r="J4377">
        <f t="shared" si="598"/>
        <v>4</v>
      </c>
      <c r="K4377">
        <v>26</v>
      </c>
      <c r="L4377">
        <v>18</v>
      </c>
      <c r="M4377">
        <v>1.44</v>
      </c>
      <c r="N4377" s="2">
        <v>2.0299999999999998</v>
      </c>
      <c r="O4377">
        <v>0</v>
      </c>
      <c r="P4377">
        <v>2</v>
      </c>
      <c r="Q4377" s="4" t="str">
        <f t="shared" si="595"/>
        <v>2016/2017-Genap</v>
      </c>
      <c r="R4377" s="8" t="s">
        <v>260</v>
      </c>
      <c r="S4377" t="str">
        <f t="shared" si="596"/>
        <v>FA</v>
      </c>
    </row>
    <row r="4378" spans="1:19" x14ac:dyDescent="0.3">
      <c r="A4378" t="s">
        <v>8</v>
      </c>
      <c r="B4378">
        <v>2016210035</v>
      </c>
      <c r="C4378" t="s">
        <v>221</v>
      </c>
      <c r="E4378" t="s">
        <v>266</v>
      </c>
      <c r="F4378" t="s">
        <v>91</v>
      </c>
      <c r="G4378">
        <v>2</v>
      </c>
      <c r="H4378" t="s">
        <v>535</v>
      </c>
      <c r="I4378" s="4">
        <f t="shared" si="597"/>
        <v>1</v>
      </c>
      <c r="J4378">
        <f t="shared" si="598"/>
        <v>2</v>
      </c>
      <c r="K4378">
        <v>26</v>
      </c>
      <c r="L4378">
        <v>18</v>
      </c>
      <c r="M4378">
        <v>1.44</v>
      </c>
      <c r="N4378" s="2">
        <v>2.0299999999999998</v>
      </c>
      <c r="O4378">
        <v>0</v>
      </c>
      <c r="P4378">
        <v>2</v>
      </c>
      <c r="Q4378" s="4" t="str">
        <f t="shared" si="595"/>
        <v>2016/2017-Genap</v>
      </c>
      <c r="R4378" s="8" t="s">
        <v>260</v>
      </c>
      <c r="S4378" t="str">
        <f t="shared" si="596"/>
        <v>FA</v>
      </c>
    </row>
    <row r="4379" spans="1:19" x14ac:dyDescent="0.3">
      <c r="A4379" t="s">
        <v>8</v>
      </c>
      <c r="B4379">
        <v>2016210035</v>
      </c>
      <c r="C4379" t="s">
        <v>221</v>
      </c>
      <c r="E4379" t="s">
        <v>395</v>
      </c>
      <c r="F4379" t="s">
        <v>396</v>
      </c>
      <c r="G4379">
        <v>2</v>
      </c>
      <c r="H4379" t="s">
        <v>535</v>
      </c>
      <c r="I4379" s="4">
        <f t="shared" si="597"/>
        <v>1</v>
      </c>
      <c r="J4379">
        <f t="shared" si="598"/>
        <v>2</v>
      </c>
      <c r="K4379">
        <v>54</v>
      </c>
      <c r="L4379">
        <v>20</v>
      </c>
      <c r="M4379" s="2">
        <v>2.7</v>
      </c>
      <c r="N4379" s="2">
        <v>2.0299999999999998</v>
      </c>
      <c r="O4379">
        <v>0</v>
      </c>
      <c r="P4379">
        <v>1</v>
      </c>
      <c r="Q4379" s="4" t="str">
        <f t="shared" si="595"/>
        <v>2016/2017-Ganjil</v>
      </c>
      <c r="R4379" s="8" t="s">
        <v>260</v>
      </c>
      <c r="S4379" t="str">
        <f t="shared" si="596"/>
        <v>FA</v>
      </c>
    </row>
    <row r="4380" spans="1:19" x14ac:dyDescent="0.3">
      <c r="A4380" t="s">
        <v>8</v>
      </c>
      <c r="B4380">
        <v>2016210035</v>
      </c>
      <c r="C4380" t="s">
        <v>221</v>
      </c>
      <c r="E4380" t="s">
        <v>355</v>
      </c>
      <c r="F4380" t="s">
        <v>274</v>
      </c>
      <c r="G4380">
        <v>2</v>
      </c>
      <c r="H4380" t="s">
        <v>535</v>
      </c>
      <c r="I4380" s="4">
        <f t="shared" si="597"/>
        <v>1</v>
      </c>
      <c r="J4380">
        <f t="shared" si="598"/>
        <v>2</v>
      </c>
      <c r="K4380">
        <v>30</v>
      </c>
      <c r="L4380">
        <v>18</v>
      </c>
      <c r="M4380" s="2">
        <v>1.67</v>
      </c>
      <c r="N4380" s="2">
        <v>2.0299999999999998</v>
      </c>
      <c r="O4380">
        <v>0</v>
      </c>
      <c r="P4380">
        <v>4</v>
      </c>
      <c r="Q4380" s="4" t="str">
        <f t="shared" si="595"/>
        <v>2017/2018-Genap</v>
      </c>
      <c r="R4380" s="8" t="s">
        <v>535</v>
      </c>
      <c r="S4380" t="str">
        <f t="shared" si="596"/>
        <v>FA</v>
      </c>
    </row>
    <row r="4381" spans="1:19" x14ac:dyDescent="0.3">
      <c r="A4381" t="s">
        <v>8</v>
      </c>
      <c r="B4381">
        <v>2016210035</v>
      </c>
      <c r="C4381" t="s">
        <v>221</v>
      </c>
      <c r="E4381" t="s">
        <v>44</v>
      </c>
      <c r="F4381" t="s">
        <v>45</v>
      </c>
      <c r="G4381">
        <v>2</v>
      </c>
      <c r="H4381" t="s">
        <v>535</v>
      </c>
      <c r="I4381" s="4">
        <f t="shared" si="597"/>
        <v>1</v>
      </c>
      <c r="J4381">
        <f t="shared" si="598"/>
        <v>2</v>
      </c>
      <c r="K4381">
        <v>26</v>
      </c>
      <c r="L4381">
        <v>18</v>
      </c>
      <c r="M4381">
        <v>1.44</v>
      </c>
      <c r="N4381" s="2">
        <v>2.0299999999999998</v>
      </c>
      <c r="O4381">
        <v>0</v>
      </c>
      <c r="P4381">
        <v>2</v>
      </c>
      <c r="Q4381" s="4" t="str">
        <f t="shared" si="595"/>
        <v>2016/2017-Genap</v>
      </c>
      <c r="R4381" s="8" t="s">
        <v>260</v>
      </c>
      <c r="S4381" t="str">
        <f t="shared" si="596"/>
        <v>FA</v>
      </c>
    </row>
    <row r="4382" spans="1:19" x14ac:dyDescent="0.3">
      <c r="A4382" t="s">
        <v>8</v>
      </c>
      <c r="B4382">
        <v>2016210035</v>
      </c>
      <c r="C4382" t="s">
        <v>221</v>
      </c>
      <c r="E4382" t="s">
        <v>369</v>
      </c>
      <c r="F4382" t="s">
        <v>307</v>
      </c>
      <c r="G4382">
        <v>2</v>
      </c>
      <c r="H4382" t="s">
        <v>539</v>
      </c>
      <c r="I4382" s="4">
        <f t="shared" si="597"/>
        <v>0</v>
      </c>
      <c r="J4382">
        <f t="shared" si="598"/>
        <v>0</v>
      </c>
      <c r="K4382">
        <v>30</v>
      </c>
      <c r="L4382">
        <v>18</v>
      </c>
      <c r="M4382">
        <v>1.67</v>
      </c>
      <c r="N4382" s="2">
        <v>2.0299999999999998</v>
      </c>
      <c r="O4382">
        <v>0</v>
      </c>
      <c r="P4382">
        <v>4</v>
      </c>
      <c r="Q4382" s="4" t="str">
        <f t="shared" si="595"/>
        <v>2017/2018-Genap</v>
      </c>
      <c r="R4382" s="8" t="s">
        <v>535</v>
      </c>
      <c r="S4382" t="str">
        <f t="shared" si="596"/>
        <v>FA</v>
      </c>
    </row>
    <row r="4383" spans="1:19" x14ac:dyDescent="0.3">
      <c r="A4383" t="s">
        <v>8</v>
      </c>
      <c r="B4383">
        <v>2016210035</v>
      </c>
      <c r="C4383" t="s">
        <v>221</v>
      </c>
      <c r="E4383" t="s">
        <v>115</v>
      </c>
      <c r="F4383" t="s">
        <v>116</v>
      </c>
      <c r="G4383">
        <v>4</v>
      </c>
      <c r="H4383" t="s">
        <v>539</v>
      </c>
      <c r="I4383" s="4">
        <f t="shared" si="597"/>
        <v>0</v>
      </c>
      <c r="J4383">
        <f t="shared" si="598"/>
        <v>0</v>
      </c>
      <c r="K4383">
        <v>26</v>
      </c>
      <c r="L4383">
        <v>18</v>
      </c>
      <c r="M4383">
        <v>1.44</v>
      </c>
      <c r="N4383" s="2">
        <v>2.0299999999999998</v>
      </c>
      <c r="O4383">
        <v>0</v>
      </c>
      <c r="P4383">
        <v>2</v>
      </c>
      <c r="Q4383" s="4" t="str">
        <f t="shared" si="595"/>
        <v>2016/2017-Genap</v>
      </c>
      <c r="R4383" s="8" t="s">
        <v>260</v>
      </c>
      <c r="S4383" t="str">
        <f t="shared" si="596"/>
        <v>FA</v>
      </c>
    </row>
    <row r="4384" spans="1:19" x14ac:dyDescent="0.3">
      <c r="A4384" t="s">
        <v>8</v>
      </c>
      <c r="B4384">
        <v>2016210035</v>
      </c>
      <c r="C4384" t="s">
        <v>221</v>
      </c>
      <c r="E4384" t="s">
        <v>253</v>
      </c>
      <c r="F4384" t="s">
        <v>254</v>
      </c>
      <c r="G4384">
        <v>2</v>
      </c>
      <c r="H4384" t="s">
        <v>539</v>
      </c>
      <c r="I4384" s="4">
        <f t="shared" si="597"/>
        <v>0</v>
      </c>
      <c r="J4384">
        <f t="shared" si="598"/>
        <v>0</v>
      </c>
      <c r="K4384">
        <v>30</v>
      </c>
      <c r="L4384">
        <v>18</v>
      </c>
      <c r="M4384">
        <v>1.67</v>
      </c>
      <c r="N4384" s="2">
        <v>2.0299999999999998</v>
      </c>
      <c r="O4384">
        <v>0</v>
      </c>
      <c r="P4384">
        <v>4</v>
      </c>
      <c r="Q4384" s="4" t="str">
        <f t="shared" si="595"/>
        <v>2017/2018-Genap</v>
      </c>
      <c r="R4384" s="8" t="s">
        <v>535</v>
      </c>
      <c r="S4384" t="str">
        <f t="shared" si="596"/>
        <v>FA</v>
      </c>
    </row>
    <row r="4385" spans="1:19" x14ac:dyDescent="0.3">
      <c r="A4385" t="s">
        <v>8</v>
      </c>
      <c r="B4385">
        <v>2016210036</v>
      </c>
      <c r="C4385" t="s">
        <v>18</v>
      </c>
      <c r="E4385" t="s">
        <v>19</v>
      </c>
      <c r="F4385" t="s">
        <v>20</v>
      </c>
      <c r="G4385">
        <v>6</v>
      </c>
      <c r="I4385" s="4"/>
      <c r="J4385">
        <f t="shared" ref="J4385:J4388" si="599">G4385*I4385</f>
        <v>0</v>
      </c>
      <c r="K4385">
        <v>0</v>
      </c>
      <c r="L4385">
        <v>0</v>
      </c>
      <c r="M4385" t="s">
        <v>574</v>
      </c>
      <c r="N4385" s="2">
        <v>3.01</v>
      </c>
      <c r="O4385">
        <v>0</v>
      </c>
      <c r="P4385">
        <v>11</v>
      </c>
      <c r="Q4385" s="4" t="str">
        <f t="shared" si="595"/>
        <v>2021/2022-Ganjil</v>
      </c>
      <c r="R4385" s="8" t="s">
        <v>260</v>
      </c>
      <c r="S4385" t="s">
        <v>595</v>
      </c>
    </row>
    <row r="4386" spans="1:19" x14ac:dyDescent="0.3">
      <c r="A4386" t="s">
        <v>8</v>
      </c>
      <c r="B4386">
        <v>2016210036</v>
      </c>
      <c r="C4386" t="s">
        <v>18</v>
      </c>
      <c r="E4386" t="s">
        <v>19</v>
      </c>
      <c r="F4386" t="s">
        <v>20</v>
      </c>
      <c r="G4386">
        <v>6</v>
      </c>
      <c r="H4386" t="s">
        <v>438</v>
      </c>
      <c r="I4386" s="4">
        <f t="shared" ref="I4386:I4388" si="600">IF(H4386="A",4,IF(H4386="B",3,IF(H4386="C",2,IF(H4386="D",1,0))))</f>
        <v>3</v>
      </c>
      <c r="J4386">
        <f t="shared" si="599"/>
        <v>18</v>
      </c>
      <c r="K4386">
        <v>18</v>
      </c>
      <c r="L4386">
        <v>6</v>
      </c>
      <c r="M4386" s="2">
        <v>3</v>
      </c>
      <c r="N4386" s="2">
        <v>3.01</v>
      </c>
      <c r="O4386">
        <v>1</v>
      </c>
      <c r="P4386">
        <v>12</v>
      </c>
      <c r="Q4386" s="4" t="str">
        <f t="shared" si="595"/>
        <v>2021/2022-Genap</v>
      </c>
      <c r="R4386" t="s">
        <v>596</v>
      </c>
      <c r="S4386" t="str">
        <f>IF(OR(H4386="A",H4386="B",H4386="C"),"PA","FA")</f>
        <v>PA</v>
      </c>
    </row>
    <row r="4387" spans="1:19" x14ac:dyDescent="0.3">
      <c r="A4387" t="s">
        <v>8</v>
      </c>
      <c r="B4387">
        <v>2016210036</v>
      </c>
      <c r="C4387" t="s">
        <v>18</v>
      </c>
      <c r="E4387" t="s">
        <v>10</v>
      </c>
      <c r="F4387" t="s">
        <v>11</v>
      </c>
      <c r="G4387">
        <v>2</v>
      </c>
      <c r="I4387" s="4"/>
      <c r="J4387">
        <f t="shared" si="599"/>
        <v>0</v>
      </c>
      <c r="K4387">
        <v>12</v>
      </c>
      <c r="L4387">
        <v>4</v>
      </c>
      <c r="M4387" s="2">
        <v>3</v>
      </c>
      <c r="N4387" s="2">
        <v>3.01</v>
      </c>
      <c r="O4387">
        <v>0</v>
      </c>
      <c r="P4387">
        <v>9</v>
      </c>
      <c r="Q4387" s="4" t="str">
        <f t="shared" si="595"/>
        <v>2020/2021-Ganjil</v>
      </c>
      <c r="R4387" s="8" t="s">
        <v>260</v>
      </c>
      <c r="S4387" t="s">
        <v>595</v>
      </c>
    </row>
    <row r="4388" spans="1:19" x14ac:dyDescent="0.3">
      <c r="A4388" t="s">
        <v>8</v>
      </c>
      <c r="B4388">
        <v>2016210036</v>
      </c>
      <c r="C4388" t="s">
        <v>18</v>
      </c>
      <c r="E4388" t="s">
        <v>10</v>
      </c>
      <c r="F4388" t="s">
        <v>11</v>
      </c>
      <c r="G4388">
        <v>2</v>
      </c>
      <c r="H4388" t="s">
        <v>260</v>
      </c>
      <c r="I4388" s="4">
        <f t="shared" si="600"/>
        <v>4</v>
      </c>
      <c r="J4388">
        <f t="shared" si="599"/>
        <v>8</v>
      </c>
      <c r="K4388">
        <v>34</v>
      </c>
      <c r="L4388">
        <v>14</v>
      </c>
      <c r="M4388">
        <v>2.4300000000000002</v>
      </c>
      <c r="N4388" s="2">
        <v>3.01</v>
      </c>
      <c r="O4388">
        <v>1</v>
      </c>
      <c r="P4388">
        <v>10</v>
      </c>
      <c r="Q4388" s="4" t="str">
        <f t="shared" si="595"/>
        <v>2020/2021-Genap</v>
      </c>
      <c r="R4388" s="8" t="s">
        <v>260</v>
      </c>
      <c r="S4388" t="str">
        <f t="shared" ref="S4388:S4441" si="601">IF(OR(H4388="A",H4388="B",H4388="C"),"PA","FA")</f>
        <v>PA</v>
      </c>
    </row>
    <row r="4389" spans="1:19" x14ac:dyDescent="0.3">
      <c r="A4389" t="s">
        <v>8</v>
      </c>
      <c r="B4389">
        <v>2016210036</v>
      </c>
      <c r="C4389" t="s">
        <v>18</v>
      </c>
      <c r="E4389" t="s">
        <v>163</v>
      </c>
      <c r="F4389" t="s">
        <v>164</v>
      </c>
      <c r="G4389">
        <v>2</v>
      </c>
      <c r="H4389" t="s">
        <v>260</v>
      </c>
      <c r="I4389" s="4">
        <f t="shared" ref="I4389:I4441" si="602">IF(H4389="A",4,IF(H4389="B",3,IF(H4389="C",2,IF(H4389="D",1,0))))</f>
        <v>4</v>
      </c>
      <c r="J4389">
        <f t="shared" ref="J4389:J4441" si="603">G4389*I4389</f>
        <v>8</v>
      </c>
      <c r="K4389">
        <v>62</v>
      </c>
      <c r="L4389">
        <v>20</v>
      </c>
      <c r="M4389" s="2">
        <v>3.1</v>
      </c>
      <c r="N4389" s="2">
        <v>3.01</v>
      </c>
      <c r="O4389">
        <v>0</v>
      </c>
      <c r="P4389">
        <v>1</v>
      </c>
      <c r="Q4389" s="4" t="str">
        <f t="shared" si="595"/>
        <v>2016/2017-Ganjil</v>
      </c>
      <c r="R4389" s="8" t="s">
        <v>260</v>
      </c>
      <c r="S4389" t="str">
        <f t="shared" si="601"/>
        <v>PA</v>
      </c>
    </row>
    <row r="4390" spans="1:19" x14ac:dyDescent="0.3">
      <c r="A4390" t="s">
        <v>8</v>
      </c>
      <c r="B4390">
        <v>2016210036</v>
      </c>
      <c r="C4390" t="s">
        <v>18</v>
      </c>
      <c r="E4390" t="s">
        <v>597</v>
      </c>
      <c r="F4390" t="s">
        <v>275</v>
      </c>
      <c r="G4390">
        <v>2</v>
      </c>
      <c r="H4390" t="s">
        <v>260</v>
      </c>
      <c r="I4390" s="4">
        <f t="shared" si="602"/>
        <v>4</v>
      </c>
      <c r="J4390">
        <f t="shared" si="603"/>
        <v>8</v>
      </c>
      <c r="K4390">
        <v>62</v>
      </c>
      <c r="L4390">
        <v>22</v>
      </c>
      <c r="M4390">
        <v>2.82</v>
      </c>
      <c r="N4390" s="2">
        <v>3.01</v>
      </c>
      <c r="O4390">
        <v>0</v>
      </c>
      <c r="P4390">
        <v>4</v>
      </c>
      <c r="Q4390" s="4" t="str">
        <f t="shared" si="595"/>
        <v>2017/2018-Genap</v>
      </c>
      <c r="R4390" s="8" t="s">
        <v>260</v>
      </c>
      <c r="S4390" t="str">
        <f t="shared" si="601"/>
        <v>PA</v>
      </c>
    </row>
    <row r="4391" spans="1:19" x14ac:dyDescent="0.3">
      <c r="A4391" t="s">
        <v>8</v>
      </c>
      <c r="B4391">
        <v>2016210036</v>
      </c>
      <c r="C4391" t="s">
        <v>18</v>
      </c>
      <c r="E4391" t="s">
        <v>369</v>
      </c>
      <c r="F4391" t="s">
        <v>307</v>
      </c>
      <c r="G4391">
        <v>2</v>
      </c>
      <c r="H4391" t="s">
        <v>260</v>
      </c>
      <c r="I4391" s="4">
        <f t="shared" si="602"/>
        <v>4</v>
      </c>
      <c r="J4391">
        <f t="shared" si="603"/>
        <v>8</v>
      </c>
      <c r="K4391">
        <v>44</v>
      </c>
      <c r="L4391">
        <v>14</v>
      </c>
      <c r="M4391">
        <v>3.14</v>
      </c>
      <c r="N4391" s="2">
        <v>3.01</v>
      </c>
      <c r="O4391">
        <v>0</v>
      </c>
      <c r="P4391">
        <v>8</v>
      </c>
      <c r="Q4391" s="4" t="str">
        <f t="shared" ref="Q4391:Q4422" si="604">IF(P4391=1,"2016/2017-Ganjil",IF(P4391=2,"2016/2017-Genap",IF(P4391=3,"2017/2018-Ganjil",IF(P4391=4,"2017/2018-Genap",IF(P4391=5,"2018/2019-Ganjil",IF(P4391=6,"2018/2019-Genap",IF(P4391=7,"2019/2020-Ganjil",IF(P4391=8,"2019/2020-Genap",IF(P4391=9,"2020/2021-Ganjil",IF(P4391=10,"2020/2021-Genap",IF(P4391=11,"2021/2022-Ganjil",IF(P4391=12,"2021/2022-Genap",IF(P4391=13,"2022/2023-Ganjil","2022/2023-Genap")))))))))))))</f>
        <v>2019/2020-Genap</v>
      </c>
      <c r="R4391" s="8" t="s">
        <v>260</v>
      </c>
      <c r="S4391" t="str">
        <f t="shared" si="601"/>
        <v>PA</v>
      </c>
    </row>
    <row r="4392" spans="1:19" x14ac:dyDescent="0.3">
      <c r="A4392" t="s">
        <v>8</v>
      </c>
      <c r="B4392">
        <v>2016210036</v>
      </c>
      <c r="C4392" t="s">
        <v>18</v>
      </c>
      <c r="E4392" t="s">
        <v>407</v>
      </c>
      <c r="F4392" t="s">
        <v>312</v>
      </c>
      <c r="G4392">
        <v>2</v>
      </c>
      <c r="H4392" t="s">
        <v>260</v>
      </c>
      <c r="I4392" s="4">
        <f t="shared" si="602"/>
        <v>4</v>
      </c>
      <c r="J4392">
        <f t="shared" si="603"/>
        <v>8</v>
      </c>
      <c r="K4392">
        <v>66</v>
      </c>
      <c r="L4392">
        <v>20</v>
      </c>
      <c r="M4392" s="2">
        <v>3.3</v>
      </c>
      <c r="N4392" s="2">
        <v>3.01</v>
      </c>
      <c r="O4392">
        <v>0</v>
      </c>
      <c r="P4392">
        <v>5</v>
      </c>
      <c r="Q4392" s="4" t="str">
        <f t="shared" si="604"/>
        <v>2018/2019-Ganjil</v>
      </c>
      <c r="R4392" s="8" t="s">
        <v>260</v>
      </c>
      <c r="S4392" t="str">
        <f t="shared" si="601"/>
        <v>PA</v>
      </c>
    </row>
    <row r="4393" spans="1:19" x14ac:dyDescent="0.3">
      <c r="A4393" t="s">
        <v>8</v>
      </c>
      <c r="B4393">
        <v>2016210036</v>
      </c>
      <c r="C4393" t="s">
        <v>18</v>
      </c>
      <c r="E4393" t="s">
        <v>176</v>
      </c>
      <c r="F4393" t="s">
        <v>177</v>
      </c>
      <c r="G4393">
        <v>4</v>
      </c>
      <c r="H4393" t="s">
        <v>260</v>
      </c>
      <c r="I4393" s="4">
        <f t="shared" si="602"/>
        <v>4</v>
      </c>
      <c r="J4393">
        <f t="shared" si="603"/>
        <v>16</v>
      </c>
      <c r="K4393">
        <v>60</v>
      </c>
      <c r="L4393">
        <v>20</v>
      </c>
      <c r="M4393" s="2">
        <v>3</v>
      </c>
      <c r="N4393" s="2">
        <v>3.01</v>
      </c>
      <c r="O4393">
        <v>0</v>
      </c>
      <c r="P4393">
        <v>3</v>
      </c>
      <c r="Q4393" s="4" t="str">
        <f t="shared" si="604"/>
        <v>2017/2018-Ganjil</v>
      </c>
      <c r="R4393" s="8" t="s">
        <v>260</v>
      </c>
      <c r="S4393" t="str">
        <f t="shared" si="601"/>
        <v>PA</v>
      </c>
    </row>
    <row r="4394" spans="1:19" x14ac:dyDescent="0.3">
      <c r="A4394" t="s">
        <v>8</v>
      </c>
      <c r="B4394">
        <v>2016210036</v>
      </c>
      <c r="C4394" t="s">
        <v>18</v>
      </c>
      <c r="E4394" t="s">
        <v>362</v>
      </c>
      <c r="F4394" t="s">
        <v>363</v>
      </c>
      <c r="G4394">
        <v>2</v>
      </c>
      <c r="H4394" t="s">
        <v>260</v>
      </c>
      <c r="I4394" s="4">
        <f t="shared" si="602"/>
        <v>4</v>
      </c>
      <c r="J4394">
        <f t="shared" si="603"/>
        <v>8</v>
      </c>
      <c r="K4394">
        <v>66</v>
      </c>
      <c r="L4394">
        <v>20</v>
      </c>
      <c r="M4394" s="2">
        <v>3.3</v>
      </c>
      <c r="N4394" s="2">
        <v>3.01</v>
      </c>
      <c r="O4394">
        <v>0</v>
      </c>
      <c r="P4394">
        <v>5</v>
      </c>
      <c r="Q4394" s="4" t="str">
        <f t="shared" si="604"/>
        <v>2018/2019-Ganjil</v>
      </c>
      <c r="R4394" s="8" t="s">
        <v>260</v>
      </c>
      <c r="S4394" t="str">
        <f t="shared" si="601"/>
        <v>PA</v>
      </c>
    </row>
    <row r="4395" spans="1:19" x14ac:dyDescent="0.3">
      <c r="A4395" t="s">
        <v>8</v>
      </c>
      <c r="B4395">
        <v>2016210036</v>
      </c>
      <c r="C4395" t="s">
        <v>18</v>
      </c>
      <c r="E4395" t="s">
        <v>395</v>
      </c>
      <c r="F4395" t="s">
        <v>396</v>
      </c>
      <c r="G4395">
        <v>2</v>
      </c>
      <c r="H4395" t="s">
        <v>260</v>
      </c>
      <c r="I4395" s="4">
        <f t="shared" si="602"/>
        <v>4</v>
      </c>
      <c r="J4395">
        <f t="shared" si="603"/>
        <v>8</v>
      </c>
      <c r="K4395">
        <v>62</v>
      </c>
      <c r="L4395">
        <v>20</v>
      </c>
      <c r="M4395" s="2">
        <v>3.1</v>
      </c>
      <c r="N4395" s="2">
        <v>3.01</v>
      </c>
      <c r="O4395">
        <v>0</v>
      </c>
      <c r="P4395">
        <v>1</v>
      </c>
      <c r="Q4395" s="4" t="str">
        <f t="shared" si="604"/>
        <v>2016/2017-Ganjil</v>
      </c>
      <c r="R4395" s="8" t="s">
        <v>260</v>
      </c>
      <c r="S4395" t="str">
        <f t="shared" si="601"/>
        <v>PA</v>
      </c>
    </row>
    <row r="4396" spans="1:19" x14ac:dyDescent="0.3">
      <c r="A4396" t="s">
        <v>8</v>
      </c>
      <c r="B4396">
        <v>2016210036</v>
      </c>
      <c r="C4396" t="s">
        <v>18</v>
      </c>
      <c r="E4396" t="s">
        <v>352</v>
      </c>
      <c r="F4396" t="s">
        <v>353</v>
      </c>
      <c r="G4396">
        <v>2</v>
      </c>
      <c r="H4396" t="s">
        <v>260</v>
      </c>
      <c r="I4396" s="4">
        <f t="shared" si="602"/>
        <v>4</v>
      </c>
      <c r="J4396">
        <f t="shared" si="603"/>
        <v>8</v>
      </c>
      <c r="K4396">
        <v>26</v>
      </c>
      <c r="L4396">
        <v>12</v>
      </c>
      <c r="M4396">
        <v>2.17</v>
      </c>
      <c r="N4396" s="2">
        <v>3.01</v>
      </c>
      <c r="O4396">
        <v>0</v>
      </c>
      <c r="P4396">
        <v>7</v>
      </c>
      <c r="Q4396" s="4" t="str">
        <f t="shared" si="604"/>
        <v>2019/2020-Ganjil</v>
      </c>
      <c r="R4396" s="8" t="s">
        <v>260</v>
      </c>
      <c r="S4396" t="str">
        <f t="shared" si="601"/>
        <v>PA</v>
      </c>
    </row>
    <row r="4397" spans="1:19" x14ac:dyDescent="0.3">
      <c r="A4397" t="s">
        <v>8</v>
      </c>
      <c r="B4397">
        <v>2016210036</v>
      </c>
      <c r="C4397" t="s">
        <v>18</v>
      </c>
      <c r="E4397" t="s">
        <v>180</v>
      </c>
      <c r="F4397" t="s">
        <v>181</v>
      </c>
      <c r="G4397">
        <v>4</v>
      </c>
      <c r="H4397" t="s">
        <v>260</v>
      </c>
      <c r="I4397" s="4">
        <f t="shared" si="602"/>
        <v>4</v>
      </c>
      <c r="J4397">
        <f t="shared" si="603"/>
        <v>16</v>
      </c>
      <c r="K4397">
        <v>62</v>
      </c>
      <c r="L4397">
        <v>22</v>
      </c>
      <c r="M4397">
        <v>2.82</v>
      </c>
      <c r="N4397" s="2">
        <v>3.01</v>
      </c>
      <c r="O4397">
        <v>0</v>
      </c>
      <c r="P4397">
        <v>4</v>
      </c>
      <c r="Q4397" s="4" t="str">
        <f t="shared" si="604"/>
        <v>2017/2018-Genap</v>
      </c>
      <c r="R4397" s="8" t="s">
        <v>260</v>
      </c>
      <c r="S4397" t="str">
        <f t="shared" si="601"/>
        <v>PA</v>
      </c>
    </row>
    <row r="4398" spans="1:19" x14ac:dyDescent="0.3">
      <c r="A4398" t="s">
        <v>8</v>
      </c>
      <c r="B4398">
        <v>2016210036</v>
      </c>
      <c r="C4398" t="s">
        <v>18</v>
      </c>
      <c r="E4398" t="s">
        <v>22</v>
      </c>
      <c r="F4398" t="s">
        <v>23</v>
      </c>
      <c r="G4398">
        <v>2</v>
      </c>
      <c r="H4398" t="s">
        <v>260</v>
      </c>
      <c r="I4398" s="4">
        <f t="shared" si="602"/>
        <v>4</v>
      </c>
      <c r="J4398">
        <f t="shared" si="603"/>
        <v>8</v>
      </c>
      <c r="K4398">
        <v>42</v>
      </c>
      <c r="L4398">
        <v>18</v>
      </c>
      <c r="M4398">
        <v>2.33</v>
      </c>
      <c r="N4398" s="2">
        <v>3.01</v>
      </c>
      <c r="O4398">
        <v>0</v>
      </c>
      <c r="P4398">
        <v>2</v>
      </c>
      <c r="Q4398" s="4" t="str">
        <f t="shared" si="604"/>
        <v>2016/2017-Genap</v>
      </c>
      <c r="R4398" s="8" t="s">
        <v>260</v>
      </c>
      <c r="S4398" t="str">
        <f t="shared" si="601"/>
        <v>PA</v>
      </c>
    </row>
    <row r="4399" spans="1:19" x14ac:dyDescent="0.3">
      <c r="A4399" t="s">
        <v>8</v>
      </c>
      <c r="B4399">
        <v>2016210036</v>
      </c>
      <c r="C4399" t="s">
        <v>18</v>
      </c>
      <c r="E4399" t="s">
        <v>391</v>
      </c>
      <c r="F4399" t="s">
        <v>392</v>
      </c>
      <c r="G4399">
        <v>2</v>
      </c>
      <c r="H4399" t="s">
        <v>260</v>
      </c>
      <c r="I4399" s="4">
        <f t="shared" si="602"/>
        <v>4</v>
      </c>
      <c r="J4399">
        <f t="shared" si="603"/>
        <v>8</v>
      </c>
      <c r="K4399">
        <v>66</v>
      </c>
      <c r="L4399">
        <v>20</v>
      </c>
      <c r="M4399" s="2">
        <v>3.3</v>
      </c>
      <c r="N4399" s="2">
        <v>3.01</v>
      </c>
      <c r="O4399">
        <v>0</v>
      </c>
      <c r="P4399">
        <v>5</v>
      </c>
      <c r="Q4399" s="4" t="str">
        <f t="shared" si="604"/>
        <v>2018/2019-Ganjil</v>
      </c>
      <c r="R4399" s="8" t="s">
        <v>260</v>
      </c>
      <c r="S4399" t="str">
        <f t="shared" si="601"/>
        <v>PA</v>
      </c>
    </row>
    <row r="4400" spans="1:19" x14ac:dyDescent="0.3">
      <c r="A4400" t="s">
        <v>8</v>
      </c>
      <c r="B4400">
        <v>2016210036</v>
      </c>
      <c r="C4400" t="s">
        <v>18</v>
      </c>
      <c r="E4400" t="s">
        <v>77</v>
      </c>
      <c r="F4400" t="s">
        <v>78</v>
      </c>
      <c r="G4400">
        <v>2</v>
      </c>
      <c r="H4400" t="s">
        <v>260</v>
      </c>
      <c r="I4400" s="4">
        <f t="shared" si="602"/>
        <v>4</v>
      </c>
      <c r="J4400">
        <f t="shared" si="603"/>
        <v>8</v>
      </c>
      <c r="K4400">
        <v>62</v>
      </c>
      <c r="L4400">
        <v>20</v>
      </c>
      <c r="M4400" s="2">
        <v>3.1</v>
      </c>
      <c r="N4400" s="2">
        <v>3.01</v>
      </c>
      <c r="O4400">
        <v>0</v>
      </c>
      <c r="P4400">
        <v>1</v>
      </c>
      <c r="Q4400" s="4" t="str">
        <f t="shared" si="604"/>
        <v>2016/2017-Ganjil</v>
      </c>
      <c r="R4400" s="8" t="s">
        <v>260</v>
      </c>
      <c r="S4400" t="str">
        <f t="shared" si="601"/>
        <v>PA</v>
      </c>
    </row>
    <row r="4401" spans="1:19" x14ac:dyDescent="0.3">
      <c r="A4401" t="s">
        <v>8</v>
      </c>
      <c r="B4401">
        <v>2016210036</v>
      </c>
      <c r="C4401" t="s">
        <v>18</v>
      </c>
      <c r="E4401" t="s">
        <v>250</v>
      </c>
      <c r="F4401" t="s">
        <v>251</v>
      </c>
      <c r="G4401">
        <v>2</v>
      </c>
      <c r="H4401" t="s">
        <v>438</v>
      </c>
      <c r="I4401" s="4">
        <f t="shared" si="602"/>
        <v>3</v>
      </c>
      <c r="J4401">
        <f t="shared" si="603"/>
        <v>6</v>
      </c>
      <c r="K4401">
        <v>34</v>
      </c>
      <c r="L4401">
        <v>14</v>
      </c>
      <c r="M4401">
        <v>2.4300000000000002</v>
      </c>
      <c r="N4401" s="2">
        <v>3.01</v>
      </c>
      <c r="O4401">
        <v>0</v>
      </c>
      <c r="P4401">
        <v>10</v>
      </c>
      <c r="Q4401" s="4" t="str">
        <f t="shared" si="604"/>
        <v>2020/2021-Genap</v>
      </c>
      <c r="R4401" s="8" t="s">
        <v>260</v>
      </c>
      <c r="S4401" t="str">
        <f t="shared" si="601"/>
        <v>PA</v>
      </c>
    </row>
    <row r="4402" spans="1:19" x14ac:dyDescent="0.3">
      <c r="A4402" t="s">
        <v>8</v>
      </c>
      <c r="B4402">
        <v>2016210036</v>
      </c>
      <c r="C4402" t="s">
        <v>18</v>
      </c>
      <c r="E4402" t="s">
        <v>219</v>
      </c>
      <c r="F4402" t="s">
        <v>220</v>
      </c>
      <c r="G4402">
        <v>2</v>
      </c>
      <c r="H4402" t="s">
        <v>438</v>
      </c>
      <c r="I4402" s="4">
        <f t="shared" si="602"/>
        <v>3</v>
      </c>
      <c r="J4402">
        <f t="shared" si="603"/>
        <v>6</v>
      </c>
      <c r="K4402">
        <v>66</v>
      </c>
      <c r="L4402">
        <v>20</v>
      </c>
      <c r="M4402" s="2">
        <v>3.3</v>
      </c>
      <c r="N4402" s="2">
        <v>3.01</v>
      </c>
      <c r="O4402">
        <v>0</v>
      </c>
      <c r="P4402">
        <v>5</v>
      </c>
      <c r="Q4402" s="4" t="str">
        <f t="shared" si="604"/>
        <v>2018/2019-Ganjil</v>
      </c>
      <c r="R4402" s="8" t="s">
        <v>260</v>
      </c>
      <c r="S4402" t="str">
        <f t="shared" si="601"/>
        <v>PA</v>
      </c>
    </row>
    <row r="4403" spans="1:19" x14ac:dyDescent="0.3">
      <c r="A4403" t="s">
        <v>8</v>
      </c>
      <c r="B4403">
        <v>2016210036</v>
      </c>
      <c r="C4403" t="s">
        <v>18</v>
      </c>
      <c r="E4403" t="s">
        <v>202</v>
      </c>
      <c r="F4403" t="s">
        <v>203</v>
      </c>
      <c r="G4403">
        <v>4</v>
      </c>
      <c r="H4403" t="s">
        <v>438</v>
      </c>
      <c r="I4403" s="4">
        <f t="shared" si="602"/>
        <v>3</v>
      </c>
      <c r="J4403">
        <f t="shared" si="603"/>
        <v>12</v>
      </c>
      <c r="K4403">
        <v>62</v>
      </c>
      <c r="L4403">
        <v>20</v>
      </c>
      <c r="M4403" s="2">
        <v>3.1</v>
      </c>
      <c r="N4403" s="2">
        <v>3.01</v>
      </c>
      <c r="O4403">
        <v>0</v>
      </c>
      <c r="P4403">
        <v>1</v>
      </c>
      <c r="Q4403" s="4" t="str">
        <f t="shared" si="604"/>
        <v>2016/2017-Ganjil</v>
      </c>
      <c r="R4403" s="8" t="s">
        <v>260</v>
      </c>
      <c r="S4403" t="str">
        <f t="shared" si="601"/>
        <v>PA</v>
      </c>
    </row>
    <row r="4404" spans="1:19" x14ac:dyDescent="0.3">
      <c r="A4404" t="s">
        <v>8</v>
      </c>
      <c r="B4404">
        <v>2016210036</v>
      </c>
      <c r="C4404" t="s">
        <v>18</v>
      </c>
      <c r="E4404" t="s">
        <v>242</v>
      </c>
      <c r="F4404" t="s">
        <v>166</v>
      </c>
      <c r="G4404">
        <v>2</v>
      </c>
      <c r="H4404" t="s">
        <v>438</v>
      </c>
      <c r="I4404" s="4">
        <f t="shared" si="602"/>
        <v>3</v>
      </c>
      <c r="J4404">
        <f t="shared" si="603"/>
        <v>6</v>
      </c>
      <c r="K4404">
        <v>62</v>
      </c>
      <c r="L4404">
        <v>22</v>
      </c>
      <c r="M4404">
        <v>2.82</v>
      </c>
      <c r="N4404" s="2">
        <v>3.01</v>
      </c>
      <c r="O4404">
        <v>0</v>
      </c>
      <c r="P4404">
        <v>4</v>
      </c>
      <c r="Q4404" s="4" t="str">
        <f t="shared" si="604"/>
        <v>2017/2018-Genap</v>
      </c>
      <c r="R4404" s="8" t="s">
        <v>260</v>
      </c>
      <c r="S4404" t="str">
        <f t="shared" si="601"/>
        <v>PA</v>
      </c>
    </row>
    <row r="4405" spans="1:19" x14ac:dyDescent="0.3">
      <c r="A4405" t="s">
        <v>8</v>
      </c>
      <c r="B4405">
        <v>2016210036</v>
      </c>
      <c r="C4405" t="s">
        <v>18</v>
      </c>
      <c r="E4405" t="s">
        <v>193</v>
      </c>
      <c r="F4405" t="s">
        <v>194</v>
      </c>
      <c r="G4405">
        <v>4</v>
      </c>
      <c r="H4405" t="s">
        <v>438</v>
      </c>
      <c r="I4405" s="4">
        <f t="shared" si="602"/>
        <v>3</v>
      </c>
      <c r="J4405">
        <f t="shared" si="603"/>
        <v>12</v>
      </c>
      <c r="K4405">
        <v>26</v>
      </c>
      <c r="L4405">
        <v>12</v>
      </c>
      <c r="M4405">
        <v>2.17</v>
      </c>
      <c r="N4405" s="2">
        <v>3.01</v>
      </c>
      <c r="O4405">
        <v>0</v>
      </c>
      <c r="P4405">
        <v>7</v>
      </c>
      <c r="Q4405" s="4" t="str">
        <f t="shared" si="604"/>
        <v>2019/2020-Ganjil</v>
      </c>
      <c r="R4405" s="8" t="s">
        <v>260</v>
      </c>
      <c r="S4405" t="str">
        <f t="shared" si="601"/>
        <v>PA</v>
      </c>
    </row>
    <row r="4406" spans="1:19" x14ac:dyDescent="0.3">
      <c r="A4406" t="s">
        <v>8</v>
      </c>
      <c r="B4406">
        <v>2016210036</v>
      </c>
      <c r="C4406" t="s">
        <v>18</v>
      </c>
      <c r="E4406" t="s">
        <v>238</v>
      </c>
      <c r="F4406" t="s">
        <v>239</v>
      </c>
      <c r="G4406">
        <v>4</v>
      </c>
      <c r="H4406" t="s">
        <v>438</v>
      </c>
      <c r="I4406" s="4">
        <f t="shared" si="602"/>
        <v>3</v>
      </c>
      <c r="J4406">
        <f t="shared" si="603"/>
        <v>12</v>
      </c>
      <c r="K4406">
        <v>62</v>
      </c>
      <c r="L4406">
        <v>22</v>
      </c>
      <c r="M4406">
        <v>2.82</v>
      </c>
      <c r="N4406" s="2">
        <v>3.01</v>
      </c>
      <c r="O4406">
        <v>0</v>
      </c>
      <c r="P4406">
        <v>4</v>
      </c>
      <c r="Q4406" s="4" t="str">
        <f t="shared" si="604"/>
        <v>2017/2018-Genap</v>
      </c>
      <c r="R4406" s="8" t="s">
        <v>260</v>
      </c>
      <c r="S4406" t="str">
        <f t="shared" si="601"/>
        <v>PA</v>
      </c>
    </row>
    <row r="4407" spans="1:19" x14ac:dyDescent="0.3">
      <c r="A4407" t="s">
        <v>8</v>
      </c>
      <c r="B4407">
        <v>2016210036</v>
      </c>
      <c r="C4407" t="s">
        <v>18</v>
      </c>
      <c r="E4407" t="s">
        <v>87</v>
      </c>
      <c r="F4407" t="s">
        <v>88</v>
      </c>
      <c r="G4407">
        <v>2</v>
      </c>
      <c r="H4407" t="s">
        <v>438</v>
      </c>
      <c r="I4407" s="4">
        <f t="shared" si="602"/>
        <v>3</v>
      </c>
      <c r="J4407">
        <f t="shared" si="603"/>
        <v>6</v>
      </c>
      <c r="K4407">
        <v>44</v>
      </c>
      <c r="L4407">
        <v>14</v>
      </c>
      <c r="M4407">
        <v>3.14</v>
      </c>
      <c r="N4407" s="2">
        <v>3.01</v>
      </c>
      <c r="O4407">
        <v>0</v>
      </c>
      <c r="P4407">
        <v>8</v>
      </c>
      <c r="Q4407" s="4" t="str">
        <f t="shared" si="604"/>
        <v>2019/2020-Genap</v>
      </c>
      <c r="R4407" s="8" t="s">
        <v>260</v>
      </c>
      <c r="S4407" t="str">
        <f t="shared" si="601"/>
        <v>PA</v>
      </c>
    </row>
    <row r="4408" spans="1:19" x14ac:dyDescent="0.3">
      <c r="A4408" t="s">
        <v>8</v>
      </c>
      <c r="B4408">
        <v>2016210036</v>
      </c>
      <c r="C4408" t="s">
        <v>18</v>
      </c>
      <c r="E4408" t="s">
        <v>279</v>
      </c>
      <c r="F4408" t="s">
        <v>280</v>
      </c>
      <c r="G4408">
        <v>2</v>
      </c>
      <c r="H4408" t="s">
        <v>438</v>
      </c>
      <c r="I4408" s="4">
        <f t="shared" si="602"/>
        <v>3</v>
      </c>
      <c r="J4408">
        <f t="shared" si="603"/>
        <v>6</v>
      </c>
      <c r="K4408">
        <v>42</v>
      </c>
      <c r="L4408">
        <v>18</v>
      </c>
      <c r="M4408">
        <v>2.33</v>
      </c>
      <c r="N4408" s="2">
        <v>3.01</v>
      </c>
      <c r="O4408">
        <v>0</v>
      </c>
      <c r="P4408">
        <v>2</v>
      </c>
      <c r="Q4408" s="4" t="str">
        <f t="shared" si="604"/>
        <v>2016/2017-Genap</v>
      </c>
      <c r="R4408" s="8" t="s">
        <v>260</v>
      </c>
      <c r="S4408" t="str">
        <f t="shared" si="601"/>
        <v>PA</v>
      </c>
    </row>
    <row r="4409" spans="1:19" x14ac:dyDescent="0.3">
      <c r="A4409" t="s">
        <v>8</v>
      </c>
      <c r="B4409">
        <v>2016210036</v>
      </c>
      <c r="C4409" t="s">
        <v>18</v>
      </c>
      <c r="E4409" t="s">
        <v>80</v>
      </c>
      <c r="F4409" t="s">
        <v>81</v>
      </c>
      <c r="G4409">
        <v>4</v>
      </c>
      <c r="H4409" t="s">
        <v>438</v>
      </c>
      <c r="I4409" s="4">
        <f t="shared" si="602"/>
        <v>3</v>
      </c>
      <c r="J4409">
        <f t="shared" si="603"/>
        <v>12</v>
      </c>
      <c r="K4409">
        <v>44</v>
      </c>
      <c r="L4409">
        <v>14</v>
      </c>
      <c r="M4409">
        <v>3.14</v>
      </c>
      <c r="N4409" s="2">
        <v>3.01</v>
      </c>
      <c r="O4409">
        <v>0</v>
      </c>
      <c r="P4409">
        <v>8</v>
      </c>
      <c r="Q4409" s="4" t="str">
        <f t="shared" si="604"/>
        <v>2019/2020-Genap</v>
      </c>
      <c r="R4409" s="8" t="s">
        <v>260</v>
      </c>
      <c r="S4409" t="str">
        <f t="shared" si="601"/>
        <v>PA</v>
      </c>
    </row>
    <row r="4410" spans="1:19" x14ac:dyDescent="0.3">
      <c r="A4410" t="s">
        <v>8</v>
      </c>
      <c r="B4410">
        <v>2016210036</v>
      </c>
      <c r="C4410" t="s">
        <v>18</v>
      </c>
      <c r="E4410" t="s">
        <v>117</v>
      </c>
      <c r="F4410" t="s">
        <v>118</v>
      </c>
      <c r="G4410">
        <v>2</v>
      </c>
      <c r="H4410" t="s">
        <v>438</v>
      </c>
      <c r="I4410" s="4">
        <f t="shared" si="602"/>
        <v>3</v>
      </c>
      <c r="J4410">
        <f t="shared" si="603"/>
        <v>6</v>
      </c>
      <c r="K4410">
        <v>42</v>
      </c>
      <c r="L4410">
        <v>18</v>
      </c>
      <c r="M4410">
        <v>2.33</v>
      </c>
      <c r="N4410" s="2">
        <v>3.01</v>
      </c>
      <c r="O4410">
        <v>0</v>
      </c>
      <c r="P4410">
        <v>2</v>
      </c>
      <c r="Q4410" s="4" t="str">
        <f t="shared" si="604"/>
        <v>2016/2017-Genap</v>
      </c>
      <c r="R4410" s="8" t="s">
        <v>260</v>
      </c>
      <c r="S4410" t="str">
        <f t="shared" si="601"/>
        <v>PA</v>
      </c>
    </row>
    <row r="4411" spans="1:19" x14ac:dyDescent="0.3">
      <c r="A4411" t="s">
        <v>8</v>
      </c>
      <c r="B4411">
        <v>2016210036</v>
      </c>
      <c r="C4411" t="s">
        <v>18</v>
      </c>
      <c r="E4411" t="s">
        <v>188</v>
      </c>
      <c r="F4411" t="s">
        <v>189</v>
      </c>
      <c r="G4411">
        <v>4</v>
      </c>
      <c r="H4411" t="s">
        <v>438</v>
      </c>
      <c r="I4411" s="4">
        <f t="shared" si="602"/>
        <v>3</v>
      </c>
      <c r="J4411">
        <f t="shared" si="603"/>
        <v>12</v>
      </c>
      <c r="K4411">
        <v>66</v>
      </c>
      <c r="L4411">
        <v>20</v>
      </c>
      <c r="M4411" s="2">
        <v>3.3</v>
      </c>
      <c r="N4411" s="2">
        <v>3.01</v>
      </c>
      <c r="O4411">
        <v>0</v>
      </c>
      <c r="P4411">
        <v>5</v>
      </c>
      <c r="Q4411" s="4" t="str">
        <f t="shared" si="604"/>
        <v>2018/2019-Ganjil</v>
      </c>
      <c r="R4411" s="8" t="s">
        <v>260</v>
      </c>
      <c r="S4411" t="str">
        <f t="shared" si="601"/>
        <v>PA</v>
      </c>
    </row>
    <row r="4412" spans="1:19" x14ac:dyDescent="0.3">
      <c r="A4412" t="s">
        <v>8</v>
      </c>
      <c r="B4412">
        <v>2016210036</v>
      </c>
      <c r="C4412" t="s">
        <v>18</v>
      </c>
      <c r="E4412" t="s">
        <v>182</v>
      </c>
      <c r="F4412" t="s">
        <v>171</v>
      </c>
      <c r="G4412">
        <v>2</v>
      </c>
      <c r="H4412" t="s">
        <v>438</v>
      </c>
      <c r="I4412" s="4">
        <f t="shared" si="602"/>
        <v>3</v>
      </c>
      <c r="J4412">
        <f t="shared" si="603"/>
        <v>6</v>
      </c>
      <c r="K4412">
        <v>66</v>
      </c>
      <c r="L4412">
        <v>20</v>
      </c>
      <c r="M4412" s="2">
        <v>3.3</v>
      </c>
      <c r="N4412" s="2">
        <v>3.01</v>
      </c>
      <c r="O4412">
        <v>0</v>
      </c>
      <c r="P4412">
        <v>5</v>
      </c>
      <c r="Q4412" s="4" t="str">
        <f t="shared" si="604"/>
        <v>2018/2019-Ganjil</v>
      </c>
      <c r="R4412" s="8" t="s">
        <v>260</v>
      </c>
      <c r="S4412" t="str">
        <f t="shared" si="601"/>
        <v>PA</v>
      </c>
    </row>
    <row r="4413" spans="1:19" x14ac:dyDescent="0.3">
      <c r="A4413" t="s">
        <v>8</v>
      </c>
      <c r="B4413">
        <v>2016210036</v>
      </c>
      <c r="C4413" t="s">
        <v>18</v>
      </c>
      <c r="E4413" t="s">
        <v>131</v>
      </c>
      <c r="F4413" t="s">
        <v>132</v>
      </c>
      <c r="G4413">
        <v>2</v>
      </c>
      <c r="H4413" t="s">
        <v>438</v>
      </c>
      <c r="I4413" s="4">
        <f t="shared" si="602"/>
        <v>3</v>
      </c>
      <c r="J4413">
        <f t="shared" si="603"/>
        <v>6</v>
      </c>
      <c r="K4413">
        <v>62</v>
      </c>
      <c r="L4413">
        <v>20</v>
      </c>
      <c r="M4413" s="2">
        <v>3.1</v>
      </c>
      <c r="N4413" s="2">
        <v>3.01</v>
      </c>
      <c r="O4413">
        <v>0</v>
      </c>
      <c r="P4413">
        <v>1</v>
      </c>
      <c r="Q4413" s="4" t="str">
        <f t="shared" si="604"/>
        <v>2016/2017-Ganjil</v>
      </c>
      <c r="R4413" s="8" t="s">
        <v>260</v>
      </c>
      <c r="S4413" t="str">
        <f t="shared" si="601"/>
        <v>PA</v>
      </c>
    </row>
    <row r="4414" spans="1:19" x14ac:dyDescent="0.3">
      <c r="A4414" t="s">
        <v>8</v>
      </c>
      <c r="B4414">
        <v>2016210036</v>
      </c>
      <c r="C4414" t="s">
        <v>18</v>
      </c>
      <c r="E4414" t="s">
        <v>213</v>
      </c>
      <c r="F4414" t="s">
        <v>214</v>
      </c>
      <c r="G4414">
        <v>4</v>
      </c>
      <c r="H4414" t="s">
        <v>438</v>
      </c>
      <c r="I4414" s="4">
        <f t="shared" si="602"/>
        <v>3</v>
      </c>
      <c r="J4414">
        <f t="shared" si="603"/>
        <v>12</v>
      </c>
      <c r="K4414">
        <v>62</v>
      </c>
      <c r="L4414">
        <v>20</v>
      </c>
      <c r="M4414" s="2">
        <v>3.1</v>
      </c>
      <c r="N4414" s="2">
        <v>3.01</v>
      </c>
      <c r="O4414">
        <v>0</v>
      </c>
      <c r="P4414">
        <v>3</v>
      </c>
      <c r="Q4414" s="4" t="str">
        <f t="shared" si="604"/>
        <v>2017/2018-Ganjil</v>
      </c>
      <c r="R4414" s="8" t="s">
        <v>260</v>
      </c>
      <c r="S4414" t="str">
        <f t="shared" si="601"/>
        <v>PA</v>
      </c>
    </row>
    <row r="4415" spans="1:19" x14ac:dyDescent="0.3">
      <c r="A4415" t="s">
        <v>8</v>
      </c>
      <c r="B4415">
        <v>2016210036</v>
      </c>
      <c r="C4415" t="s">
        <v>18</v>
      </c>
      <c r="E4415" t="s">
        <v>105</v>
      </c>
      <c r="F4415" t="s">
        <v>106</v>
      </c>
      <c r="G4415">
        <v>2</v>
      </c>
      <c r="H4415" t="s">
        <v>438</v>
      </c>
      <c r="I4415" s="4">
        <f t="shared" si="602"/>
        <v>3</v>
      </c>
      <c r="J4415">
        <f t="shared" si="603"/>
        <v>6</v>
      </c>
      <c r="K4415">
        <v>60</v>
      </c>
      <c r="L4415">
        <v>20</v>
      </c>
      <c r="M4415" s="2">
        <v>3</v>
      </c>
      <c r="N4415" s="2">
        <v>3.01</v>
      </c>
      <c r="O4415">
        <v>0</v>
      </c>
      <c r="P4415">
        <v>3</v>
      </c>
      <c r="Q4415" s="4" t="str">
        <f t="shared" si="604"/>
        <v>2017/2018-Ganjil</v>
      </c>
      <c r="R4415" s="8" t="s">
        <v>260</v>
      </c>
      <c r="S4415" t="str">
        <f t="shared" si="601"/>
        <v>PA</v>
      </c>
    </row>
    <row r="4416" spans="1:19" x14ac:dyDescent="0.3">
      <c r="A4416" t="s">
        <v>8</v>
      </c>
      <c r="B4416">
        <v>2016210036</v>
      </c>
      <c r="C4416" t="s">
        <v>18</v>
      </c>
      <c r="E4416" t="s">
        <v>295</v>
      </c>
      <c r="F4416" t="s">
        <v>296</v>
      </c>
      <c r="G4416">
        <v>2</v>
      </c>
      <c r="H4416" t="s">
        <v>438</v>
      </c>
      <c r="I4416" s="4">
        <f t="shared" si="602"/>
        <v>3</v>
      </c>
      <c r="J4416">
        <f t="shared" si="603"/>
        <v>6</v>
      </c>
      <c r="K4416">
        <v>26</v>
      </c>
      <c r="L4416">
        <v>12</v>
      </c>
      <c r="M4416">
        <v>2.17</v>
      </c>
      <c r="N4416" s="2">
        <v>3.01</v>
      </c>
      <c r="O4416">
        <v>0</v>
      </c>
      <c r="P4416">
        <v>7</v>
      </c>
      <c r="Q4416" s="4" t="str">
        <f t="shared" si="604"/>
        <v>2019/2020-Ganjil</v>
      </c>
      <c r="R4416" s="8" t="s">
        <v>260</v>
      </c>
      <c r="S4416" t="str">
        <f t="shared" si="601"/>
        <v>PA</v>
      </c>
    </row>
    <row r="4417" spans="1:19" x14ac:dyDescent="0.3">
      <c r="A4417" t="s">
        <v>8</v>
      </c>
      <c r="B4417">
        <v>2016210036</v>
      </c>
      <c r="C4417" t="s">
        <v>18</v>
      </c>
      <c r="E4417" t="s">
        <v>246</v>
      </c>
      <c r="F4417" t="s">
        <v>247</v>
      </c>
      <c r="G4417">
        <v>4</v>
      </c>
      <c r="H4417" t="s">
        <v>438</v>
      </c>
      <c r="I4417" s="4">
        <f t="shared" si="602"/>
        <v>3</v>
      </c>
      <c r="J4417">
        <f t="shared" si="603"/>
        <v>12</v>
      </c>
      <c r="K4417">
        <v>62</v>
      </c>
      <c r="L4417">
        <v>22</v>
      </c>
      <c r="M4417">
        <v>2.82</v>
      </c>
      <c r="N4417" s="2">
        <v>3.01</v>
      </c>
      <c r="O4417">
        <v>0</v>
      </c>
      <c r="P4417">
        <v>4</v>
      </c>
      <c r="Q4417" s="4" t="str">
        <f t="shared" si="604"/>
        <v>2017/2018-Genap</v>
      </c>
      <c r="R4417" s="8" t="s">
        <v>260</v>
      </c>
      <c r="S4417" t="str">
        <f t="shared" si="601"/>
        <v>PA</v>
      </c>
    </row>
    <row r="4418" spans="1:19" x14ac:dyDescent="0.3">
      <c r="A4418" t="s">
        <v>8</v>
      </c>
      <c r="B4418">
        <v>2016210036</v>
      </c>
      <c r="C4418" t="s">
        <v>18</v>
      </c>
      <c r="E4418" t="s">
        <v>147</v>
      </c>
      <c r="F4418" t="s">
        <v>148</v>
      </c>
      <c r="G4418">
        <v>4</v>
      </c>
      <c r="H4418" t="s">
        <v>438</v>
      </c>
      <c r="I4418" s="4">
        <f t="shared" si="602"/>
        <v>3</v>
      </c>
      <c r="J4418">
        <f t="shared" si="603"/>
        <v>12</v>
      </c>
      <c r="K4418">
        <v>62</v>
      </c>
      <c r="L4418">
        <v>20</v>
      </c>
      <c r="M4418" s="2">
        <v>3.1</v>
      </c>
      <c r="N4418" s="2">
        <v>3.01</v>
      </c>
      <c r="O4418">
        <v>0</v>
      </c>
      <c r="P4418">
        <v>1</v>
      </c>
      <c r="Q4418" s="4" t="str">
        <f t="shared" si="604"/>
        <v>2016/2017-Ganjil</v>
      </c>
      <c r="R4418" s="8" t="s">
        <v>260</v>
      </c>
      <c r="S4418" t="str">
        <f t="shared" si="601"/>
        <v>PA</v>
      </c>
    </row>
    <row r="4419" spans="1:19" x14ac:dyDescent="0.3">
      <c r="A4419" t="s">
        <v>8</v>
      </c>
      <c r="B4419">
        <v>2016210036</v>
      </c>
      <c r="C4419" t="s">
        <v>18</v>
      </c>
      <c r="E4419" t="s">
        <v>355</v>
      </c>
      <c r="F4419" t="s">
        <v>274</v>
      </c>
      <c r="G4419">
        <v>2</v>
      </c>
      <c r="H4419" t="s">
        <v>438</v>
      </c>
      <c r="I4419" s="4">
        <f t="shared" si="602"/>
        <v>3</v>
      </c>
      <c r="J4419">
        <f t="shared" si="603"/>
        <v>6</v>
      </c>
      <c r="K4419">
        <v>44</v>
      </c>
      <c r="L4419">
        <v>14</v>
      </c>
      <c r="M4419">
        <v>3.14</v>
      </c>
      <c r="N4419" s="2">
        <v>3.01</v>
      </c>
      <c r="O4419">
        <v>0</v>
      </c>
      <c r="P4419">
        <v>8</v>
      </c>
      <c r="Q4419" s="4" t="str">
        <f t="shared" si="604"/>
        <v>2019/2020-Genap</v>
      </c>
      <c r="R4419" s="8" t="s">
        <v>260</v>
      </c>
      <c r="S4419" t="str">
        <f t="shared" si="601"/>
        <v>PA</v>
      </c>
    </row>
    <row r="4420" spans="1:19" x14ac:dyDescent="0.3">
      <c r="A4420" t="s">
        <v>8</v>
      </c>
      <c r="B4420">
        <v>2016210036</v>
      </c>
      <c r="C4420" t="s">
        <v>18</v>
      </c>
      <c r="E4420" t="s">
        <v>107</v>
      </c>
      <c r="F4420" t="s">
        <v>108</v>
      </c>
      <c r="G4420">
        <v>2</v>
      </c>
      <c r="H4420" t="s">
        <v>438</v>
      </c>
      <c r="I4420" s="4">
        <f t="shared" si="602"/>
        <v>3</v>
      </c>
      <c r="J4420">
        <f t="shared" si="603"/>
        <v>6</v>
      </c>
      <c r="K4420">
        <v>44</v>
      </c>
      <c r="L4420">
        <v>14</v>
      </c>
      <c r="M4420">
        <v>3.14</v>
      </c>
      <c r="N4420" s="2">
        <v>3.01</v>
      </c>
      <c r="O4420">
        <v>0</v>
      </c>
      <c r="P4420">
        <v>8</v>
      </c>
      <c r="Q4420" s="4" t="str">
        <f t="shared" si="604"/>
        <v>2019/2020-Genap</v>
      </c>
      <c r="R4420" s="8" t="s">
        <v>260</v>
      </c>
      <c r="S4420" t="str">
        <f t="shared" si="601"/>
        <v>PA</v>
      </c>
    </row>
    <row r="4421" spans="1:19" x14ac:dyDescent="0.3">
      <c r="A4421" t="s">
        <v>8</v>
      </c>
      <c r="B4421">
        <v>2016210036</v>
      </c>
      <c r="C4421" t="s">
        <v>18</v>
      </c>
      <c r="E4421" t="s">
        <v>266</v>
      </c>
      <c r="F4421" t="s">
        <v>91</v>
      </c>
      <c r="G4421">
        <v>2</v>
      </c>
      <c r="H4421" t="s">
        <v>438</v>
      </c>
      <c r="I4421" s="4">
        <f t="shared" si="602"/>
        <v>3</v>
      </c>
      <c r="J4421">
        <f t="shared" si="603"/>
        <v>6</v>
      </c>
      <c r="K4421">
        <v>42</v>
      </c>
      <c r="L4421">
        <v>18</v>
      </c>
      <c r="M4421">
        <v>2.33</v>
      </c>
      <c r="N4421" s="2">
        <v>3.01</v>
      </c>
      <c r="O4421">
        <v>0</v>
      </c>
      <c r="P4421">
        <v>2</v>
      </c>
      <c r="Q4421" s="4" t="str">
        <f t="shared" si="604"/>
        <v>2016/2017-Genap</v>
      </c>
      <c r="R4421" s="8" t="s">
        <v>260</v>
      </c>
      <c r="S4421" t="str">
        <f t="shared" si="601"/>
        <v>PA</v>
      </c>
    </row>
    <row r="4422" spans="1:19" x14ac:dyDescent="0.3">
      <c r="A4422" t="s">
        <v>8</v>
      </c>
      <c r="B4422">
        <v>2016210036</v>
      </c>
      <c r="C4422" t="s">
        <v>18</v>
      </c>
      <c r="E4422" t="s">
        <v>119</v>
      </c>
      <c r="F4422" t="s">
        <v>120</v>
      </c>
      <c r="G4422">
        <v>2</v>
      </c>
      <c r="H4422" t="s">
        <v>438</v>
      </c>
      <c r="I4422" s="4">
        <f t="shared" si="602"/>
        <v>3</v>
      </c>
      <c r="J4422">
        <f t="shared" si="603"/>
        <v>6</v>
      </c>
      <c r="K4422">
        <v>44</v>
      </c>
      <c r="L4422">
        <v>14</v>
      </c>
      <c r="M4422">
        <v>3.14</v>
      </c>
      <c r="N4422" s="2">
        <v>3.01</v>
      </c>
      <c r="O4422">
        <v>0</v>
      </c>
      <c r="P4422">
        <v>8</v>
      </c>
      <c r="Q4422" s="4" t="str">
        <f t="shared" si="604"/>
        <v>2019/2020-Genap</v>
      </c>
      <c r="R4422" s="8" t="s">
        <v>260</v>
      </c>
      <c r="S4422" t="str">
        <f t="shared" si="601"/>
        <v>PA</v>
      </c>
    </row>
    <row r="4423" spans="1:19" x14ac:dyDescent="0.3">
      <c r="A4423" t="s">
        <v>8</v>
      </c>
      <c r="B4423">
        <v>2016210036</v>
      </c>
      <c r="C4423" t="s">
        <v>18</v>
      </c>
      <c r="E4423" t="s">
        <v>227</v>
      </c>
      <c r="F4423" t="s">
        <v>228</v>
      </c>
      <c r="G4423">
        <v>2</v>
      </c>
      <c r="H4423" t="s">
        <v>438</v>
      </c>
      <c r="I4423" s="4">
        <f t="shared" si="602"/>
        <v>3</v>
      </c>
      <c r="J4423">
        <f t="shared" si="603"/>
        <v>6</v>
      </c>
      <c r="K4423">
        <v>66</v>
      </c>
      <c r="L4423">
        <v>20</v>
      </c>
      <c r="M4423" s="2">
        <v>3.3</v>
      </c>
      <c r="N4423" s="2">
        <v>3.01</v>
      </c>
      <c r="O4423">
        <v>0</v>
      </c>
      <c r="P4423">
        <v>5</v>
      </c>
      <c r="Q4423" s="4" t="str">
        <f t="shared" ref="Q4423:Q4436" si="605">IF(P4423=1,"2016/2017-Ganjil",IF(P4423=2,"2016/2017-Genap",IF(P4423=3,"2017/2018-Ganjil",IF(P4423=4,"2017/2018-Genap",IF(P4423=5,"2018/2019-Ganjil",IF(P4423=6,"2018/2019-Genap",IF(P4423=7,"2019/2020-Ganjil",IF(P4423=8,"2019/2020-Genap",IF(P4423=9,"2020/2021-Ganjil",IF(P4423=10,"2020/2021-Genap",IF(P4423=11,"2021/2022-Ganjil",IF(P4423=12,"2021/2022-Genap",IF(P4423=13,"2022/2023-Ganjil","2022/2023-Genap")))))))))))))</f>
        <v>2018/2019-Ganjil</v>
      </c>
      <c r="R4423" s="8" t="s">
        <v>260</v>
      </c>
      <c r="S4423" t="str">
        <f t="shared" si="601"/>
        <v>PA</v>
      </c>
    </row>
    <row r="4424" spans="1:19" x14ac:dyDescent="0.3">
      <c r="A4424" t="s">
        <v>8</v>
      </c>
      <c r="B4424">
        <v>2016210036</v>
      </c>
      <c r="C4424" t="s">
        <v>18</v>
      </c>
      <c r="E4424" t="s">
        <v>112</v>
      </c>
      <c r="F4424" t="s">
        <v>113</v>
      </c>
      <c r="G4424">
        <v>4</v>
      </c>
      <c r="H4424" t="s">
        <v>438</v>
      </c>
      <c r="I4424" s="4">
        <f t="shared" si="602"/>
        <v>3</v>
      </c>
      <c r="J4424">
        <f t="shared" si="603"/>
        <v>12</v>
      </c>
      <c r="K4424">
        <v>60</v>
      </c>
      <c r="L4424">
        <v>20</v>
      </c>
      <c r="M4424" s="2">
        <v>3</v>
      </c>
      <c r="N4424" s="2">
        <v>3.01</v>
      </c>
      <c r="O4424">
        <v>0</v>
      </c>
      <c r="P4424">
        <v>3</v>
      </c>
      <c r="Q4424" s="4" t="str">
        <f t="shared" si="605"/>
        <v>2017/2018-Ganjil</v>
      </c>
      <c r="R4424" s="8" t="s">
        <v>260</v>
      </c>
      <c r="S4424" t="str">
        <f t="shared" si="601"/>
        <v>PA</v>
      </c>
    </row>
    <row r="4425" spans="1:19" x14ac:dyDescent="0.3">
      <c r="A4425" t="s">
        <v>8</v>
      </c>
      <c r="B4425">
        <v>2016210036</v>
      </c>
      <c r="C4425" t="s">
        <v>18</v>
      </c>
      <c r="E4425" t="s">
        <v>185</v>
      </c>
      <c r="F4425" t="s">
        <v>186</v>
      </c>
      <c r="G4425">
        <v>4</v>
      </c>
      <c r="H4425" t="s">
        <v>438</v>
      </c>
      <c r="I4425" s="4">
        <f t="shared" si="602"/>
        <v>3</v>
      </c>
      <c r="J4425">
        <f t="shared" si="603"/>
        <v>12</v>
      </c>
      <c r="K4425">
        <v>66</v>
      </c>
      <c r="L4425">
        <v>20</v>
      </c>
      <c r="M4425" s="2">
        <v>3.3</v>
      </c>
      <c r="N4425" s="2">
        <v>3.01</v>
      </c>
      <c r="O4425">
        <v>0</v>
      </c>
      <c r="P4425">
        <v>5</v>
      </c>
      <c r="Q4425" s="4" t="str">
        <f t="shared" si="605"/>
        <v>2018/2019-Ganjil</v>
      </c>
      <c r="R4425" s="8" t="s">
        <v>260</v>
      </c>
      <c r="S4425" t="str">
        <f t="shared" si="601"/>
        <v>PA</v>
      </c>
    </row>
    <row r="4426" spans="1:19" x14ac:dyDescent="0.3">
      <c r="A4426" t="s">
        <v>8</v>
      </c>
      <c r="B4426">
        <v>2016210036</v>
      </c>
      <c r="C4426" t="s">
        <v>18</v>
      </c>
      <c r="E4426" t="s">
        <v>157</v>
      </c>
      <c r="F4426" t="s">
        <v>158</v>
      </c>
      <c r="G4426">
        <v>2</v>
      </c>
      <c r="H4426" t="s">
        <v>438</v>
      </c>
      <c r="I4426" s="4">
        <f t="shared" si="602"/>
        <v>3</v>
      </c>
      <c r="J4426">
        <f t="shared" si="603"/>
        <v>6</v>
      </c>
      <c r="K4426">
        <v>60</v>
      </c>
      <c r="L4426">
        <v>20</v>
      </c>
      <c r="M4426" s="2">
        <v>3</v>
      </c>
      <c r="N4426" s="2">
        <v>3.01</v>
      </c>
      <c r="O4426">
        <v>0</v>
      </c>
      <c r="P4426">
        <v>3</v>
      </c>
      <c r="Q4426" s="4" t="str">
        <f t="shared" si="605"/>
        <v>2017/2018-Ganjil</v>
      </c>
      <c r="R4426" s="8" t="s">
        <v>260</v>
      </c>
      <c r="S4426" t="str">
        <f t="shared" si="601"/>
        <v>PA</v>
      </c>
    </row>
    <row r="4427" spans="1:19" x14ac:dyDescent="0.3">
      <c r="A4427" t="s">
        <v>8</v>
      </c>
      <c r="B4427">
        <v>2016210036</v>
      </c>
      <c r="C4427" t="s">
        <v>18</v>
      </c>
      <c r="E4427" t="s">
        <v>401</v>
      </c>
      <c r="F4427" t="s">
        <v>258</v>
      </c>
      <c r="G4427">
        <v>4</v>
      </c>
      <c r="H4427" t="s">
        <v>524</v>
      </c>
      <c r="I4427" s="4">
        <f t="shared" si="602"/>
        <v>2</v>
      </c>
      <c r="J4427">
        <f t="shared" si="603"/>
        <v>8</v>
      </c>
      <c r="K4427">
        <v>60</v>
      </c>
      <c r="L4427">
        <v>20</v>
      </c>
      <c r="M4427" s="2">
        <v>3</v>
      </c>
      <c r="N4427" s="2">
        <v>3.01</v>
      </c>
      <c r="O4427">
        <v>0</v>
      </c>
      <c r="P4427">
        <v>3</v>
      </c>
      <c r="Q4427" s="4" t="str">
        <f t="shared" si="605"/>
        <v>2017/2018-Ganjil</v>
      </c>
      <c r="R4427" s="8" t="s">
        <v>260</v>
      </c>
      <c r="S4427" t="str">
        <f t="shared" si="601"/>
        <v>PA</v>
      </c>
    </row>
    <row r="4428" spans="1:19" x14ac:dyDescent="0.3">
      <c r="A4428" t="s">
        <v>8</v>
      </c>
      <c r="B4428">
        <v>2016210036</v>
      </c>
      <c r="C4428" t="s">
        <v>18</v>
      </c>
      <c r="E4428" t="s">
        <v>115</v>
      </c>
      <c r="F4428" t="s">
        <v>116</v>
      </c>
      <c r="G4428">
        <v>4</v>
      </c>
      <c r="H4428" t="s">
        <v>524</v>
      </c>
      <c r="I4428" s="4">
        <f t="shared" si="602"/>
        <v>2</v>
      </c>
      <c r="J4428">
        <f t="shared" si="603"/>
        <v>8</v>
      </c>
      <c r="K4428">
        <v>42</v>
      </c>
      <c r="L4428">
        <v>18</v>
      </c>
      <c r="M4428">
        <v>2.33</v>
      </c>
      <c r="N4428" s="2">
        <v>3.01</v>
      </c>
      <c r="O4428">
        <v>0</v>
      </c>
      <c r="P4428">
        <v>2</v>
      </c>
      <c r="Q4428" s="4" t="str">
        <f t="shared" si="605"/>
        <v>2016/2017-Genap</v>
      </c>
      <c r="R4428" s="8" t="s">
        <v>260</v>
      </c>
      <c r="S4428" t="str">
        <f t="shared" si="601"/>
        <v>PA</v>
      </c>
    </row>
    <row r="4429" spans="1:19" x14ac:dyDescent="0.3">
      <c r="A4429" t="s">
        <v>8</v>
      </c>
      <c r="B4429">
        <v>2016210036</v>
      </c>
      <c r="C4429" t="s">
        <v>18</v>
      </c>
      <c r="E4429" t="s">
        <v>232</v>
      </c>
      <c r="F4429" t="s">
        <v>245</v>
      </c>
      <c r="G4429">
        <v>2</v>
      </c>
      <c r="H4429" t="s">
        <v>524</v>
      </c>
      <c r="I4429" s="4">
        <f t="shared" si="602"/>
        <v>2</v>
      </c>
      <c r="J4429">
        <f t="shared" si="603"/>
        <v>4</v>
      </c>
      <c r="K4429">
        <v>42</v>
      </c>
      <c r="L4429">
        <v>18</v>
      </c>
      <c r="M4429">
        <v>2.33</v>
      </c>
      <c r="N4429" s="2">
        <v>3.01</v>
      </c>
      <c r="O4429">
        <v>0</v>
      </c>
      <c r="P4429">
        <v>2</v>
      </c>
      <c r="Q4429" s="4" t="str">
        <f t="shared" si="605"/>
        <v>2016/2017-Genap</v>
      </c>
      <c r="R4429" s="8" t="s">
        <v>260</v>
      </c>
      <c r="S4429" t="str">
        <f t="shared" si="601"/>
        <v>PA</v>
      </c>
    </row>
    <row r="4430" spans="1:19" x14ac:dyDescent="0.3">
      <c r="A4430" t="s">
        <v>8</v>
      </c>
      <c r="B4430">
        <v>2016210036</v>
      </c>
      <c r="C4430" t="s">
        <v>18</v>
      </c>
      <c r="E4430" t="s">
        <v>449</v>
      </c>
      <c r="F4430" t="s">
        <v>460</v>
      </c>
      <c r="G4430">
        <v>4</v>
      </c>
      <c r="H4430" t="s">
        <v>524</v>
      </c>
      <c r="I4430" s="4">
        <f t="shared" si="602"/>
        <v>2</v>
      </c>
      <c r="J4430">
        <f t="shared" si="603"/>
        <v>8</v>
      </c>
      <c r="K4430">
        <v>34</v>
      </c>
      <c r="L4430">
        <v>14</v>
      </c>
      <c r="M4430">
        <v>2.4300000000000002</v>
      </c>
      <c r="N4430" s="2">
        <v>3.01</v>
      </c>
      <c r="O4430">
        <v>0</v>
      </c>
      <c r="P4430">
        <v>10</v>
      </c>
      <c r="Q4430" s="4" t="str">
        <f t="shared" si="605"/>
        <v>2020/2021-Genap</v>
      </c>
      <c r="R4430" s="8" t="s">
        <v>260</v>
      </c>
      <c r="S4430" t="str">
        <f t="shared" si="601"/>
        <v>PA</v>
      </c>
    </row>
    <row r="4431" spans="1:19" x14ac:dyDescent="0.3">
      <c r="A4431" t="s">
        <v>8</v>
      </c>
      <c r="B4431">
        <v>2016210036</v>
      </c>
      <c r="C4431" t="s">
        <v>18</v>
      </c>
      <c r="E4431" t="s">
        <v>222</v>
      </c>
      <c r="F4431" t="s">
        <v>223</v>
      </c>
      <c r="G4431">
        <v>2</v>
      </c>
      <c r="H4431" t="s">
        <v>524</v>
      </c>
      <c r="I4431" s="4">
        <f t="shared" si="602"/>
        <v>2</v>
      </c>
      <c r="J4431">
        <f t="shared" si="603"/>
        <v>4</v>
      </c>
      <c r="K4431">
        <v>34</v>
      </c>
      <c r="L4431">
        <v>14</v>
      </c>
      <c r="M4431">
        <v>2.4300000000000002</v>
      </c>
      <c r="N4431" s="2">
        <v>3.01</v>
      </c>
      <c r="O4431">
        <v>0</v>
      </c>
      <c r="P4431">
        <v>10</v>
      </c>
      <c r="Q4431" s="4" t="str">
        <f t="shared" si="605"/>
        <v>2020/2021-Genap</v>
      </c>
      <c r="R4431" s="8" t="s">
        <v>260</v>
      </c>
      <c r="S4431" t="str">
        <f t="shared" si="601"/>
        <v>PA</v>
      </c>
    </row>
    <row r="4432" spans="1:19" x14ac:dyDescent="0.3">
      <c r="A4432" t="s">
        <v>8</v>
      </c>
      <c r="B4432">
        <v>2016210036</v>
      </c>
      <c r="C4432" t="s">
        <v>18</v>
      </c>
      <c r="E4432" t="s">
        <v>110</v>
      </c>
      <c r="F4432" t="s">
        <v>111</v>
      </c>
      <c r="G4432">
        <v>4</v>
      </c>
      <c r="H4432" t="s">
        <v>524</v>
      </c>
      <c r="I4432" s="4">
        <f t="shared" si="602"/>
        <v>2</v>
      </c>
      <c r="J4432">
        <f t="shared" si="603"/>
        <v>8</v>
      </c>
      <c r="K4432">
        <v>62</v>
      </c>
      <c r="L4432">
        <v>20</v>
      </c>
      <c r="M4432" s="2">
        <v>3.1</v>
      </c>
      <c r="N4432" s="2">
        <v>3.01</v>
      </c>
      <c r="O4432">
        <v>0</v>
      </c>
      <c r="P4432">
        <v>1</v>
      </c>
      <c r="Q4432" s="4" t="str">
        <f t="shared" si="605"/>
        <v>2016/2017-Ganjil</v>
      </c>
      <c r="R4432" s="8" t="s">
        <v>260</v>
      </c>
      <c r="S4432" t="str">
        <f t="shared" si="601"/>
        <v>PA</v>
      </c>
    </row>
    <row r="4433" spans="1:19" x14ac:dyDescent="0.3">
      <c r="A4433" t="s">
        <v>8</v>
      </c>
      <c r="B4433">
        <v>2016210036</v>
      </c>
      <c r="C4433" t="s">
        <v>18</v>
      </c>
      <c r="E4433" t="s">
        <v>216</v>
      </c>
      <c r="F4433" t="s">
        <v>217</v>
      </c>
      <c r="G4433">
        <v>2</v>
      </c>
      <c r="H4433" t="s">
        <v>524</v>
      </c>
      <c r="I4433" s="4">
        <f t="shared" si="602"/>
        <v>2</v>
      </c>
      <c r="J4433">
        <f t="shared" si="603"/>
        <v>4</v>
      </c>
      <c r="K4433">
        <v>62</v>
      </c>
      <c r="L4433">
        <v>22</v>
      </c>
      <c r="M4433">
        <v>2.82</v>
      </c>
      <c r="N4433" s="2">
        <v>3.01</v>
      </c>
      <c r="O4433">
        <v>0</v>
      </c>
      <c r="P4433">
        <v>4</v>
      </c>
      <c r="Q4433" s="4" t="str">
        <f t="shared" si="605"/>
        <v>2017/2018-Genap</v>
      </c>
      <c r="R4433" s="8" t="s">
        <v>260</v>
      </c>
      <c r="S4433" t="str">
        <f t="shared" si="601"/>
        <v>PA</v>
      </c>
    </row>
    <row r="4434" spans="1:19" x14ac:dyDescent="0.3">
      <c r="A4434" t="s">
        <v>8</v>
      </c>
      <c r="B4434">
        <v>2016210036</v>
      </c>
      <c r="C4434" t="s">
        <v>18</v>
      </c>
      <c r="E4434" t="s">
        <v>253</v>
      </c>
      <c r="F4434" t="s">
        <v>254</v>
      </c>
      <c r="G4434">
        <v>2</v>
      </c>
      <c r="H4434" t="s">
        <v>524</v>
      </c>
      <c r="I4434" s="4">
        <f t="shared" si="602"/>
        <v>2</v>
      </c>
      <c r="J4434">
        <f t="shared" si="603"/>
        <v>4</v>
      </c>
      <c r="K4434">
        <v>62</v>
      </c>
      <c r="L4434">
        <v>22</v>
      </c>
      <c r="M4434">
        <v>2.82</v>
      </c>
      <c r="N4434" s="2">
        <v>3.01</v>
      </c>
      <c r="O4434">
        <v>0</v>
      </c>
      <c r="P4434">
        <v>4</v>
      </c>
      <c r="Q4434" s="4" t="str">
        <f t="shared" si="605"/>
        <v>2017/2018-Genap</v>
      </c>
      <c r="R4434" s="8" t="s">
        <v>260</v>
      </c>
      <c r="S4434" t="str">
        <f t="shared" si="601"/>
        <v>PA</v>
      </c>
    </row>
    <row r="4435" spans="1:19" x14ac:dyDescent="0.3">
      <c r="A4435" t="s">
        <v>8</v>
      </c>
      <c r="B4435">
        <v>2016210036</v>
      </c>
      <c r="C4435" t="s">
        <v>18</v>
      </c>
      <c r="E4435" t="s">
        <v>136</v>
      </c>
      <c r="F4435" t="s">
        <v>137</v>
      </c>
      <c r="G4435">
        <v>4</v>
      </c>
      <c r="H4435" t="s">
        <v>524</v>
      </c>
      <c r="I4435" s="4">
        <f t="shared" si="602"/>
        <v>2</v>
      </c>
      <c r="J4435">
        <f t="shared" si="603"/>
        <v>8</v>
      </c>
      <c r="K4435">
        <v>34</v>
      </c>
      <c r="L4435">
        <v>14</v>
      </c>
      <c r="M4435">
        <v>2.4300000000000002</v>
      </c>
      <c r="N4435" s="2">
        <v>3.01</v>
      </c>
      <c r="O4435">
        <v>0</v>
      </c>
      <c r="P4435">
        <v>10</v>
      </c>
      <c r="Q4435" s="4" t="str">
        <f t="shared" si="605"/>
        <v>2020/2021-Genap</v>
      </c>
      <c r="R4435" s="8" t="s">
        <v>260</v>
      </c>
      <c r="S4435" t="str">
        <f t="shared" si="601"/>
        <v>PA</v>
      </c>
    </row>
    <row r="4436" spans="1:19" x14ac:dyDescent="0.3">
      <c r="A4436" t="s">
        <v>8</v>
      </c>
      <c r="B4436">
        <v>2016210036</v>
      </c>
      <c r="C4436" t="s">
        <v>18</v>
      </c>
      <c r="E4436" t="s">
        <v>125</v>
      </c>
      <c r="F4436" t="s">
        <v>126</v>
      </c>
      <c r="G4436">
        <v>4</v>
      </c>
      <c r="H4436" t="s">
        <v>535</v>
      </c>
      <c r="I4436" s="4">
        <f t="shared" si="602"/>
        <v>1</v>
      </c>
      <c r="J4436">
        <f t="shared" si="603"/>
        <v>4</v>
      </c>
      <c r="K4436">
        <v>42</v>
      </c>
      <c r="L4436">
        <v>18</v>
      </c>
      <c r="M4436">
        <v>2.33</v>
      </c>
      <c r="N4436" s="2">
        <v>3.01</v>
      </c>
      <c r="O4436">
        <v>0</v>
      </c>
      <c r="P4436">
        <v>2</v>
      </c>
      <c r="Q4436" s="4" t="str">
        <f t="shared" si="605"/>
        <v>2016/2017-Genap</v>
      </c>
      <c r="R4436" s="8" t="s">
        <v>260</v>
      </c>
      <c r="S4436" t="str">
        <f t="shared" si="601"/>
        <v>FA</v>
      </c>
    </row>
    <row r="4437" spans="1:19" x14ac:dyDescent="0.3">
      <c r="A4437" t="s">
        <v>8</v>
      </c>
      <c r="B4437">
        <v>2016210036</v>
      </c>
      <c r="C4437" t="s">
        <v>18</v>
      </c>
      <c r="E4437" t="s">
        <v>125</v>
      </c>
      <c r="F4437" t="s">
        <v>126</v>
      </c>
      <c r="G4437">
        <v>4</v>
      </c>
      <c r="H4437" t="s">
        <v>438</v>
      </c>
      <c r="I4437" s="4">
        <f t="shared" si="602"/>
        <v>3</v>
      </c>
      <c r="J4437">
        <f t="shared" si="603"/>
        <v>12</v>
      </c>
      <c r="K4437">
        <v>18</v>
      </c>
      <c r="L4437">
        <v>6</v>
      </c>
      <c r="M4437" s="2">
        <v>3</v>
      </c>
      <c r="N4437" s="2">
        <v>3.01</v>
      </c>
      <c r="O4437">
        <v>1</v>
      </c>
      <c r="P4437">
        <v>8</v>
      </c>
      <c r="Q4437" s="4" t="s">
        <v>571</v>
      </c>
      <c r="R4437" s="8" t="s">
        <v>260</v>
      </c>
      <c r="S4437" t="str">
        <f t="shared" si="601"/>
        <v>PA</v>
      </c>
    </row>
    <row r="4438" spans="1:19" x14ac:dyDescent="0.3">
      <c r="A4438" t="s">
        <v>8</v>
      </c>
      <c r="B4438">
        <v>2016210036</v>
      </c>
      <c r="C4438" t="s">
        <v>18</v>
      </c>
      <c r="E4438" t="s">
        <v>44</v>
      </c>
      <c r="F4438" t="s">
        <v>45</v>
      </c>
      <c r="G4438">
        <v>2</v>
      </c>
      <c r="H4438" t="s">
        <v>539</v>
      </c>
      <c r="I4438" s="4">
        <f t="shared" si="602"/>
        <v>0</v>
      </c>
      <c r="J4438">
        <f t="shared" si="603"/>
        <v>0</v>
      </c>
      <c r="K4438">
        <v>62</v>
      </c>
      <c r="L4438">
        <v>22</v>
      </c>
      <c r="M4438">
        <v>2.82</v>
      </c>
      <c r="N4438" s="2">
        <v>3.01</v>
      </c>
      <c r="O4438">
        <v>0</v>
      </c>
      <c r="P4438">
        <v>4</v>
      </c>
      <c r="Q4438" s="4" t="str">
        <f>IF(P4438=1,"2016/2017-Ganjil",IF(P4438=2,"2016/2017-Genap",IF(P4438=3,"2017/2018-Ganjil",IF(P4438=4,"2017/2018-Genap",IF(P4438=5,"2018/2019-Ganjil",IF(P4438=6,"2018/2019-Genap",IF(P4438=7,"2019/2020-Ganjil",IF(P4438=8,"2019/2020-Genap",IF(P4438=9,"2020/2021-Ganjil",IF(P4438=10,"2020/2021-Genap",IF(P4438=11,"2021/2022-Ganjil",IF(P4438=12,"2021/2022-Genap",IF(P4438=13,"2022/2023-Ganjil","2022/2023-Genap")))))))))))))</f>
        <v>2017/2018-Genap</v>
      </c>
      <c r="R4438" s="8" t="s">
        <v>260</v>
      </c>
      <c r="S4438" t="str">
        <f t="shared" si="601"/>
        <v>FA</v>
      </c>
    </row>
    <row r="4439" spans="1:19" x14ac:dyDescent="0.3">
      <c r="A4439" t="s">
        <v>8</v>
      </c>
      <c r="B4439">
        <v>2016210036</v>
      </c>
      <c r="C4439" t="s">
        <v>18</v>
      </c>
      <c r="E4439" t="s">
        <v>44</v>
      </c>
      <c r="F4439" t="s">
        <v>45</v>
      </c>
      <c r="G4439">
        <v>2</v>
      </c>
      <c r="H4439" t="s">
        <v>438</v>
      </c>
      <c r="I4439" s="4">
        <f t="shared" si="602"/>
        <v>3</v>
      </c>
      <c r="J4439">
        <f t="shared" si="603"/>
        <v>6</v>
      </c>
      <c r="K4439">
        <v>18</v>
      </c>
      <c r="L4439">
        <v>6</v>
      </c>
      <c r="M4439" s="2">
        <v>3</v>
      </c>
      <c r="N4439" s="2">
        <v>3.01</v>
      </c>
      <c r="O4439">
        <v>1</v>
      </c>
      <c r="P4439">
        <v>8</v>
      </c>
      <c r="Q4439" s="4" t="s">
        <v>571</v>
      </c>
      <c r="R4439" s="8" t="s">
        <v>260</v>
      </c>
      <c r="S4439" t="str">
        <f t="shared" si="601"/>
        <v>PA</v>
      </c>
    </row>
    <row r="4440" spans="1:19" x14ac:dyDescent="0.3">
      <c r="A4440" t="s">
        <v>8</v>
      </c>
      <c r="B4440">
        <v>2016210036</v>
      </c>
      <c r="C4440" t="s">
        <v>18</v>
      </c>
      <c r="E4440" t="s">
        <v>93</v>
      </c>
      <c r="F4440" t="s">
        <v>94</v>
      </c>
      <c r="G4440">
        <v>4</v>
      </c>
      <c r="H4440" t="s">
        <v>539</v>
      </c>
      <c r="I4440" s="4">
        <f t="shared" si="602"/>
        <v>0</v>
      </c>
      <c r="J4440">
        <f t="shared" si="603"/>
        <v>0</v>
      </c>
      <c r="K4440">
        <v>26</v>
      </c>
      <c r="L4440">
        <v>12</v>
      </c>
      <c r="M4440">
        <v>2.17</v>
      </c>
      <c r="N4440" s="2">
        <v>3.01</v>
      </c>
      <c r="O4440">
        <v>0</v>
      </c>
      <c r="P4440">
        <v>7</v>
      </c>
      <c r="Q4440" s="4" t="str">
        <f>IF(P4440=1,"2016/2017-Ganjil",IF(P4440=2,"2016/2017-Genap",IF(P4440=3,"2017/2018-Ganjil",IF(P4440=4,"2017/2018-Genap",IF(P4440=5,"2018/2019-Ganjil",IF(P4440=6,"2018/2019-Genap",IF(P4440=7,"2019/2020-Ganjil",IF(P4440=8,"2019/2020-Genap",IF(P4440=9,"2020/2021-Ganjil",IF(P4440=10,"2020/2021-Genap",IF(P4440=11,"2021/2022-Ganjil",IF(P4440=12,"2021/2022-Genap",IF(P4440=13,"2022/2023-Ganjil","2022/2023-Genap")))))))))))))</f>
        <v>2019/2020-Ganjil</v>
      </c>
      <c r="R4440" s="8" t="s">
        <v>260</v>
      </c>
      <c r="S4440" t="str">
        <f t="shared" si="601"/>
        <v>FA</v>
      </c>
    </row>
    <row r="4441" spans="1:19" x14ac:dyDescent="0.3">
      <c r="A4441" t="s">
        <v>8</v>
      </c>
      <c r="B4441">
        <v>2016210036</v>
      </c>
      <c r="C4441" t="s">
        <v>18</v>
      </c>
      <c r="E4441" t="s">
        <v>93</v>
      </c>
      <c r="F4441" t="s">
        <v>94</v>
      </c>
      <c r="G4441">
        <v>4</v>
      </c>
      <c r="H4441" t="s">
        <v>438</v>
      </c>
      <c r="I4441" s="4">
        <f t="shared" si="602"/>
        <v>3</v>
      </c>
      <c r="J4441">
        <f t="shared" si="603"/>
        <v>12</v>
      </c>
      <c r="K4441">
        <v>12</v>
      </c>
      <c r="L4441">
        <v>4</v>
      </c>
      <c r="M4441" s="2">
        <v>3</v>
      </c>
      <c r="N4441" s="2">
        <v>3.01</v>
      </c>
      <c r="O4441">
        <v>1</v>
      </c>
      <c r="P4441">
        <v>9</v>
      </c>
      <c r="Q4441" s="4" t="str">
        <f>IF(P4441=1,"2016/2017-Ganjil",IF(P4441=2,"2016/2017-Genap",IF(P4441=3,"2017/2018-Ganjil",IF(P4441=4,"2017/2018-Genap",IF(P4441=5,"2018/2019-Ganjil",IF(P4441=6,"2018/2019-Genap",IF(P4441=7,"2019/2020-Ganjil",IF(P4441=8,"2019/2020-Genap",IF(P4441=9,"2020/2021-Ganjil",IF(P4441=10,"2020/2021-Genap",IF(P4441=11,"2021/2022-Ganjil",IF(P4441=12,"2021/2022-Genap",IF(P4441=13,"2022/2023-Ganjil","2022/2023-Genap")))))))))))))</f>
        <v>2020/2021-Ganjil</v>
      </c>
      <c r="R4441" s="8" t="s">
        <v>260</v>
      </c>
      <c r="S4441" t="str">
        <f t="shared" si="601"/>
        <v>PA</v>
      </c>
    </row>
    <row r="4442" spans="1:19" x14ac:dyDescent="0.3">
      <c r="A4442" t="s">
        <v>8</v>
      </c>
      <c r="B4442">
        <v>2016210037</v>
      </c>
      <c r="C4442" t="s">
        <v>199</v>
      </c>
      <c r="E4442" t="s">
        <v>131</v>
      </c>
      <c r="F4442" t="s">
        <v>132</v>
      </c>
      <c r="G4442">
        <v>2</v>
      </c>
      <c r="I4442" s="4"/>
      <c r="J4442">
        <f t="shared" ref="J4442:J4445" si="606">G4442*I4442</f>
        <v>0</v>
      </c>
      <c r="K4442">
        <v>8</v>
      </c>
      <c r="L4442">
        <v>12</v>
      </c>
      <c r="M4442">
        <v>0.67</v>
      </c>
      <c r="N4442" s="2">
        <v>0.67</v>
      </c>
      <c r="O4442">
        <v>0</v>
      </c>
      <c r="P4442">
        <v>1</v>
      </c>
      <c r="Q4442" s="4" t="str">
        <f>IF(P4442=1,"2016/2017-Ganjil",IF(P4442=2,"2016/2017-Genap",IF(P4442=3,"2017/2018-Ganjil",IF(P4442=4,"2017/2018-Genap",IF(P4442=5,"2018/2019-Ganjil",IF(P4442=6,"2018/2019-Genap",IF(P4442=7,"2019/2020-Ganjil",IF(P4442=8,"2019/2020-Genap",IF(P4442=9,"2020/2021-Ganjil",IF(P4442=10,"2020/2021-Genap",IF(P4442=11,"2021/2022-Ganjil",IF(P4442=12,"2021/2022-Genap",IF(P4442=13,"2022/2023-Ganjil","2022/2023-Genap")))))))))))))</f>
        <v>2016/2017-Ganjil</v>
      </c>
      <c r="R4442" s="8" t="s">
        <v>535</v>
      </c>
      <c r="S4442" t="s">
        <v>595</v>
      </c>
    </row>
    <row r="4443" spans="1:19" x14ac:dyDescent="0.3">
      <c r="A4443" t="s">
        <v>8</v>
      </c>
      <c r="B4443">
        <v>2016210037</v>
      </c>
      <c r="C4443" t="s">
        <v>199</v>
      </c>
      <c r="E4443" t="s">
        <v>110</v>
      </c>
      <c r="F4443" t="s">
        <v>111</v>
      </c>
      <c r="G4443">
        <v>4</v>
      </c>
      <c r="I4443" s="4"/>
      <c r="J4443">
        <f t="shared" si="606"/>
        <v>0</v>
      </c>
      <c r="K4443">
        <v>8</v>
      </c>
      <c r="L4443">
        <v>12</v>
      </c>
      <c r="M4443">
        <v>0.67</v>
      </c>
      <c r="N4443" s="2">
        <v>0.67</v>
      </c>
      <c r="O4443">
        <v>0</v>
      </c>
      <c r="P4443">
        <v>1</v>
      </c>
      <c r="Q4443" s="4" t="str">
        <f t="shared" ref="Q4443:Q4448" si="607">IF(P4443=1,"2016/2017-Ganjil",IF(P4443=2,"2016/2017-Genap",IF(P4443=3,"2017/2018-Ganjil",IF(P4443=4,"2017/2018-Genap",IF(P4443=5,"2018/2019-Ganjil",IF(P4443=6,"2018/2019-Genap",IF(P4443=7,"2019/2020-Ganjil",IF(P4443=8,"2019/2020-Genap",IF(P4443=9,"2020/2021-Ganjil",IF(P4443=10,"2020/2021-Genap",IF(P4443=11,"2021/2022-Ganjil",IF(P4443=12,"2021/2022-Genap",IF(P4443=13,"2022/2023-Ganjil","2022/2023-Genap")))))))))))))</f>
        <v>2016/2017-Ganjil</v>
      </c>
      <c r="R4443" s="8" t="s">
        <v>535</v>
      </c>
      <c r="S4443" t="s">
        <v>595</v>
      </c>
    </row>
    <row r="4444" spans="1:19" x14ac:dyDescent="0.3">
      <c r="A4444" t="s">
        <v>8</v>
      </c>
      <c r="B4444">
        <v>2016210037</v>
      </c>
      <c r="C4444" t="s">
        <v>199</v>
      </c>
      <c r="E4444" t="s">
        <v>163</v>
      </c>
      <c r="F4444" t="s">
        <v>164</v>
      </c>
      <c r="G4444">
        <v>2</v>
      </c>
      <c r="I4444" s="4"/>
      <c r="J4444">
        <f t="shared" si="606"/>
        <v>0</v>
      </c>
      <c r="K4444">
        <v>8</v>
      </c>
      <c r="L4444">
        <v>12</v>
      </c>
      <c r="M4444">
        <v>0.67</v>
      </c>
      <c r="N4444" s="2">
        <v>0.67</v>
      </c>
      <c r="O4444">
        <v>0</v>
      </c>
      <c r="P4444">
        <v>1</v>
      </c>
      <c r="Q4444" s="4" t="str">
        <f t="shared" si="607"/>
        <v>2016/2017-Ganjil</v>
      </c>
      <c r="R4444" s="8" t="s">
        <v>535</v>
      </c>
      <c r="S4444" t="s">
        <v>595</v>
      </c>
    </row>
    <row r="4445" spans="1:19" x14ac:dyDescent="0.3">
      <c r="A4445" t="s">
        <v>8</v>
      </c>
      <c r="B4445">
        <v>2016210037</v>
      </c>
      <c r="C4445" t="s">
        <v>199</v>
      </c>
      <c r="E4445" t="s">
        <v>147</v>
      </c>
      <c r="F4445" t="s">
        <v>148</v>
      </c>
      <c r="G4445">
        <v>4</v>
      </c>
      <c r="H4445" t="s">
        <v>524</v>
      </c>
      <c r="I4445" s="4">
        <f t="shared" ref="I4445" si="608">IF(H4445="A",4,IF(H4445="B",3,IF(H4445="C",2,IF(H4445="D",1,0))))</f>
        <v>2</v>
      </c>
      <c r="J4445">
        <f t="shared" si="606"/>
        <v>8</v>
      </c>
      <c r="K4445">
        <v>8</v>
      </c>
      <c r="L4445">
        <v>12</v>
      </c>
      <c r="M4445">
        <v>0.67</v>
      </c>
      <c r="N4445" s="2">
        <v>0.67</v>
      </c>
      <c r="O4445">
        <v>0</v>
      </c>
      <c r="P4445">
        <v>1</v>
      </c>
      <c r="Q4445" s="4" t="str">
        <f t="shared" si="607"/>
        <v>2016/2017-Ganjil</v>
      </c>
      <c r="R4445" s="8" t="s">
        <v>535</v>
      </c>
      <c r="S4445" t="str">
        <f t="shared" ref="S4445:S4506" si="609">IF(OR(H4445="A",H4445="B",H4445="C"),"PA","FA")</f>
        <v>PA</v>
      </c>
    </row>
    <row r="4446" spans="1:19" x14ac:dyDescent="0.3">
      <c r="A4446" t="s">
        <v>8</v>
      </c>
      <c r="B4446">
        <v>2016210037</v>
      </c>
      <c r="C4446" t="s">
        <v>199</v>
      </c>
      <c r="E4446" t="s">
        <v>77</v>
      </c>
      <c r="F4446" t="s">
        <v>78</v>
      </c>
      <c r="G4446">
        <v>2</v>
      </c>
      <c r="H4446" t="s">
        <v>539</v>
      </c>
      <c r="I4446" s="4">
        <f t="shared" ref="I4446:I4506" si="610">IF(H4446="A",4,IF(H4446="B",3,IF(H4446="C",2,IF(H4446="D",1,0))))</f>
        <v>0</v>
      </c>
      <c r="J4446">
        <f t="shared" ref="J4446:J4506" si="611">G4446*I4446</f>
        <v>0</v>
      </c>
      <c r="K4446">
        <v>8</v>
      </c>
      <c r="L4446">
        <v>12</v>
      </c>
      <c r="M4446">
        <v>0.67</v>
      </c>
      <c r="N4446" s="2">
        <v>0.67</v>
      </c>
      <c r="O4446">
        <v>0</v>
      </c>
      <c r="P4446">
        <v>1</v>
      </c>
      <c r="Q4446" s="4" t="str">
        <f t="shared" si="607"/>
        <v>2016/2017-Ganjil</v>
      </c>
      <c r="R4446" s="8" t="s">
        <v>535</v>
      </c>
      <c r="S4446" t="str">
        <f t="shared" si="609"/>
        <v>FA</v>
      </c>
    </row>
    <row r="4447" spans="1:19" x14ac:dyDescent="0.3">
      <c r="A4447" t="s">
        <v>8</v>
      </c>
      <c r="B4447">
        <v>2016210037</v>
      </c>
      <c r="C4447" t="s">
        <v>199</v>
      </c>
      <c r="E4447" t="s">
        <v>202</v>
      </c>
      <c r="F4447" t="s">
        <v>203</v>
      </c>
      <c r="G4447">
        <v>4</v>
      </c>
      <c r="H4447" t="s">
        <v>539</v>
      </c>
      <c r="I4447" s="4">
        <f t="shared" si="610"/>
        <v>0</v>
      </c>
      <c r="J4447">
        <f t="shared" si="611"/>
        <v>0</v>
      </c>
      <c r="K4447">
        <v>8</v>
      </c>
      <c r="L4447">
        <v>12</v>
      </c>
      <c r="M4447">
        <v>0.67</v>
      </c>
      <c r="N4447" s="2">
        <v>0.67</v>
      </c>
      <c r="O4447">
        <v>0</v>
      </c>
      <c r="P4447">
        <v>1</v>
      </c>
      <c r="Q4447" s="4" t="str">
        <f t="shared" si="607"/>
        <v>2016/2017-Ganjil</v>
      </c>
      <c r="R4447" s="8" t="s">
        <v>535</v>
      </c>
      <c r="S4447" t="str">
        <f t="shared" si="609"/>
        <v>FA</v>
      </c>
    </row>
    <row r="4448" spans="1:19" x14ac:dyDescent="0.3">
      <c r="A4448" t="s">
        <v>8</v>
      </c>
      <c r="B4448">
        <v>2016210037</v>
      </c>
      <c r="C4448" t="s">
        <v>199</v>
      </c>
      <c r="E4448" t="s">
        <v>395</v>
      </c>
      <c r="F4448" t="s">
        <v>396</v>
      </c>
      <c r="G4448">
        <v>2</v>
      </c>
      <c r="H4448" t="s">
        <v>539</v>
      </c>
      <c r="I4448" s="4">
        <f t="shared" si="610"/>
        <v>0</v>
      </c>
      <c r="J4448">
        <f t="shared" si="611"/>
        <v>0</v>
      </c>
      <c r="K4448">
        <v>8</v>
      </c>
      <c r="L4448">
        <v>12</v>
      </c>
      <c r="M4448">
        <v>0.67</v>
      </c>
      <c r="N4448" s="2">
        <v>0.67</v>
      </c>
      <c r="O4448">
        <v>0</v>
      </c>
      <c r="P4448">
        <v>1</v>
      </c>
      <c r="Q4448" s="4" t="str">
        <f t="shared" si="607"/>
        <v>2016/2017-Ganjil</v>
      </c>
      <c r="R4448" s="8" t="s">
        <v>535</v>
      </c>
      <c r="S4448" t="str">
        <f t="shared" si="609"/>
        <v>FA</v>
      </c>
    </row>
    <row r="4449" spans="1:19" x14ac:dyDescent="0.3">
      <c r="A4449" t="s">
        <v>8</v>
      </c>
      <c r="B4449">
        <v>2016210038</v>
      </c>
      <c r="C4449" t="s">
        <v>359</v>
      </c>
      <c r="E4449" t="s">
        <v>107</v>
      </c>
      <c r="F4449" t="s">
        <v>108</v>
      </c>
      <c r="G4449">
        <v>2</v>
      </c>
      <c r="H4449" t="s">
        <v>260</v>
      </c>
      <c r="I4449" s="4">
        <f t="shared" si="610"/>
        <v>4</v>
      </c>
      <c r="J4449">
        <f t="shared" si="611"/>
        <v>8</v>
      </c>
      <c r="K4449">
        <v>62</v>
      </c>
      <c r="L4449">
        <v>22</v>
      </c>
      <c r="M4449">
        <v>2.82</v>
      </c>
      <c r="N4449" s="2">
        <v>3.1</v>
      </c>
      <c r="O4449">
        <v>0</v>
      </c>
      <c r="P4449">
        <v>6</v>
      </c>
      <c r="Q4449" s="4" t="str">
        <f t="shared" ref="Q4449:Q4490" si="612">IF(P4449=1,"2016/2017-Ganjil",IF(P4449=2,"2016/2017-Genap",IF(P4449=3,"2017/2018-Ganjil",IF(P4449=4,"2017/2018-Genap",IF(P4449=5,"2018/2019-Ganjil",IF(P4449=6,"2018/2019-Genap",IF(P4449=7,"2019/2020-Ganjil",IF(P4449=8,"2019/2020-Genap",IF(P4449=9,"2020/2021-Ganjil",IF(P4449=10,"2020/2021-Genap",IF(P4449=11,"2021/2022-Ganjil",IF(P4449=12,"2021/2022-Genap",IF(P4449=13,"2022/2023-Ganjil","2022/2023-Genap")))))))))))))</f>
        <v>2018/2019-Genap</v>
      </c>
      <c r="R4449" s="8" t="s">
        <v>260</v>
      </c>
      <c r="S4449" t="str">
        <f t="shared" si="609"/>
        <v>PA</v>
      </c>
    </row>
    <row r="4450" spans="1:19" x14ac:dyDescent="0.3">
      <c r="A4450" t="s">
        <v>8</v>
      </c>
      <c r="B4450">
        <v>2016210038</v>
      </c>
      <c r="C4450" t="s">
        <v>359</v>
      </c>
      <c r="E4450" t="s">
        <v>242</v>
      </c>
      <c r="F4450" t="s">
        <v>166</v>
      </c>
      <c r="G4450">
        <v>2</v>
      </c>
      <c r="H4450" t="s">
        <v>260</v>
      </c>
      <c r="I4450" s="4">
        <f t="shared" si="610"/>
        <v>4</v>
      </c>
      <c r="J4450">
        <f t="shared" si="611"/>
        <v>8</v>
      </c>
      <c r="K4450">
        <v>52</v>
      </c>
      <c r="L4450">
        <v>20</v>
      </c>
      <c r="M4450" s="2">
        <v>2.6</v>
      </c>
      <c r="N4450" s="2">
        <v>3.1</v>
      </c>
      <c r="O4450">
        <v>0</v>
      </c>
      <c r="P4450">
        <v>4</v>
      </c>
      <c r="Q4450" s="4" t="str">
        <f t="shared" si="612"/>
        <v>2017/2018-Genap</v>
      </c>
      <c r="R4450" s="8" t="s">
        <v>260</v>
      </c>
      <c r="S4450" t="str">
        <f t="shared" si="609"/>
        <v>PA</v>
      </c>
    </row>
    <row r="4451" spans="1:19" x14ac:dyDescent="0.3">
      <c r="A4451" t="s">
        <v>8</v>
      </c>
      <c r="B4451">
        <v>2016210038</v>
      </c>
      <c r="C4451" t="s">
        <v>359</v>
      </c>
      <c r="E4451" t="s">
        <v>266</v>
      </c>
      <c r="F4451" t="s">
        <v>91</v>
      </c>
      <c r="G4451">
        <v>2</v>
      </c>
      <c r="H4451" t="s">
        <v>260</v>
      </c>
      <c r="I4451" s="4">
        <f t="shared" si="610"/>
        <v>4</v>
      </c>
      <c r="J4451">
        <f t="shared" si="611"/>
        <v>8</v>
      </c>
      <c r="K4451">
        <v>52</v>
      </c>
      <c r="L4451">
        <v>18</v>
      </c>
      <c r="M4451">
        <v>2.89</v>
      </c>
      <c r="N4451" s="2">
        <v>3.1</v>
      </c>
      <c r="O4451">
        <v>0</v>
      </c>
      <c r="P4451">
        <v>2</v>
      </c>
      <c r="Q4451" s="4" t="str">
        <f t="shared" si="612"/>
        <v>2016/2017-Genap</v>
      </c>
      <c r="R4451" s="8" t="s">
        <v>260</v>
      </c>
      <c r="S4451" t="str">
        <f t="shared" si="609"/>
        <v>PA</v>
      </c>
    </row>
    <row r="4452" spans="1:19" x14ac:dyDescent="0.3">
      <c r="A4452" t="s">
        <v>8</v>
      </c>
      <c r="B4452">
        <v>2016210038</v>
      </c>
      <c r="C4452" t="s">
        <v>359</v>
      </c>
      <c r="E4452" t="s">
        <v>597</v>
      </c>
      <c r="F4452" t="s">
        <v>275</v>
      </c>
      <c r="G4452">
        <v>2</v>
      </c>
      <c r="H4452" t="s">
        <v>260</v>
      </c>
      <c r="I4452" s="4">
        <f t="shared" si="610"/>
        <v>4</v>
      </c>
      <c r="J4452">
        <f t="shared" si="611"/>
        <v>8</v>
      </c>
      <c r="K4452">
        <v>62</v>
      </c>
      <c r="L4452">
        <v>22</v>
      </c>
      <c r="M4452">
        <v>2.82</v>
      </c>
      <c r="N4452" s="2">
        <v>3.1</v>
      </c>
      <c r="O4452">
        <v>0</v>
      </c>
      <c r="P4452">
        <v>6</v>
      </c>
      <c r="Q4452" s="4" t="str">
        <f t="shared" si="612"/>
        <v>2018/2019-Genap</v>
      </c>
      <c r="R4452" s="8" t="s">
        <v>260</v>
      </c>
      <c r="S4452" t="str">
        <f t="shared" si="609"/>
        <v>PA</v>
      </c>
    </row>
    <row r="4453" spans="1:19" x14ac:dyDescent="0.3">
      <c r="A4453" t="s">
        <v>8</v>
      </c>
      <c r="B4453">
        <v>2016210038</v>
      </c>
      <c r="C4453" t="s">
        <v>359</v>
      </c>
      <c r="E4453" t="s">
        <v>232</v>
      </c>
      <c r="F4453" t="s">
        <v>245</v>
      </c>
      <c r="G4453">
        <v>2</v>
      </c>
      <c r="H4453" t="s">
        <v>260</v>
      </c>
      <c r="I4453" s="4">
        <f t="shared" si="610"/>
        <v>4</v>
      </c>
      <c r="J4453">
        <f t="shared" si="611"/>
        <v>8</v>
      </c>
      <c r="K4453">
        <v>52</v>
      </c>
      <c r="L4453">
        <v>18</v>
      </c>
      <c r="M4453">
        <v>2.89</v>
      </c>
      <c r="N4453" s="2">
        <v>3.1</v>
      </c>
      <c r="O4453">
        <v>0</v>
      </c>
      <c r="P4453">
        <v>2</v>
      </c>
      <c r="Q4453" s="4" t="str">
        <f t="shared" si="612"/>
        <v>2016/2017-Genap</v>
      </c>
      <c r="R4453" s="8" t="s">
        <v>260</v>
      </c>
      <c r="S4453" t="str">
        <f t="shared" si="609"/>
        <v>PA</v>
      </c>
    </row>
    <row r="4454" spans="1:19" x14ac:dyDescent="0.3">
      <c r="A4454" t="s">
        <v>8</v>
      </c>
      <c r="B4454">
        <v>2016210038</v>
      </c>
      <c r="C4454" t="s">
        <v>359</v>
      </c>
      <c r="E4454" t="s">
        <v>87</v>
      </c>
      <c r="F4454" t="s">
        <v>88</v>
      </c>
      <c r="G4454">
        <v>2</v>
      </c>
      <c r="H4454" t="s">
        <v>260</v>
      </c>
      <c r="I4454" s="4">
        <f t="shared" si="610"/>
        <v>4</v>
      </c>
      <c r="J4454">
        <f t="shared" si="611"/>
        <v>8</v>
      </c>
      <c r="K4454">
        <v>62</v>
      </c>
      <c r="L4454">
        <v>22</v>
      </c>
      <c r="M4454">
        <v>2.82</v>
      </c>
      <c r="N4454" s="2">
        <v>3.1</v>
      </c>
      <c r="O4454">
        <v>0</v>
      </c>
      <c r="P4454">
        <v>6</v>
      </c>
      <c r="Q4454" s="4" t="str">
        <f t="shared" si="612"/>
        <v>2018/2019-Genap</v>
      </c>
      <c r="R4454" s="8" t="s">
        <v>260</v>
      </c>
      <c r="S4454" t="str">
        <f t="shared" si="609"/>
        <v>PA</v>
      </c>
    </row>
    <row r="4455" spans="1:19" x14ac:dyDescent="0.3">
      <c r="A4455" t="s">
        <v>8</v>
      </c>
      <c r="B4455">
        <v>2016210038</v>
      </c>
      <c r="C4455" t="s">
        <v>359</v>
      </c>
      <c r="E4455" t="s">
        <v>180</v>
      </c>
      <c r="F4455" t="s">
        <v>181</v>
      </c>
      <c r="G4455">
        <v>4</v>
      </c>
      <c r="H4455" t="s">
        <v>260</v>
      </c>
      <c r="I4455" s="4">
        <f t="shared" si="610"/>
        <v>4</v>
      </c>
      <c r="J4455">
        <f t="shared" si="611"/>
        <v>16</v>
      </c>
      <c r="K4455">
        <v>52</v>
      </c>
      <c r="L4455">
        <v>20</v>
      </c>
      <c r="M4455" s="2">
        <v>2.6</v>
      </c>
      <c r="N4455" s="2">
        <v>3.1</v>
      </c>
      <c r="O4455">
        <v>0</v>
      </c>
      <c r="P4455">
        <v>4</v>
      </c>
      <c r="Q4455" s="4" t="str">
        <f t="shared" si="612"/>
        <v>2017/2018-Genap</v>
      </c>
      <c r="R4455" s="8" t="s">
        <v>260</v>
      </c>
      <c r="S4455" t="str">
        <f t="shared" si="609"/>
        <v>PA</v>
      </c>
    </row>
    <row r="4456" spans="1:19" x14ac:dyDescent="0.3">
      <c r="A4456" t="s">
        <v>8</v>
      </c>
      <c r="B4456">
        <v>2016210038</v>
      </c>
      <c r="C4456" t="s">
        <v>359</v>
      </c>
      <c r="E4456" t="s">
        <v>22</v>
      </c>
      <c r="F4456" t="s">
        <v>23</v>
      </c>
      <c r="G4456">
        <v>2</v>
      </c>
      <c r="H4456" t="s">
        <v>260</v>
      </c>
      <c r="I4456" s="4">
        <f t="shared" si="610"/>
        <v>4</v>
      </c>
      <c r="J4456">
        <f t="shared" si="611"/>
        <v>8</v>
      </c>
      <c r="K4456">
        <v>52</v>
      </c>
      <c r="L4456">
        <v>18</v>
      </c>
      <c r="M4456">
        <v>2.89</v>
      </c>
      <c r="N4456" s="2">
        <v>3.1</v>
      </c>
      <c r="O4456">
        <v>0</v>
      </c>
      <c r="P4456">
        <v>2</v>
      </c>
      <c r="Q4456" s="4" t="str">
        <f t="shared" si="612"/>
        <v>2016/2017-Genap</v>
      </c>
      <c r="R4456" s="8" t="s">
        <v>260</v>
      </c>
      <c r="S4456" t="str">
        <f t="shared" si="609"/>
        <v>PA</v>
      </c>
    </row>
    <row r="4457" spans="1:19" x14ac:dyDescent="0.3">
      <c r="A4457" t="s">
        <v>8</v>
      </c>
      <c r="B4457">
        <v>2016210038</v>
      </c>
      <c r="C4457" t="s">
        <v>359</v>
      </c>
      <c r="E4457" t="s">
        <v>185</v>
      </c>
      <c r="F4457" t="s">
        <v>186</v>
      </c>
      <c r="G4457">
        <v>4</v>
      </c>
      <c r="H4457" t="s">
        <v>260</v>
      </c>
      <c r="I4457" s="4">
        <f t="shared" si="610"/>
        <v>4</v>
      </c>
      <c r="J4457">
        <f t="shared" si="611"/>
        <v>16</v>
      </c>
      <c r="K4457">
        <v>40</v>
      </c>
      <c r="L4457">
        <v>12</v>
      </c>
      <c r="M4457">
        <v>3.33</v>
      </c>
      <c r="N4457" s="2">
        <v>3.1</v>
      </c>
      <c r="O4457">
        <v>0</v>
      </c>
      <c r="P4457">
        <v>7</v>
      </c>
      <c r="Q4457" s="4" t="str">
        <f t="shared" si="612"/>
        <v>2019/2020-Ganjil</v>
      </c>
      <c r="R4457" s="8" t="s">
        <v>260</v>
      </c>
      <c r="S4457" t="str">
        <f t="shared" si="609"/>
        <v>PA</v>
      </c>
    </row>
    <row r="4458" spans="1:19" x14ac:dyDescent="0.3">
      <c r="A4458" t="s">
        <v>8</v>
      </c>
      <c r="B4458">
        <v>2016210038</v>
      </c>
      <c r="C4458" t="s">
        <v>359</v>
      </c>
      <c r="E4458" t="s">
        <v>77</v>
      </c>
      <c r="F4458" t="s">
        <v>78</v>
      </c>
      <c r="G4458">
        <v>2</v>
      </c>
      <c r="H4458" t="s">
        <v>260</v>
      </c>
      <c r="I4458" s="4">
        <f t="shared" si="610"/>
        <v>4</v>
      </c>
      <c r="J4458">
        <f t="shared" si="611"/>
        <v>8</v>
      </c>
      <c r="K4458">
        <v>58</v>
      </c>
      <c r="L4458">
        <v>20</v>
      </c>
      <c r="M4458" s="2">
        <v>2.9</v>
      </c>
      <c r="N4458" s="2">
        <v>3.1</v>
      </c>
      <c r="O4458">
        <v>0</v>
      </c>
      <c r="P4458">
        <v>1</v>
      </c>
      <c r="Q4458" s="4" t="str">
        <f t="shared" si="612"/>
        <v>2016/2017-Ganjil</v>
      </c>
      <c r="R4458" s="8" t="s">
        <v>260</v>
      </c>
      <c r="S4458" t="str">
        <f t="shared" si="609"/>
        <v>PA</v>
      </c>
    </row>
    <row r="4459" spans="1:19" x14ac:dyDescent="0.3">
      <c r="A4459" t="s">
        <v>8</v>
      </c>
      <c r="B4459">
        <v>2016210038</v>
      </c>
      <c r="C4459" t="s">
        <v>359</v>
      </c>
      <c r="E4459" t="s">
        <v>136</v>
      </c>
      <c r="F4459" t="s">
        <v>137</v>
      </c>
      <c r="G4459">
        <v>4</v>
      </c>
      <c r="H4459" t="s">
        <v>260</v>
      </c>
      <c r="I4459" s="4">
        <f t="shared" si="610"/>
        <v>4</v>
      </c>
      <c r="J4459">
        <f t="shared" si="611"/>
        <v>16</v>
      </c>
      <c r="K4459">
        <v>34</v>
      </c>
      <c r="L4459">
        <v>10</v>
      </c>
      <c r="M4459" s="2">
        <v>3.4</v>
      </c>
      <c r="N4459" s="2">
        <v>3.1</v>
      </c>
      <c r="O4459">
        <v>0</v>
      </c>
      <c r="P4459">
        <v>8</v>
      </c>
      <c r="Q4459" s="4" t="str">
        <f t="shared" si="612"/>
        <v>2019/2020-Genap</v>
      </c>
      <c r="R4459" t="s">
        <v>596</v>
      </c>
      <c r="S4459" t="str">
        <f t="shared" si="609"/>
        <v>PA</v>
      </c>
    </row>
    <row r="4460" spans="1:19" x14ac:dyDescent="0.3">
      <c r="A4460" t="s">
        <v>8</v>
      </c>
      <c r="B4460">
        <v>2016210038</v>
      </c>
      <c r="C4460" t="s">
        <v>359</v>
      </c>
      <c r="E4460" t="s">
        <v>295</v>
      </c>
      <c r="F4460" t="s">
        <v>296</v>
      </c>
      <c r="G4460">
        <v>2</v>
      </c>
      <c r="H4460" t="s">
        <v>260</v>
      </c>
      <c r="I4460" s="4">
        <f t="shared" si="610"/>
        <v>4</v>
      </c>
      <c r="J4460">
        <f t="shared" si="611"/>
        <v>8</v>
      </c>
      <c r="K4460">
        <v>50</v>
      </c>
      <c r="L4460">
        <v>22</v>
      </c>
      <c r="M4460">
        <v>2.27</v>
      </c>
      <c r="N4460" s="2">
        <v>3.1</v>
      </c>
      <c r="O4460">
        <v>0</v>
      </c>
      <c r="P4460">
        <v>3</v>
      </c>
      <c r="Q4460" s="4" t="str">
        <f t="shared" si="612"/>
        <v>2017/2018-Ganjil</v>
      </c>
      <c r="R4460" s="8" t="s">
        <v>260</v>
      </c>
      <c r="S4460" t="str">
        <f t="shared" si="609"/>
        <v>PA</v>
      </c>
    </row>
    <row r="4461" spans="1:19" x14ac:dyDescent="0.3">
      <c r="A4461" t="s">
        <v>8</v>
      </c>
      <c r="B4461">
        <v>2016210038</v>
      </c>
      <c r="C4461" t="s">
        <v>359</v>
      </c>
      <c r="E4461" t="s">
        <v>117</v>
      </c>
      <c r="F4461" t="s">
        <v>118</v>
      </c>
      <c r="G4461">
        <v>2</v>
      </c>
      <c r="H4461" t="s">
        <v>438</v>
      </c>
      <c r="I4461" s="4">
        <f t="shared" si="610"/>
        <v>3</v>
      </c>
      <c r="J4461">
        <f t="shared" si="611"/>
        <v>6</v>
      </c>
      <c r="K4461">
        <v>52</v>
      </c>
      <c r="L4461">
        <v>18</v>
      </c>
      <c r="M4461">
        <v>2.89</v>
      </c>
      <c r="N4461" s="2">
        <v>3.1</v>
      </c>
      <c r="O4461">
        <v>0</v>
      </c>
      <c r="P4461">
        <v>2</v>
      </c>
      <c r="Q4461" s="4" t="str">
        <f t="shared" si="612"/>
        <v>2016/2017-Genap</v>
      </c>
      <c r="R4461" s="8" t="s">
        <v>260</v>
      </c>
      <c r="S4461" t="str">
        <f t="shared" si="609"/>
        <v>PA</v>
      </c>
    </row>
    <row r="4462" spans="1:19" x14ac:dyDescent="0.3">
      <c r="A4462" t="s">
        <v>8</v>
      </c>
      <c r="B4462">
        <v>2016210038</v>
      </c>
      <c r="C4462" t="s">
        <v>359</v>
      </c>
      <c r="E4462" t="s">
        <v>279</v>
      </c>
      <c r="F4462" t="s">
        <v>280</v>
      </c>
      <c r="G4462">
        <v>2</v>
      </c>
      <c r="H4462" t="s">
        <v>438</v>
      </c>
      <c r="I4462" s="4">
        <f t="shared" si="610"/>
        <v>3</v>
      </c>
      <c r="J4462">
        <f t="shared" si="611"/>
        <v>6</v>
      </c>
      <c r="K4462">
        <v>52</v>
      </c>
      <c r="L4462">
        <v>18</v>
      </c>
      <c r="M4462">
        <v>2.89</v>
      </c>
      <c r="N4462" s="2">
        <v>3.1</v>
      </c>
      <c r="O4462">
        <v>0</v>
      </c>
      <c r="P4462">
        <v>2</v>
      </c>
      <c r="Q4462" s="4" t="str">
        <f t="shared" si="612"/>
        <v>2016/2017-Genap</v>
      </c>
      <c r="R4462" s="8" t="s">
        <v>260</v>
      </c>
      <c r="S4462" t="str">
        <f t="shared" si="609"/>
        <v>PA</v>
      </c>
    </row>
    <row r="4463" spans="1:19" x14ac:dyDescent="0.3">
      <c r="A4463" t="s">
        <v>8</v>
      </c>
      <c r="B4463">
        <v>2016210038</v>
      </c>
      <c r="C4463" t="s">
        <v>359</v>
      </c>
      <c r="E4463" t="s">
        <v>362</v>
      </c>
      <c r="F4463" t="s">
        <v>363</v>
      </c>
      <c r="G4463">
        <v>2</v>
      </c>
      <c r="H4463" t="s">
        <v>438</v>
      </c>
      <c r="I4463" s="4">
        <f t="shared" si="610"/>
        <v>3</v>
      </c>
      <c r="J4463">
        <f t="shared" si="611"/>
        <v>6</v>
      </c>
      <c r="K4463">
        <v>62</v>
      </c>
      <c r="L4463">
        <v>22</v>
      </c>
      <c r="M4463">
        <v>2.82</v>
      </c>
      <c r="N4463" s="2">
        <v>3.1</v>
      </c>
      <c r="O4463">
        <v>0</v>
      </c>
      <c r="P4463">
        <v>5</v>
      </c>
      <c r="Q4463" s="4" t="str">
        <f t="shared" si="612"/>
        <v>2018/2019-Ganjil</v>
      </c>
      <c r="R4463" s="8" t="s">
        <v>260</v>
      </c>
      <c r="S4463" t="str">
        <f t="shared" si="609"/>
        <v>PA</v>
      </c>
    </row>
    <row r="4464" spans="1:19" x14ac:dyDescent="0.3">
      <c r="A4464" t="s">
        <v>8</v>
      </c>
      <c r="B4464">
        <v>2016210038</v>
      </c>
      <c r="C4464" t="s">
        <v>359</v>
      </c>
      <c r="E4464" t="s">
        <v>93</v>
      </c>
      <c r="F4464" t="s">
        <v>94</v>
      </c>
      <c r="G4464">
        <v>4</v>
      </c>
      <c r="H4464" t="s">
        <v>438</v>
      </c>
      <c r="I4464" s="4">
        <f t="shared" si="610"/>
        <v>3</v>
      </c>
      <c r="J4464">
        <f t="shared" si="611"/>
        <v>12</v>
      </c>
      <c r="K4464">
        <v>50</v>
      </c>
      <c r="L4464">
        <v>22</v>
      </c>
      <c r="M4464">
        <v>2.27</v>
      </c>
      <c r="N4464" s="2">
        <v>3.1</v>
      </c>
      <c r="O4464">
        <v>0</v>
      </c>
      <c r="P4464">
        <v>3</v>
      </c>
      <c r="Q4464" s="4" t="str">
        <f t="shared" si="612"/>
        <v>2017/2018-Ganjil</v>
      </c>
      <c r="R4464" s="8" t="s">
        <v>260</v>
      </c>
      <c r="S4464" t="str">
        <f t="shared" si="609"/>
        <v>PA</v>
      </c>
    </row>
    <row r="4465" spans="1:19" x14ac:dyDescent="0.3">
      <c r="A4465" t="s">
        <v>8</v>
      </c>
      <c r="B4465">
        <v>2016210038</v>
      </c>
      <c r="C4465" t="s">
        <v>359</v>
      </c>
      <c r="E4465" t="s">
        <v>193</v>
      </c>
      <c r="F4465" t="s">
        <v>194</v>
      </c>
      <c r="G4465">
        <v>4</v>
      </c>
      <c r="H4465" t="s">
        <v>438</v>
      </c>
      <c r="I4465" s="4">
        <f t="shared" si="610"/>
        <v>3</v>
      </c>
      <c r="J4465">
        <f t="shared" si="611"/>
        <v>12</v>
      </c>
      <c r="K4465">
        <v>40</v>
      </c>
      <c r="L4465">
        <v>12</v>
      </c>
      <c r="M4465">
        <v>3.33</v>
      </c>
      <c r="N4465" s="2">
        <v>3.1</v>
      </c>
      <c r="O4465">
        <v>0</v>
      </c>
      <c r="P4465">
        <v>7</v>
      </c>
      <c r="Q4465" s="4" t="str">
        <f t="shared" si="612"/>
        <v>2019/2020-Ganjil</v>
      </c>
      <c r="R4465" s="8" t="s">
        <v>260</v>
      </c>
      <c r="S4465" t="str">
        <f t="shared" si="609"/>
        <v>PA</v>
      </c>
    </row>
    <row r="4466" spans="1:19" x14ac:dyDescent="0.3">
      <c r="A4466" t="s">
        <v>8</v>
      </c>
      <c r="B4466">
        <v>2016210038</v>
      </c>
      <c r="C4466" t="s">
        <v>359</v>
      </c>
      <c r="E4466" t="s">
        <v>213</v>
      </c>
      <c r="F4466" t="s">
        <v>214</v>
      </c>
      <c r="G4466">
        <v>4</v>
      </c>
      <c r="H4466" t="s">
        <v>438</v>
      </c>
      <c r="I4466" s="4">
        <f t="shared" si="610"/>
        <v>3</v>
      </c>
      <c r="J4466">
        <f t="shared" si="611"/>
        <v>12</v>
      </c>
      <c r="K4466">
        <v>62</v>
      </c>
      <c r="L4466">
        <v>22</v>
      </c>
      <c r="M4466">
        <v>2.82</v>
      </c>
      <c r="N4466" s="2">
        <v>3.1</v>
      </c>
      <c r="O4466">
        <v>0</v>
      </c>
      <c r="P4466">
        <v>5</v>
      </c>
      <c r="Q4466" s="4" t="str">
        <f t="shared" si="612"/>
        <v>2018/2019-Ganjil</v>
      </c>
      <c r="R4466" s="8" t="s">
        <v>260</v>
      </c>
      <c r="S4466" t="str">
        <f t="shared" si="609"/>
        <v>PA</v>
      </c>
    </row>
    <row r="4467" spans="1:19" x14ac:dyDescent="0.3">
      <c r="A4467" t="s">
        <v>8</v>
      </c>
      <c r="B4467">
        <v>2016210038</v>
      </c>
      <c r="C4467" t="s">
        <v>359</v>
      </c>
      <c r="E4467" t="s">
        <v>393</v>
      </c>
      <c r="F4467" t="s">
        <v>492</v>
      </c>
      <c r="G4467">
        <v>2</v>
      </c>
      <c r="H4467" t="s">
        <v>438</v>
      </c>
      <c r="I4467" s="4">
        <f t="shared" si="610"/>
        <v>3</v>
      </c>
      <c r="J4467">
        <f t="shared" si="611"/>
        <v>6</v>
      </c>
      <c r="K4467">
        <v>40</v>
      </c>
      <c r="L4467">
        <v>12</v>
      </c>
      <c r="M4467">
        <v>3.33</v>
      </c>
      <c r="N4467" s="2">
        <v>3.1</v>
      </c>
      <c r="O4467">
        <v>0</v>
      </c>
      <c r="P4467">
        <v>7</v>
      </c>
      <c r="Q4467" s="4" t="str">
        <f t="shared" si="612"/>
        <v>2019/2020-Ganjil</v>
      </c>
      <c r="R4467" s="8" t="s">
        <v>260</v>
      </c>
      <c r="S4467" t="str">
        <f t="shared" si="609"/>
        <v>PA</v>
      </c>
    </row>
    <row r="4468" spans="1:19" x14ac:dyDescent="0.3">
      <c r="A4468" t="s">
        <v>8</v>
      </c>
      <c r="B4468">
        <v>2016210038</v>
      </c>
      <c r="C4468" t="s">
        <v>359</v>
      </c>
      <c r="E4468" t="s">
        <v>352</v>
      </c>
      <c r="F4468" t="s">
        <v>353</v>
      </c>
      <c r="G4468">
        <v>2</v>
      </c>
      <c r="H4468" t="s">
        <v>438</v>
      </c>
      <c r="I4468" s="4">
        <f t="shared" si="610"/>
        <v>3</v>
      </c>
      <c r="J4468">
        <f t="shared" si="611"/>
        <v>6</v>
      </c>
      <c r="K4468">
        <v>62</v>
      </c>
      <c r="L4468">
        <v>22</v>
      </c>
      <c r="M4468">
        <v>2.82</v>
      </c>
      <c r="N4468" s="2">
        <v>3.1</v>
      </c>
      <c r="O4468">
        <v>0</v>
      </c>
      <c r="P4468">
        <v>5</v>
      </c>
      <c r="Q4468" s="4" t="str">
        <f t="shared" si="612"/>
        <v>2018/2019-Ganjil</v>
      </c>
      <c r="R4468" s="8" t="s">
        <v>260</v>
      </c>
      <c r="S4468" t="str">
        <f t="shared" si="609"/>
        <v>PA</v>
      </c>
    </row>
    <row r="4469" spans="1:19" x14ac:dyDescent="0.3">
      <c r="A4469" t="s">
        <v>8</v>
      </c>
      <c r="B4469">
        <v>2016210038</v>
      </c>
      <c r="C4469" t="s">
        <v>359</v>
      </c>
      <c r="E4469" t="s">
        <v>157</v>
      </c>
      <c r="F4469" t="s">
        <v>158</v>
      </c>
      <c r="G4469">
        <v>2</v>
      </c>
      <c r="H4469" t="s">
        <v>438</v>
      </c>
      <c r="I4469" s="4">
        <f t="shared" si="610"/>
        <v>3</v>
      </c>
      <c r="J4469">
        <f t="shared" si="611"/>
        <v>6</v>
      </c>
      <c r="K4469">
        <v>50</v>
      </c>
      <c r="L4469">
        <v>22</v>
      </c>
      <c r="M4469">
        <v>2.27</v>
      </c>
      <c r="N4469" s="2">
        <v>3.1</v>
      </c>
      <c r="O4469">
        <v>0</v>
      </c>
      <c r="P4469">
        <v>3</v>
      </c>
      <c r="Q4469" s="4" t="str">
        <f t="shared" si="612"/>
        <v>2017/2018-Ganjil</v>
      </c>
      <c r="R4469" s="8" t="s">
        <v>260</v>
      </c>
      <c r="S4469" t="str">
        <f t="shared" si="609"/>
        <v>PA</v>
      </c>
    </row>
    <row r="4470" spans="1:19" x14ac:dyDescent="0.3">
      <c r="A4470" t="s">
        <v>8</v>
      </c>
      <c r="B4470">
        <v>2016210038</v>
      </c>
      <c r="C4470" t="s">
        <v>359</v>
      </c>
      <c r="E4470" t="s">
        <v>19</v>
      </c>
      <c r="F4470" t="s">
        <v>20</v>
      </c>
      <c r="G4470">
        <v>6</v>
      </c>
      <c r="H4470" t="s">
        <v>438</v>
      </c>
      <c r="I4470" s="4">
        <f t="shared" si="610"/>
        <v>3</v>
      </c>
      <c r="J4470">
        <f t="shared" si="611"/>
        <v>18</v>
      </c>
      <c r="K4470">
        <v>34</v>
      </c>
      <c r="L4470">
        <v>10</v>
      </c>
      <c r="M4470" s="2">
        <v>3.4</v>
      </c>
      <c r="N4470" s="2">
        <v>3.1</v>
      </c>
      <c r="O4470">
        <v>0</v>
      </c>
      <c r="P4470">
        <v>8</v>
      </c>
      <c r="Q4470" s="4" t="str">
        <f t="shared" si="612"/>
        <v>2019/2020-Genap</v>
      </c>
      <c r="R4470" t="s">
        <v>596</v>
      </c>
      <c r="S4470" t="str">
        <f t="shared" si="609"/>
        <v>PA</v>
      </c>
    </row>
    <row r="4471" spans="1:19" x14ac:dyDescent="0.3">
      <c r="A4471" t="s">
        <v>8</v>
      </c>
      <c r="B4471">
        <v>2016210038</v>
      </c>
      <c r="C4471" t="s">
        <v>359</v>
      </c>
      <c r="E4471" t="s">
        <v>163</v>
      </c>
      <c r="F4471" t="s">
        <v>164</v>
      </c>
      <c r="G4471">
        <v>2</v>
      </c>
      <c r="H4471" t="s">
        <v>438</v>
      </c>
      <c r="I4471" s="4">
        <f t="shared" si="610"/>
        <v>3</v>
      </c>
      <c r="J4471">
        <f t="shared" si="611"/>
        <v>6</v>
      </c>
      <c r="K4471">
        <v>58</v>
      </c>
      <c r="L4471">
        <v>20</v>
      </c>
      <c r="M4471" s="2">
        <v>2.9</v>
      </c>
      <c r="N4471" s="2">
        <v>3.1</v>
      </c>
      <c r="O4471">
        <v>0</v>
      </c>
      <c r="P4471">
        <v>1</v>
      </c>
      <c r="Q4471" s="4" t="str">
        <f t="shared" si="612"/>
        <v>2016/2017-Ganjil</v>
      </c>
      <c r="R4471" s="8" t="s">
        <v>260</v>
      </c>
      <c r="S4471" t="str">
        <f t="shared" si="609"/>
        <v>PA</v>
      </c>
    </row>
    <row r="4472" spans="1:19" x14ac:dyDescent="0.3">
      <c r="A4472" t="s">
        <v>8</v>
      </c>
      <c r="B4472">
        <v>2016210038</v>
      </c>
      <c r="C4472" t="s">
        <v>359</v>
      </c>
      <c r="E4472" t="s">
        <v>407</v>
      </c>
      <c r="F4472" t="s">
        <v>312</v>
      </c>
      <c r="G4472">
        <v>2</v>
      </c>
      <c r="H4472" t="s">
        <v>438</v>
      </c>
      <c r="I4472" s="4">
        <f t="shared" si="610"/>
        <v>3</v>
      </c>
      <c r="J4472">
        <f t="shared" si="611"/>
        <v>6</v>
      </c>
      <c r="K4472">
        <v>62</v>
      </c>
      <c r="L4472">
        <v>22</v>
      </c>
      <c r="M4472">
        <v>2.82</v>
      </c>
      <c r="N4472" s="2">
        <v>3.1</v>
      </c>
      <c r="O4472">
        <v>0</v>
      </c>
      <c r="P4472">
        <v>5</v>
      </c>
      <c r="Q4472" s="4" t="str">
        <f t="shared" si="612"/>
        <v>2018/2019-Ganjil</v>
      </c>
      <c r="R4472" s="8" t="s">
        <v>260</v>
      </c>
      <c r="S4472" t="str">
        <f t="shared" si="609"/>
        <v>PA</v>
      </c>
    </row>
    <row r="4473" spans="1:19" x14ac:dyDescent="0.3">
      <c r="A4473" t="s">
        <v>8</v>
      </c>
      <c r="B4473">
        <v>2016210038</v>
      </c>
      <c r="C4473" t="s">
        <v>359</v>
      </c>
      <c r="E4473" t="s">
        <v>147</v>
      </c>
      <c r="F4473" t="s">
        <v>148</v>
      </c>
      <c r="G4473">
        <v>4</v>
      </c>
      <c r="H4473" t="s">
        <v>438</v>
      </c>
      <c r="I4473" s="4">
        <f t="shared" si="610"/>
        <v>3</v>
      </c>
      <c r="J4473">
        <f t="shared" si="611"/>
        <v>12</v>
      </c>
      <c r="K4473">
        <v>58</v>
      </c>
      <c r="L4473">
        <v>20</v>
      </c>
      <c r="M4473" s="2">
        <v>2.9</v>
      </c>
      <c r="N4473" s="2">
        <v>3.1</v>
      </c>
      <c r="O4473">
        <v>0</v>
      </c>
      <c r="P4473">
        <v>1</v>
      </c>
      <c r="Q4473" s="4" t="str">
        <f t="shared" si="612"/>
        <v>2016/2017-Ganjil</v>
      </c>
      <c r="R4473" s="8" t="s">
        <v>260</v>
      </c>
      <c r="S4473" t="str">
        <f t="shared" si="609"/>
        <v>PA</v>
      </c>
    </row>
    <row r="4474" spans="1:19" x14ac:dyDescent="0.3">
      <c r="A4474" t="s">
        <v>8</v>
      </c>
      <c r="B4474">
        <v>2016210038</v>
      </c>
      <c r="C4474" t="s">
        <v>359</v>
      </c>
      <c r="E4474" t="s">
        <v>80</v>
      </c>
      <c r="F4474" t="s">
        <v>81</v>
      </c>
      <c r="G4474">
        <v>4</v>
      </c>
      <c r="H4474" t="s">
        <v>438</v>
      </c>
      <c r="I4474" s="4">
        <f t="shared" si="610"/>
        <v>3</v>
      </c>
      <c r="J4474">
        <f t="shared" si="611"/>
        <v>12</v>
      </c>
      <c r="K4474">
        <v>62</v>
      </c>
      <c r="L4474">
        <v>22</v>
      </c>
      <c r="M4474">
        <v>2.82</v>
      </c>
      <c r="N4474" s="2">
        <v>3.1</v>
      </c>
      <c r="O4474">
        <v>0</v>
      </c>
      <c r="P4474">
        <v>6</v>
      </c>
      <c r="Q4474" s="4" t="str">
        <f t="shared" si="612"/>
        <v>2018/2019-Genap</v>
      </c>
      <c r="R4474" s="8" t="s">
        <v>260</v>
      </c>
      <c r="S4474" t="str">
        <f t="shared" si="609"/>
        <v>PA</v>
      </c>
    </row>
    <row r="4475" spans="1:19" x14ac:dyDescent="0.3">
      <c r="A4475" t="s">
        <v>8</v>
      </c>
      <c r="B4475">
        <v>2016210038</v>
      </c>
      <c r="C4475" t="s">
        <v>359</v>
      </c>
      <c r="E4475" t="s">
        <v>115</v>
      </c>
      <c r="F4475" t="s">
        <v>116</v>
      </c>
      <c r="G4475">
        <v>4</v>
      </c>
      <c r="H4475" t="s">
        <v>438</v>
      </c>
      <c r="I4475" s="4">
        <f t="shared" si="610"/>
        <v>3</v>
      </c>
      <c r="J4475">
        <f t="shared" si="611"/>
        <v>12</v>
      </c>
      <c r="K4475">
        <v>52</v>
      </c>
      <c r="L4475">
        <v>18</v>
      </c>
      <c r="M4475">
        <v>2.89</v>
      </c>
      <c r="N4475" s="2">
        <v>3.1</v>
      </c>
      <c r="O4475">
        <v>0</v>
      </c>
      <c r="P4475">
        <v>2</v>
      </c>
      <c r="Q4475" s="4" t="str">
        <f t="shared" si="612"/>
        <v>2016/2017-Genap</v>
      </c>
      <c r="R4475" s="8" t="s">
        <v>260</v>
      </c>
      <c r="S4475" t="str">
        <f t="shared" si="609"/>
        <v>PA</v>
      </c>
    </row>
    <row r="4476" spans="1:19" x14ac:dyDescent="0.3">
      <c r="A4476" t="s">
        <v>8</v>
      </c>
      <c r="B4476">
        <v>2016210038</v>
      </c>
      <c r="C4476" t="s">
        <v>359</v>
      </c>
      <c r="E4476" t="s">
        <v>17</v>
      </c>
      <c r="F4476" t="s">
        <v>11</v>
      </c>
      <c r="G4476">
        <v>2</v>
      </c>
      <c r="H4476" t="s">
        <v>438</v>
      </c>
      <c r="I4476" s="4">
        <f t="shared" si="610"/>
        <v>3</v>
      </c>
      <c r="J4476">
        <f t="shared" si="611"/>
        <v>6</v>
      </c>
      <c r="K4476">
        <v>62</v>
      </c>
      <c r="L4476">
        <v>22</v>
      </c>
      <c r="M4476">
        <v>2.82</v>
      </c>
      <c r="N4476" s="2">
        <v>3.1</v>
      </c>
      <c r="O4476">
        <v>0</v>
      </c>
      <c r="P4476">
        <v>6</v>
      </c>
      <c r="Q4476" s="4" t="str">
        <f t="shared" si="612"/>
        <v>2018/2019-Genap</v>
      </c>
      <c r="R4476" s="8" t="s">
        <v>260</v>
      </c>
      <c r="S4476" t="str">
        <f t="shared" si="609"/>
        <v>PA</v>
      </c>
    </row>
    <row r="4477" spans="1:19" x14ac:dyDescent="0.3">
      <c r="A4477" t="s">
        <v>8</v>
      </c>
      <c r="B4477">
        <v>2016210038</v>
      </c>
      <c r="C4477" t="s">
        <v>359</v>
      </c>
      <c r="E4477" t="s">
        <v>253</v>
      </c>
      <c r="F4477" t="s">
        <v>254</v>
      </c>
      <c r="G4477">
        <v>2</v>
      </c>
      <c r="H4477" t="s">
        <v>438</v>
      </c>
      <c r="I4477" s="4">
        <f t="shared" si="610"/>
        <v>3</v>
      </c>
      <c r="J4477">
        <f t="shared" si="611"/>
        <v>6</v>
      </c>
      <c r="K4477">
        <v>52</v>
      </c>
      <c r="L4477">
        <v>20</v>
      </c>
      <c r="M4477" s="2">
        <v>2.6</v>
      </c>
      <c r="N4477" s="2">
        <v>3.1</v>
      </c>
      <c r="O4477">
        <v>0</v>
      </c>
      <c r="P4477">
        <v>4</v>
      </c>
      <c r="Q4477" s="4" t="str">
        <f t="shared" si="612"/>
        <v>2017/2018-Genap</v>
      </c>
      <c r="R4477" s="8" t="s">
        <v>260</v>
      </c>
      <c r="S4477" t="str">
        <f t="shared" si="609"/>
        <v>PA</v>
      </c>
    </row>
    <row r="4478" spans="1:19" x14ac:dyDescent="0.3">
      <c r="A4478" t="s">
        <v>8</v>
      </c>
      <c r="B4478">
        <v>2016210038</v>
      </c>
      <c r="C4478" t="s">
        <v>359</v>
      </c>
      <c r="E4478" t="s">
        <v>391</v>
      </c>
      <c r="F4478" t="s">
        <v>392</v>
      </c>
      <c r="G4478">
        <v>2</v>
      </c>
      <c r="H4478" t="s">
        <v>438</v>
      </c>
      <c r="I4478" s="4">
        <f t="shared" si="610"/>
        <v>3</v>
      </c>
      <c r="J4478">
        <f t="shared" si="611"/>
        <v>6</v>
      </c>
      <c r="K4478">
        <v>62</v>
      </c>
      <c r="L4478">
        <v>22</v>
      </c>
      <c r="M4478">
        <v>2.82</v>
      </c>
      <c r="N4478" s="2">
        <v>3.1</v>
      </c>
      <c r="O4478">
        <v>0</v>
      </c>
      <c r="P4478">
        <v>5</v>
      </c>
      <c r="Q4478" s="4" t="str">
        <f t="shared" si="612"/>
        <v>2018/2019-Ganjil</v>
      </c>
      <c r="R4478" s="8" t="s">
        <v>260</v>
      </c>
      <c r="S4478" t="str">
        <f t="shared" si="609"/>
        <v>PA</v>
      </c>
    </row>
    <row r="4479" spans="1:19" x14ac:dyDescent="0.3">
      <c r="A4479" t="s">
        <v>8</v>
      </c>
      <c r="B4479">
        <v>2016210038</v>
      </c>
      <c r="C4479" t="s">
        <v>359</v>
      </c>
      <c r="E4479" t="s">
        <v>219</v>
      </c>
      <c r="F4479" t="s">
        <v>473</v>
      </c>
      <c r="G4479">
        <v>2</v>
      </c>
      <c r="H4479" t="s">
        <v>438</v>
      </c>
      <c r="I4479" s="4">
        <f t="shared" si="610"/>
        <v>3</v>
      </c>
      <c r="J4479">
        <f t="shared" si="611"/>
        <v>6</v>
      </c>
      <c r="K4479">
        <v>40</v>
      </c>
      <c r="L4479">
        <v>12</v>
      </c>
      <c r="M4479">
        <v>3.33</v>
      </c>
      <c r="N4479" s="2">
        <v>3.1</v>
      </c>
      <c r="O4479">
        <v>0</v>
      </c>
      <c r="P4479">
        <v>7</v>
      </c>
      <c r="Q4479" s="4" t="str">
        <f t="shared" si="612"/>
        <v>2019/2020-Ganjil</v>
      </c>
      <c r="R4479" s="8" t="s">
        <v>260</v>
      </c>
      <c r="S4479" t="str">
        <f t="shared" si="609"/>
        <v>PA</v>
      </c>
    </row>
    <row r="4480" spans="1:19" x14ac:dyDescent="0.3">
      <c r="A4480" t="s">
        <v>8</v>
      </c>
      <c r="B4480">
        <v>2016210038</v>
      </c>
      <c r="C4480" t="s">
        <v>359</v>
      </c>
      <c r="E4480" t="s">
        <v>227</v>
      </c>
      <c r="F4480" t="s">
        <v>228</v>
      </c>
      <c r="G4480">
        <v>2</v>
      </c>
      <c r="H4480" t="s">
        <v>438</v>
      </c>
      <c r="I4480" s="4">
        <f t="shared" si="610"/>
        <v>3</v>
      </c>
      <c r="J4480">
        <f t="shared" si="611"/>
        <v>6</v>
      </c>
      <c r="K4480">
        <v>50</v>
      </c>
      <c r="L4480">
        <v>22</v>
      </c>
      <c r="M4480">
        <v>2.27</v>
      </c>
      <c r="N4480" s="2">
        <v>3.1</v>
      </c>
      <c r="O4480">
        <v>0</v>
      </c>
      <c r="P4480">
        <v>3</v>
      </c>
      <c r="Q4480" s="4" t="str">
        <f t="shared" si="612"/>
        <v>2017/2018-Ganjil</v>
      </c>
      <c r="R4480" s="8" t="s">
        <v>260</v>
      </c>
      <c r="S4480" t="str">
        <f t="shared" si="609"/>
        <v>PA</v>
      </c>
    </row>
    <row r="4481" spans="1:19" x14ac:dyDescent="0.3">
      <c r="A4481" t="s">
        <v>8</v>
      </c>
      <c r="B4481">
        <v>2016210038</v>
      </c>
      <c r="C4481" t="s">
        <v>359</v>
      </c>
      <c r="E4481" t="s">
        <v>202</v>
      </c>
      <c r="F4481" t="s">
        <v>203</v>
      </c>
      <c r="G4481">
        <v>4</v>
      </c>
      <c r="H4481" t="s">
        <v>438</v>
      </c>
      <c r="I4481" s="4">
        <f t="shared" si="610"/>
        <v>3</v>
      </c>
      <c r="J4481">
        <f t="shared" si="611"/>
        <v>12</v>
      </c>
      <c r="K4481">
        <v>58</v>
      </c>
      <c r="L4481">
        <v>20</v>
      </c>
      <c r="M4481" s="2">
        <v>2.9</v>
      </c>
      <c r="N4481" s="2">
        <v>3.1</v>
      </c>
      <c r="O4481">
        <v>0</v>
      </c>
      <c r="P4481">
        <v>1</v>
      </c>
      <c r="Q4481" s="4" t="str">
        <f t="shared" si="612"/>
        <v>2016/2017-Ganjil</v>
      </c>
      <c r="R4481" s="8" t="s">
        <v>260</v>
      </c>
      <c r="S4481" t="str">
        <f t="shared" si="609"/>
        <v>PA</v>
      </c>
    </row>
    <row r="4482" spans="1:19" x14ac:dyDescent="0.3">
      <c r="A4482" t="s">
        <v>8</v>
      </c>
      <c r="B4482">
        <v>2016210038</v>
      </c>
      <c r="C4482" t="s">
        <v>359</v>
      </c>
      <c r="E4482" t="s">
        <v>188</v>
      </c>
      <c r="F4482" t="s">
        <v>189</v>
      </c>
      <c r="G4482">
        <v>4</v>
      </c>
      <c r="H4482" t="s">
        <v>438</v>
      </c>
      <c r="I4482" s="4">
        <f t="shared" si="610"/>
        <v>3</v>
      </c>
      <c r="J4482">
        <f t="shared" si="611"/>
        <v>12</v>
      </c>
      <c r="K4482">
        <v>62</v>
      </c>
      <c r="L4482">
        <v>22</v>
      </c>
      <c r="M4482">
        <v>2.82</v>
      </c>
      <c r="N4482" s="2">
        <v>3.1</v>
      </c>
      <c r="O4482">
        <v>0</v>
      </c>
      <c r="P4482">
        <v>5</v>
      </c>
      <c r="Q4482" s="4" t="str">
        <f t="shared" si="612"/>
        <v>2018/2019-Ganjil</v>
      </c>
      <c r="R4482" s="8" t="s">
        <v>260</v>
      </c>
      <c r="S4482" t="str">
        <f t="shared" si="609"/>
        <v>PA</v>
      </c>
    </row>
    <row r="4483" spans="1:19" x14ac:dyDescent="0.3">
      <c r="A4483" t="s">
        <v>8</v>
      </c>
      <c r="B4483">
        <v>2016210038</v>
      </c>
      <c r="C4483" t="s">
        <v>359</v>
      </c>
      <c r="E4483" t="s">
        <v>110</v>
      </c>
      <c r="F4483" t="s">
        <v>111</v>
      </c>
      <c r="G4483">
        <v>4</v>
      </c>
      <c r="H4483" t="s">
        <v>438</v>
      </c>
      <c r="I4483" s="4">
        <f t="shared" si="610"/>
        <v>3</v>
      </c>
      <c r="J4483">
        <f t="shared" si="611"/>
        <v>12</v>
      </c>
      <c r="K4483">
        <v>58</v>
      </c>
      <c r="L4483">
        <v>20</v>
      </c>
      <c r="M4483" s="2">
        <v>2.9</v>
      </c>
      <c r="N4483" s="2">
        <v>3.1</v>
      </c>
      <c r="O4483">
        <v>0</v>
      </c>
      <c r="P4483">
        <v>1</v>
      </c>
      <c r="Q4483" s="4" t="str">
        <f t="shared" si="612"/>
        <v>2016/2017-Ganjil</v>
      </c>
      <c r="R4483" s="8" t="s">
        <v>260</v>
      </c>
      <c r="S4483" t="str">
        <f t="shared" si="609"/>
        <v>PA</v>
      </c>
    </row>
    <row r="4484" spans="1:19" x14ac:dyDescent="0.3">
      <c r="A4484" t="s">
        <v>8</v>
      </c>
      <c r="B4484">
        <v>2016210038</v>
      </c>
      <c r="C4484" t="s">
        <v>359</v>
      </c>
      <c r="E4484" t="s">
        <v>238</v>
      </c>
      <c r="F4484" t="s">
        <v>239</v>
      </c>
      <c r="G4484">
        <v>4</v>
      </c>
      <c r="H4484" t="s">
        <v>438</v>
      </c>
      <c r="I4484" s="4">
        <f t="shared" si="610"/>
        <v>3</v>
      </c>
      <c r="J4484">
        <f t="shared" si="611"/>
        <v>12</v>
      </c>
      <c r="K4484">
        <v>62</v>
      </c>
      <c r="L4484">
        <v>22</v>
      </c>
      <c r="M4484">
        <v>2.82</v>
      </c>
      <c r="N4484" s="2">
        <v>3.1</v>
      </c>
      <c r="O4484">
        <v>0</v>
      </c>
      <c r="P4484">
        <v>6</v>
      </c>
      <c r="Q4484" s="4" t="str">
        <f t="shared" si="612"/>
        <v>2018/2019-Genap</v>
      </c>
      <c r="R4484" s="8" t="s">
        <v>260</v>
      </c>
      <c r="S4484" t="str">
        <f t="shared" si="609"/>
        <v>PA</v>
      </c>
    </row>
    <row r="4485" spans="1:19" x14ac:dyDescent="0.3">
      <c r="A4485" t="s">
        <v>8</v>
      </c>
      <c r="B4485">
        <v>2016210038</v>
      </c>
      <c r="C4485" t="s">
        <v>359</v>
      </c>
      <c r="E4485" t="s">
        <v>131</v>
      </c>
      <c r="F4485" t="s">
        <v>132</v>
      </c>
      <c r="G4485">
        <v>2</v>
      </c>
      <c r="H4485" t="s">
        <v>438</v>
      </c>
      <c r="I4485" s="4">
        <f t="shared" si="610"/>
        <v>3</v>
      </c>
      <c r="J4485">
        <f t="shared" si="611"/>
        <v>6</v>
      </c>
      <c r="K4485">
        <v>58</v>
      </c>
      <c r="L4485">
        <v>20</v>
      </c>
      <c r="M4485" s="2">
        <v>2.9</v>
      </c>
      <c r="N4485" s="2">
        <v>3.1</v>
      </c>
      <c r="O4485">
        <v>0</v>
      </c>
      <c r="P4485">
        <v>1</v>
      </c>
      <c r="Q4485" s="4" t="str">
        <f t="shared" si="612"/>
        <v>2016/2017-Ganjil</v>
      </c>
      <c r="R4485" s="8" t="s">
        <v>260</v>
      </c>
      <c r="S4485" t="str">
        <f t="shared" si="609"/>
        <v>PA</v>
      </c>
    </row>
    <row r="4486" spans="1:19" x14ac:dyDescent="0.3">
      <c r="A4486" t="s">
        <v>8</v>
      </c>
      <c r="B4486">
        <v>2016210038</v>
      </c>
      <c r="C4486" t="s">
        <v>359</v>
      </c>
      <c r="E4486" t="s">
        <v>449</v>
      </c>
      <c r="F4486" t="s">
        <v>460</v>
      </c>
      <c r="G4486">
        <v>4</v>
      </c>
      <c r="H4486" t="s">
        <v>524</v>
      </c>
      <c r="I4486" s="4">
        <f t="shared" si="610"/>
        <v>2</v>
      </c>
      <c r="J4486">
        <f t="shared" si="611"/>
        <v>8</v>
      </c>
      <c r="K4486">
        <v>52</v>
      </c>
      <c r="L4486">
        <v>20</v>
      </c>
      <c r="M4486" s="2">
        <v>2.6</v>
      </c>
      <c r="N4486" s="2">
        <v>3.1</v>
      </c>
      <c r="O4486">
        <v>0</v>
      </c>
      <c r="P4486">
        <v>4</v>
      </c>
      <c r="Q4486" s="4" t="str">
        <f t="shared" si="612"/>
        <v>2017/2018-Genap</v>
      </c>
      <c r="R4486" s="8" t="s">
        <v>260</v>
      </c>
      <c r="S4486" t="str">
        <f t="shared" si="609"/>
        <v>PA</v>
      </c>
    </row>
    <row r="4487" spans="1:19" x14ac:dyDescent="0.3">
      <c r="A4487" t="s">
        <v>8</v>
      </c>
      <c r="B4487">
        <v>2016210038</v>
      </c>
      <c r="C4487" t="s">
        <v>359</v>
      </c>
      <c r="E4487" t="s">
        <v>355</v>
      </c>
      <c r="F4487" t="s">
        <v>274</v>
      </c>
      <c r="G4487">
        <v>2</v>
      </c>
      <c r="H4487" t="s">
        <v>524</v>
      </c>
      <c r="I4487" s="4">
        <f t="shared" si="610"/>
        <v>2</v>
      </c>
      <c r="J4487">
        <f t="shared" si="611"/>
        <v>4</v>
      </c>
      <c r="K4487">
        <v>62</v>
      </c>
      <c r="L4487">
        <v>22</v>
      </c>
      <c r="M4487">
        <v>2.82</v>
      </c>
      <c r="N4487" s="2">
        <v>3.1</v>
      </c>
      <c r="O4487">
        <v>0</v>
      </c>
      <c r="P4487">
        <v>6</v>
      </c>
      <c r="Q4487" s="4" t="str">
        <f t="shared" si="612"/>
        <v>2018/2019-Genap</v>
      </c>
      <c r="R4487" s="8" t="s">
        <v>260</v>
      </c>
      <c r="S4487" t="str">
        <f t="shared" si="609"/>
        <v>PA</v>
      </c>
    </row>
    <row r="4488" spans="1:19" x14ac:dyDescent="0.3">
      <c r="A4488" t="s">
        <v>8</v>
      </c>
      <c r="B4488">
        <v>2016210038</v>
      </c>
      <c r="C4488" t="s">
        <v>359</v>
      </c>
      <c r="E4488" t="s">
        <v>119</v>
      </c>
      <c r="F4488" t="s">
        <v>120</v>
      </c>
      <c r="G4488">
        <v>2</v>
      </c>
      <c r="H4488" t="s">
        <v>524</v>
      </c>
      <c r="I4488" s="4">
        <f t="shared" si="610"/>
        <v>2</v>
      </c>
      <c r="J4488">
        <f t="shared" si="611"/>
        <v>4</v>
      </c>
      <c r="K4488">
        <v>62</v>
      </c>
      <c r="L4488">
        <v>22</v>
      </c>
      <c r="M4488">
        <v>2.82</v>
      </c>
      <c r="N4488" s="2">
        <v>3.1</v>
      </c>
      <c r="O4488">
        <v>0</v>
      </c>
      <c r="P4488">
        <v>6</v>
      </c>
      <c r="Q4488" s="4" t="str">
        <f t="shared" si="612"/>
        <v>2018/2019-Genap</v>
      </c>
      <c r="R4488" s="8" t="s">
        <v>260</v>
      </c>
      <c r="S4488" t="str">
        <f t="shared" si="609"/>
        <v>PA</v>
      </c>
    </row>
    <row r="4489" spans="1:19" x14ac:dyDescent="0.3">
      <c r="A4489" t="s">
        <v>8</v>
      </c>
      <c r="B4489">
        <v>2016210038</v>
      </c>
      <c r="C4489" t="s">
        <v>359</v>
      </c>
      <c r="E4489" t="s">
        <v>369</v>
      </c>
      <c r="F4489" t="s">
        <v>307</v>
      </c>
      <c r="G4489">
        <v>2</v>
      </c>
      <c r="H4489" t="s">
        <v>524</v>
      </c>
      <c r="I4489" s="4">
        <f t="shared" si="610"/>
        <v>2</v>
      </c>
      <c r="J4489">
        <f t="shared" si="611"/>
        <v>4</v>
      </c>
      <c r="K4489">
        <v>52</v>
      </c>
      <c r="L4489">
        <v>20</v>
      </c>
      <c r="M4489" s="2">
        <v>2.6</v>
      </c>
      <c r="N4489" s="2">
        <v>3.1</v>
      </c>
      <c r="O4489">
        <v>0</v>
      </c>
      <c r="P4489">
        <v>4</v>
      </c>
      <c r="Q4489" s="4" t="str">
        <f t="shared" si="612"/>
        <v>2017/2018-Genap</v>
      </c>
      <c r="R4489" s="8" t="s">
        <v>260</v>
      </c>
      <c r="S4489" t="str">
        <f t="shared" si="609"/>
        <v>PA</v>
      </c>
    </row>
    <row r="4490" spans="1:19" x14ac:dyDescent="0.3">
      <c r="A4490" t="s">
        <v>8</v>
      </c>
      <c r="B4490">
        <v>2016210038</v>
      </c>
      <c r="C4490" t="s">
        <v>359</v>
      </c>
      <c r="E4490" t="s">
        <v>112</v>
      </c>
      <c r="F4490" t="s">
        <v>113</v>
      </c>
      <c r="G4490">
        <v>4</v>
      </c>
      <c r="H4490" t="s">
        <v>524</v>
      </c>
      <c r="I4490" s="4">
        <f t="shared" si="610"/>
        <v>2</v>
      </c>
      <c r="J4490">
        <f t="shared" si="611"/>
        <v>8</v>
      </c>
      <c r="K4490">
        <v>50</v>
      </c>
      <c r="L4490">
        <v>22</v>
      </c>
      <c r="M4490">
        <v>2.27</v>
      </c>
      <c r="N4490" s="2">
        <v>3.1</v>
      </c>
      <c r="O4490">
        <v>0</v>
      </c>
      <c r="P4490">
        <v>3</v>
      </c>
      <c r="Q4490" s="4" t="str">
        <f t="shared" si="612"/>
        <v>2017/2018-Ganjil</v>
      </c>
      <c r="R4490" s="8" t="s">
        <v>260</v>
      </c>
      <c r="S4490" t="str">
        <f t="shared" si="609"/>
        <v>PA</v>
      </c>
    </row>
    <row r="4491" spans="1:19" x14ac:dyDescent="0.3">
      <c r="A4491" t="s">
        <v>8</v>
      </c>
      <c r="B4491">
        <v>2016210038</v>
      </c>
      <c r="C4491" t="s">
        <v>359</v>
      </c>
      <c r="E4491" t="s">
        <v>112</v>
      </c>
      <c r="F4491" t="s">
        <v>113</v>
      </c>
      <c r="G4491">
        <v>4</v>
      </c>
      <c r="H4491" t="s">
        <v>260</v>
      </c>
      <c r="I4491" s="4">
        <f t="shared" si="610"/>
        <v>4</v>
      </c>
      <c r="J4491">
        <f t="shared" si="611"/>
        <v>16</v>
      </c>
      <c r="K4491">
        <v>58</v>
      </c>
      <c r="L4491">
        <v>18</v>
      </c>
      <c r="M4491">
        <v>3.22</v>
      </c>
      <c r="N4491" s="2">
        <v>3.1</v>
      </c>
      <c r="O4491">
        <v>1</v>
      </c>
      <c r="P4491">
        <v>6</v>
      </c>
      <c r="Q4491" s="4" t="s">
        <v>572</v>
      </c>
      <c r="R4491" s="8" t="s">
        <v>260</v>
      </c>
      <c r="S4491" t="str">
        <f t="shared" si="609"/>
        <v>PA</v>
      </c>
    </row>
    <row r="4492" spans="1:19" x14ac:dyDescent="0.3">
      <c r="A4492" t="s">
        <v>8</v>
      </c>
      <c r="B4492">
        <v>2016210038</v>
      </c>
      <c r="C4492" t="s">
        <v>359</v>
      </c>
      <c r="E4492" t="s">
        <v>246</v>
      </c>
      <c r="F4492" t="s">
        <v>247</v>
      </c>
      <c r="G4492">
        <v>4</v>
      </c>
      <c r="H4492" t="s">
        <v>524</v>
      </c>
      <c r="I4492" s="4">
        <f t="shared" si="610"/>
        <v>2</v>
      </c>
      <c r="J4492">
        <f t="shared" si="611"/>
        <v>8</v>
      </c>
      <c r="K4492">
        <v>52</v>
      </c>
      <c r="L4492">
        <v>20</v>
      </c>
      <c r="M4492" s="2">
        <v>2.6</v>
      </c>
      <c r="N4492" s="2">
        <v>3.1</v>
      </c>
      <c r="O4492">
        <v>0</v>
      </c>
      <c r="P4492">
        <v>4</v>
      </c>
      <c r="Q4492" s="4" t="str">
        <f>IF(P4492=1,"2016/2017-Ganjil",IF(P4492=2,"2016/2017-Genap",IF(P4492=3,"2017/2018-Ganjil",IF(P4492=4,"2017/2018-Genap",IF(P4492=5,"2018/2019-Ganjil",IF(P4492=6,"2018/2019-Genap",IF(P4492=7,"2019/2020-Ganjil",IF(P4492=8,"2019/2020-Genap",IF(P4492=9,"2020/2021-Ganjil",IF(P4492=10,"2020/2021-Genap",IF(P4492=11,"2021/2022-Ganjil",IF(P4492=12,"2021/2022-Genap",IF(P4492=13,"2022/2023-Ganjil","2022/2023-Genap")))))))))))))</f>
        <v>2017/2018-Genap</v>
      </c>
      <c r="R4492" s="8" t="s">
        <v>260</v>
      </c>
      <c r="S4492" t="str">
        <f t="shared" si="609"/>
        <v>PA</v>
      </c>
    </row>
    <row r="4493" spans="1:19" x14ac:dyDescent="0.3">
      <c r="A4493" t="s">
        <v>8</v>
      </c>
      <c r="B4493">
        <v>2016210038</v>
      </c>
      <c r="C4493" t="s">
        <v>359</v>
      </c>
      <c r="E4493" t="s">
        <v>105</v>
      </c>
      <c r="F4493" t="s">
        <v>106</v>
      </c>
      <c r="G4493">
        <v>2</v>
      </c>
      <c r="H4493" t="s">
        <v>524</v>
      </c>
      <c r="I4493" s="4">
        <f t="shared" si="610"/>
        <v>2</v>
      </c>
      <c r="J4493">
        <f t="shared" si="611"/>
        <v>4</v>
      </c>
      <c r="K4493">
        <v>50</v>
      </c>
      <c r="L4493">
        <v>22</v>
      </c>
      <c r="M4493">
        <v>2.27</v>
      </c>
      <c r="N4493" s="2">
        <v>3.1</v>
      </c>
      <c r="O4493">
        <v>0</v>
      </c>
      <c r="P4493">
        <v>3</v>
      </c>
      <c r="Q4493" s="4" t="str">
        <f>IF(P4493=1,"2016/2017-Ganjil",IF(P4493=2,"2016/2017-Genap",IF(P4493=3,"2017/2018-Ganjil",IF(P4493=4,"2017/2018-Genap",IF(P4493=5,"2018/2019-Ganjil",IF(P4493=6,"2018/2019-Genap",IF(P4493=7,"2019/2020-Ganjil",IF(P4493=8,"2019/2020-Genap",IF(P4493=9,"2020/2021-Ganjil",IF(P4493=10,"2020/2021-Genap",IF(P4493=11,"2021/2022-Ganjil",IF(P4493=12,"2021/2022-Genap",IF(P4493=13,"2022/2023-Ganjil","2022/2023-Genap")))))))))))))</f>
        <v>2017/2018-Ganjil</v>
      </c>
      <c r="R4493" s="8" t="s">
        <v>260</v>
      </c>
      <c r="S4493" t="str">
        <f t="shared" si="609"/>
        <v>PA</v>
      </c>
    </row>
    <row r="4494" spans="1:19" x14ac:dyDescent="0.3">
      <c r="A4494" t="s">
        <v>8</v>
      </c>
      <c r="B4494">
        <v>2016210038</v>
      </c>
      <c r="C4494" t="s">
        <v>359</v>
      </c>
      <c r="E4494" t="s">
        <v>176</v>
      </c>
      <c r="F4494" t="s">
        <v>177</v>
      </c>
      <c r="G4494">
        <v>4</v>
      </c>
      <c r="H4494" t="s">
        <v>524</v>
      </c>
      <c r="I4494" s="4">
        <f t="shared" si="610"/>
        <v>2</v>
      </c>
      <c r="J4494">
        <f t="shared" si="611"/>
        <v>8</v>
      </c>
      <c r="K4494">
        <v>62</v>
      </c>
      <c r="L4494">
        <v>22</v>
      </c>
      <c r="M4494">
        <v>2.82</v>
      </c>
      <c r="N4494" s="2">
        <v>3.1</v>
      </c>
      <c r="O4494">
        <v>0</v>
      </c>
      <c r="P4494">
        <v>5</v>
      </c>
      <c r="Q4494" s="4" t="str">
        <f>IF(P4494=1,"2016/2017-Ganjil",IF(P4494=2,"2016/2017-Genap",IF(P4494=3,"2017/2018-Ganjil",IF(P4494=4,"2017/2018-Genap",IF(P4494=5,"2018/2019-Ganjil",IF(P4494=6,"2018/2019-Genap",IF(P4494=7,"2019/2020-Ganjil",IF(P4494=8,"2019/2020-Genap",IF(P4494=9,"2020/2021-Ganjil",IF(P4494=10,"2020/2021-Genap",IF(P4494=11,"2021/2022-Ganjil",IF(P4494=12,"2021/2022-Genap",IF(P4494=13,"2022/2023-Ganjil","2022/2023-Genap")))))))))))))</f>
        <v>2018/2019-Ganjil</v>
      </c>
      <c r="R4494" s="8" t="s">
        <v>260</v>
      </c>
      <c r="S4494" t="str">
        <f t="shared" si="609"/>
        <v>PA</v>
      </c>
    </row>
    <row r="4495" spans="1:19" x14ac:dyDescent="0.3">
      <c r="A4495" t="s">
        <v>8</v>
      </c>
      <c r="B4495">
        <v>2016210038</v>
      </c>
      <c r="C4495" t="s">
        <v>359</v>
      </c>
      <c r="E4495" t="s">
        <v>216</v>
      </c>
      <c r="F4495" t="s">
        <v>217</v>
      </c>
      <c r="G4495">
        <v>2</v>
      </c>
      <c r="H4495" t="s">
        <v>535</v>
      </c>
      <c r="I4495" s="4">
        <f t="shared" si="610"/>
        <v>1</v>
      </c>
      <c r="J4495">
        <f t="shared" si="611"/>
        <v>2</v>
      </c>
      <c r="K4495">
        <v>52</v>
      </c>
      <c r="L4495">
        <v>20</v>
      </c>
      <c r="M4495" s="2">
        <v>2.6</v>
      </c>
      <c r="N4495" s="2">
        <v>3.1</v>
      </c>
      <c r="O4495">
        <v>0</v>
      </c>
      <c r="P4495">
        <v>4</v>
      </c>
      <c r="Q4495" s="4" t="str">
        <f>IF(P4495=1,"2016/2017-Ganjil",IF(P4495=2,"2016/2017-Genap",IF(P4495=3,"2017/2018-Ganjil",IF(P4495=4,"2017/2018-Genap",IF(P4495=5,"2018/2019-Ganjil",IF(P4495=6,"2018/2019-Genap",IF(P4495=7,"2019/2020-Ganjil",IF(P4495=8,"2019/2020-Genap",IF(P4495=9,"2020/2021-Ganjil",IF(P4495=10,"2020/2021-Genap",IF(P4495=11,"2021/2022-Ganjil",IF(P4495=12,"2021/2022-Genap",IF(P4495=13,"2022/2023-Ganjil","2022/2023-Genap")))))))))))))</f>
        <v>2017/2018-Genap</v>
      </c>
      <c r="R4495" s="8" t="s">
        <v>260</v>
      </c>
      <c r="S4495" t="str">
        <f t="shared" si="609"/>
        <v>FA</v>
      </c>
    </row>
    <row r="4496" spans="1:19" x14ac:dyDescent="0.3">
      <c r="A4496" t="s">
        <v>8</v>
      </c>
      <c r="B4496">
        <v>2016210038</v>
      </c>
      <c r="C4496" t="s">
        <v>359</v>
      </c>
      <c r="E4496" t="s">
        <v>125</v>
      </c>
      <c r="F4496" t="s">
        <v>126</v>
      </c>
      <c r="G4496">
        <v>4</v>
      </c>
      <c r="H4496" t="s">
        <v>438</v>
      </c>
      <c r="I4496" s="4">
        <f t="shared" si="610"/>
        <v>3</v>
      </c>
      <c r="J4496">
        <f t="shared" si="611"/>
        <v>12</v>
      </c>
      <c r="K4496">
        <v>58</v>
      </c>
      <c r="L4496">
        <v>18</v>
      </c>
      <c r="M4496">
        <v>3.22</v>
      </c>
      <c r="N4496" s="2">
        <v>3.1</v>
      </c>
      <c r="O4496">
        <v>1</v>
      </c>
      <c r="P4496">
        <v>6</v>
      </c>
      <c r="Q4496" s="4" t="s">
        <v>572</v>
      </c>
      <c r="R4496" s="8" t="s">
        <v>260</v>
      </c>
      <c r="S4496" t="str">
        <f t="shared" si="609"/>
        <v>PA</v>
      </c>
    </row>
    <row r="4497" spans="1:19" x14ac:dyDescent="0.3">
      <c r="A4497" t="s">
        <v>8</v>
      </c>
      <c r="B4497">
        <v>2016210038</v>
      </c>
      <c r="C4497" t="s">
        <v>359</v>
      </c>
      <c r="E4497" t="s">
        <v>395</v>
      </c>
      <c r="F4497" t="s">
        <v>396</v>
      </c>
      <c r="G4497">
        <v>2</v>
      </c>
      <c r="H4497" t="s">
        <v>438</v>
      </c>
      <c r="I4497" s="4">
        <f t="shared" si="610"/>
        <v>3</v>
      </c>
      <c r="J4497">
        <f t="shared" si="611"/>
        <v>6</v>
      </c>
      <c r="K4497">
        <v>58</v>
      </c>
      <c r="L4497">
        <v>18</v>
      </c>
      <c r="M4497">
        <v>3.22</v>
      </c>
      <c r="N4497" s="2">
        <v>3.1</v>
      </c>
      <c r="O4497">
        <v>1</v>
      </c>
      <c r="P4497">
        <v>6</v>
      </c>
      <c r="Q4497" s="4" t="s">
        <v>572</v>
      </c>
      <c r="R4497" s="8" t="s">
        <v>260</v>
      </c>
      <c r="S4497" t="str">
        <f t="shared" si="609"/>
        <v>PA</v>
      </c>
    </row>
    <row r="4498" spans="1:19" x14ac:dyDescent="0.3">
      <c r="A4498" t="s">
        <v>8</v>
      </c>
      <c r="B4498">
        <v>2016210038</v>
      </c>
      <c r="C4498" t="s">
        <v>359</v>
      </c>
      <c r="E4498" t="s">
        <v>401</v>
      </c>
      <c r="F4498" t="s">
        <v>258</v>
      </c>
      <c r="G4498">
        <v>4</v>
      </c>
      <c r="H4498" t="s">
        <v>535</v>
      </c>
      <c r="I4498" s="4">
        <f t="shared" si="610"/>
        <v>1</v>
      </c>
      <c r="J4498">
        <f t="shared" si="611"/>
        <v>4</v>
      </c>
      <c r="K4498">
        <v>50</v>
      </c>
      <c r="L4498">
        <v>22</v>
      </c>
      <c r="M4498">
        <v>2.27</v>
      </c>
      <c r="N4498" s="2">
        <v>3.1</v>
      </c>
      <c r="O4498">
        <v>0</v>
      </c>
      <c r="P4498">
        <v>3</v>
      </c>
      <c r="Q4498" s="4" t="str">
        <f>IF(P4498=1,"2016/2017-Ganjil",IF(P4498=2,"2016/2017-Genap",IF(P4498=3,"2017/2018-Ganjil",IF(P4498=4,"2017/2018-Genap",IF(P4498=5,"2018/2019-Ganjil",IF(P4498=6,"2018/2019-Genap",IF(P4498=7,"2019/2020-Ganjil",IF(P4498=8,"2019/2020-Genap",IF(P4498=9,"2020/2021-Ganjil",IF(P4498=10,"2020/2021-Genap",IF(P4498=11,"2021/2022-Ganjil",IF(P4498=12,"2021/2022-Genap",IF(P4498=13,"2022/2023-Ganjil","2022/2023-Genap")))))))))))))</f>
        <v>2017/2018-Ganjil</v>
      </c>
      <c r="R4498" s="8" t="s">
        <v>260</v>
      </c>
      <c r="S4498" t="str">
        <f t="shared" si="609"/>
        <v>FA</v>
      </c>
    </row>
    <row r="4499" spans="1:19" x14ac:dyDescent="0.3">
      <c r="A4499" t="s">
        <v>8</v>
      </c>
      <c r="B4499">
        <v>2016210038</v>
      </c>
      <c r="C4499" t="s">
        <v>359</v>
      </c>
      <c r="E4499" t="s">
        <v>216</v>
      </c>
      <c r="F4499" t="s">
        <v>217</v>
      </c>
      <c r="G4499">
        <v>2</v>
      </c>
      <c r="H4499" t="s">
        <v>438</v>
      </c>
      <c r="I4499" s="4">
        <f t="shared" si="610"/>
        <v>3</v>
      </c>
      <c r="J4499">
        <f t="shared" si="611"/>
        <v>6</v>
      </c>
      <c r="K4499">
        <v>58</v>
      </c>
      <c r="L4499">
        <v>18</v>
      </c>
      <c r="M4499">
        <v>3.22</v>
      </c>
      <c r="N4499" s="2">
        <v>3.1</v>
      </c>
      <c r="O4499">
        <v>1</v>
      </c>
      <c r="P4499">
        <v>6</v>
      </c>
      <c r="Q4499" s="4" t="s">
        <v>572</v>
      </c>
      <c r="R4499" s="8" t="s">
        <v>260</v>
      </c>
      <c r="S4499" t="str">
        <f t="shared" si="609"/>
        <v>PA</v>
      </c>
    </row>
    <row r="4500" spans="1:19" x14ac:dyDescent="0.3">
      <c r="A4500" t="s">
        <v>8</v>
      </c>
      <c r="B4500">
        <v>2016210038</v>
      </c>
      <c r="C4500" t="s">
        <v>359</v>
      </c>
      <c r="E4500" t="s">
        <v>125</v>
      </c>
      <c r="F4500" t="s">
        <v>126</v>
      </c>
      <c r="G4500">
        <v>4</v>
      </c>
      <c r="H4500" t="s">
        <v>535</v>
      </c>
      <c r="I4500" s="4">
        <f t="shared" si="610"/>
        <v>1</v>
      </c>
      <c r="J4500">
        <f t="shared" si="611"/>
        <v>4</v>
      </c>
      <c r="K4500">
        <v>52</v>
      </c>
      <c r="L4500">
        <v>18</v>
      </c>
      <c r="M4500">
        <v>2.89</v>
      </c>
      <c r="N4500" s="2">
        <v>3.1</v>
      </c>
      <c r="O4500">
        <v>0</v>
      </c>
      <c r="P4500">
        <v>2</v>
      </c>
      <c r="Q4500" s="4" t="str">
        <f>IF(P4500=1,"2016/2017-Ganjil",IF(P4500=2,"2016/2017-Genap",IF(P4500=3,"2017/2018-Ganjil",IF(P4500=4,"2017/2018-Genap",IF(P4500=5,"2018/2019-Ganjil",IF(P4500=6,"2018/2019-Genap",IF(P4500=7,"2019/2020-Ganjil",IF(P4500=8,"2019/2020-Genap",IF(P4500=9,"2020/2021-Ganjil",IF(P4500=10,"2020/2021-Genap",IF(P4500=11,"2021/2022-Ganjil",IF(P4500=12,"2021/2022-Genap",IF(P4500=13,"2022/2023-Ganjil","2022/2023-Genap")))))))))))))</f>
        <v>2016/2017-Genap</v>
      </c>
      <c r="R4500" s="8" t="s">
        <v>260</v>
      </c>
      <c r="S4500" t="str">
        <f t="shared" si="609"/>
        <v>FA</v>
      </c>
    </row>
    <row r="4501" spans="1:19" x14ac:dyDescent="0.3">
      <c r="A4501" t="s">
        <v>8</v>
      </c>
      <c r="B4501">
        <v>2016210038</v>
      </c>
      <c r="C4501" t="s">
        <v>359</v>
      </c>
      <c r="E4501" t="s">
        <v>395</v>
      </c>
      <c r="F4501" t="s">
        <v>396</v>
      </c>
      <c r="G4501">
        <v>2</v>
      </c>
      <c r="H4501" t="s">
        <v>535</v>
      </c>
      <c r="I4501" s="4">
        <f t="shared" si="610"/>
        <v>1</v>
      </c>
      <c r="J4501">
        <f t="shared" si="611"/>
        <v>2</v>
      </c>
      <c r="K4501">
        <v>58</v>
      </c>
      <c r="L4501">
        <v>20</v>
      </c>
      <c r="M4501" s="2">
        <v>2.9</v>
      </c>
      <c r="N4501" s="2">
        <v>3.1</v>
      </c>
      <c r="O4501">
        <v>0</v>
      </c>
      <c r="P4501">
        <v>1</v>
      </c>
      <c r="Q4501" s="4" t="str">
        <f>IF(P4501=1,"2016/2017-Ganjil",IF(P4501=2,"2016/2017-Genap",IF(P4501=3,"2017/2018-Ganjil",IF(P4501=4,"2017/2018-Genap",IF(P4501=5,"2018/2019-Ganjil",IF(P4501=6,"2018/2019-Genap",IF(P4501=7,"2019/2020-Ganjil",IF(P4501=8,"2019/2020-Genap",IF(P4501=9,"2020/2021-Ganjil",IF(P4501=10,"2020/2021-Genap",IF(P4501=11,"2021/2022-Ganjil",IF(P4501=12,"2021/2022-Genap",IF(P4501=13,"2022/2023-Ganjil","2022/2023-Genap")))))))))))))</f>
        <v>2016/2017-Ganjil</v>
      </c>
      <c r="R4501" s="8" t="s">
        <v>260</v>
      </c>
      <c r="S4501" t="str">
        <f t="shared" si="609"/>
        <v>FA</v>
      </c>
    </row>
    <row r="4502" spans="1:19" x14ac:dyDescent="0.3">
      <c r="A4502" t="s">
        <v>8</v>
      </c>
      <c r="B4502">
        <v>2016210038</v>
      </c>
      <c r="C4502" t="s">
        <v>359</v>
      </c>
      <c r="E4502" t="s">
        <v>401</v>
      </c>
      <c r="F4502" t="s">
        <v>258</v>
      </c>
      <c r="G4502">
        <v>4</v>
      </c>
      <c r="H4502" t="s">
        <v>438</v>
      </c>
      <c r="I4502" s="4">
        <f t="shared" si="610"/>
        <v>3</v>
      </c>
      <c r="J4502">
        <f t="shared" si="611"/>
        <v>12</v>
      </c>
      <c r="K4502">
        <v>58</v>
      </c>
      <c r="L4502">
        <v>18</v>
      </c>
      <c r="M4502">
        <v>3.22</v>
      </c>
      <c r="N4502" s="2">
        <v>3.1</v>
      </c>
      <c r="O4502">
        <v>1</v>
      </c>
      <c r="P4502">
        <v>6</v>
      </c>
      <c r="Q4502" s="4" t="s">
        <v>572</v>
      </c>
      <c r="R4502" s="8" t="s">
        <v>260</v>
      </c>
      <c r="S4502" t="str">
        <f t="shared" si="609"/>
        <v>PA</v>
      </c>
    </row>
    <row r="4503" spans="1:19" x14ac:dyDescent="0.3">
      <c r="A4503" t="s">
        <v>8</v>
      </c>
      <c r="B4503">
        <v>2016210038</v>
      </c>
      <c r="C4503" t="s">
        <v>359</v>
      </c>
      <c r="E4503" t="s">
        <v>182</v>
      </c>
      <c r="F4503" t="s">
        <v>171</v>
      </c>
      <c r="G4503">
        <v>2</v>
      </c>
      <c r="H4503" t="s">
        <v>535</v>
      </c>
      <c r="I4503" s="4">
        <f t="shared" si="610"/>
        <v>1</v>
      </c>
      <c r="J4503">
        <f t="shared" si="611"/>
        <v>2</v>
      </c>
      <c r="K4503">
        <v>50</v>
      </c>
      <c r="L4503">
        <v>22</v>
      </c>
      <c r="M4503">
        <v>2.27</v>
      </c>
      <c r="N4503" s="2">
        <v>3.1</v>
      </c>
      <c r="O4503">
        <v>0</v>
      </c>
      <c r="P4503">
        <v>3</v>
      </c>
      <c r="Q4503" s="4" t="str">
        <f>IF(P4503=1,"2016/2017-Ganjil",IF(P4503=2,"2016/2017-Genap",IF(P4503=3,"2017/2018-Ganjil",IF(P4503=4,"2017/2018-Genap",IF(P4503=5,"2018/2019-Ganjil",IF(P4503=6,"2018/2019-Genap",IF(P4503=7,"2019/2020-Ganjil",IF(P4503=8,"2019/2020-Genap",IF(P4503=9,"2020/2021-Ganjil",IF(P4503=10,"2020/2021-Genap",IF(P4503=11,"2021/2022-Ganjil",IF(P4503=12,"2021/2022-Genap",IF(P4503=13,"2022/2023-Ganjil","2022/2023-Genap")))))))))))))</f>
        <v>2017/2018-Ganjil</v>
      </c>
      <c r="R4503" s="8" t="s">
        <v>260</v>
      </c>
      <c r="S4503" t="str">
        <f t="shared" si="609"/>
        <v>FA</v>
      </c>
    </row>
    <row r="4504" spans="1:19" x14ac:dyDescent="0.3">
      <c r="A4504" t="s">
        <v>8</v>
      </c>
      <c r="B4504">
        <v>2016210038</v>
      </c>
      <c r="C4504" t="s">
        <v>359</v>
      </c>
      <c r="E4504" t="s">
        <v>182</v>
      </c>
      <c r="F4504" t="s">
        <v>171</v>
      </c>
      <c r="G4504">
        <v>2</v>
      </c>
      <c r="H4504" t="s">
        <v>438</v>
      </c>
      <c r="I4504" s="4">
        <f t="shared" si="610"/>
        <v>3</v>
      </c>
      <c r="J4504">
        <f t="shared" si="611"/>
        <v>6</v>
      </c>
      <c r="K4504">
        <v>62</v>
      </c>
      <c r="L4504">
        <v>22</v>
      </c>
      <c r="M4504">
        <v>2.82</v>
      </c>
      <c r="N4504" s="2">
        <v>3.1</v>
      </c>
      <c r="O4504">
        <v>1</v>
      </c>
      <c r="P4504">
        <v>5</v>
      </c>
      <c r="Q4504" s="4" t="str">
        <f>IF(P4504=1,"2016/2017-Ganjil",IF(P4504=2,"2016/2017-Genap",IF(P4504=3,"2017/2018-Ganjil",IF(P4504=4,"2017/2018-Genap",IF(P4504=5,"2018/2019-Ganjil",IF(P4504=6,"2018/2019-Genap",IF(P4504=7,"2019/2020-Ganjil",IF(P4504=8,"2019/2020-Genap",IF(P4504=9,"2020/2021-Ganjil",IF(P4504=10,"2020/2021-Genap",IF(P4504=11,"2021/2022-Ganjil",IF(P4504=12,"2021/2022-Genap",IF(P4504=13,"2022/2023-Ganjil","2022/2023-Genap")))))))))))))</f>
        <v>2018/2019-Ganjil</v>
      </c>
      <c r="R4504" s="8" t="s">
        <v>260</v>
      </c>
      <c r="S4504" t="str">
        <f t="shared" si="609"/>
        <v>PA</v>
      </c>
    </row>
    <row r="4505" spans="1:19" x14ac:dyDescent="0.3">
      <c r="A4505" t="s">
        <v>8</v>
      </c>
      <c r="B4505">
        <v>2016210038</v>
      </c>
      <c r="C4505" t="s">
        <v>359</v>
      </c>
      <c r="E4505" t="s">
        <v>44</v>
      </c>
      <c r="F4505" t="s">
        <v>45</v>
      </c>
      <c r="G4505">
        <v>2</v>
      </c>
      <c r="H4505" t="s">
        <v>539</v>
      </c>
      <c r="I4505" s="4">
        <f t="shared" si="610"/>
        <v>0</v>
      </c>
      <c r="J4505">
        <f t="shared" si="611"/>
        <v>0</v>
      </c>
      <c r="K4505">
        <v>62</v>
      </c>
      <c r="L4505">
        <v>22</v>
      </c>
      <c r="M4505">
        <v>2.82</v>
      </c>
      <c r="N4505" s="2">
        <v>3.1</v>
      </c>
      <c r="O4505">
        <v>0</v>
      </c>
      <c r="P4505">
        <v>6</v>
      </c>
      <c r="Q4505" s="4" t="str">
        <f>IF(P4505=1,"2016/2017-Ganjil",IF(P4505=2,"2016/2017-Genap",IF(P4505=3,"2017/2018-Ganjil",IF(P4505=4,"2017/2018-Genap",IF(P4505=5,"2018/2019-Ganjil",IF(P4505=6,"2018/2019-Genap",IF(P4505=7,"2019/2020-Ganjil",IF(P4505=8,"2019/2020-Genap",IF(P4505=9,"2020/2021-Ganjil",IF(P4505=10,"2020/2021-Genap",IF(P4505=11,"2021/2022-Ganjil",IF(P4505=12,"2021/2022-Genap",IF(P4505=13,"2022/2023-Ganjil","2022/2023-Genap")))))))))))))</f>
        <v>2018/2019-Genap</v>
      </c>
      <c r="R4505" s="8" t="s">
        <v>260</v>
      </c>
      <c r="S4505" t="str">
        <f t="shared" si="609"/>
        <v>FA</v>
      </c>
    </row>
    <row r="4506" spans="1:19" x14ac:dyDescent="0.3">
      <c r="A4506" t="s">
        <v>8</v>
      </c>
      <c r="B4506">
        <v>2016210038</v>
      </c>
      <c r="C4506" t="s">
        <v>359</v>
      </c>
      <c r="E4506" t="s">
        <v>44</v>
      </c>
      <c r="F4506" t="s">
        <v>45</v>
      </c>
      <c r="G4506">
        <v>2</v>
      </c>
      <c r="H4506" t="s">
        <v>438</v>
      </c>
      <c r="I4506" s="4">
        <f t="shared" si="610"/>
        <v>3</v>
      </c>
      <c r="J4506">
        <f t="shared" si="611"/>
        <v>6</v>
      </c>
      <c r="K4506">
        <v>58</v>
      </c>
      <c r="L4506">
        <v>18</v>
      </c>
      <c r="M4506">
        <v>3.22</v>
      </c>
      <c r="N4506" s="2">
        <v>3.1</v>
      </c>
      <c r="O4506">
        <v>1</v>
      </c>
      <c r="P4506">
        <v>6</v>
      </c>
      <c r="Q4506" s="4" t="s">
        <v>572</v>
      </c>
      <c r="R4506" s="8" t="s">
        <v>260</v>
      </c>
      <c r="S4506" t="str">
        <f t="shared" si="609"/>
        <v>PA</v>
      </c>
    </row>
    <row r="4507" spans="1:19" x14ac:dyDescent="0.3">
      <c r="A4507" t="s">
        <v>8</v>
      </c>
      <c r="B4507">
        <v>2016210039</v>
      </c>
      <c r="C4507" t="s">
        <v>37</v>
      </c>
      <c r="E4507" t="s">
        <v>17</v>
      </c>
      <c r="F4507" t="s">
        <v>11</v>
      </c>
      <c r="G4507">
        <v>2</v>
      </c>
      <c r="I4507" s="4"/>
      <c r="J4507">
        <f t="shared" ref="J4507:J4508" si="613">G4507*I4507</f>
        <v>0</v>
      </c>
      <c r="K4507">
        <v>46</v>
      </c>
      <c r="L4507">
        <v>22</v>
      </c>
      <c r="M4507">
        <v>2.09</v>
      </c>
      <c r="N4507" s="2">
        <v>2.94</v>
      </c>
      <c r="O4507">
        <v>0</v>
      </c>
      <c r="P4507">
        <v>6</v>
      </c>
      <c r="Q4507" s="4" t="str">
        <f t="shared" ref="Q4507:Q4519" si="614">IF(P4507=1,"2016/2017-Ganjil",IF(P4507=2,"2016/2017-Genap",IF(P4507=3,"2017/2018-Ganjil",IF(P4507=4,"2017/2018-Genap",IF(P4507=5,"2018/2019-Ganjil",IF(P4507=6,"2018/2019-Genap",IF(P4507=7,"2019/2020-Ganjil",IF(P4507=8,"2019/2020-Genap",IF(P4507=9,"2020/2021-Ganjil",IF(P4507=10,"2020/2021-Genap",IF(P4507=11,"2021/2022-Ganjil",IF(P4507=12,"2021/2022-Genap",IF(P4507=13,"2022/2023-Ganjil","2022/2023-Genap")))))))))))))</f>
        <v>2018/2019-Genap</v>
      </c>
      <c r="R4507" s="8" t="s">
        <v>260</v>
      </c>
      <c r="S4507" t="s">
        <v>595</v>
      </c>
    </row>
    <row r="4508" spans="1:19" x14ac:dyDescent="0.3">
      <c r="A4508" t="s">
        <v>8</v>
      </c>
      <c r="B4508">
        <v>2016210039</v>
      </c>
      <c r="C4508" t="s">
        <v>37</v>
      </c>
      <c r="E4508" t="s">
        <v>17</v>
      </c>
      <c r="F4508" t="s">
        <v>11</v>
      </c>
      <c r="G4508">
        <v>2</v>
      </c>
      <c r="H4508" t="s">
        <v>438</v>
      </c>
      <c r="I4508" s="4">
        <f t="shared" ref="I4508" si="615">IF(H4508="A",4,IF(H4508="B",3,IF(H4508="C",2,IF(H4508="D",1,0))))</f>
        <v>3</v>
      </c>
      <c r="J4508">
        <f t="shared" si="613"/>
        <v>6</v>
      </c>
      <c r="K4508">
        <v>30</v>
      </c>
      <c r="L4508">
        <v>10</v>
      </c>
      <c r="M4508" s="2">
        <v>3</v>
      </c>
      <c r="N4508" s="2">
        <v>2.94</v>
      </c>
      <c r="O4508">
        <v>1</v>
      </c>
      <c r="P4508">
        <v>7</v>
      </c>
      <c r="Q4508" s="4" t="str">
        <f t="shared" si="614"/>
        <v>2019/2020-Ganjil</v>
      </c>
      <c r="R4508" s="8" t="s">
        <v>260</v>
      </c>
      <c r="S4508" t="str">
        <f t="shared" ref="S4508:S4565" si="616">IF(OR(H4508="A",H4508="B",H4508="C"),"PA","FA")</f>
        <v>PA</v>
      </c>
    </row>
    <row r="4509" spans="1:19" x14ac:dyDescent="0.3">
      <c r="A4509" t="s">
        <v>8</v>
      </c>
      <c r="B4509">
        <v>2016210039</v>
      </c>
      <c r="C4509" t="s">
        <v>37</v>
      </c>
      <c r="E4509" t="s">
        <v>242</v>
      </c>
      <c r="F4509" t="s">
        <v>166</v>
      </c>
      <c r="G4509">
        <v>2</v>
      </c>
      <c r="H4509" t="s">
        <v>260</v>
      </c>
      <c r="I4509" s="4">
        <f t="shared" ref="I4509:I4565" si="617">IF(H4509="A",4,IF(H4509="B",3,IF(H4509="C",2,IF(H4509="D",1,0))))</f>
        <v>4</v>
      </c>
      <c r="J4509">
        <f t="shared" ref="J4509:J4565" si="618">G4509*I4509</f>
        <v>8</v>
      </c>
      <c r="K4509">
        <v>50</v>
      </c>
      <c r="L4509">
        <v>18</v>
      </c>
      <c r="M4509">
        <v>2.78</v>
      </c>
      <c r="N4509" s="2">
        <v>2.94</v>
      </c>
      <c r="O4509">
        <v>0</v>
      </c>
      <c r="P4509">
        <v>4</v>
      </c>
      <c r="Q4509" s="4" t="str">
        <f t="shared" si="614"/>
        <v>2017/2018-Genap</v>
      </c>
      <c r="R4509" s="8" t="s">
        <v>260</v>
      </c>
      <c r="S4509" t="str">
        <f t="shared" si="616"/>
        <v>PA</v>
      </c>
    </row>
    <row r="4510" spans="1:19" x14ac:dyDescent="0.3">
      <c r="A4510" t="s">
        <v>8</v>
      </c>
      <c r="B4510">
        <v>2016210039</v>
      </c>
      <c r="C4510" t="s">
        <v>37</v>
      </c>
      <c r="E4510" t="s">
        <v>232</v>
      </c>
      <c r="F4510" t="s">
        <v>245</v>
      </c>
      <c r="G4510">
        <v>2</v>
      </c>
      <c r="H4510" t="s">
        <v>260</v>
      </c>
      <c r="I4510" s="4">
        <f t="shared" si="617"/>
        <v>4</v>
      </c>
      <c r="J4510">
        <f t="shared" si="618"/>
        <v>8</v>
      </c>
      <c r="K4510">
        <v>56</v>
      </c>
      <c r="L4510">
        <v>18</v>
      </c>
      <c r="M4510">
        <v>3.11</v>
      </c>
      <c r="N4510" s="2">
        <v>2.94</v>
      </c>
      <c r="O4510">
        <v>0</v>
      </c>
      <c r="P4510">
        <v>2</v>
      </c>
      <c r="Q4510" s="4" t="str">
        <f t="shared" si="614"/>
        <v>2016/2017-Genap</v>
      </c>
      <c r="R4510" s="8" t="s">
        <v>260</v>
      </c>
      <c r="S4510" t="str">
        <f t="shared" si="616"/>
        <v>PA</v>
      </c>
    </row>
    <row r="4511" spans="1:19" x14ac:dyDescent="0.3">
      <c r="A4511" t="s">
        <v>8</v>
      </c>
      <c r="B4511">
        <v>2016210039</v>
      </c>
      <c r="C4511" t="s">
        <v>37</v>
      </c>
      <c r="E4511" t="s">
        <v>77</v>
      </c>
      <c r="F4511" t="s">
        <v>78</v>
      </c>
      <c r="G4511">
        <v>2</v>
      </c>
      <c r="H4511" t="s">
        <v>260</v>
      </c>
      <c r="I4511" s="4">
        <f t="shared" si="617"/>
        <v>4</v>
      </c>
      <c r="J4511">
        <f t="shared" si="618"/>
        <v>8</v>
      </c>
      <c r="K4511">
        <v>56</v>
      </c>
      <c r="L4511">
        <v>20</v>
      </c>
      <c r="M4511" s="2">
        <v>2.8</v>
      </c>
      <c r="N4511" s="2">
        <v>2.94</v>
      </c>
      <c r="O4511">
        <v>0</v>
      </c>
      <c r="P4511">
        <v>1</v>
      </c>
      <c r="Q4511" s="4" t="str">
        <f t="shared" si="614"/>
        <v>2016/2017-Ganjil</v>
      </c>
      <c r="R4511" s="8" t="s">
        <v>260</v>
      </c>
      <c r="S4511" t="str">
        <f t="shared" si="616"/>
        <v>PA</v>
      </c>
    </row>
    <row r="4512" spans="1:19" x14ac:dyDescent="0.3">
      <c r="A4512" t="s">
        <v>8</v>
      </c>
      <c r="B4512">
        <v>2016210039</v>
      </c>
      <c r="C4512" t="s">
        <v>37</v>
      </c>
      <c r="E4512" t="s">
        <v>22</v>
      </c>
      <c r="F4512" t="s">
        <v>23</v>
      </c>
      <c r="G4512">
        <v>2</v>
      </c>
      <c r="H4512" t="s">
        <v>260</v>
      </c>
      <c r="I4512" s="4">
        <f t="shared" si="617"/>
        <v>4</v>
      </c>
      <c r="J4512">
        <f t="shared" si="618"/>
        <v>8</v>
      </c>
      <c r="K4512">
        <v>56</v>
      </c>
      <c r="L4512">
        <v>18</v>
      </c>
      <c r="M4512">
        <v>3.11</v>
      </c>
      <c r="N4512" s="2">
        <v>2.94</v>
      </c>
      <c r="O4512">
        <v>0</v>
      </c>
      <c r="P4512">
        <v>2</v>
      </c>
      <c r="Q4512" s="4" t="str">
        <f t="shared" si="614"/>
        <v>2016/2017-Genap</v>
      </c>
      <c r="R4512" s="8" t="s">
        <v>260</v>
      </c>
      <c r="S4512" t="str">
        <f t="shared" si="616"/>
        <v>PA</v>
      </c>
    </row>
    <row r="4513" spans="1:19" x14ac:dyDescent="0.3">
      <c r="A4513" t="s">
        <v>8</v>
      </c>
      <c r="B4513">
        <v>2016210039</v>
      </c>
      <c r="C4513" t="s">
        <v>37</v>
      </c>
      <c r="E4513" t="s">
        <v>266</v>
      </c>
      <c r="F4513" t="s">
        <v>91</v>
      </c>
      <c r="G4513">
        <v>2</v>
      </c>
      <c r="H4513" t="s">
        <v>260</v>
      </c>
      <c r="I4513" s="4">
        <f t="shared" si="617"/>
        <v>4</v>
      </c>
      <c r="J4513">
        <f t="shared" si="618"/>
        <v>8</v>
      </c>
      <c r="K4513">
        <v>56</v>
      </c>
      <c r="L4513">
        <v>18</v>
      </c>
      <c r="M4513">
        <v>3.11</v>
      </c>
      <c r="N4513" s="2">
        <v>2.94</v>
      </c>
      <c r="O4513">
        <v>0</v>
      </c>
      <c r="P4513">
        <v>2</v>
      </c>
      <c r="Q4513" s="4" t="str">
        <f t="shared" si="614"/>
        <v>2016/2017-Genap</v>
      </c>
      <c r="R4513" s="8" t="s">
        <v>260</v>
      </c>
      <c r="S4513" t="str">
        <f t="shared" si="616"/>
        <v>PA</v>
      </c>
    </row>
    <row r="4514" spans="1:19" x14ac:dyDescent="0.3">
      <c r="A4514" t="s">
        <v>8</v>
      </c>
      <c r="B4514">
        <v>2016210039</v>
      </c>
      <c r="C4514" t="s">
        <v>37</v>
      </c>
      <c r="E4514" t="s">
        <v>295</v>
      </c>
      <c r="F4514" t="s">
        <v>296</v>
      </c>
      <c r="G4514">
        <v>2</v>
      </c>
      <c r="H4514" t="s">
        <v>260</v>
      </c>
      <c r="I4514" s="4">
        <f t="shared" si="617"/>
        <v>4</v>
      </c>
      <c r="J4514">
        <f t="shared" si="618"/>
        <v>8</v>
      </c>
      <c r="K4514">
        <v>52</v>
      </c>
      <c r="L4514">
        <v>24</v>
      </c>
      <c r="M4514">
        <v>2.17</v>
      </c>
      <c r="N4514" s="2">
        <v>2.94</v>
      </c>
      <c r="O4514">
        <v>0</v>
      </c>
      <c r="P4514">
        <v>3</v>
      </c>
      <c r="Q4514" s="4" t="str">
        <f t="shared" si="614"/>
        <v>2017/2018-Ganjil</v>
      </c>
      <c r="R4514" s="8" t="s">
        <v>260</v>
      </c>
      <c r="S4514" t="str">
        <f t="shared" si="616"/>
        <v>PA</v>
      </c>
    </row>
    <row r="4515" spans="1:19" x14ac:dyDescent="0.3">
      <c r="A4515" t="s">
        <v>8</v>
      </c>
      <c r="B4515">
        <v>2016210039</v>
      </c>
      <c r="C4515" t="s">
        <v>37</v>
      </c>
      <c r="E4515" t="s">
        <v>176</v>
      </c>
      <c r="F4515" t="s">
        <v>177</v>
      </c>
      <c r="G4515">
        <v>4</v>
      </c>
      <c r="H4515" t="s">
        <v>260</v>
      </c>
      <c r="I4515" s="4">
        <f t="shared" si="617"/>
        <v>4</v>
      </c>
      <c r="J4515">
        <f t="shared" si="618"/>
        <v>16</v>
      </c>
      <c r="K4515">
        <v>70</v>
      </c>
      <c r="L4515">
        <v>22</v>
      </c>
      <c r="M4515">
        <v>3.18</v>
      </c>
      <c r="N4515" s="2">
        <v>2.94</v>
      </c>
      <c r="O4515">
        <v>0</v>
      </c>
      <c r="P4515">
        <v>5</v>
      </c>
      <c r="Q4515" s="4" t="str">
        <f t="shared" si="614"/>
        <v>2018/2019-Ganjil</v>
      </c>
      <c r="R4515" s="8" t="s">
        <v>260</v>
      </c>
      <c r="S4515" t="str">
        <f t="shared" si="616"/>
        <v>PA</v>
      </c>
    </row>
    <row r="4516" spans="1:19" x14ac:dyDescent="0.3">
      <c r="A4516" t="s">
        <v>8</v>
      </c>
      <c r="B4516">
        <v>2016210039</v>
      </c>
      <c r="C4516" t="s">
        <v>37</v>
      </c>
      <c r="E4516" t="s">
        <v>185</v>
      </c>
      <c r="F4516" t="s">
        <v>186</v>
      </c>
      <c r="G4516">
        <v>4</v>
      </c>
      <c r="H4516" t="s">
        <v>438</v>
      </c>
      <c r="I4516" s="4">
        <f t="shared" si="617"/>
        <v>3</v>
      </c>
      <c r="J4516">
        <f t="shared" si="618"/>
        <v>12</v>
      </c>
      <c r="K4516">
        <v>30</v>
      </c>
      <c r="L4516">
        <v>10</v>
      </c>
      <c r="M4516" s="2">
        <v>3</v>
      </c>
      <c r="N4516" s="2">
        <v>2.94</v>
      </c>
      <c r="O4516">
        <v>0</v>
      </c>
      <c r="P4516">
        <v>7</v>
      </c>
      <c r="Q4516" s="4" t="str">
        <f t="shared" si="614"/>
        <v>2019/2020-Ganjil</v>
      </c>
      <c r="R4516" s="8" t="s">
        <v>260</v>
      </c>
      <c r="S4516" t="str">
        <f t="shared" si="616"/>
        <v>PA</v>
      </c>
    </row>
    <row r="4517" spans="1:19" x14ac:dyDescent="0.3">
      <c r="A4517" t="s">
        <v>8</v>
      </c>
      <c r="B4517">
        <v>2016210039</v>
      </c>
      <c r="C4517" t="s">
        <v>37</v>
      </c>
      <c r="E4517" t="s">
        <v>352</v>
      </c>
      <c r="F4517" t="s">
        <v>353</v>
      </c>
      <c r="G4517">
        <v>2</v>
      </c>
      <c r="H4517" t="s">
        <v>438</v>
      </c>
      <c r="I4517" s="4">
        <f t="shared" si="617"/>
        <v>3</v>
      </c>
      <c r="J4517">
        <f t="shared" si="618"/>
        <v>6</v>
      </c>
      <c r="K4517">
        <v>70</v>
      </c>
      <c r="L4517">
        <v>22</v>
      </c>
      <c r="M4517">
        <v>3.18</v>
      </c>
      <c r="N4517" s="2">
        <v>2.94</v>
      </c>
      <c r="O4517">
        <v>0</v>
      </c>
      <c r="P4517">
        <v>5</v>
      </c>
      <c r="Q4517" s="4" t="str">
        <f t="shared" si="614"/>
        <v>2018/2019-Ganjil</v>
      </c>
      <c r="R4517" s="8" t="s">
        <v>260</v>
      </c>
      <c r="S4517" t="str">
        <f t="shared" si="616"/>
        <v>PA</v>
      </c>
    </row>
    <row r="4518" spans="1:19" x14ac:dyDescent="0.3">
      <c r="A4518" t="s">
        <v>8</v>
      </c>
      <c r="B4518">
        <v>2016210039</v>
      </c>
      <c r="C4518" t="s">
        <v>37</v>
      </c>
      <c r="E4518" t="s">
        <v>188</v>
      </c>
      <c r="F4518" t="s">
        <v>189</v>
      </c>
      <c r="G4518">
        <v>4</v>
      </c>
      <c r="H4518" t="s">
        <v>438</v>
      </c>
      <c r="I4518" s="4">
        <f t="shared" si="617"/>
        <v>3</v>
      </c>
      <c r="J4518">
        <f t="shared" si="618"/>
        <v>12</v>
      </c>
      <c r="K4518">
        <v>70</v>
      </c>
      <c r="L4518">
        <v>22</v>
      </c>
      <c r="M4518">
        <v>3.18</v>
      </c>
      <c r="N4518" s="2">
        <v>2.94</v>
      </c>
      <c r="O4518">
        <v>0</v>
      </c>
      <c r="P4518">
        <v>5</v>
      </c>
      <c r="Q4518" s="4" t="str">
        <f t="shared" si="614"/>
        <v>2018/2019-Ganjil</v>
      </c>
      <c r="R4518" s="8" t="s">
        <v>260</v>
      </c>
      <c r="S4518" t="str">
        <f t="shared" si="616"/>
        <v>PA</v>
      </c>
    </row>
    <row r="4519" spans="1:19" x14ac:dyDescent="0.3">
      <c r="A4519" t="s">
        <v>8</v>
      </c>
      <c r="B4519">
        <v>2016210039</v>
      </c>
      <c r="C4519" t="s">
        <v>37</v>
      </c>
      <c r="E4519" t="s">
        <v>93</v>
      </c>
      <c r="F4519" t="s">
        <v>94</v>
      </c>
      <c r="G4519">
        <v>4</v>
      </c>
      <c r="H4519" t="s">
        <v>438</v>
      </c>
      <c r="I4519" s="4">
        <f t="shared" si="617"/>
        <v>3</v>
      </c>
      <c r="J4519">
        <f t="shared" si="618"/>
        <v>12</v>
      </c>
      <c r="K4519">
        <v>52</v>
      </c>
      <c r="L4519">
        <v>24</v>
      </c>
      <c r="M4519">
        <v>2.17</v>
      </c>
      <c r="N4519" s="2">
        <v>2.94</v>
      </c>
      <c r="O4519">
        <v>0</v>
      </c>
      <c r="P4519">
        <v>3</v>
      </c>
      <c r="Q4519" s="4" t="str">
        <f t="shared" si="614"/>
        <v>2017/2018-Ganjil</v>
      </c>
      <c r="R4519" s="8" t="s">
        <v>260</v>
      </c>
      <c r="S4519" t="str">
        <f t="shared" si="616"/>
        <v>PA</v>
      </c>
    </row>
    <row r="4520" spans="1:19" x14ac:dyDescent="0.3">
      <c r="A4520" t="s">
        <v>8</v>
      </c>
      <c r="B4520">
        <v>2016210039</v>
      </c>
      <c r="C4520" t="s">
        <v>37</v>
      </c>
      <c r="E4520" t="s">
        <v>216</v>
      </c>
      <c r="F4520" t="s">
        <v>217</v>
      </c>
      <c r="G4520">
        <v>2</v>
      </c>
      <c r="H4520" t="s">
        <v>438</v>
      </c>
      <c r="I4520" s="4">
        <f t="shared" si="617"/>
        <v>3</v>
      </c>
      <c r="J4520">
        <f t="shared" si="618"/>
        <v>6</v>
      </c>
      <c r="K4520">
        <v>24</v>
      </c>
      <c r="L4520">
        <v>12</v>
      </c>
      <c r="M4520" s="2">
        <v>2</v>
      </c>
      <c r="N4520" s="2">
        <v>2.94</v>
      </c>
      <c r="O4520">
        <v>0</v>
      </c>
      <c r="P4520">
        <v>8</v>
      </c>
      <c r="Q4520" t="s">
        <v>581</v>
      </c>
      <c r="R4520" t="s">
        <v>596</v>
      </c>
      <c r="S4520" t="str">
        <f t="shared" si="616"/>
        <v>PA</v>
      </c>
    </row>
    <row r="4521" spans="1:19" x14ac:dyDescent="0.3">
      <c r="A4521" t="s">
        <v>8</v>
      </c>
      <c r="B4521">
        <v>2016210039</v>
      </c>
      <c r="C4521" t="s">
        <v>37</v>
      </c>
      <c r="E4521" t="s">
        <v>202</v>
      </c>
      <c r="F4521" t="s">
        <v>203</v>
      </c>
      <c r="G4521">
        <v>4</v>
      </c>
      <c r="H4521" t="s">
        <v>438</v>
      </c>
      <c r="I4521" s="4">
        <f t="shared" si="617"/>
        <v>3</v>
      </c>
      <c r="J4521">
        <f t="shared" si="618"/>
        <v>12</v>
      </c>
      <c r="K4521">
        <v>56</v>
      </c>
      <c r="L4521">
        <v>20</v>
      </c>
      <c r="M4521" s="2">
        <v>2.8</v>
      </c>
      <c r="N4521" s="2">
        <v>2.94</v>
      </c>
      <c r="O4521">
        <v>0</v>
      </c>
      <c r="P4521">
        <v>1</v>
      </c>
      <c r="Q4521" s="4" t="str">
        <f t="shared" ref="Q4521:Q4544" si="619">IF(P4521=1,"2016/2017-Ganjil",IF(P4521=2,"2016/2017-Genap",IF(P4521=3,"2017/2018-Ganjil",IF(P4521=4,"2017/2018-Genap",IF(P4521=5,"2018/2019-Ganjil",IF(P4521=6,"2018/2019-Genap",IF(P4521=7,"2019/2020-Ganjil",IF(P4521=8,"2019/2020-Genap",IF(P4521=9,"2020/2021-Ganjil",IF(P4521=10,"2020/2021-Genap",IF(P4521=11,"2021/2022-Ganjil",IF(P4521=12,"2021/2022-Genap",IF(P4521=13,"2022/2023-Ganjil","2022/2023-Genap")))))))))))))</f>
        <v>2016/2017-Ganjil</v>
      </c>
      <c r="R4521" s="8" t="s">
        <v>260</v>
      </c>
      <c r="S4521" t="str">
        <f t="shared" si="616"/>
        <v>PA</v>
      </c>
    </row>
    <row r="4522" spans="1:19" x14ac:dyDescent="0.3">
      <c r="A4522" t="s">
        <v>8</v>
      </c>
      <c r="B4522">
        <v>2016210039</v>
      </c>
      <c r="C4522" t="s">
        <v>37</v>
      </c>
      <c r="E4522" t="s">
        <v>362</v>
      </c>
      <c r="F4522" t="s">
        <v>363</v>
      </c>
      <c r="G4522">
        <v>2</v>
      </c>
      <c r="H4522" t="s">
        <v>438</v>
      </c>
      <c r="I4522" s="4">
        <f t="shared" si="617"/>
        <v>3</v>
      </c>
      <c r="J4522">
        <f t="shared" si="618"/>
        <v>6</v>
      </c>
      <c r="K4522">
        <v>70</v>
      </c>
      <c r="L4522">
        <v>22</v>
      </c>
      <c r="M4522">
        <v>3.18</v>
      </c>
      <c r="N4522" s="2">
        <v>2.94</v>
      </c>
      <c r="O4522">
        <v>0</v>
      </c>
      <c r="P4522">
        <v>5</v>
      </c>
      <c r="Q4522" s="4" t="str">
        <f t="shared" si="619"/>
        <v>2018/2019-Ganjil</v>
      </c>
      <c r="R4522" s="8" t="s">
        <v>260</v>
      </c>
      <c r="S4522" t="str">
        <f t="shared" si="616"/>
        <v>PA</v>
      </c>
    </row>
    <row r="4523" spans="1:19" x14ac:dyDescent="0.3">
      <c r="A4523" t="s">
        <v>8</v>
      </c>
      <c r="B4523">
        <v>2016210039</v>
      </c>
      <c r="C4523" t="s">
        <v>37</v>
      </c>
      <c r="E4523" t="s">
        <v>105</v>
      </c>
      <c r="F4523" t="s">
        <v>106</v>
      </c>
      <c r="G4523">
        <v>2</v>
      </c>
      <c r="H4523" t="s">
        <v>438</v>
      </c>
      <c r="I4523" s="4">
        <f t="shared" si="617"/>
        <v>3</v>
      </c>
      <c r="J4523">
        <f t="shared" si="618"/>
        <v>6</v>
      </c>
      <c r="K4523">
        <v>52</v>
      </c>
      <c r="L4523">
        <v>24</v>
      </c>
      <c r="M4523">
        <v>2.17</v>
      </c>
      <c r="N4523" s="2">
        <v>2.94</v>
      </c>
      <c r="O4523">
        <v>0</v>
      </c>
      <c r="P4523">
        <v>3</v>
      </c>
      <c r="Q4523" s="4" t="str">
        <f t="shared" si="619"/>
        <v>2017/2018-Ganjil</v>
      </c>
      <c r="R4523" s="8" t="s">
        <v>260</v>
      </c>
      <c r="S4523" t="str">
        <f t="shared" si="616"/>
        <v>PA</v>
      </c>
    </row>
    <row r="4524" spans="1:19" x14ac:dyDescent="0.3">
      <c r="A4524" t="s">
        <v>8</v>
      </c>
      <c r="B4524">
        <v>2016210039</v>
      </c>
      <c r="C4524" t="s">
        <v>37</v>
      </c>
      <c r="E4524" t="s">
        <v>131</v>
      </c>
      <c r="F4524" t="s">
        <v>132</v>
      </c>
      <c r="G4524">
        <v>2</v>
      </c>
      <c r="H4524" t="s">
        <v>438</v>
      </c>
      <c r="I4524" s="4">
        <f t="shared" si="617"/>
        <v>3</v>
      </c>
      <c r="J4524">
        <f t="shared" si="618"/>
        <v>6</v>
      </c>
      <c r="K4524">
        <v>56</v>
      </c>
      <c r="L4524">
        <v>20</v>
      </c>
      <c r="M4524" s="2">
        <v>2.8</v>
      </c>
      <c r="N4524" s="2">
        <v>2.94</v>
      </c>
      <c r="O4524">
        <v>0</v>
      </c>
      <c r="P4524">
        <v>1</v>
      </c>
      <c r="Q4524" s="4" t="str">
        <f t="shared" si="619"/>
        <v>2016/2017-Ganjil</v>
      </c>
      <c r="R4524" s="8" t="s">
        <v>260</v>
      </c>
      <c r="S4524" t="str">
        <f t="shared" si="616"/>
        <v>PA</v>
      </c>
    </row>
    <row r="4525" spans="1:19" x14ac:dyDescent="0.3">
      <c r="A4525" t="s">
        <v>8</v>
      </c>
      <c r="B4525">
        <v>2016210039</v>
      </c>
      <c r="C4525" t="s">
        <v>37</v>
      </c>
      <c r="E4525" t="s">
        <v>253</v>
      </c>
      <c r="F4525" t="s">
        <v>254</v>
      </c>
      <c r="G4525">
        <v>2</v>
      </c>
      <c r="H4525" t="s">
        <v>438</v>
      </c>
      <c r="I4525" s="4">
        <f t="shared" si="617"/>
        <v>3</v>
      </c>
      <c r="J4525">
        <f t="shared" si="618"/>
        <v>6</v>
      </c>
      <c r="K4525">
        <v>50</v>
      </c>
      <c r="L4525">
        <v>18</v>
      </c>
      <c r="M4525">
        <v>2.78</v>
      </c>
      <c r="N4525" s="2">
        <v>2.94</v>
      </c>
      <c r="O4525">
        <v>0</v>
      </c>
      <c r="P4525">
        <v>4</v>
      </c>
      <c r="Q4525" s="4" t="str">
        <f t="shared" si="619"/>
        <v>2017/2018-Genap</v>
      </c>
      <c r="R4525" s="8" t="s">
        <v>260</v>
      </c>
      <c r="S4525" t="str">
        <f t="shared" si="616"/>
        <v>PA</v>
      </c>
    </row>
    <row r="4526" spans="1:19" x14ac:dyDescent="0.3">
      <c r="A4526" t="s">
        <v>8</v>
      </c>
      <c r="B4526">
        <v>2016210039</v>
      </c>
      <c r="C4526" t="s">
        <v>37</v>
      </c>
      <c r="E4526" t="s">
        <v>238</v>
      </c>
      <c r="F4526" t="s">
        <v>239</v>
      </c>
      <c r="G4526">
        <v>4</v>
      </c>
      <c r="H4526" t="s">
        <v>438</v>
      </c>
      <c r="I4526" s="4">
        <f t="shared" si="617"/>
        <v>3</v>
      </c>
      <c r="J4526">
        <f t="shared" si="618"/>
        <v>12</v>
      </c>
      <c r="K4526">
        <v>46</v>
      </c>
      <c r="L4526">
        <v>22</v>
      </c>
      <c r="M4526">
        <v>2.09</v>
      </c>
      <c r="N4526" s="2">
        <v>2.94</v>
      </c>
      <c r="O4526">
        <v>0</v>
      </c>
      <c r="P4526">
        <v>6</v>
      </c>
      <c r="Q4526" s="4" t="str">
        <f t="shared" si="619"/>
        <v>2018/2019-Genap</v>
      </c>
      <c r="R4526" s="8" t="s">
        <v>260</v>
      </c>
      <c r="S4526" t="str">
        <f t="shared" si="616"/>
        <v>PA</v>
      </c>
    </row>
    <row r="4527" spans="1:19" x14ac:dyDescent="0.3">
      <c r="A4527" t="s">
        <v>8</v>
      </c>
      <c r="B4527">
        <v>2016210039</v>
      </c>
      <c r="C4527" t="s">
        <v>37</v>
      </c>
      <c r="E4527" t="s">
        <v>180</v>
      </c>
      <c r="F4527" t="s">
        <v>181</v>
      </c>
      <c r="G4527">
        <v>4</v>
      </c>
      <c r="H4527" t="s">
        <v>438</v>
      </c>
      <c r="I4527" s="4">
        <f t="shared" si="617"/>
        <v>3</v>
      </c>
      <c r="J4527">
        <f t="shared" si="618"/>
        <v>12</v>
      </c>
      <c r="K4527">
        <v>50</v>
      </c>
      <c r="L4527">
        <v>18</v>
      </c>
      <c r="M4527">
        <v>2.78</v>
      </c>
      <c r="N4527" s="2">
        <v>2.94</v>
      </c>
      <c r="O4527">
        <v>0</v>
      </c>
      <c r="P4527">
        <v>4</v>
      </c>
      <c r="Q4527" s="4" t="str">
        <f t="shared" si="619"/>
        <v>2017/2018-Genap</v>
      </c>
      <c r="R4527" s="8" t="s">
        <v>260</v>
      </c>
      <c r="S4527" t="str">
        <f t="shared" si="616"/>
        <v>PA</v>
      </c>
    </row>
    <row r="4528" spans="1:19" x14ac:dyDescent="0.3">
      <c r="A4528" t="s">
        <v>8</v>
      </c>
      <c r="B4528">
        <v>2016210039</v>
      </c>
      <c r="C4528" t="s">
        <v>37</v>
      </c>
      <c r="E4528" t="s">
        <v>117</v>
      </c>
      <c r="F4528" t="s">
        <v>118</v>
      </c>
      <c r="G4528">
        <v>2</v>
      </c>
      <c r="H4528" t="s">
        <v>438</v>
      </c>
      <c r="I4528" s="4">
        <f t="shared" si="617"/>
        <v>3</v>
      </c>
      <c r="J4528">
        <f t="shared" si="618"/>
        <v>6</v>
      </c>
      <c r="K4528">
        <v>56</v>
      </c>
      <c r="L4528">
        <v>18</v>
      </c>
      <c r="M4528">
        <v>3.11</v>
      </c>
      <c r="N4528" s="2">
        <v>2.94</v>
      </c>
      <c r="O4528">
        <v>0</v>
      </c>
      <c r="P4528">
        <v>2</v>
      </c>
      <c r="Q4528" s="4" t="str">
        <f t="shared" si="619"/>
        <v>2016/2017-Genap</v>
      </c>
      <c r="R4528" s="8" t="s">
        <v>260</v>
      </c>
      <c r="S4528" t="str">
        <f t="shared" si="616"/>
        <v>PA</v>
      </c>
    </row>
    <row r="4529" spans="1:19" x14ac:dyDescent="0.3">
      <c r="A4529" t="s">
        <v>8</v>
      </c>
      <c r="B4529">
        <v>2016210039</v>
      </c>
      <c r="C4529" t="s">
        <v>37</v>
      </c>
      <c r="E4529" t="s">
        <v>107</v>
      </c>
      <c r="F4529" t="s">
        <v>108</v>
      </c>
      <c r="G4529">
        <v>2</v>
      </c>
      <c r="H4529" t="s">
        <v>438</v>
      </c>
      <c r="I4529" s="4">
        <f t="shared" si="617"/>
        <v>3</v>
      </c>
      <c r="J4529">
        <f t="shared" si="618"/>
        <v>6</v>
      </c>
      <c r="K4529">
        <v>46</v>
      </c>
      <c r="L4529">
        <v>22</v>
      </c>
      <c r="M4529">
        <v>2.09</v>
      </c>
      <c r="N4529" s="2">
        <v>2.94</v>
      </c>
      <c r="O4529">
        <v>0</v>
      </c>
      <c r="P4529">
        <v>6</v>
      </c>
      <c r="Q4529" s="4" t="str">
        <f t="shared" si="619"/>
        <v>2018/2019-Genap</v>
      </c>
      <c r="R4529" s="8" t="s">
        <v>260</v>
      </c>
      <c r="S4529" t="str">
        <f t="shared" si="616"/>
        <v>PA</v>
      </c>
    </row>
    <row r="4530" spans="1:19" x14ac:dyDescent="0.3">
      <c r="A4530" t="s">
        <v>8</v>
      </c>
      <c r="B4530">
        <v>2016210039</v>
      </c>
      <c r="C4530" t="s">
        <v>37</v>
      </c>
      <c r="E4530" t="s">
        <v>391</v>
      </c>
      <c r="F4530" t="s">
        <v>392</v>
      </c>
      <c r="G4530">
        <v>2</v>
      </c>
      <c r="H4530" t="s">
        <v>438</v>
      </c>
      <c r="I4530" s="4">
        <f t="shared" si="617"/>
        <v>3</v>
      </c>
      <c r="J4530">
        <f t="shared" si="618"/>
        <v>6</v>
      </c>
      <c r="K4530">
        <v>70</v>
      </c>
      <c r="L4530">
        <v>22</v>
      </c>
      <c r="M4530">
        <v>3.18</v>
      </c>
      <c r="N4530" s="2">
        <v>2.94</v>
      </c>
      <c r="O4530">
        <v>0</v>
      </c>
      <c r="P4530">
        <v>5</v>
      </c>
      <c r="Q4530" s="4" t="str">
        <f t="shared" si="619"/>
        <v>2018/2019-Ganjil</v>
      </c>
      <c r="R4530" s="8" t="s">
        <v>260</v>
      </c>
      <c r="S4530" t="str">
        <f t="shared" si="616"/>
        <v>PA</v>
      </c>
    </row>
    <row r="4531" spans="1:19" x14ac:dyDescent="0.3">
      <c r="A4531" t="s">
        <v>8</v>
      </c>
      <c r="B4531">
        <v>2016210039</v>
      </c>
      <c r="C4531" t="s">
        <v>37</v>
      </c>
      <c r="E4531" t="s">
        <v>193</v>
      </c>
      <c r="F4531" t="s">
        <v>194</v>
      </c>
      <c r="G4531">
        <v>4</v>
      </c>
      <c r="H4531" t="s">
        <v>438</v>
      </c>
      <c r="I4531" s="4">
        <f t="shared" si="617"/>
        <v>3</v>
      </c>
      <c r="J4531">
        <f t="shared" si="618"/>
        <v>12</v>
      </c>
      <c r="K4531">
        <v>30</v>
      </c>
      <c r="L4531">
        <v>10</v>
      </c>
      <c r="M4531" s="2">
        <v>3</v>
      </c>
      <c r="N4531" s="2">
        <v>2.94</v>
      </c>
      <c r="O4531">
        <v>0</v>
      </c>
      <c r="P4531">
        <v>7</v>
      </c>
      <c r="Q4531" s="4" t="str">
        <f t="shared" si="619"/>
        <v>2019/2020-Ganjil</v>
      </c>
      <c r="R4531" s="8" t="s">
        <v>260</v>
      </c>
      <c r="S4531" t="str">
        <f t="shared" si="616"/>
        <v>PA</v>
      </c>
    </row>
    <row r="4532" spans="1:19" x14ac:dyDescent="0.3">
      <c r="A4532" t="s">
        <v>8</v>
      </c>
      <c r="B4532">
        <v>2016210039</v>
      </c>
      <c r="C4532" t="s">
        <v>37</v>
      </c>
      <c r="E4532" t="s">
        <v>213</v>
      </c>
      <c r="F4532" t="s">
        <v>214</v>
      </c>
      <c r="G4532">
        <v>4</v>
      </c>
      <c r="H4532" t="s">
        <v>438</v>
      </c>
      <c r="I4532" s="4">
        <f t="shared" si="617"/>
        <v>3</v>
      </c>
      <c r="J4532">
        <f t="shared" si="618"/>
        <v>12</v>
      </c>
      <c r="K4532">
        <v>70</v>
      </c>
      <c r="L4532">
        <v>22</v>
      </c>
      <c r="M4532">
        <v>3.18</v>
      </c>
      <c r="N4532" s="2">
        <v>2.94</v>
      </c>
      <c r="O4532">
        <v>0</v>
      </c>
      <c r="P4532">
        <v>5</v>
      </c>
      <c r="Q4532" s="4" t="str">
        <f t="shared" si="619"/>
        <v>2018/2019-Ganjil</v>
      </c>
      <c r="R4532" s="8" t="s">
        <v>260</v>
      </c>
      <c r="S4532" t="str">
        <f t="shared" si="616"/>
        <v>PA</v>
      </c>
    </row>
    <row r="4533" spans="1:19" x14ac:dyDescent="0.3">
      <c r="A4533" t="s">
        <v>8</v>
      </c>
      <c r="B4533">
        <v>2016210039</v>
      </c>
      <c r="C4533" t="s">
        <v>37</v>
      </c>
      <c r="E4533" t="s">
        <v>227</v>
      </c>
      <c r="F4533" t="s">
        <v>228</v>
      </c>
      <c r="G4533">
        <v>2</v>
      </c>
      <c r="H4533" t="s">
        <v>438</v>
      </c>
      <c r="I4533" s="4">
        <f t="shared" si="617"/>
        <v>3</v>
      </c>
      <c r="J4533">
        <f t="shared" si="618"/>
        <v>6</v>
      </c>
      <c r="K4533">
        <v>52</v>
      </c>
      <c r="L4533">
        <v>24</v>
      </c>
      <c r="M4533">
        <v>2.17</v>
      </c>
      <c r="N4533" s="2">
        <v>2.94</v>
      </c>
      <c r="O4533">
        <v>0</v>
      </c>
      <c r="P4533">
        <v>3</v>
      </c>
      <c r="Q4533" s="4" t="str">
        <f t="shared" si="619"/>
        <v>2017/2018-Ganjil</v>
      </c>
      <c r="R4533" s="8" t="s">
        <v>260</v>
      </c>
      <c r="S4533" t="str">
        <f t="shared" si="616"/>
        <v>PA</v>
      </c>
    </row>
    <row r="4534" spans="1:19" x14ac:dyDescent="0.3">
      <c r="A4534" t="s">
        <v>8</v>
      </c>
      <c r="B4534">
        <v>2016210039</v>
      </c>
      <c r="C4534" t="s">
        <v>37</v>
      </c>
      <c r="E4534" t="s">
        <v>163</v>
      </c>
      <c r="F4534" t="s">
        <v>164</v>
      </c>
      <c r="G4534">
        <v>2</v>
      </c>
      <c r="H4534" t="s">
        <v>438</v>
      </c>
      <c r="I4534" s="4">
        <f t="shared" si="617"/>
        <v>3</v>
      </c>
      <c r="J4534">
        <f t="shared" si="618"/>
        <v>6</v>
      </c>
      <c r="K4534">
        <v>56</v>
      </c>
      <c r="L4534">
        <v>20</v>
      </c>
      <c r="M4534" s="2">
        <v>2.8</v>
      </c>
      <c r="N4534" s="2">
        <v>2.94</v>
      </c>
      <c r="O4534">
        <v>0</v>
      </c>
      <c r="P4534">
        <v>1</v>
      </c>
      <c r="Q4534" s="4" t="str">
        <f t="shared" si="619"/>
        <v>2016/2017-Ganjil</v>
      </c>
      <c r="R4534" s="8" t="s">
        <v>260</v>
      </c>
      <c r="S4534" t="str">
        <f t="shared" si="616"/>
        <v>PA</v>
      </c>
    </row>
    <row r="4535" spans="1:19" x14ac:dyDescent="0.3">
      <c r="A4535" t="s">
        <v>8</v>
      </c>
      <c r="B4535">
        <v>2016210039</v>
      </c>
      <c r="C4535" t="s">
        <v>37</v>
      </c>
      <c r="E4535" t="s">
        <v>407</v>
      </c>
      <c r="F4535" t="s">
        <v>312</v>
      </c>
      <c r="G4535">
        <v>2</v>
      </c>
      <c r="H4535" t="s">
        <v>438</v>
      </c>
      <c r="I4535" s="4">
        <f t="shared" si="617"/>
        <v>3</v>
      </c>
      <c r="J4535">
        <f t="shared" si="618"/>
        <v>6</v>
      </c>
      <c r="K4535">
        <v>70</v>
      </c>
      <c r="L4535">
        <v>22</v>
      </c>
      <c r="M4535">
        <v>3.18</v>
      </c>
      <c r="N4535" s="2">
        <v>2.94</v>
      </c>
      <c r="O4535">
        <v>0</v>
      </c>
      <c r="P4535">
        <v>5</v>
      </c>
      <c r="Q4535" s="4" t="str">
        <f t="shared" si="619"/>
        <v>2018/2019-Ganjil</v>
      </c>
      <c r="R4535" s="8" t="s">
        <v>260</v>
      </c>
      <c r="S4535" t="str">
        <f t="shared" si="616"/>
        <v>PA</v>
      </c>
    </row>
    <row r="4536" spans="1:19" x14ac:dyDescent="0.3">
      <c r="A4536" t="s">
        <v>8</v>
      </c>
      <c r="B4536">
        <v>2016210039</v>
      </c>
      <c r="C4536" t="s">
        <v>37</v>
      </c>
      <c r="E4536" t="s">
        <v>147</v>
      </c>
      <c r="F4536" t="s">
        <v>148</v>
      </c>
      <c r="G4536">
        <v>4</v>
      </c>
      <c r="H4536" t="s">
        <v>438</v>
      </c>
      <c r="I4536" s="4">
        <f t="shared" si="617"/>
        <v>3</v>
      </c>
      <c r="J4536">
        <f t="shared" si="618"/>
        <v>12</v>
      </c>
      <c r="K4536">
        <v>56</v>
      </c>
      <c r="L4536">
        <v>20</v>
      </c>
      <c r="M4536" s="2">
        <v>2.8</v>
      </c>
      <c r="N4536" s="2">
        <v>2.94</v>
      </c>
      <c r="O4536">
        <v>0</v>
      </c>
      <c r="P4536">
        <v>1</v>
      </c>
      <c r="Q4536" s="4" t="str">
        <f t="shared" si="619"/>
        <v>2016/2017-Ganjil</v>
      </c>
      <c r="R4536" s="8" t="s">
        <v>260</v>
      </c>
      <c r="S4536" t="str">
        <f t="shared" si="616"/>
        <v>PA</v>
      </c>
    </row>
    <row r="4537" spans="1:19" x14ac:dyDescent="0.3">
      <c r="A4537" t="s">
        <v>8</v>
      </c>
      <c r="B4537">
        <v>2016210039</v>
      </c>
      <c r="C4537" t="s">
        <v>37</v>
      </c>
      <c r="E4537" t="s">
        <v>87</v>
      </c>
      <c r="F4537" t="s">
        <v>88</v>
      </c>
      <c r="G4537">
        <v>2</v>
      </c>
      <c r="H4537" t="s">
        <v>438</v>
      </c>
      <c r="I4537" s="4">
        <f t="shared" si="617"/>
        <v>3</v>
      </c>
      <c r="J4537">
        <f t="shared" si="618"/>
        <v>6</v>
      </c>
      <c r="K4537">
        <v>46</v>
      </c>
      <c r="L4537">
        <v>22</v>
      </c>
      <c r="M4537">
        <v>2.09</v>
      </c>
      <c r="N4537" s="2">
        <v>2.94</v>
      </c>
      <c r="O4537">
        <v>0</v>
      </c>
      <c r="P4537">
        <v>6</v>
      </c>
      <c r="Q4537" s="4" t="str">
        <f t="shared" si="619"/>
        <v>2018/2019-Genap</v>
      </c>
      <c r="R4537" s="8" t="s">
        <v>260</v>
      </c>
      <c r="S4537" t="str">
        <f t="shared" si="616"/>
        <v>PA</v>
      </c>
    </row>
    <row r="4538" spans="1:19" x14ac:dyDescent="0.3">
      <c r="A4538" t="s">
        <v>8</v>
      </c>
      <c r="B4538">
        <v>2016210039</v>
      </c>
      <c r="C4538" t="s">
        <v>37</v>
      </c>
      <c r="E4538" t="s">
        <v>219</v>
      </c>
      <c r="F4538" t="s">
        <v>220</v>
      </c>
      <c r="G4538">
        <v>2</v>
      </c>
      <c r="H4538" t="s">
        <v>438</v>
      </c>
      <c r="I4538" s="4">
        <f t="shared" si="617"/>
        <v>3</v>
      </c>
      <c r="J4538">
        <f t="shared" si="618"/>
        <v>6</v>
      </c>
      <c r="K4538">
        <v>52</v>
      </c>
      <c r="L4538">
        <v>24</v>
      </c>
      <c r="M4538">
        <v>2.17</v>
      </c>
      <c r="N4538" s="2">
        <v>2.94</v>
      </c>
      <c r="O4538">
        <v>0</v>
      </c>
      <c r="P4538">
        <v>3</v>
      </c>
      <c r="Q4538" s="4" t="str">
        <f t="shared" si="619"/>
        <v>2017/2018-Ganjil</v>
      </c>
      <c r="R4538" s="8" t="s">
        <v>260</v>
      </c>
      <c r="S4538" t="str">
        <f t="shared" si="616"/>
        <v>PA</v>
      </c>
    </row>
    <row r="4539" spans="1:19" x14ac:dyDescent="0.3">
      <c r="A4539" t="s">
        <v>8</v>
      </c>
      <c r="B4539">
        <v>2016210039</v>
      </c>
      <c r="C4539" t="s">
        <v>37</v>
      </c>
      <c r="E4539" t="s">
        <v>279</v>
      </c>
      <c r="F4539" t="s">
        <v>280</v>
      </c>
      <c r="G4539">
        <v>2</v>
      </c>
      <c r="H4539" t="s">
        <v>438</v>
      </c>
      <c r="I4539" s="4">
        <f t="shared" si="617"/>
        <v>3</v>
      </c>
      <c r="J4539">
        <f t="shared" si="618"/>
        <v>6</v>
      </c>
      <c r="K4539">
        <v>56</v>
      </c>
      <c r="L4539">
        <v>18</v>
      </c>
      <c r="M4539">
        <v>3.11</v>
      </c>
      <c r="N4539" s="2">
        <v>2.94</v>
      </c>
      <c r="O4539">
        <v>0</v>
      </c>
      <c r="P4539">
        <v>2</v>
      </c>
      <c r="Q4539" s="4" t="str">
        <f t="shared" si="619"/>
        <v>2016/2017-Genap</v>
      </c>
      <c r="R4539" s="8" t="s">
        <v>260</v>
      </c>
      <c r="S4539" t="str">
        <f t="shared" si="616"/>
        <v>PA</v>
      </c>
    </row>
    <row r="4540" spans="1:19" x14ac:dyDescent="0.3">
      <c r="A4540" t="s">
        <v>8</v>
      </c>
      <c r="B4540">
        <v>2016210039</v>
      </c>
      <c r="C4540" t="s">
        <v>37</v>
      </c>
      <c r="E4540" t="s">
        <v>115</v>
      </c>
      <c r="F4540" t="s">
        <v>116</v>
      </c>
      <c r="G4540">
        <v>4</v>
      </c>
      <c r="H4540" t="s">
        <v>438</v>
      </c>
      <c r="I4540" s="4">
        <f t="shared" si="617"/>
        <v>3</v>
      </c>
      <c r="J4540">
        <f t="shared" si="618"/>
        <v>12</v>
      </c>
      <c r="K4540">
        <v>56</v>
      </c>
      <c r="L4540">
        <v>18</v>
      </c>
      <c r="M4540">
        <v>3.11</v>
      </c>
      <c r="N4540" s="2">
        <v>2.94</v>
      </c>
      <c r="O4540">
        <v>0</v>
      </c>
      <c r="P4540">
        <v>2</v>
      </c>
      <c r="Q4540" s="4" t="str">
        <f t="shared" si="619"/>
        <v>2016/2017-Genap</v>
      </c>
      <c r="R4540" s="8" t="s">
        <v>260</v>
      </c>
      <c r="S4540" t="str">
        <f t="shared" si="616"/>
        <v>PA</v>
      </c>
    </row>
    <row r="4541" spans="1:19" x14ac:dyDescent="0.3">
      <c r="A4541" t="s">
        <v>8</v>
      </c>
      <c r="B4541">
        <v>2016210039</v>
      </c>
      <c r="C4541" t="s">
        <v>37</v>
      </c>
      <c r="E4541" t="s">
        <v>597</v>
      </c>
      <c r="F4541" t="s">
        <v>275</v>
      </c>
      <c r="G4541">
        <v>2</v>
      </c>
      <c r="H4541" t="s">
        <v>438</v>
      </c>
      <c r="I4541" s="4">
        <f t="shared" si="617"/>
        <v>3</v>
      </c>
      <c r="J4541">
        <f t="shared" si="618"/>
        <v>6</v>
      </c>
      <c r="K4541">
        <v>46</v>
      </c>
      <c r="L4541">
        <v>22</v>
      </c>
      <c r="M4541">
        <v>2.09</v>
      </c>
      <c r="N4541" s="2">
        <v>2.94</v>
      </c>
      <c r="O4541">
        <v>0</v>
      </c>
      <c r="P4541">
        <v>6</v>
      </c>
      <c r="Q4541" s="4" t="str">
        <f t="shared" si="619"/>
        <v>2018/2019-Genap</v>
      </c>
      <c r="R4541" s="8" t="s">
        <v>260</v>
      </c>
      <c r="S4541" t="str">
        <f t="shared" si="616"/>
        <v>PA</v>
      </c>
    </row>
    <row r="4542" spans="1:19" x14ac:dyDescent="0.3">
      <c r="A4542" t="s">
        <v>8</v>
      </c>
      <c r="B4542">
        <v>2016210039</v>
      </c>
      <c r="C4542" t="s">
        <v>37</v>
      </c>
      <c r="E4542" t="s">
        <v>449</v>
      </c>
      <c r="F4542" t="s">
        <v>460</v>
      </c>
      <c r="G4542">
        <v>4</v>
      </c>
      <c r="H4542" t="s">
        <v>438</v>
      </c>
      <c r="I4542" s="4">
        <f t="shared" si="617"/>
        <v>3</v>
      </c>
      <c r="J4542">
        <f t="shared" si="618"/>
        <v>12</v>
      </c>
      <c r="K4542">
        <v>50</v>
      </c>
      <c r="L4542">
        <v>18</v>
      </c>
      <c r="M4542">
        <v>2.78</v>
      </c>
      <c r="N4542" s="2">
        <v>2.94</v>
      </c>
      <c r="O4542">
        <v>0</v>
      </c>
      <c r="P4542">
        <v>4</v>
      </c>
      <c r="Q4542" s="4" t="str">
        <f t="shared" si="619"/>
        <v>2017/2018-Genap</v>
      </c>
      <c r="R4542" s="8" t="s">
        <v>260</v>
      </c>
      <c r="S4542" t="str">
        <f t="shared" si="616"/>
        <v>PA</v>
      </c>
    </row>
    <row r="4543" spans="1:19" x14ac:dyDescent="0.3">
      <c r="A4543" t="s">
        <v>8</v>
      </c>
      <c r="B4543">
        <v>2016210039</v>
      </c>
      <c r="C4543" t="s">
        <v>37</v>
      </c>
      <c r="E4543" t="s">
        <v>125</v>
      </c>
      <c r="F4543" t="s">
        <v>126</v>
      </c>
      <c r="G4543">
        <v>4</v>
      </c>
      <c r="H4543" t="s">
        <v>524</v>
      </c>
      <c r="I4543" s="4">
        <f t="shared" si="617"/>
        <v>2</v>
      </c>
      <c r="J4543">
        <f t="shared" si="618"/>
        <v>8</v>
      </c>
      <c r="K4543">
        <v>56</v>
      </c>
      <c r="L4543">
        <v>18</v>
      </c>
      <c r="M4543">
        <v>3.11</v>
      </c>
      <c r="N4543" s="2">
        <v>2.94</v>
      </c>
      <c r="O4543">
        <v>0</v>
      </c>
      <c r="P4543">
        <v>2</v>
      </c>
      <c r="Q4543" s="4" t="str">
        <f t="shared" si="619"/>
        <v>2016/2017-Genap</v>
      </c>
      <c r="R4543" s="8" t="s">
        <v>260</v>
      </c>
      <c r="S4543" t="str">
        <f t="shared" si="616"/>
        <v>PA</v>
      </c>
    </row>
    <row r="4544" spans="1:19" x14ac:dyDescent="0.3">
      <c r="A4544" t="s">
        <v>8</v>
      </c>
      <c r="B4544">
        <v>2016210039</v>
      </c>
      <c r="C4544" t="s">
        <v>37</v>
      </c>
      <c r="E4544" t="s">
        <v>112</v>
      </c>
      <c r="F4544" t="s">
        <v>113</v>
      </c>
      <c r="G4544">
        <v>4</v>
      </c>
      <c r="H4544" t="s">
        <v>524</v>
      </c>
      <c r="I4544" s="4">
        <f t="shared" si="617"/>
        <v>2</v>
      </c>
      <c r="J4544">
        <f t="shared" si="618"/>
        <v>8</v>
      </c>
      <c r="K4544">
        <v>52</v>
      </c>
      <c r="L4544">
        <v>24</v>
      </c>
      <c r="M4544">
        <v>2.17</v>
      </c>
      <c r="N4544" s="2">
        <v>2.94</v>
      </c>
      <c r="O4544">
        <v>0</v>
      </c>
      <c r="P4544">
        <v>3</v>
      </c>
      <c r="Q4544" s="4" t="str">
        <f t="shared" si="619"/>
        <v>2017/2018-Ganjil</v>
      </c>
      <c r="R4544" s="8" t="s">
        <v>260</v>
      </c>
      <c r="S4544" t="str">
        <f t="shared" si="616"/>
        <v>PA</v>
      </c>
    </row>
    <row r="4545" spans="1:19" x14ac:dyDescent="0.3">
      <c r="A4545" t="s">
        <v>8</v>
      </c>
      <c r="B4545">
        <v>2016210039</v>
      </c>
      <c r="C4545" t="s">
        <v>37</v>
      </c>
      <c r="E4545" t="s">
        <v>19</v>
      </c>
      <c r="F4545" t="s">
        <v>20</v>
      </c>
      <c r="G4545">
        <v>6</v>
      </c>
      <c r="H4545" t="s">
        <v>524</v>
      </c>
      <c r="I4545" s="4">
        <f t="shared" si="617"/>
        <v>2</v>
      </c>
      <c r="J4545">
        <f t="shared" si="618"/>
        <v>12</v>
      </c>
      <c r="K4545">
        <v>24</v>
      </c>
      <c r="L4545">
        <v>12</v>
      </c>
      <c r="M4545" s="2">
        <v>2</v>
      </c>
      <c r="N4545" s="2">
        <v>2.94</v>
      </c>
      <c r="O4545">
        <v>0</v>
      </c>
      <c r="P4545">
        <v>8</v>
      </c>
      <c r="Q4545" t="s">
        <v>579</v>
      </c>
      <c r="R4545" t="s">
        <v>596</v>
      </c>
      <c r="S4545" t="str">
        <f t="shared" si="616"/>
        <v>PA</v>
      </c>
    </row>
    <row r="4546" spans="1:19" x14ac:dyDescent="0.3">
      <c r="A4546" t="s">
        <v>8</v>
      </c>
      <c r="B4546">
        <v>2016210039</v>
      </c>
      <c r="C4546" t="s">
        <v>37</v>
      </c>
      <c r="E4546" t="s">
        <v>110</v>
      </c>
      <c r="F4546" t="s">
        <v>111</v>
      </c>
      <c r="G4546">
        <v>4</v>
      </c>
      <c r="H4546" t="s">
        <v>524</v>
      </c>
      <c r="I4546" s="4">
        <f t="shared" si="617"/>
        <v>2</v>
      </c>
      <c r="J4546">
        <f t="shared" si="618"/>
        <v>8</v>
      </c>
      <c r="K4546">
        <v>56</v>
      </c>
      <c r="L4546">
        <v>20</v>
      </c>
      <c r="M4546" s="2">
        <v>2.8</v>
      </c>
      <c r="N4546" s="2">
        <v>2.94</v>
      </c>
      <c r="O4546">
        <v>0</v>
      </c>
      <c r="P4546">
        <v>1</v>
      </c>
      <c r="Q4546" s="4" t="str">
        <f>IF(P4546=1,"2016/2017-Ganjil",IF(P4546=2,"2016/2017-Genap",IF(P4546=3,"2017/2018-Ganjil",IF(P4546=4,"2017/2018-Genap",IF(P4546=5,"2018/2019-Ganjil",IF(P4546=6,"2018/2019-Genap",IF(P4546=7,"2019/2020-Ganjil",IF(P4546=8,"2019/2020-Genap",IF(P4546=9,"2020/2021-Ganjil",IF(P4546=10,"2020/2021-Genap",IF(P4546=11,"2021/2022-Ganjil",IF(P4546=12,"2021/2022-Genap",IF(P4546=13,"2022/2023-Ganjil","2022/2023-Genap")))))))))))))</f>
        <v>2016/2017-Ganjil</v>
      </c>
      <c r="R4546" s="8" t="s">
        <v>260</v>
      </c>
      <c r="S4546" t="str">
        <f t="shared" si="616"/>
        <v>PA</v>
      </c>
    </row>
    <row r="4547" spans="1:19" x14ac:dyDescent="0.3">
      <c r="A4547" t="s">
        <v>8</v>
      </c>
      <c r="B4547">
        <v>2016210039</v>
      </c>
      <c r="C4547" t="s">
        <v>37</v>
      </c>
      <c r="E4547" t="s">
        <v>119</v>
      </c>
      <c r="F4547" t="s">
        <v>120</v>
      </c>
      <c r="G4547">
        <v>2</v>
      </c>
      <c r="H4547" t="s">
        <v>524</v>
      </c>
      <c r="I4547" s="4">
        <f t="shared" si="617"/>
        <v>2</v>
      </c>
      <c r="J4547">
        <f t="shared" si="618"/>
        <v>4</v>
      </c>
      <c r="K4547">
        <v>46</v>
      </c>
      <c r="L4547">
        <v>22</v>
      </c>
      <c r="M4547">
        <v>2.09</v>
      </c>
      <c r="N4547" s="2">
        <v>2.94</v>
      </c>
      <c r="O4547">
        <v>0</v>
      </c>
      <c r="P4547">
        <v>6</v>
      </c>
      <c r="Q4547" s="4" t="str">
        <f>IF(P4547=1,"2016/2017-Ganjil",IF(P4547=2,"2016/2017-Genap",IF(P4547=3,"2017/2018-Ganjil",IF(P4547=4,"2017/2018-Genap",IF(P4547=5,"2018/2019-Ganjil",IF(P4547=6,"2018/2019-Genap",IF(P4547=7,"2019/2020-Ganjil",IF(P4547=8,"2019/2020-Genap",IF(P4547=9,"2020/2021-Ganjil",IF(P4547=10,"2020/2021-Genap",IF(P4547=11,"2021/2022-Ganjil",IF(P4547=12,"2021/2022-Genap",IF(P4547=13,"2022/2023-Ganjil","2022/2023-Genap")))))))))))))</f>
        <v>2018/2019-Genap</v>
      </c>
      <c r="R4547" s="8" t="s">
        <v>260</v>
      </c>
      <c r="S4547" t="str">
        <f t="shared" si="616"/>
        <v>PA</v>
      </c>
    </row>
    <row r="4548" spans="1:19" x14ac:dyDescent="0.3">
      <c r="A4548" t="s">
        <v>8</v>
      </c>
      <c r="B4548">
        <v>2016210039</v>
      </c>
      <c r="C4548" t="s">
        <v>37</v>
      </c>
      <c r="E4548" t="s">
        <v>119</v>
      </c>
      <c r="F4548" t="s">
        <v>120</v>
      </c>
      <c r="G4548">
        <v>2</v>
      </c>
      <c r="H4548" t="s">
        <v>260</v>
      </c>
      <c r="I4548" s="4">
        <f t="shared" si="617"/>
        <v>4</v>
      </c>
      <c r="J4548">
        <f t="shared" si="618"/>
        <v>8</v>
      </c>
      <c r="K4548">
        <v>54</v>
      </c>
      <c r="L4548">
        <v>14</v>
      </c>
      <c r="M4548">
        <v>3.86</v>
      </c>
      <c r="N4548" s="2">
        <v>2.94</v>
      </c>
      <c r="O4548">
        <v>1</v>
      </c>
      <c r="P4548">
        <v>6</v>
      </c>
      <c r="Q4548" s="4" t="s">
        <v>572</v>
      </c>
      <c r="R4548" s="8" t="s">
        <v>260</v>
      </c>
      <c r="S4548" t="str">
        <f t="shared" si="616"/>
        <v>PA</v>
      </c>
    </row>
    <row r="4549" spans="1:19" x14ac:dyDescent="0.3">
      <c r="A4549" t="s">
        <v>8</v>
      </c>
      <c r="B4549">
        <v>2016210039</v>
      </c>
      <c r="C4549" t="s">
        <v>37</v>
      </c>
      <c r="E4549" t="s">
        <v>136</v>
      </c>
      <c r="F4549" t="s">
        <v>137</v>
      </c>
      <c r="G4549">
        <v>4</v>
      </c>
      <c r="H4549" t="s">
        <v>524</v>
      </c>
      <c r="I4549" s="4">
        <f t="shared" si="617"/>
        <v>2</v>
      </c>
      <c r="J4549">
        <f t="shared" si="618"/>
        <v>8</v>
      </c>
      <c r="K4549">
        <v>46</v>
      </c>
      <c r="L4549">
        <v>22</v>
      </c>
      <c r="M4549">
        <v>2.09</v>
      </c>
      <c r="N4549" s="2">
        <v>2.94</v>
      </c>
      <c r="O4549">
        <v>0</v>
      </c>
      <c r="P4549">
        <v>6</v>
      </c>
      <c r="Q4549" s="4" t="str">
        <f>IF(P4549=1,"2016/2017-Ganjil",IF(P4549=2,"2016/2017-Genap",IF(P4549=3,"2017/2018-Ganjil",IF(P4549=4,"2017/2018-Genap",IF(P4549=5,"2018/2019-Ganjil",IF(P4549=6,"2018/2019-Genap",IF(P4549=7,"2019/2020-Ganjil",IF(P4549=8,"2019/2020-Genap",IF(P4549=9,"2020/2021-Ganjil",IF(P4549=10,"2020/2021-Genap",IF(P4549=11,"2021/2022-Ganjil",IF(P4549=12,"2021/2022-Genap",IF(P4549=13,"2022/2023-Ganjil","2022/2023-Genap")))))))))))))</f>
        <v>2018/2019-Genap</v>
      </c>
      <c r="R4549" s="8" t="s">
        <v>260</v>
      </c>
      <c r="S4549" t="str">
        <f t="shared" si="616"/>
        <v>PA</v>
      </c>
    </row>
    <row r="4550" spans="1:19" x14ac:dyDescent="0.3">
      <c r="A4550" t="s">
        <v>8</v>
      </c>
      <c r="B4550">
        <v>2016210039</v>
      </c>
      <c r="C4550" t="s">
        <v>37</v>
      </c>
      <c r="E4550" t="s">
        <v>369</v>
      </c>
      <c r="F4550" t="s">
        <v>307</v>
      </c>
      <c r="G4550">
        <v>2</v>
      </c>
      <c r="H4550" t="s">
        <v>524</v>
      </c>
      <c r="I4550" s="4">
        <f t="shared" si="617"/>
        <v>2</v>
      </c>
      <c r="J4550">
        <f t="shared" si="618"/>
        <v>4</v>
      </c>
      <c r="K4550">
        <v>50</v>
      </c>
      <c r="L4550">
        <v>18</v>
      </c>
      <c r="M4550">
        <v>2.78</v>
      </c>
      <c r="N4550" s="2">
        <v>2.94</v>
      </c>
      <c r="O4550">
        <v>0</v>
      </c>
      <c r="P4550">
        <v>4</v>
      </c>
      <c r="Q4550" s="4" t="str">
        <f>IF(P4550=1,"2016/2017-Ganjil",IF(P4550=2,"2016/2017-Genap",IF(P4550=3,"2017/2018-Ganjil",IF(P4550=4,"2017/2018-Genap",IF(P4550=5,"2018/2019-Ganjil",IF(P4550=6,"2018/2019-Genap",IF(P4550=7,"2019/2020-Ganjil",IF(P4550=8,"2019/2020-Genap",IF(P4550=9,"2020/2021-Ganjil",IF(P4550=10,"2020/2021-Genap",IF(P4550=11,"2021/2022-Ganjil",IF(P4550=12,"2021/2022-Genap",IF(P4550=13,"2022/2023-Ganjil","2022/2023-Genap")))))))))))))</f>
        <v>2017/2018-Genap</v>
      </c>
      <c r="R4550" s="8" t="s">
        <v>260</v>
      </c>
      <c r="S4550" t="str">
        <f t="shared" si="616"/>
        <v>PA</v>
      </c>
    </row>
    <row r="4551" spans="1:19" x14ac:dyDescent="0.3">
      <c r="A4551" t="s">
        <v>8</v>
      </c>
      <c r="B4551">
        <v>2016210039</v>
      </c>
      <c r="C4551" t="s">
        <v>37</v>
      </c>
      <c r="E4551" t="s">
        <v>395</v>
      </c>
      <c r="F4551" t="s">
        <v>396</v>
      </c>
      <c r="G4551">
        <v>2</v>
      </c>
      <c r="H4551" t="s">
        <v>524</v>
      </c>
      <c r="I4551" s="4">
        <f t="shared" si="617"/>
        <v>2</v>
      </c>
      <c r="J4551">
        <f t="shared" si="618"/>
        <v>4</v>
      </c>
      <c r="K4551">
        <v>56</v>
      </c>
      <c r="L4551">
        <v>20</v>
      </c>
      <c r="M4551" s="2">
        <v>2.8</v>
      </c>
      <c r="N4551" s="2">
        <v>2.94</v>
      </c>
      <c r="O4551">
        <v>0</v>
      </c>
      <c r="P4551">
        <v>1</v>
      </c>
      <c r="Q4551" s="4" t="str">
        <f>IF(P4551=1,"2016/2017-Ganjil",IF(P4551=2,"2016/2017-Genap",IF(P4551=3,"2017/2018-Ganjil",IF(P4551=4,"2017/2018-Genap",IF(P4551=5,"2018/2019-Ganjil",IF(P4551=6,"2018/2019-Genap",IF(P4551=7,"2019/2020-Ganjil",IF(P4551=8,"2019/2020-Genap",IF(P4551=9,"2020/2021-Ganjil",IF(P4551=10,"2020/2021-Genap",IF(P4551=11,"2021/2022-Ganjil",IF(P4551=12,"2021/2022-Genap",IF(P4551=13,"2022/2023-Ganjil","2022/2023-Genap")))))))))))))</f>
        <v>2016/2017-Ganjil</v>
      </c>
      <c r="R4551" s="8" t="s">
        <v>260</v>
      </c>
      <c r="S4551" t="str">
        <f t="shared" si="616"/>
        <v>PA</v>
      </c>
    </row>
    <row r="4552" spans="1:19" x14ac:dyDescent="0.3">
      <c r="A4552" t="s">
        <v>8</v>
      </c>
      <c r="B4552">
        <v>2016210039</v>
      </c>
      <c r="C4552" t="s">
        <v>37</v>
      </c>
      <c r="E4552" t="s">
        <v>157</v>
      </c>
      <c r="F4552" t="s">
        <v>158</v>
      </c>
      <c r="G4552">
        <v>2</v>
      </c>
      <c r="H4552" t="s">
        <v>524</v>
      </c>
      <c r="I4552" s="4">
        <f t="shared" si="617"/>
        <v>2</v>
      </c>
      <c r="J4552">
        <f t="shared" si="618"/>
        <v>4</v>
      </c>
      <c r="K4552">
        <v>52</v>
      </c>
      <c r="L4552">
        <v>24</v>
      </c>
      <c r="M4552">
        <v>2.17</v>
      </c>
      <c r="N4552" s="2">
        <v>2.94</v>
      </c>
      <c r="O4552">
        <v>0</v>
      </c>
      <c r="P4552">
        <v>3</v>
      </c>
      <c r="Q4552" s="4" t="str">
        <f>IF(P4552=1,"2016/2017-Ganjil",IF(P4552=2,"2016/2017-Genap",IF(P4552=3,"2017/2018-Ganjil",IF(P4552=4,"2017/2018-Genap",IF(P4552=5,"2018/2019-Ganjil",IF(P4552=6,"2018/2019-Genap",IF(P4552=7,"2019/2020-Ganjil",IF(P4552=8,"2019/2020-Genap",IF(P4552=9,"2020/2021-Ganjil",IF(P4552=10,"2020/2021-Genap",IF(P4552=11,"2021/2022-Ganjil",IF(P4552=12,"2021/2022-Genap",IF(P4552=13,"2022/2023-Ganjil","2022/2023-Genap")))))))))))))</f>
        <v>2017/2018-Ganjil</v>
      </c>
      <c r="R4552" s="8" t="s">
        <v>260</v>
      </c>
      <c r="S4552" t="str">
        <f t="shared" si="616"/>
        <v>PA</v>
      </c>
    </row>
    <row r="4553" spans="1:19" x14ac:dyDescent="0.3">
      <c r="A4553" t="s">
        <v>8</v>
      </c>
      <c r="B4553">
        <v>2016210039</v>
      </c>
      <c r="C4553" t="s">
        <v>37</v>
      </c>
      <c r="E4553" t="s">
        <v>157</v>
      </c>
      <c r="F4553" t="s">
        <v>158</v>
      </c>
      <c r="G4553">
        <v>2</v>
      </c>
      <c r="H4553" t="s">
        <v>438</v>
      </c>
      <c r="I4553" s="4">
        <f t="shared" si="617"/>
        <v>3</v>
      </c>
      <c r="J4553">
        <f t="shared" si="618"/>
        <v>6</v>
      </c>
      <c r="K4553">
        <v>70</v>
      </c>
      <c r="L4553">
        <v>22</v>
      </c>
      <c r="M4553">
        <v>3.18</v>
      </c>
      <c r="N4553" s="2">
        <v>2.94</v>
      </c>
      <c r="O4553">
        <v>1</v>
      </c>
      <c r="P4553">
        <v>5</v>
      </c>
      <c r="Q4553" s="4" t="str">
        <f>IF(P4553=1,"2016/2017-Ganjil",IF(P4553=2,"2016/2017-Genap",IF(P4553=3,"2017/2018-Ganjil",IF(P4553=4,"2017/2018-Genap",IF(P4553=5,"2018/2019-Ganjil",IF(P4553=6,"2018/2019-Genap",IF(P4553=7,"2019/2020-Ganjil",IF(P4553=8,"2019/2020-Genap",IF(P4553=9,"2020/2021-Ganjil",IF(P4553=10,"2020/2021-Genap",IF(P4553=11,"2021/2022-Ganjil",IF(P4553=12,"2021/2022-Genap",IF(P4553=13,"2022/2023-Ganjil","2022/2023-Genap")))))))))))))</f>
        <v>2018/2019-Ganjil</v>
      </c>
      <c r="R4553" s="8" t="s">
        <v>260</v>
      </c>
      <c r="S4553" t="str">
        <f t="shared" si="616"/>
        <v>PA</v>
      </c>
    </row>
    <row r="4554" spans="1:19" x14ac:dyDescent="0.3">
      <c r="A4554" t="s">
        <v>8</v>
      </c>
      <c r="B4554">
        <v>2016210039</v>
      </c>
      <c r="C4554" t="s">
        <v>37</v>
      </c>
      <c r="E4554" t="s">
        <v>439</v>
      </c>
      <c r="F4554" t="s">
        <v>504</v>
      </c>
      <c r="G4554">
        <v>2</v>
      </c>
      <c r="H4554" t="s">
        <v>524</v>
      </c>
      <c r="I4554" s="4">
        <f t="shared" si="617"/>
        <v>2</v>
      </c>
      <c r="J4554">
        <f t="shared" si="618"/>
        <v>4</v>
      </c>
      <c r="K4554">
        <v>24</v>
      </c>
      <c r="L4554">
        <v>12</v>
      </c>
      <c r="M4554" s="2">
        <v>2</v>
      </c>
      <c r="N4554" s="2">
        <v>2.94</v>
      </c>
      <c r="O4554">
        <v>0</v>
      </c>
      <c r="P4554">
        <v>8</v>
      </c>
      <c r="Q4554" t="s">
        <v>579</v>
      </c>
      <c r="R4554" t="s">
        <v>596</v>
      </c>
      <c r="S4554" t="str">
        <f t="shared" si="616"/>
        <v>PA</v>
      </c>
    </row>
    <row r="4555" spans="1:19" x14ac:dyDescent="0.3">
      <c r="A4555" t="s">
        <v>8</v>
      </c>
      <c r="B4555">
        <v>2016210039</v>
      </c>
      <c r="C4555" t="s">
        <v>37</v>
      </c>
      <c r="E4555" t="s">
        <v>246</v>
      </c>
      <c r="F4555" t="s">
        <v>247</v>
      </c>
      <c r="G4555">
        <v>4</v>
      </c>
      <c r="H4555" t="s">
        <v>524</v>
      </c>
      <c r="I4555" s="4">
        <f t="shared" si="617"/>
        <v>2</v>
      </c>
      <c r="J4555">
        <f t="shared" si="618"/>
        <v>8</v>
      </c>
      <c r="K4555">
        <v>50</v>
      </c>
      <c r="L4555">
        <v>18</v>
      </c>
      <c r="M4555">
        <v>2.78</v>
      </c>
      <c r="N4555" s="2">
        <v>2.94</v>
      </c>
      <c r="O4555">
        <v>0</v>
      </c>
      <c r="P4555">
        <v>4</v>
      </c>
      <c r="Q4555" s="4" t="str">
        <f>IF(P4555=1,"2016/2017-Ganjil",IF(P4555=2,"2016/2017-Genap",IF(P4555=3,"2017/2018-Ganjil",IF(P4555=4,"2017/2018-Genap",IF(P4555=5,"2018/2019-Ganjil",IF(P4555=6,"2018/2019-Genap",IF(P4555=7,"2019/2020-Ganjil",IF(P4555=8,"2019/2020-Genap",IF(P4555=9,"2020/2021-Ganjil",IF(P4555=10,"2020/2021-Genap",IF(P4555=11,"2021/2022-Ganjil",IF(P4555=12,"2021/2022-Genap",IF(P4555=13,"2022/2023-Ganjil","2022/2023-Genap")))))))))))))</f>
        <v>2017/2018-Genap</v>
      </c>
      <c r="R4555" s="8" t="s">
        <v>260</v>
      </c>
      <c r="S4555" t="str">
        <f t="shared" si="616"/>
        <v>PA</v>
      </c>
    </row>
    <row r="4556" spans="1:19" x14ac:dyDescent="0.3">
      <c r="A4556" t="s">
        <v>8</v>
      </c>
      <c r="B4556">
        <v>2016210039</v>
      </c>
      <c r="C4556" t="s">
        <v>37</v>
      </c>
      <c r="E4556" t="s">
        <v>182</v>
      </c>
      <c r="F4556" t="s">
        <v>171</v>
      </c>
      <c r="G4556">
        <v>2</v>
      </c>
      <c r="H4556" t="s">
        <v>535</v>
      </c>
      <c r="I4556" s="4">
        <f t="shared" si="617"/>
        <v>1</v>
      </c>
      <c r="J4556">
        <f t="shared" si="618"/>
        <v>2</v>
      </c>
      <c r="K4556">
        <v>52</v>
      </c>
      <c r="L4556">
        <v>24</v>
      </c>
      <c r="M4556">
        <v>2.17</v>
      </c>
      <c r="N4556" s="2">
        <v>2.94</v>
      </c>
      <c r="O4556">
        <v>0</v>
      </c>
      <c r="P4556">
        <v>3</v>
      </c>
      <c r="Q4556" s="4" t="str">
        <f>IF(P4556=1,"2016/2017-Ganjil",IF(P4556=2,"2016/2017-Genap",IF(P4556=3,"2017/2018-Ganjil",IF(P4556=4,"2017/2018-Genap",IF(P4556=5,"2018/2019-Ganjil",IF(P4556=6,"2018/2019-Genap",IF(P4556=7,"2019/2020-Ganjil",IF(P4556=8,"2019/2020-Genap",IF(P4556=9,"2020/2021-Ganjil",IF(P4556=10,"2020/2021-Genap",IF(P4556=11,"2021/2022-Ganjil",IF(P4556=12,"2021/2022-Genap",IF(P4556=13,"2022/2023-Ganjil","2022/2023-Genap")))))))))))))</f>
        <v>2017/2018-Ganjil</v>
      </c>
      <c r="R4556" s="8" t="s">
        <v>260</v>
      </c>
      <c r="S4556" t="str">
        <f t="shared" si="616"/>
        <v>FA</v>
      </c>
    </row>
    <row r="4557" spans="1:19" x14ac:dyDescent="0.3">
      <c r="A4557" t="s">
        <v>8</v>
      </c>
      <c r="B4557">
        <v>2016210039</v>
      </c>
      <c r="C4557" t="s">
        <v>37</v>
      </c>
      <c r="E4557" t="s">
        <v>182</v>
      </c>
      <c r="F4557" t="s">
        <v>171</v>
      </c>
      <c r="G4557">
        <v>2</v>
      </c>
      <c r="H4557" t="s">
        <v>260</v>
      </c>
      <c r="I4557" s="4">
        <f t="shared" si="617"/>
        <v>4</v>
      </c>
      <c r="J4557">
        <f t="shared" si="618"/>
        <v>8</v>
      </c>
      <c r="K4557">
        <v>54</v>
      </c>
      <c r="L4557">
        <v>14</v>
      </c>
      <c r="M4557">
        <v>3.86</v>
      </c>
      <c r="N4557" s="2">
        <v>2.94</v>
      </c>
      <c r="O4557">
        <v>1</v>
      </c>
      <c r="P4557">
        <v>6</v>
      </c>
      <c r="Q4557" s="4" t="s">
        <v>572</v>
      </c>
      <c r="R4557" s="8" t="s">
        <v>260</v>
      </c>
      <c r="S4557" t="str">
        <f t="shared" si="616"/>
        <v>PA</v>
      </c>
    </row>
    <row r="4558" spans="1:19" x14ac:dyDescent="0.3">
      <c r="A4558" t="s">
        <v>8</v>
      </c>
      <c r="B4558">
        <v>2016210039</v>
      </c>
      <c r="C4558" t="s">
        <v>37</v>
      </c>
      <c r="E4558" t="s">
        <v>355</v>
      </c>
      <c r="F4558" t="s">
        <v>274</v>
      </c>
      <c r="G4558">
        <v>2</v>
      </c>
      <c r="H4558" t="s">
        <v>535</v>
      </c>
      <c r="I4558" s="4">
        <f t="shared" si="617"/>
        <v>1</v>
      </c>
      <c r="J4558">
        <f t="shared" si="618"/>
        <v>2</v>
      </c>
      <c r="K4558">
        <v>24</v>
      </c>
      <c r="L4558">
        <v>12</v>
      </c>
      <c r="M4558" s="2">
        <v>2</v>
      </c>
      <c r="N4558" s="2">
        <v>2.94</v>
      </c>
      <c r="O4558">
        <v>0</v>
      </c>
      <c r="P4558">
        <v>8</v>
      </c>
      <c r="Q4558" t="s">
        <v>579</v>
      </c>
      <c r="R4558" t="s">
        <v>596</v>
      </c>
      <c r="S4558" t="str">
        <f t="shared" si="616"/>
        <v>FA</v>
      </c>
    </row>
    <row r="4559" spans="1:19" x14ac:dyDescent="0.3">
      <c r="A4559" t="s">
        <v>8</v>
      </c>
      <c r="B4559">
        <v>2016210039</v>
      </c>
      <c r="C4559" t="s">
        <v>37</v>
      </c>
      <c r="E4559" t="s">
        <v>80</v>
      </c>
      <c r="F4559" t="s">
        <v>81</v>
      </c>
      <c r="G4559">
        <v>4</v>
      </c>
      <c r="H4559" t="s">
        <v>260</v>
      </c>
      <c r="I4559" s="4">
        <f t="shared" si="617"/>
        <v>4</v>
      </c>
      <c r="J4559">
        <f t="shared" si="618"/>
        <v>16</v>
      </c>
      <c r="K4559">
        <v>54</v>
      </c>
      <c r="L4559">
        <v>14</v>
      </c>
      <c r="M4559">
        <v>3.86</v>
      </c>
      <c r="N4559" s="2">
        <v>2.94</v>
      </c>
      <c r="O4559">
        <v>1</v>
      </c>
      <c r="P4559">
        <v>6</v>
      </c>
      <c r="Q4559" s="4" t="s">
        <v>572</v>
      </c>
      <c r="R4559" s="8" t="s">
        <v>260</v>
      </c>
      <c r="S4559" t="str">
        <f t="shared" si="616"/>
        <v>PA</v>
      </c>
    </row>
    <row r="4560" spans="1:19" x14ac:dyDescent="0.3">
      <c r="A4560" t="s">
        <v>8</v>
      </c>
      <c r="B4560">
        <v>2016210039</v>
      </c>
      <c r="C4560" t="s">
        <v>37</v>
      </c>
      <c r="E4560" t="s">
        <v>80</v>
      </c>
      <c r="F4560" t="s">
        <v>81</v>
      </c>
      <c r="G4560">
        <v>4</v>
      </c>
      <c r="H4560" t="s">
        <v>535</v>
      </c>
      <c r="I4560" s="4">
        <f t="shared" si="617"/>
        <v>1</v>
      </c>
      <c r="J4560">
        <f t="shared" si="618"/>
        <v>4</v>
      </c>
      <c r="K4560">
        <v>46</v>
      </c>
      <c r="L4560">
        <v>22</v>
      </c>
      <c r="M4560">
        <v>2.09</v>
      </c>
      <c r="N4560" s="2">
        <v>2.94</v>
      </c>
      <c r="O4560">
        <v>0</v>
      </c>
      <c r="P4560">
        <v>6</v>
      </c>
      <c r="Q4560" s="4" t="str">
        <f>IF(P4560=1,"2016/2017-Ganjil",IF(P4560=2,"2016/2017-Genap",IF(P4560=3,"2017/2018-Ganjil",IF(P4560=4,"2017/2018-Genap",IF(P4560=5,"2018/2019-Ganjil",IF(P4560=6,"2018/2019-Genap",IF(P4560=7,"2019/2020-Ganjil",IF(P4560=8,"2019/2020-Genap",IF(P4560=9,"2020/2021-Ganjil",IF(P4560=10,"2020/2021-Genap",IF(P4560=11,"2021/2022-Ganjil",IF(P4560=12,"2021/2022-Genap",IF(P4560=13,"2022/2023-Ganjil","2022/2023-Genap")))))))))))))</f>
        <v>2018/2019-Genap</v>
      </c>
      <c r="R4560" s="8" t="s">
        <v>260</v>
      </c>
      <c r="S4560" t="str">
        <f t="shared" si="616"/>
        <v>FA</v>
      </c>
    </row>
    <row r="4561" spans="1:19" x14ac:dyDescent="0.3">
      <c r="A4561" t="s">
        <v>8</v>
      </c>
      <c r="B4561">
        <v>2016210039</v>
      </c>
      <c r="C4561" t="s">
        <v>37</v>
      </c>
      <c r="E4561" t="s">
        <v>44</v>
      </c>
      <c r="F4561" t="s">
        <v>45</v>
      </c>
      <c r="G4561">
        <v>2</v>
      </c>
      <c r="H4561" t="s">
        <v>438</v>
      </c>
      <c r="I4561" s="4">
        <f t="shared" si="617"/>
        <v>3</v>
      </c>
      <c r="J4561">
        <f t="shared" si="618"/>
        <v>6</v>
      </c>
      <c r="K4561">
        <v>54</v>
      </c>
      <c r="L4561">
        <v>14</v>
      </c>
      <c r="M4561">
        <v>3.86</v>
      </c>
      <c r="N4561" s="2">
        <v>2.94</v>
      </c>
      <c r="O4561">
        <v>1</v>
      </c>
      <c r="P4561">
        <v>6</v>
      </c>
      <c r="Q4561" s="4" t="s">
        <v>572</v>
      </c>
      <c r="R4561" s="8" t="s">
        <v>260</v>
      </c>
      <c r="S4561" t="str">
        <f t="shared" si="616"/>
        <v>PA</v>
      </c>
    </row>
    <row r="4562" spans="1:19" x14ac:dyDescent="0.3">
      <c r="A4562" t="s">
        <v>8</v>
      </c>
      <c r="B4562">
        <v>2016210039</v>
      </c>
      <c r="C4562" t="s">
        <v>37</v>
      </c>
      <c r="E4562" t="s">
        <v>44</v>
      </c>
      <c r="F4562" t="s">
        <v>45</v>
      </c>
      <c r="G4562">
        <v>2</v>
      </c>
      <c r="H4562" t="s">
        <v>539</v>
      </c>
      <c r="I4562" s="4">
        <f t="shared" si="617"/>
        <v>0</v>
      </c>
      <c r="J4562">
        <f t="shared" si="618"/>
        <v>0</v>
      </c>
      <c r="K4562">
        <v>46</v>
      </c>
      <c r="L4562">
        <v>22</v>
      </c>
      <c r="M4562">
        <v>2.09</v>
      </c>
      <c r="N4562" s="2">
        <v>2.94</v>
      </c>
      <c r="O4562">
        <v>0</v>
      </c>
      <c r="P4562">
        <v>6</v>
      </c>
      <c r="Q4562" s="4" t="str">
        <f>IF(P4562=1,"2016/2017-Ganjil",IF(P4562=2,"2016/2017-Genap",IF(P4562=3,"2017/2018-Ganjil",IF(P4562=4,"2017/2018-Genap",IF(P4562=5,"2018/2019-Ganjil",IF(P4562=6,"2018/2019-Genap",IF(P4562=7,"2019/2020-Ganjil",IF(P4562=8,"2019/2020-Genap",IF(P4562=9,"2020/2021-Ganjil",IF(P4562=10,"2020/2021-Genap",IF(P4562=11,"2021/2022-Ganjil",IF(P4562=12,"2021/2022-Genap",IF(P4562=13,"2022/2023-Ganjil","2022/2023-Genap")))))))))))))</f>
        <v>2018/2019-Genap</v>
      </c>
      <c r="R4562" s="8" t="s">
        <v>260</v>
      </c>
      <c r="S4562" t="str">
        <f t="shared" si="616"/>
        <v>FA</v>
      </c>
    </row>
    <row r="4563" spans="1:19" x14ac:dyDescent="0.3">
      <c r="A4563" t="s">
        <v>8</v>
      </c>
      <c r="B4563">
        <v>2016210039</v>
      </c>
      <c r="C4563" t="s">
        <v>37</v>
      </c>
      <c r="E4563" t="s">
        <v>401</v>
      </c>
      <c r="F4563" t="s">
        <v>258</v>
      </c>
      <c r="G4563">
        <v>4</v>
      </c>
      <c r="H4563" t="s">
        <v>539</v>
      </c>
      <c r="I4563" s="4">
        <f t="shared" si="617"/>
        <v>0</v>
      </c>
      <c r="J4563">
        <f t="shared" si="618"/>
        <v>0</v>
      </c>
      <c r="K4563">
        <v>52</v>
      </c>
      <c r="L4563">
        <v>24</v>
      </c>
      <c r="M4563">
        <v>2.17</v>
      </c>
      <c r="N4563" s="2">
        <v>2.94</v>
      </c>
      <c r="O4563">
        <v>0</v>
      </c>
      <c r="P4563">
        <v>3</v>
      </c>
      <c r="Q4563" s="4" t="str">
        <f>IF(P4563=1,"2016/2017-Ganjil",IF(P4563=2,"2016/2017-Genap",IF(P4563=3,"2017/2018-Ganjil",IF(P4563=4,"2017/2018-Genap",IF(P4563=5,"2018/2019-Ganjil",IF(P4563=6,"2018/2019-Genap",IF(P4563=7,"2019/2020-Ganjil",IF(P4563=8,"2019/2020-Genap",IF(P4563=9,"2020/2021-Ganjil",IF(P4563=10,"2020/2021-Genap",IF(P4563=11,"2021/2022-Ganjil",IF(P4563=12,"2021/2022-Genap",IF(P4563=13,"2022/2023-Ganjil","2022/2023-Genap")))))))))))))</f>
        <v>2017/2018-Ganjil</v>
      </c>
      <c r="R4563" s="8" t="s">
        <v>260</v>
      </c>
      <c r="S4563" t="str">
        <f t="shared" si="616"/>
        <v>FA</v>
      </c>
    </row>
    <row r="4564" spans="1:19" x14ac:dyDescent="0.3">
      <c r="A4564" t="s">
        <v>8</v>
      </c>
      <c r="B4564">
        <v>2016210039</v>
      </c>
      <c r="C4564" t="s">
        <v>37</v>
      </c>
      <c r="E4564" t="s">
        <v>401</v>
      </c>
      <c r="F4564" t="s">
        <v>258</v>
      </c>
      <c r="G4564">
        <v>4</v>
      </c>
      <c r="H4564" t="s">
        <v>260</v>
      </c>
      <c r="I4564" s="4">
        <f t="shared" si="617"/>
        <v>4</v>
      </c>
      <c r="J4564">
        <f t="shared" si="618"/>
        <v>16</v>
      </c>
      <c r="K4564">
        <v>54</v>
      </c>
      <c r="L4564">
        <v>14</v>
      </c>
      <c r="M4564">
        <v>3.86</v>
      </c>
      <c r="N4564" s="2">
        <v>2.94</v>
      </c>
      <c r="O4564">
        <v>1</v>
      </c>
      <c r="P4564">
        <v>6</v>
      </c>
      <c r="Q4564" s="4" t="s">
        <v>572</v>
      </c>
      <c r="R4564" s="8" t="s">
        <v>260</v>
      </c>
      <c r="S4564" t="str">
        <f t="shared" si="616"/>
        <v>PA</v>
      </c>
    </row>
    <row r="4565" spans="1:19" x14ac:dyDescent="0.3">
      <c r="A4565" t="s">
        <v>8</v>
      </c>
      <c r="B4565">
        <v>2016210040</v>
      </c>
      <c r="C4565" t="s">
        <v>179</v>
      </c>
      <c r="E4565" t="s">
        <v>125</v>
      </c>
      <c r="F4565" t="s">
        <v>126</v>
      </c>
      <c r="G4565">
        <v>4</v>
      </c>
      <c r="H4565" t="s">
        <v>539</v>
      </c>
      <c r="I4565" s="4">
        <f t="shared" si="617"/>
        <v>0</v>
      </c>
      <c r="J4565">
        <f t="shared" si="618"/>
        <v>0</v>
      </c>
      <c r="K4565">
        <v>22</v>
      </c>
      <c r="L4565">
        <v>14</v>
      </c>
      <c r="M4565">
        <v>1.57</v>
      </c>
      <c r="N4565" s="2">
        <v>1.71</v>
      </c>
      <c r="O4565">
        <v>0</v>
      </c>
      <c r="P4565">
        <v>2</v>
      </c>
      <c r="Q4565" s="4" t="str">
        <f t="shared" ref="Q4565:Q4596" si="620">IF(P4565=1,"2016/2017-Ganjil",IF(P4565=2,"2016/2017-Genap",IF(P4565=3,"2017/2018-Ganjil",IF(P4565=4,"2017/2018-Genap",IF(P4565=5,"2018/2019-Ganjil",IF(P4565=6,"2018/2019-Genap",IF(P4565=7,"2019/2020-Ganjil",IF(P4565=8,"2019/2020-Genap",IF(P4565=9,"2020/2021-Ganjil",IF(P4565=10,"2020/2021-Genap",IF(P4565=11,"2021/2022-Ganjil",IF(P4565=12,"2021/2022-Genap",IF(P4565=13,"2022/2023-Ganjil","2022/2023-Genap")))))))))))))</f>
        <v>2016/2017-Genap</v>
      </c>
      <c r="R4565" s="8" t="s">
        <v>260</v>
      </c>
      <c r="S4565" t="str">
        <f t="shared" si="616"/>
        <v>FA</v>
      </c>
    </row>
    <row r="4566" spans="1:19" x14ac:dyDescent="0.3">
      <c r="A4566" t="s">
        <v>8</v>
      </c>
      <c r="B4566">
        <v>2016210040</v>
      </c>
      <c r="C4566" t="s">
        <v>179</v>
      </c>
      <c r="E4566" t="s">
        <v>93</v>
      </c>
      <c r="F4566" t="s">
        <v>94</v>
      </c>
      <c r="G4566">
        <v>4</v>
      </c>
      <c r="I4566" s="4"/>
      <c r="J4566">
        <f t="shared" ref="J4566:J4598" si="621">G4566*I4566</f>
        <v>0</v>
      </c>
      <c r="K4566">
        <v>0</v>
      </c>
      <c r="L4566">
        <v>4</v>
      </c>
      <c r="M4566" s="2">
        <v>0</v>
      </c>
      <c r="N4566" s="2">
        <v>1.71</v>
      </c>
      <c r="O4566">
        <v>0</v>
      </c>
      <c r="P4566">
        <v>3</v>
      </c>
      <c r="Q4566" s="4" t="str">
        <f t="shared" si="620"/>
        <v>2017/2018-Ganjil</v>
      </c>
      <c r="R4566" s="8" t="s">
        <v>260</v>
      </c>
      <c r="S4566" t="s">
        <v>595</v>
      </c>
    </row>
    <row r="4567" spans="1:19" x14ac:dyDescent="0.3">
      <c r="A4567" t="s">
        <v>8</v>
      </c>
      <c r="B4567">
        <v>2016210040</v>
      </c>
      <c r="C4567" t="s">
        <v>179</v>
      </c>
      <c r="E4567" t="s">
        <v>131</v>
      </c>
      <c r="F4567" t="s">
        <v>132</v>
      </c>
      <c r="G4567">
        <v>2</v>
      </c>
      <c r="I4567" s="4"/>
      <c r="J4567">
        <f t="shared" si="621"/>
        <v>0</v>
      </c>
      <c r="K4567">
        <v>36</v>
      </c>
      <c r="L4567">
        <v>18</v>
      </c>
      <c r="M4567" s="2">
        <v>2</v>
      </c>
      <c r="N4567" s="2">
        <v>1.71</v>
      </c>
      <c r="O4567">
        <v>0</v>
      </c>
      <c r="P4567">
        <v>1</v>
      </c>
      <c r="Q4567" s="4" t="str">
        <f t="shared" si="620"/>
        <v>2016/2017-Ganjil</v>
      </c>
      <c r="R4567" s="8" t="s">
        <v>260</v>
      </c>
      <c r="S4567" t="s">
        <v>595</v>
      </c>
    </row>
    <row r="4568" spans="1:19" x14ac:dyDescent="0.3">
      <c r="A4568" t="s">
        <v>8</v>
      </c>
      <c r="B4568">
        <v>2016210040</v>
      </c>
      <c r="C4568" t="s">
        <v>179</v>
      </c>
      <c r="E4568" t="s">
        <v>77</v>
      </c>
      <c r="F4568" t="s">
        <v>78</v>
      </c>
      <c r="G4568">
        <v>2</v>
      </c>
      <c r="H4568" t="s">
        <v>260</v>
      </c>
      <c r="I4568" s="4">
        <f t="shared" ref="I4568:I4598" si="622">IF(H4568="A",4,IF(H4568="B",3,IF(H4568="C",2,IF(H4568="D",1,0))))</f>
        <v>4</v>
      </c>
      <c r="J4568">
        <f t="shared" si="621"/>
        <v>8</v>
      </c>
      <c r="K4568">
        <v>36</v>
      </c>
      <c r="L4568">
        <v>18</v>
      </c>
      <c r="M4568" s="2">
        <v>2</v>
      </c>
      <c r="N4568" s="2">
        <v>1.71</v>
      </c>
      <c r="O4568">
        <v>0</v>
      </c>
      <c r="P4568">
        <v>1</v>
      </c>
      <c r="Q4568" s="4" t="str">
        <f t="shared" si="620"/>
        <v>2016/2017-Ganjil</v>
      </c>
      <c r="R4568" s="8" t="s">
        <v>260</v>
      </c>
      <c r="S4568" t="str">
        <f t="shared" ref="S4568:S4580" si="623">IF(OR(H4568="A",H4568="B",H4568="C"),"PA","FA")</f>
        <v>PA</v>
      </c>
    </row>
    <row r="4569" spans="1:19" x14ac:dyDescent="0.3">
      <c r="A4569" t="s">
        <v>8</v>
      </c>
      <c r="B4569">
        <v>2016210040</v>
      </c>
      <c r="C4569" t="s">
        <v>179</v>
      </c>
      <c r="E4569" t="s">
        <v>202</v>
      </c>
      <c r="F4569" t="s">
        <v>203</v>
      </c>
      <c r="G4569">
        <v>4</v>
      </c>
      <c r="H4569" t="s">
        <v>438</v>
      </c>
      <c r="I4569" s="4">
        <f t="shared" ref="I4569:I4580" si="624">IF(H4569="A",4,IF(H4569="B",3,IF(H4569="C",2,IF(H4569="D",1,0))))</f>
        <v>3</v>
      </c>
      <c r="J4569">
        <f t="shared" ref="J4569:J4580" si="625">G4569*I4569</f>
        <v>12</v>
      </c>
      <c r="K4569">
        <v>36</v>
      </c>
      <c r="L4569">
        <v>18</v>
      </c>
      <c r="M4569" s="2">
        <v>2</v>
      </c>
      <c r="N4569" s="2">
        <v>1.71</v>
      </c>
      <c r="O4569">
        <v>0</v>
      </c>
      <c r="P4569">
        <v>1</v>
      </c>
      <c r="Q4569" s="4" t="str">
        <f t="shared" si="620"/>
        <v>2016/2017-Ganjil</v>
      </c>
      <c r="R4569" s="8" t="s">
        <v>260</v>
      </c>
      <c r="S4569" t="str">
        <f t="shared" si="623"/>
        <v>PA</v>
      </c>
    </row>
    <row r="4570" spans="1:19" x14ac:dyDescent="0.3">
      <c r="A4570" t="s">
        <v>8</v>
      </c>
      <c r="B4570">
        <v>2016210040</v>
      </c>
      <c r="C4570" t="s">
        <v>179</v>
      </c>
      <c r="E4570" t="s">
        <v>279</v>
      </c>
      <c r="F4570" t="s">
        <v>280</v>
      </c>
      <c r="G4570">
        <v>2</v>
      </c>
      <c r="H4570" t="s">
        <v>438</v>
      </c>
      <c r="I4570" s="4">
        <f t="shared" si="624"/>
        <v>3</v>
      </c>
      <c r="J4570">
        <f t="shared" si="625"/>
        <v>6</v>
      </c>
      <c r="K4570">
        <v>22</v>
      </c>
      <c r="L4570">
        <v>14</v>
      </c>
      <c r="M4570">
        <v>1.57</v>
      </c>
      <c r="N4570" s="2">
        <v>1.71</v>
      </c>
      <c r="O4570">
        <v>0</v>
      </c>
      <c r="P4570">
        <v>2</v>
      </c>
      <c r="Q4570" s="4" t="str">
        <f t="shared" si="620"/>
        <v>2016/2017-Genap</v>
      </c>
      <c r="R4570" s="8" t="s">
        <v>260</v>
      </c>
      <c r="S4570" t="str">
        <f t="shared" si="623"/>
        <v>PA</v>
      </c>
    </row>
    <row r="4571" spans="1:19" x14ac:dyDescent="0.3">
      <c r="A4571" t="s">
        <v>8</v>
      </c>
      <c r="B4571">
        <v>2016210040</v>
      </c>
      <c r="C4571" t="s">
        <v>179</v>
      </c>
      <c r="E4571" t="s">
        <v>163</v>
      </c>
      <c r="F4571" t="s">
        <v>164</v>
      </c>
      <c r="G4571">
        <v>2</v>
      </c>
      <c r="H4571" t="s">
        <v>438</v>
      </c>
      <c r="I4571" s="4">
        <f t="shared" si="624"/>
        <v>3</v>
      </c>
      <c r="J4571">
        <f t="shared" si="625"/>
        <v>6</v>
      </c>
      <c r="K4571">
        <v>36</v>
      </c>
      <c r="L4571">
        <v>18</v>
      </c>
      <c r="M4571" s="2">
        <v>2</v>
      </c>
      <c r="N4571" s="2">
        <v>1.71</v>
      </c>
      <c r="O4571">
        <v>0</v>
      </c>
      <c r="P4571">
        <v>1</v>
      </c>
      <c r="Q4571" s="4" t="str">
        <f t="shared" si="620"/>
        <v>2016/2017-Ganjil</v>
      </c>
      <c r="R4571" s="8" t="s">
        <v>260</v>
      </c>
      <c r="S4571" t="str">
        <f t="shared" si="623"/>
        <v>PA</v>
      </c>
    </row>
    <row r="4572" spans="1:19" x14ac:dyDescent="0.3">
      <c r="A4572" t="s">
        <v>8</v>
      </c>
      <c r="B4572">
        <v>2016210040</v>
      </c>
      <c r="C4572" t="s">
        <v>179</v>
      </c>
      <c r="E4572" t="s">
        <v>117</v>
      </c>
      <c r="F4572" t="s">
        <v>118</v>
      </c>
      <c r="G4572">
        <v>2</v>
      </c>
      <c r="H4572" t="s">
        <v>438</v>
      </c>
      <c r="I4572" s="4">
        <f t="shared" si="624"/>
        <v>3</v>
      </c>
      <c r="J4572">
        <f t="shared" si="625"/>
        <v>6</v>
      </c>
      <c r="K4572">
        <v>22</v>
      </c>
      <c r="L4572">
        <v>14</v>
      </c>
      <c r="M4572">
        <v>1.57</v>
      </c>
      <c r="N4572" s="2">
        <v>1.71</v>
      </c>
      <c r="O4572">
        <v>0</v>
      </c>
      <c r="P4572">
        <v>2</v>
      </c>
      <c r="Q4572" s="4" t="str">
        <f t="shared" si="620"/>
        <v>2016/2017-Genap</v>
      </c>
      <c r="R4572" s="8" t="s">
        <v>260</v>
      </c>
      <c r="S4572" t="str">
        <f t="shared" si="623"/>
        <v>PA</v>
      </c>
    </row>
    <row r="4573" spans="1:19" x14ac:dyDescent="0.3">
      <c r="A4573" t="s">
        <v>8</v>
      </c>
      <c r="B4573">
        <v>2016210040</v>
      </c>
      <c r="C4573" t="s">
        <v>179</v>
      </c>
      <c r="E4573" t="s">
        <v>147</v>
      </c>
      <c r="F4573" t="s">
        <v>148</v>
      </c>
      <c r="G4573">
        <v>4</v>
      </c>
      <c r="H4573" t="s">
        <v>524</v>
      </c>
      <c r="I4573" s="4">
        <f t="shared" si="624"/>
        <v>2</v>
      </c>
      <c r="J4573">
        <f t="shared" si="625"/>
        <v>8</v>
      </c>
      <c r="K4573">
        <v>36</v>
      </c>
      <c r="L4573">
        <v>18</v>
      </c>
      <c r="M4573" s="2">
        <v>2</v>
      </c>
      <c r="N4573" s="2">
        <v>1.71</v>
      </c>
      <c r="O4573">
        <v>0</v>
      </c>
      <c r="P4573">
        <v>1</v>
      </c>
      <c r="Q4573" s="4" t="str">
        <f t="shared" si="620"/>
        <v>2016/2017-Ganjil</v>
      </c>
      <c r="R4573" s="8" t="s">
        <v>260</v>
      </c>
      <c r="S4573" t="str">
        <f t="shared" si="623"/>
        <v>PA</v>
      </c>
    </row>
    <row r="4574" spans="1:19" x14ac:dyDescent="0.3">
      <c r="A4574" t="s">
        <v>8</v>
      </c>
      <c r="B4574">
        <v>2016210040</v>
      </c>
      <c r="C4574" t="s">
        <v>179</v>
      </c>
      <c r="E4574" t="s">
        <v>232</v>
      </c>
      <c r="F4574" t="s">
        <v>245</v>
      </c>
      <c r="G4574">
        <v>2</v>
      </c>
      <c r="H4574" t="s">
        <v>524</v>
      </c>
      <c r="I4574" s="4">
        <f t="shared" si="624"/>
        <v>2</v>
      </c>
      <c r="J4574">
        <f t="shared" si="625"/>
        <v>4</v>
      </c>
      <c r="K4574">
        <v>22</v>
      </c>
      <c r="L4574">
        <v>14</v>
      </c>
      <c r="M4574">
        <v>1.57</v>
      </c>
      <c r="N4574" s="2">
        <v>1.71</v>
      </c>
      <c r="O4574">
        <v>0</v>
      </c>
      <c r="P4574">
        <v>2</v>
      </c>
      <c r="Q4574" s="4" t="str">
        <f t="shared" si="620"/>
        <v>2016/2017-Genap</v>
      </c>
      <c r="R4574" s="8" t="s">
        <v>260</v>
      </c>
      <c r="S4574" t="str">
        <f t="shared" si="623"/>
        <v>PA</v>
      </c>
    </row>
    <row r="4575" spans="1:19" x14ac:dyDescent="0.3">
      <c r="A4575" t="s">
        <v>8</v>
      </c>
      <c r="B4575">
        <v>2016210040</v>
      </c>
      <c r="C4575" t="s">
        <v>179</v>
      </c>
      <c r="E4575" t="s">
        <v>395</v>
      </c>
      <c r="F4575" t="s">
        <v>396</v>
      </c>
      <c r="G4575">
        <v>2</v>
      </c>
      <c r="H4575" t="s">
        <v>535</v>
      </c>
      <c r="I4575" s="4">
        <f t="shared" si="624"/>
        <v>1</v>
      </c>
      <c r="J4575">
        <f t="shared" si="625"/>
        <v>2</v>
      </c>
      <c r="K4575">
        <v>36</v>
      </c>
      <c r="L4575">
        <v>18</v>
      </c>
      <c r="M4575" s="2">
        <v>2</v>
      </c>
      <c r="N4575" s="2">
        <v>1.71</v>
      </c>
      <c r="O4575">
        <v>0</v>
      </c>
      <c r="P4575">
        <v>1</v>
      </c>
      <c r="Q4575" s="4" t="str">
        <f t="shared" si="620"/>
        <v>2016/2017-Ganjil</v>
      </c>
      <c r="R4575" s="8" t="s">
        <v>260</v>
      </c>
      <c r="S4575" t="str">
        <f t="shared" si="623"/>
        <v>FA</v>
      </c>
    </row>
    <row r="4576" spans="1:19" x14ac:dyDescent="0.3">
      <c r="A4576" t="s">
        <v>8</v>
      </c>
      <c r="B4576">
        <v>2016210040</v>
      </c>
      <c r="C4576" t="s">
        <v>179</v>
      </c>
      <c r="E4576" t="s">
        <v>395</v>
      </c>
      <c r="F4576" t="s">
        <v>396</v>
      </c>
      <c r="G4576">
        <v>2</v>
      </c>
      <c r="H4576" t="s">
        <v>539</v>
      </c>
      <c r="I4576" s="4">
        <f t="shared" si="624"/>
        <v>0</v>
      </c>
      <c r="J4576">
        <f t="shared" si="625"/>
        <v>0</v>
      </c>
      <c r="K4576">
        <v>0</v>
      </c>
      <c r="L4576">
        <v>4</v>
      </c>
      <c r="M4576" s="2">
        <v>0</v>
      </c>
      <c r="N4576" s="2">
        <v>1.71</v>
      </c>
      <c r="O4576">
        <v>1</v>
      </c>
      <c r="P4576">
        <v>3</v>
      </c>
      <c r="Q4576" s="4" t="str">
        <f t="shared" si="620"/>
        <v>2017/2018-Ganjil</v>
      </c>
      <c r="R4576" s="8" t="s">
        <v>535</v>
      </c>
      <c r="S4576" t="str">
        <f t="shared" si="623"/>
        <v>FA</v>
      </c>
    </row>
    <row r="4577" spans="1:19" x14ac:dyDescent="0.3">
      <c r="A4577" t="s">
        <v>8</v>
      </c>
      <c r="B4577">
        <v>2016210040</v>
      </c>
      <c r="C4577" t="s">
        <v>179</v>
      </c>
      <c r="E4577" t="s">
        <v>115</v>
      </c>
      <c r="F4577" t="s">
        <v>116</v>
      </c>
      <c r="G4577">
        <v>4</v>
      </c>
      <c r="H4577" t="s">
        <v>535</v>
      </c>
      <c r="I4577" s="4">
        <f t="shared" si="624"/>
        <v>1</v>
      </c>
      <c r="J4577">
        <f t="shared" si="625"/>
        <v>4</v>
      </c>
      <c r="K4577">
        <v>22</v>
      </c>
      <c r="L4577">
        <v>14</v>
      </c>
      <c r="M4577">
        <v>1.57</v>
      </c>
      <c r="N4577" s="2">
        <v>1.71</v>
      </c>
      <c r="O4577">
        <v>0</v>
      </c>
      <c r="P4577">
        <v>2</v>
      </c>
      <c r="Q4577" s="4" t="str">
        <f t="shared" si="620"/>
        <v>2016/2017-Genap</v>
      </c>
      <c r="R4577" s="8" t="s">
        <v>260</v>
      </c>
      <c r="S4577" t="str">
        <f t="shared" si="623"/>
        <v>FA</v>
      </c>
    </row>
    <row r="4578" spans="1:19" x14ac:dyDescent="0.3">
      <c r="A4578" t="s">
        <v>8</v>
      </c>
      <c r="B4578">
        <v>2016210040</v>
      </c>
      <c r="C4578" t="s">
        <v>179</v>
      </c>
      <c r="E4578" t="s">
        <v>266</v>
      </c>
      <c r="F4578" t="s">
        <v>91</v>
      </c>
      <c r="G4578">
        <v>2</v>
      </c>
      <c r="H4578" t="s">
        <v>535</v>
      </c>
      <c r="I4578" s="4">
        <f t="shared" si="624"/>
        <v>1</v>
      </c>
      <c r="J4578">
        <f t="shared" si="625"/>
        <v>2</v>
      </c>
      <c r="K4578">
        <v>22</v>
      </c>
      <c r="L4578">
        <v>14</v>
      </c>
      <c r="M4578">
        <v>1.57</v>
      </c>
      <c r="N4578" s="2">
        <v>1.71</v>
      </c>
      <c r="O4578">
        <v>0</v>
      </c>
      <c r="P4578">
        <v>2</v>
      </c>
      <c r="Q4578" s="4" t="str">
        <f t="shared" si="620"/>
        <v>2016/2017-Genap</v>
      </c>
      <c r="R4578" s="8" t="s">
        <v>260</v>
      </c>
      <c r="S4578" t="str">
        <f t="shared" si="623"/>
        <v>FA</v>
      </c>
    </row>
    <row r="4579" spans="1:19" x14ac:dyDescent="0.3">
      <c r="A4579" t="s">
        <v>8</v>
      </c>
      <c r="B4579">
        <v>2016210040</v>
      </c>
      <c r="C4579" t="s">
        <v>179</v>
      </c>
      <c r="E4579" t="s">
        <v>22</v>
      </c>
      <c r="F4579" t="s">
        <v>23</v>
      </c>
      <c r="G4579">
        <v>2</v>
      </c>
      <c r="H4579" t="s">
        <v>539</v>
      </c>
      <c r="I4579" s="4">
        <f t="shared" si="624"/>
        <v>0</v>
      </c>
      <c r="J4579">
        <f t="shared" si="625"/>
        <v>0</v>
      </c>
      <c r="K4579">
        <v>22</v>
      </c>
      <c r="L4579">
        <v>14</v>
      </c>
      <c r="M4579">
        <v>1.57</v>
      </c>
      <c r="N4579" s="2">
        <v>1.71</v>
      </c>
      <c r="O4579">
        <v>0</v>
      </c>
      <c r="P4579">
        <v>2</v>
      </c>
      <c r="Q4579" s="4" t="str">
        <f t="shared" si="620"/>
        <v>2016/2017-Genap</v>
      </c>
      <c r="R4579" s="8" t="s">
        <v>260</v>
      </c>
      <c r="S4579" t="str">
        <f t="shared" si="623"/>
        <v>FA</v>
      </c>
    </row>
    <row r="4580" spans="1:19" x14ac:dyDescent="0.3">
      <c r="A4580" t="s">
        <v>8</v>
      </c>
      <c r="B4580">
        <v>2016210040</v>
      </c>
      <c r="C4580" t="s">
        <v>179</v>
      </c>
      <c r="E4580" t="s">
        <v>110</v>
      </c>
      <c r="F4580" t="s">
        <v>111</v>
      </c>
      <c r="G4580">
        <v>4</v>
      </c>
      <c r="H4580" t="s">
        <v>539</v>
      </c>
      <c r="I4580" s="4">
        <f t="shared" si="624"/>
        <v>0</v>
      </c>
      <c r="J4580">
        <f t="shared" si="625"/>
        <v>0</v>
      </c>
      <c r="K4580">
        <v>36</v>
      </c>
      <c r="L4580">
        <v>18</v>
      </c>
      <c r="M4580" s="2">
        <v>2</v>
      </c>
      <c r="N4580" s="2">
        <v>1.71</v>
      </c>
      <c r="O4580">
        <v>0</v>
      </c>
      <c r="P4580">
        <v>1</v>
      </c>
      <c r="Q4580" s="4" t="str">
        <f t="shared" si="620"/>
        <v>2016/2017-Ganjil</v>
      </c>
      <c r="R4580" s="8" t="s">
        <v>260</v>
      </c>
      <c r="S4580" t="str">
        <f t="shared" si="623"/>
        <v>FA</v>
      </c>
    </row>
    <row r="4581" spans="1:19" x14ac:dyDescent="0.3">
      <c r="A4581" t="s">
        <v>8</v>
      </c>
      <c r="B4581">
        <v>2016210040</v>
      </c>
      <c r="C4581" t="s">
        <v>179</v>
      </c>
      <c r="E4581" t="s">
        <v>110</v>
      </c>
      <c r="F4581" t="s">
        <v>111</v>
      </c>
      <c r="G4581">
        <v>4</v>
      </c>
      <c r="I4581" s="4"/>
      <c r="J4581">
        <f t="shared" si="621"/>
        <v>0</v>
      </c>
      <c r="K4581">
        <v>0</v>
      </c>
      <c r="L4581">
        <v>4</v>
      </c>
      <c r="M4581" s="2">
        <v>0</v>
      </c>
      <c r="N4581" s="2">
        <v>1.71</v>
      </c>
      <c r="O4581">
        <v>1</v>
      </c>
      <c r="P4581">
        <v>3</v>
      </c>
      <c r="Q4581" s="4" t="str">
        <f t="shared" si="620"/>
        <v>2017/2018-Ganjil</v>
      </c>
      <c r="R4581" s="8" t="s">
        <v>535</v>
      </c>
      <c r="S4581" t="s">
        <v>595</v>
      </c>
    </row>
    <row r="4582" spans="1:19" x14ac:dyDescent="0.3">
      <c r="A4582" t="s">
        <v>8</v>
      </c>
      <c r="B4582">
        <v>2016210040</v>
      </c>
      <c r="C4582" t="s">
        <v>179</v>
      </c>
      <c r="E4582" t="s">
        <v>157</v>
      </c>
      <c r="F4582" t="s">
        <v>158</v>
      </c>
      <c r="G4582">
        <v>2</v>
      </c>
      <c r="H4582" t="s">
        <v>539</v>
      </c>
      <c r="I4582" s="4">
        <f t="shared" si="622"/>
        <v>0</v>
      </c>
      <c r="J4582">
        <f t="shared" si="621"/>
        <v>0</v>
      </c>
      <c r="K4582">
        <v>0</v>
      </c>
      <c r="L4582">
        <v>4</v>
      </c>
      <c r="M4582" s="2">
        <v>0</v>
      </c>
      <c r="N4582" s="2">
        <v>1.71</v>
      </c>
      <c r="O4582">
        <v>0</v>
      </c>
      <c r="P4582">
        <v>3</v>
      </c>
      <c r="Q4582" s="4" t="str">
        <f t="shared" si="620"/>
        <v>2017/2018-Ganjil</v>
      </c>
      <c r="R4582" s="8" t="s">
        <v>535</v>
      </c>
      <c r="S4582" t="str">
        <f t="shared" ref="S4582:S4596" si="626">IF(OR(H4582="A",H4582="B",H4582="C"),"PA","FA")</f>
        <v>FA</v>
      </c>
    </row>
    <row r="4583" spans="1:19" x14ac:dyDescent="0.3">
      <c r="A4583" t="s">
        <v>8</v>
      </c>
      <c r="B4583">
        <v>2016210042</v>
      </c>
      <c r="C4583" t="s">
        <v>167</v>
      </c>
      <c r="E4583" t="s">
        <v>125</v>
      </c>
      <c r="F4583" t="s">
        <v>126</v>
      </c>
      <c r="G4583">
        <v>4</v>
      </c>
      <c r="H4583" t="s">
        <v>539</v>
      </c>
      <c r="I4583" s="4">
        <f t="shared" ref="I4583:I4596" si="627">IF(H4583="A",4,IF(H4583="B",3,IF(H4583="C",2,IF(H4583="D",1,0))))</f>
        <v>0</v>
      </c>
      <c r="J4583">
        <f t="shared" ref="J4583:J4596" si="628">G4583*I4583</f>
        <v>0</v>
      </c>
      <c r="K4583">
        <v>36</v>
      </c>
      <c r="L4583">
        <v>14</v>
      </c>
      <c r="M4583">
        <v>2.57</v>
      </c>
      <c r="N4583" s="2">
        <v>2.82</v>
      </c>
      <c r="O4583">
        <v>0</v>
      </c>
      <c r="P4583">
        <v>2</v>
      </c>
      <c r="Q4583" s="4" t="str">
        <f t="shared" si="620"/>
        <v>2016/2017-Genap</v>
      </c>
      <c r="R4583" s="8" t="s">
        <v>535</v>
      </c>
      <c r="S4583" t="str">
        <f t="shared" si="626"/>
        <v>FA</v>
      </c>
    </row>
    <row r="4584" spans="1:19" x14ac:dyDescent="0.3">
      <c r="A4584" t="s">
        <v>8</v>
      </c>
      <c r="B4584">
        <v>2016210042</v>
      </c>
      <c r="C4584" t="s">
        <v>167</v>
      </c>
      <c r="E4584" t="s">
        <v>202</v>
      </c>
      <c r="F4584" t="s">
        <v>203</v>
      </c>
      <c r="G4584">
        <v>4</v>
      </c>
      <c r="H4584" t="s">
        <v>260</v>
      </c>
      <c r="I4584" s="4">
        <f t="shared" si="627"/>
        <v>4</v>
      </c>
      <c r="J4584">
        <f t="shared" si="628"/>
        <v>16</v>
      </c>
      <c r="K4584">
        <v>60</v>
      </c>
      <c r="L4584">
        <v>20</v>
      </c>
      <c r="M4584" s="2">
        <v>3</v>
      </c>
      <c r="N4584" s="2">
        <v>2.82</v>
      </c>
      <c r="O4584">
        <v>0</v>
      </c>
      <c r="P4584">
        <v>1</v>
      </c>
      <c r="Q4584" s="4" t="str">
        <f t="shared" si="620"/>
        <v>2016/2017-Ganjil</v>
      </c>
      <c r="R4584" s="8" t="s">
        <v>260</v>
      </c>
      <c r="S4584" t="str">
        <f t="shared" si="626"/>
        <v>PA</v>
      </c>
    </row>
    <row r="4585" spans="1:19" x14ac:dyDescent="0.3">
      <c r="A4585" t="s">
        <v>8</v>
      </c>
      <c r="B4585">
        <v>2016210042</v>
      </c>
      <c r="C4585" t="s">
        <v>167</v>
      </c>
      <c r="E4585" t="s">
        <v>266</v>
      </c>
      <c r="F4585" t="s">
        <v>91</v>
      </c>
      <c r="G4585">
        <v>2</v>
      </c>
      <c r="H4585" t="s">
        <v>260</v>
      </c>
      <c r="I4585" s="4">
        <f t="shared" si="627"/>
        <v>4</v>
      </c>
      <c r="J4585">
        <f t="shared" si="628"/>
        <v>8</v>
      </c>
      <c r="K4585">
        <v>36</v>
      </c>
      <c r="L4585">
        <v>14</v>
      </c>
      <c r="M4585">
        <v>2.57</v>
      </c>
      <c r="N4585" s="2">
        <v>2.82</v>
      </c>
      <c r="O4585">
        <v>0</v>
      </c>
      <c r="P4585">
        <v>2</v>
      </c>
      <c r="Q4585" s="4" t="str">
        <f t="shared" si="620"/>
        <v>2016/2017-Genap</v>
      </c>
      <c r="R4585" s="8" t="s">
        <v>535</v>
      </c>
      <c r="S4585" t="str">
        <f t="shared" si="626"/>
        <v>PA</v>
      </c>
    </row>
    <row r="4586" spans="1:19" x14ac:dyDescent="0.3">
      <c r="A4586" t="s">
        <v>8</v>
      </c>
      <c r="B4586">
        <v>2016210042</v>
      </c>
      <c r="C4586" t="s">
        <v>167</v>
      </c>
      <c r="E4586" t="s">
        <v>77</v>
      </c>
      <c r="F4586" t="s">
        <v>78</v>
      </c>
      <c r="G4586">
        <v>2</v>
      </c>
      <c r="H4586" t="s">
        <v>260</v>
      </c>
      <c r="I4586" s="4">
        <f t="shared" si="627"/>
        <v>4</v>
      </c>
      <c r="J4586">
        <f t="shared" si="628"/>
        <v>8</v>
      </c>
      <c r="K4586">
        <v>60</v>
      </c>
      <c r="L4586">
        <v>20</v>
      </c>
      <c r="M4586" s="2">
        <v>3</v>
      </c>
      <c r="N4586" s="2">
        <v>2.82</v>
      </c>
      <c r="O4586">
        <v>0</v>
      </c>
      <c r="P4586">
        <v>1</v>
      </c>
      <c r="Q4586" s="4" t="str">
        <f t="shared" si="620"/>
        <v>2016/2017-Ganjil</v>
      </c>
      <c r="R4586" s="8" t="s">
        <v>260</v>
      </c>
      <c r="S4586" t="str">
        <f t="shared" si="626"/>
        <v>PA</v>
      </c>
    </row>
    <row r="4587" spans="1:19" x14ac:dyDescent="0.3">
      <c r="A4587" t="s">
        <v>8</v>
      </c>
      <c r="B4587">
        <v>2016210042</v>
      </c>
      <c r="C4587" t="s">
        <v>167</v>
      </c>
      <c r="E4587" t="s">
        <v>147</v>
      </c>
      <c r="F4587" t="s">
        <v>148</v>
      </c>
      <c r="G4587">
        <v>4</v>
      </c>
      <c r="H4587" t="s">
        <v>438</v>
      </c>
      <c r="I4587" s="4">
        <f t="shared" si="627"/>
        <v>3</v>
      </c>
      <c r="J4587">
        <f t="shared" si="628"/>
        <v>12</v>
      </c>
      <c r="K4587">
        <v>60</v>
      </c>
      <c r="L4587">
        <v>20</v>
      </c>
      <c r="M4587" s="2">
        <v>3</v>
      </c>
      <c r="N4587" s="2">
        <v>2.82</v>
      </c>
      <c r="O4587">
        <v>0</v>
      </c>
      <c r="P4587">
        <v>1</v>
      </c>
      <c r="Q4587" s="4" t="str">
        <f t="shared" si="620"/>
        <v>2016/2017-Ganjil</v>
      </c>
      <c r="R4587" s="8" t="s">
        <v>260</v>
      </c>
      <c r="S4587" t="str">
        <f t="shared" si="626"/>
        <v>PA</v>
      </c>
    </row>
    <row r="4588" spans="1:19" x14ac:dyDescent="0.3">
      <c r="A4588" t="s">
        <v>8</v>
      </c>
      <c r="B4588">
        <v>2016210042</v>
      </c>
      <c r="C4588" t="s">
        <v>167</v>
      </c>
      <c r="E4588" t="s">
        <v>117</v>
      </c>
      <c r="F4588" t="s">
        <v>118</v>
      </c>
      <c r="G4588">
        <v>2</v>
      </c>
      <c r="H4588" t="s">
        <v>438</v>
      </c>
      <c r="I4588" s="4">
        <f t="shared" si="627"/>
        <v>3</v>
      </c>
      <c r="J4588">
        <f t="shared" si="628"/>
        <v>6</v>
      </c>
      <c r="K4588">
        <v>36</v>
      </c>
      <c r="L4588">
        <v>14</v>
      </c>
      <c r="M4588" s="2">
        <v>2.57</v>
      </c>
      <c r="N4588" s="2">
        <v>2.82</v>
      </c>
      <c r="O4588">
        <v>0</v>
      </c>
      <c r="P4588">
        <v>2</v>
      </c>
      <c r="Q4588" s="4" t="str">
        <f t="shared" si="620"/>
        <v>2016/2017-Genap</v>
      </c>
      <c r="R4588" s="8" t="s">
        <v>535</v>
      </c>
      <c r="S4588" t="str">
        <f t="shared" si="626"/>
        <v>PA</v>
      </c>
    </row>
    <row r="4589" spans="1:19" x14ac:dyDescent="0.3">
      <c r="A4589" t="s">
        <v>8</v>
      </c>
      <c r="B4589">
        <v>2016210042</v>
      </c>
      <c r="C4589" t="s">
        <v>167</v>
      </c>
      <c r="E4589" t="s">
        <v>279</v>
      </c>
      <c r="F4589" t="s">
        <v>280</v>
      </c>
      <c r="G4589">
        <v>2</v>
      </c>
      <c r="H4589" t="s">
        <v>438</v>
      </c>
      <c r="I4589" s="4">
        <f t="shared" si="627"/>
        <v>3</v>
      </c>
      <c r="J4589">
        <f t="shared" si="628"/>
        <v>6</v>
      </c>
      <c r="K4589">
        <v>36</v>
      </c>
      <c r="L4589">
        <v>14</v>
      </c>
      <c r="M4589" s="2">
        <v>2.57</v>
      </c>
      <c r="N4589" s="2">
        <v>2.82</v>
      </c>
      <c r="O4589">
        <v>0</v>
      </c>
      <c r="P4589">
        <v>2</v>
      </c>
      <c r="Q4589" s="4" t="str">
        <f t="shared" si="620"/>
        <v>2016/2017-Genap</v>
      </c>
      <c r="R4589" s="8" t="s">
        <v>535</v>
      </c>
      <c r="S4589" t="str">
        <f t="shared" si="626"/>
        <v>PA</v>
      </c>
    </row>
    <row r="4590" spans="1:19" x14ac:dyDescent="0.3">
      <c r="A4590" t="s">
        <v>8</v>
      </c>
      <c r="B4590">
        <v>2016210042</v>
      </c>
      <c r="C4590" t="s">
        <v>167</v>
      </c>
      <c r="E4590" t="s">
        <v>163</v>
      </c>
      <c r="F4590" t="s">
        <v>164</v>
      </c>
      <c r="G4590">
        <v>2</v>
      </c>
      <c r="H4590" t="s">
        <v>438</v>
      </c>
      <c r="I4590" s="4">
        <f t="shared" si="627"/>
        <v>3</v>
      </c>
      <c r="J4590">
        <f t="shared" si="628"/>
        <v>6</v>
      </c>
      <c r="K4590">
        <v>60</v>
      </c>
      <c r="L4590">
        <v>20</v>
      </c>
      <c r="M4590" s="2">
        <v>3</v>
      </c>
      <c r="N4590" s="2">
        <v>2.82</v>
      </c>
      <c r="O4590">
        <v>0</v>
      </c>
      <c r="P4590">
        <v>1</v>
      </c>
      <c r="Q4590" s="4" t="str">
        <f t="shared" si="620"/>
        <v>2016/2017-Ganjil</v>
      </c>
      <c r="R4590" s="8" t="s">
        <v>260</v>
      </c>
      <c r="S4590" t="str">
        <f t="shared" si="626"/>
        <v>PA</v>
      </c>
    </row>
    <row r="4591" spans="1:19" x14ac:dyDescent="0.3">
      <c r="A4591" t="s">
        <v>8</v>
      </c>
      <c r="B4591">
        <v>2016210042</v>
      </c>
      <c r="C4591" t="s">
        <v>167</v>
      </c>
      <c r="E4591" t="s">
        <v>22</v>
      </c>
      <c r="F4591" t="s">
        <v>23</v>
      </c>
      <c r="G4591">
        <v>2</v>
      </c>
      <c r="H4591" t="s">
        <v>438</v>
      </c>
      <c r="I4591" s="4">
        <f t="shared" si="627"/>
        <v>3</v>
      </c>
      <c r="J4591">
        <f t="shared" si="628"/>
        <v>6</v>
      </c>
      <c r="K4591">
        <v>36</v>
      </c>
      <c r="L4591">
        <v>14</v>
      </c>
      <c r="M4591" s="2">
        <v>2.57</v>
      </c>
      <c r="N4591" s="2">
        <v>2.82</v>
      </c>
      <c r="O4591">
        <v>0</v>
      </c>
      <c r="P4591">
        <v>2</v>
      </c>
      <c r="Q4591" s="4" t="str">
        <f t="shared" si="620"/>
        <v>2016/2017-Genap</v>
      </c>
      <c r="R4591" s="8" t="s">
        <v>535</v>
      </c>
      <c r="S4591" t="str">
        <f t="shared" si="626"/>
        <v>PA</v>
      </c>
    </row>
    <row r="4592" spans="1:19" x14ac:dyDescent="0.3">
      <c r="A4592" t="s">
        <v>8</v>
      </c>
      <c r="B4592">
        <v>2016210042</v>
      </c>
      <c r="C4592" t="s">
        <v>167</v>
      </c>
      <c r="E4592" t="s">
        <v>131</v>
      </c>
      <c r="F4592" t="s">
        <v>132</v>
      </c>
      <c r="G4592">
        <v>2</v>
      </c>
      <c r="H4592" t="s">
        <v>438</v>
      </c>
      <c r="I4592" s="4">
        <f t="shared" si="627"/>
        <v>3</v>
      </c>
      <c r="J4592">
        <f t="shared" si="628"/>
        <v>6</v>
      </c>
      <c r="K4592">
        <v>60</v>
      </c>
      <c r="L4592">
        <v>20</v>
      </c>
      <c r="M4592" s="2">
        <v>3</v>
      </c>
      <c r="N4592" s="2">
        <v>2.82</v>
      </c>
      <c r="O4592">
        <v>0</v>
      </c>
      <c r="P4592">
        <v>1</v>
      </c>
      <c r="Q4592" s="4" t="str">
        <f t="shared" si="620"/>
        <v>2016/2017-Ganjil</v>
      </c>
      <c r="R4592" s="8" t="s">
        <v>260</v>
      </c>
      <c r="S4592" t="str">
        <f t="shared" si="626"/>
        <v>PA</v>
      </c>
    </row>
    <row r="4593" spans="1:19" x14ac:dyDescent="0.3">
      <c r="A4593" t="s">
        <v>8</v>
      </c>
      <c r="B4593">
        <v>2016210042</v>
      </c>
      <c r="C4593" t="s">
        <v>167</v>
      </c>
      <c r="E4593" t="s">
        <v>110</v>
      </c>
      <c r="F4593" t="s">
        <v>111</v>
      </c>
      <c r="G4593">
        <v>4</v>
      </c>
      <c r="H4593" t="s">
        <v>524</v>
      </c>
      <c r="I4593" s="4">
        <f t="shared" si="627"/>
        <v>2</v>
      </c>
      <c r="J4593">
        <f t="shared" si="628"/>
        <v>8</v>
      </c>
      <c r="K4593">
        <v>60</v>
      </c>
      <c r="L4593">
        <v>20</v>
      </c>
      <c r="M4593" s="2">
        <v>3</v>
      </c>
      <c r="N4593" s="2">
        <v>2.82</v>
      </c>
      <c r="O4593">
        <v>0</v>
      </c>
      <c r="P4593">
        <v>1</v>
      </c>
      <c r="Q4593" s="4" t="str">
        <f t="shared" si="620"/>
        <v>2016/2017-Ganjil</v>
      </c>
      <c r="R4593" s="8" t="s">
        <v>260</v>
      </c>
      <c r="S4593" t="str">
        <f t="shared" si="626"/>
        <v>PA</v>
      </c>
    </row>
    <row r="4594" spans="1:19" x14ac:dyDescent="0.3">
      <c r="A4594" t="s">
        <v>8</v>
      </c>
      <c r="B4594">
        <v>2016210042</v>
      </c>
      <c r="C4594" t="s">
        <v>167</v>
      </c>
      <c r="E4594" t="s">
        <v>395</v>
      </c>
      <c r="F4594" t="s">
        <v>396</v>
      </c>
      <c r="G4594">
        <v>2</v>
      </c>
      <c r="H4594" t="s">
        <v>524</v>
      </c>
      <c r="I4594" s="4">
        <f t="shared" si="627"/>
        <v>2</v>
      </c>
      <c r="J4594">
        <f t="shared" si="628"/>
        <v>4</v>
      </c>
      <c r="K4594">
        <v>60</v>
      </c>
      <c r="L4594">
        <v>20</v>
      </c>
      <c r="M4594" s="2">
        <v>3</v>
      </c>
      <c r="N4594" s="2">
        <v>2.82</v>
      </c>
      <c r="O4594">
        <v>0</v>
      </c>
      <c r="P4594">
        <v>1</v>
      </c>
      <c r="Q4594" s="4" t="str">
        <f t="shared" si="620"/>
        <v>2016/2017-Ganjil</v>
      </c>
      <c r="R4594" s="8" t="s">
        <v>260</v>
      </c>
      <c r="S4594" t="str">
        <f t="shared" si="626"/>
        <v>PA</v>
      </c>
    </row>
    <row r="4595" spans="1:19" x14ac:dyDescent="0.3">
      <c r="A4595" t="s">
        <v>8</v>
      </c>
      <c r="B4595">
        <v>2016210042</v>
      </c>
      <c r="C4595" t="s">
        <v>167</v>
      </c>
      <c r="E4595" t="s">
        <v>115</v>
      </c>
      <c r="F4595" t="s">
        <v>116</v>
      </c>
      <c r="G4595">
        <v>4</v>
      </c>
      <c r="H4595" t="s">
        <v>524</v>
      </c>
      <c r="I4595" s="4">
        <f t="shared" si="627"/>
        <v>2</v>
      </c>
      <c r="J4595">
        <f t="shared" si="628"/>
        <v>8</v>
      </c>
      <c r="K4595">
        <v>36</v>
      </c>
      <c r="L4595">
        <v>14</v>
      </c>
      <c r="M4595" s="2">
        <v>2.57</v>
      </c>
      <c r="N4595" s="2">
        <v>2.82</v>
      </c>
      <c r="O4595">
        <v>0</v>
      </c>
      <c r="P4595">
        <v>2</v>
      </c>
      <c r="Q4595" s="4" t="str">
        <f t="shared" si="620"/>
        <v>2016/2017-Genap</v>
      </c>
      <c r="R4595" s="8" t="s">
        <v>535</v>
      </c>
      <c r="S4595" t="str">
        <f t="shared" si="626"/>
        <v>PA</v>
      </c>
    </row>
    <row r="4596" spans="1:19" x14ac:dyDescent="0.3">
      <c r="A4596" t="s">
        <v>8</v>
      </c>
      <c r="B4596">
        <v>2016210042</v>
      </c>
      <c r="C4596" t="s">
        <v>167</v>
      </c>
      <c r="E4596" t="s">
        <v>44</v>
      </c>
      <c r="F4596" t="s">
        <v>45</v>
      </c>
      <c r="G4596">
        <v>2</v>
      </c>
      <c r="H4596" t="s">
        <v>535</v>
      </c>
      <c r="I4596" s="4">
        <f t="shared" si="627"/>
        <v>1</v>
      </c>
      <c r="J4596">
        <f t="shared" si="628"/>
        <v>2</v>
      </c>
      <c r="K4596">
        <v>36</v>
      </c>
      <c r="L4596">
        <v>14</v>
      </c>
      <c r="M4596" s="2">
        <v>2.57</v>
      </c>
      <c r="N4596" s="2">
        <v>2.82</v>
      </c>
      <c r="O4596">
        <v>0</v>
      </c>
      <c r="P4596">
        <v>2</v>
      </c>
      <c r="Q4596" s="4" t="str">
        <f t="shared" si="620"/>
        <v>2016/2017-Genap</v>
      </c>
      <c r="R4596" s="8" t="s">
        <v>535</v>
      </c>
      <c r="S4596" t="str">
        <f t="shared" si="626"/>
        <v>FA</v>
      </c>
    </row>
    <row r="4597" spans="1:19" x14ac:dyDescent="0.3">
      <c r="A4597" t="s">
        <v>8</v>
      </c>
      <c r="B4597">
        <v>2016210043</v>
      </c>
      <c r="C4597" t="s">
        <v>63</v>
      </c>
      <c r="E4597" t="s">
        <v>17</v>
      </c>
      <c r="F4597" t="s">
        <v>11</v>
      </c>
      <c r="G4597">
        <v>2</v>
      </c>
      <c r="I4597" s="4"/>
      <c r="J4597">
        <f t="shared" si="621"/>
        <v>0</v>
      </c>
      <c r="K4597">
        <v>58</v>
      </c>
      <c r="L4597">
        <v>22</v>
      </c>
      <c r="M4597">
        <v>2.64</v>
      </c>
      <c r="N4597" s="2">
        <v>3.13</v>
      </c>
      <c r="O4597">
        <v>0</v>
      </c>
      <c r="P4597">
        <v>6</v>
      </c>
      <c r="Q4597" s="4" t="str">
        <f t="shared" ref="Q4597:Q4628" si="629">IF(P4597=1,"2016/2017-Ganjil",IF(P4597=2,"2016/2017-Genap",IF(P4597=3,"2017/2018-Ganjil",IF(P4597=4,"2017/2018-Genap",IF(P4597=5,"2018/2019-Ganjil",IF(P4597=6,"2018/2019-Genap",IF(P4597=7,"2019/2020-Ganjil",IF(P4597=8,"2019/2020-Genap",IF(P4597=9,"2020/2021-Ganjil",IF(P4597=10,"2020/2021-Genap",IF(P4597=11,"2021/2022-Ganjil",IF(P4597=12,"2021/2022-Genap",IF(P4597=13,"2022/2023-Ganjil","2022/2023-Genap")))))))))))))</f>
        <v>2018/2019-Genap</v>
      </c>
      <c r="R4597" s="8" t="s">
        <v>260</v>
      </c>
      <c r="S4597" t="s">
        <v>595</v>
      </c>
    </row>
    <row r="4598" spans="1:19" x14ac:dyDescent="0.3">
      <c r="A4598" t="s">
        <v>8</v>
      </c>
      <c r="B4598">
        <v>2016210043</v>
      </c>
      <c r="C4598" t="s">
        <v>63</v>
      </c>
      <c r="E4598" t="s">
        <v>17</v>
      </c>
      <c r="F4598" t="s">
        <v>11</v>
      </c>
      <c r="G4598">
        <v>2</v>
      </c>
      <c r="H4598" t="s">
        <v>438</v>
      </c>
      <c r="I4598" s="4">
        <f t="shared" si="622"/>
        <v>3</v>
      </c>
      <c r="J4598">
        <f t="shared" si="621"/>
        <v>6</v>
      </c>
      <c r="K4598">
        <v>34</v>
      </c>
      <c r="L4598">
        <v>10</v>
      </c>
      <c r="M4598" s="2">
        <v>3.4</v>
      </c>
      <c r="N4598" s="2">
        <v>3.13</v>
      </c>
      <c r="O4598">
        <v>1</v>
      </c>
      <c r="P4598">
        <v>7</v>
      </c>
      <c r="Q4598" s="4" t="str">
        <f t="shared" si="629"/>
        <v>2019/2020-Ganjil</v>
      </c>
      <c r="R4598" s="8" t="s">
        <v>260</v>
      </c>
      <c r="S4598" t="str">
        <f t="shared" ref="S4598:S4650" si="630">IF(OR(H4598="A",H4598="B",H4598="C"),"PA","FA")</f>
        <v>PA</v>
      </c>
    </row>
    <row r="4599" spans="1:19" x14ac:dyDescent="0.3">
      <c r="A4599" t="s">
        <v>8</v>
      </c>
      <c r="B4599">
        <v>2016210043</v>
      </c>
      <c r="C4599" t="s">
        <v>63</v>
      </c>
      <c r="E4599" t="s">
        <v>242</v>
      </c>
      <c r="F4599" t="s">
        <v>166</v>
      </c>
      <c r="G4599">
        <v>2</v>
      </c>
      <c r="H4599" t="s">
        <v>260</v>
      </c>
      <c r="I4599" s="4">
        <f t="shared" ref="I4599:I4650" si="631">IF(H4599="A",4,IF(H4599="B",3,IF(H4599="C",2,IF(H4599="D",1,0))))</f>
        <v>4</v>
      </c>
      <c r="J4599">
        <f t="shared" ref="J4599:J4650" si="632">G4599*I4599</f>
        <v>8</v>
      </c>
      <c r="K4599">
        <v>72</v>
      </c>
      <c r="L4599">
        <v>22</v>
      </c>
      <c r="M4599">
        <v>3.27</v>
      </c>
      <c r="N4599" s="2">
        <v>3.13</v>
      </c>
      <c r="O4599">
        <v>0</v>
      </c>
      <c r="P4599">
        <v>4</v>
      </c>
      <c r="Q4599" s="4" t="str">
        <f t="shared" si="629"/>
        <v>2017/2018-Genap</v>
      </c>
      <c r="R4599" s="8" t="s">
        <v>260</v>
      </c>
      <c r="S4599" t="str">
        <f t="shared" si="630"/>
        <v>PA</v>
      </c>
    </row>
    <row r="4600" spans="1:19" x14ac:dyDescent="0.3">
      <c r="A4600" t="s">
        <v>8</v>
      </c>
      <c r="B4600">
        <v>2016210043</v>
      </c>
      <c r="C4600" t="s">
        <v>63</v>
      </c>
      <c r="E4600" t="s">
        <v>597</v>
      </c>
      <c r="F4600" t="s">
        <v>275</v>
      </c>
      <c r="G4600">
        <v>2</v>
      </c>
      <c r="H4600" t="s">
        <v>260</v>
      </c>
      <c r="I4600" s="4">
        <f t="shared" si="631"/>
        <v>4</v>
      </c>
      <c r="J4600">
        <f t="shared" si="632"/>
        <v>8</v>
      </c>
      <c r="K4600">
        <v>58</v>
      </c>
      <c r="L4600">
        <v>22</v>
      </c>
      <c r="M4600">
        <v>2.64</v>
      </c>
      <c r="N4600" s="2">
        <v>3.13</v>
      </c>
      <c r="O4600">
        <v>0</v>
      </c>
      <c r="P4600">
        <v>6</v>
      </c>
      <c r="Q4600" s="4" t="str">
        <f t="shared" si="629"/>
        <v>2018/2019-Genap</v>
      </c>
      <c r="R4600" s="8" t="s">
        <v>260</v>
      </c>
      <c r="S4600" t="str">
        <f t="shared" si="630"/>
        <v>PA</v>
      </c>
    </row>
    <row r="4601" spans="1:19" x14ac:dyDescent="0.3">
      <c r="A4601" t="s">
        <v>8</v>
      </c>
      <c r="B4601">
        <v>2016210043</v>
      </c>
      <c r="C4601" t="s">
        <v>63</v>
      </c>
      <c r="E4601" t="s">
        <v>266</v>
      </c>
      <c r="F4601" t="s">
        <v>91</v>
      </c>
      <c r="G4601">
        <v>2</v>
      </c>
      <c r="H4601" t="s">
        <v>260</v>
      </c>
      <c r="I4601" s="4">
        <f t="shared" si="631"/>
        <v>4</v>
      </c>
      <c r="J4601">
        <f t="shared" si="632"/>
        <v>8</v>
      </c>
      <c r="K4601">
        <v>58</v>
      </c>
      <c r="L4601">
        <v>18</v>
      </c>
      <c r="M4601">
        <v>3.22</v>
      </c>
      <c r="N4601" s="2">
        <v>3.13</v>
      </c>
      <c r="O4601">
        <v>0</v>
      </c>
      <c r="P4601">
        <v>2</v>
      </c>
      <c r="Q4601" s="4" t="str">
        <f t="shared" si="629"/>
        <v>2016/2017-Genap</v>
      </c>
      <c r="R4601" s="8" t="s">
        <v>260</v>
      </c>
      <c r="S4601" t="str">
        <f t="shared" si="630"/>
        <v>PA</v>
      </c>
    </row>
    <row r="4602" spans="1:19" x14ac:dyDescent="0.3">
      <c r="A4602" t="s">
        <v>8</v>
      </c>
      <c r="B4602">
        <v>2016210043</v>
      </c>
      <c r="C4602" t="s">
        <v>63</v>
      </c>
      <c r="E4602" t="s">
        <v>369</v>
      </c>
      <c r="F4602" t="s">
        <v>307</v>
      </c>
      <c r="G4602">
        <v>2</v>
      </c>
      <c r="H4602" t="s">
        <v>260</v>
      </c>
      <c r="I4602" s="4">
        <f t="shared" si="631"/>
        <v>4</v>
      </c>
      <c r="J4602">
        <f t="shared" si="632"/>
        <v>8</v>
      </c>
      <c r="K4602">
        <v>58</v>
      </c>
      <c r="L4602">
        <v>22</v>
      </c>
      <c r="M4602">
        <v>2.64</v>
      </c>
      <c r="N4602" s="2">
        <v>3.13</v>
      </c>
      <c r="O4602">
        <v>0</v>
      </c>
      <c r="P4602">
        <v>6</v>
      </c>
      <c r="Q4602" s="4" t="str">
        <f t="shared" si="629"/>
        <v>2018/2019-Genap</v>
      </c>
      <c r="R4602" s="8" t="s">
        <v>260</v>
      </c>
      <c r="S4602" t="str">
        <f t="shared" si="630"/>
        <v>PA</v>
      </c>
    </row>
    <row r="4603" spans="1:19" x14ac:dyDescent="0.3">
      <c r="A4603" t="s">
        <v>8</v>
      </c>
      <c r="B4603">
        <v>2016210043</v>
      </c>
      <c r="C4603" t="s">
        <v>63</v>
      </c>
      <c r="E4603" t="s">
        <v>131</v>
      </c>
      <c r="F4603" t="s">
        <v>132</v>
      </c>
      <c r="G4603">
        <v>2</v>
      </c>
      <c r="H4603" t="s">
        <v>260</v>
      </c>
      <c r="I4603" s="4">
        <f t="shared" si="631"/>
        <v>4</v>
      </c>
      <c r="J4603">
        <f t="shared" si="632"/>
        <v>8</v>
      </c>
      <c r="K4603">
        <v>62</v>
      </c>
      <c r="L4603">
        <v>20</v>
      </c>
      <c r="M4603" s="2">
        <v>3.1</v>
      </c>
      <c r="N4603" s="2">
        <v>3.13</v>
      </c>
      <c r="O4603">
        <v>0</v>
      </c>
      <c r="P4603">
        <v>1</v>
      </c>
      <c r="Q4603" s="4" t="str">
        <f t="shared" si="629"/>
        <v>2016/2017-Ganjil</v>
      </c>
      <c r="R4603" s="8" t="s">
        <v>260</v>
      </c>
      <c r="S4603" t="str">
        <f t="shared" si="630"/>
        <v>PA</v>
      </c>
    </row>
    <row r="4604" spans="1:19" x14ac:dyDescent="0.3">
      <c r="A4604" t="s">
        <v>8</v>
      </c>
      <c r="B4604">
        <v>2016210043</v>
      </c>
      <c r="C4604" t="s">
        <v>63</v>
      </c>
      <c r="E4604" t="s">
        <v>77</v>
      </c>
      <c r="F4604" t="s">
        <v>78</v>
      </c>
      <c r="G4604">
        <v>2</v>
      </c>
      <c r="H4604" t="s">
        <v>260</v>
      </c>
      <c r="I4604" s="4">
        <f t="shared" si="631"/>
        <v>4</v>
      </c>
      <c r="J4604">
        <f t="shared" si="632"/>
        <v>8</v>
      </c>
      <c r="K4604">
        <v>62</v>
      </c>
      <c r="L4604">
        <v>20</v>
      </c>
      <c r="M4604" s="2">
        <v>3.1</v>
      </c>
      <c r="N4604" s="2">
        <v>3.13</v>
      </c>
      <c r="O4604">
        <v>0</v>
      </c>
      <c r="P4604">
        <v>1</v>
      </c>
      <c r="Q4604" s="4" t="str">
        <f t="shared" si="629"/>
        <v>2016/2017-Ganjil</v>
      </c>
      <c r="R4604" s="8" t="s">
        <v>260</v>
      </c>
      <c r="S4604" t="str">
        <f t="shared" si="630"/>
        <v>PA</v>
      </c>
    </row>
    <row r="4605" spans="1:19" x14ac:dyDescent="0.3">
      <c r="A4605" t="s">
        <v>8</v>
      </c>
      <c r="B4605">
        <v>2016210043</v>
      </c>
      <c r="C4605" t="s">
        <v>63</v>
      </c>
      <c r="E4605" t="s">
        <v>391</v>
      </c>
      <c r="F4605" t="s">
        <v>392</v>
      </c>
      <c r="G4605">
        <v>2</v>
      </c>
      <c r="H4605" t="s">
        <v>260</v>
      </c>
      <c r="I4605" s="4">
        <f t="shared" si="631"/>
        <v>4</v>
      </c>
      <c r="J4605">
        <f t="shared" si="632"/>
        <v>8</v>
      </c>
      <c r="K4605">
        <v>80</v>
      </c>
      <c r="L4605">
        <v>24</v>
      </c>
      <c r="M4605">
        <v>3.33</v>
      </c>
      <c r="N4605" s="2">
        <v>3.13</v>
      </c>
      <c r="O4605">
        <v>0</v>
      </c>
      <c r="P4605">
        <v>5</v>
      </c>
      <c r="Q4605" s="4" t="str">
        <f t="shared" si="629"/>
        <v>2018/2019-Ganjil</v>
      </c>
      <c r="R4605" s="8" t="s">
        <v>260</v>
      </c>
      <c r="S4605" t="str">
        <f t="shared" si="630"/>
        <v>PA</v>
      </c>
    </row>
    <row r="4606" spans="1:19" x14ac:dyDescent="0.3">
      <c r="A4606" t="s">
        <v>8</v>
      </c>
      <c r="B4606">
        <v>2016210043</v>
      </c>
      <c r="C4606" t="s">
        <v>63</v>
      </c>
      <c r="E4606" t="s">
        <v>202</v>
      </c>
      <c r="F4606" t="s">
        <v>203</v>
      </c>
      <c r="G4606">
        <v>4</v>
      </c>
      <c r="H4606" t="s">
        <v>260</v>
      </c>
      <c r="I4606" s="4">
        <f t="shared" si="631"/>
        <v>4</v>
      </c>
      <c r="J4606">
        <f t="shared" si="632"/>
        <v>16</v>
      </c>
      <c r="K4606">
        <v>62</v>
      </c>
      <c r="L4606">
        <v>20</v>
      </c>
      <c r="M4606" s="2">
        <v>3.1</v>
      </c>
      <c r="N4606" s="2">
        <v>3.13</v>
      </c>
      <c r="O4606">
        <v>0</v>
      </c>
      <c r="P4606">
        <v>1</v>
      </c>
      <c r="Q4606" s="4" t="str">
        <f t="shared" si="629"/>
        <v>2016/2017-Ganjil</v>
      </c>
      <c r="R4606" s="8" t="s">
        <v>260</v>
      </c>
      <c r="S4606" t="str">
        <f t="shared" si="630"/>
        <v>PA</v>
      </c>
    </row>
    <row r="4607" spans="1:19" x14ac:dyDescent="0.3">
      <c r="A4607" t="s">
        <v>8</v>
      </c>
      <c r="B4607">
        <v>2016210043</v>
      </c>
      <c r="C4607" t="s">
        <v>63</v>
      </c>
      <c r="E4607" t="s">
        <v>279</v>
      </c>
      <c r="F4607" t="s">
        <v>280</v>
      </c>
      <c r="G4607">
        <v>2</v>
      </c>
      <c r="H4607" t="s">
        <v>260</v>
      </c>
      <c r="I4607" s="4">
        <f t="shared" si="631"/>
        <v>4</v>
      </c>
      <c r="J4607">
        <f t="shared" si="632"/>
        <v>8</v>
      </c>
      <c r="K4607">
        <v>58</v>
      </c>
      <c r="L4607">
        <v>18</v>
      </c>
      <c r="M4607" s="2">
        <v>3.22</v>
      </c>
      <c r="N4607" s="2">
        <v>3.13</v>
      </c>
      <c r="O4607">
        <v>0</v>
      </c>
      <c r="P4607">
        <v>2</v>
      </c>
      <c r="Q4607" s="4" t="str">
        <f t="shared" si="629"/>
        <v>2016/2017-Genap</v>
      </c>
      <c r="R4607" s="8" t="s">
        <v>260</v>
      </c>
      <c r="S4607" t="str">
        <f t="shared" si="630"/>
        <v>PA</v>
      </c>
    </row>
    <row r="4608" spans="1:19" x14ac:dyDescent="0.3">
      <c r="A4608" t="s">
        <v>8</v>
      </c>
      <c r="B4608">
        <v>2016210043</v>
      </c>
      <c r="C4608" t="s">
        <v>63</v>
      </c>
      <c r="E4608" t="s">
        <v>180</v>
      </c>
      <c r="F4608" t="s">
        <v>181</v>
      </c>
      <c r="G4608">
        <v>4</v>
      </c>
      <c r="H4608" t="s">
        <v>260</v>
      </c>
      <c r="I4608" s="4">
        <f t="shared" si="631"/>
        <v>4</v>
      </c>
      <c r="J4608">
        <f t="shared" si="632"/>
        <v>16</v>
      </c>
      <c r="K4608">
        <v>72</v>
      </c>
      <c r="L4608">
        <v>22</v>
      </c>
      <c r="M4608" s="2">
        <v>3.27</v>
      </c>
      <c r="N4608" s="2">
        <v>3.13</v>
      </c>
      <c r="O4608">
        <v>0</v>
      </c>
      <c r="P4608">
        <v>4</v>
      </c>
      <c r="Q4608" s="4" t="str">
        <f t="shared" si="629"/>
        <v>2017/2018-Genap</v>
      </c>
      <c r="R4608" s="8" t="s">
        <v>260</v>
      </c>
      <c r="S4608" t="str">
        <f t="shared" si="630"/>
        <v>PA</v>
      </c>
    </row>
    <row r="4609" spans="1:19" x14ac:dyDescent="0.3">
      <c r="A4609" t="s">
        <v>8</v>
      </c>
      <c r="B4609">
        <v>2016210043</v>
      </c>
      <c r="C4609" t="s">
        <v>63</v>
      </c>
      <c r="E4609" t="s">
        <v>117</v>
      </c>
      <c r="F4609" t="s">
        <v>118</v>
      </c>
      <c r="G4609">
        <v>2</v>
      </c>
      <c r="H4609" t="s">
        <v>260</v>
      </c>
      <c r="I4609" s="4">
        <f t="shared" si="631"/>
        <v>4</v>
      </c>
      <c r="J4609">
        <f t="shared" si="632"/>
        <v>8</v>
      </c>
      <c r="K4609">
        <v>58</v>
      </c>
      <c r="L4609">
        <v>18</v>
      </c>
      <c r="M4609" s="2">
        <v>3.22</v>
      </c>
      <c r="N4609" s="2">
        <v>3.13</v>
      </c>
      <c r="O4609">
        <v>0</v>
      </c>
      <c r="P4609">
        <v>2</v>
      </c>
      <c r="Q4609" s="4" t="str">
        <f t="shared" si="629"/>
        <v>2016/2017-Genap</v>
      </c>
      <c r="R4609" s="8" t="s">
        <v>260</v>
      </c>
      <c r="S4609" t="str">
        <f t="shared" si="630"/>
        <v>PA</v>
      </c>
    </row>
    <row r="4610" spans="1:19" x14ac:dyDescent="0.3">
      <c r="A4610" t="s">
        <v>8</v>
      </c>
      <c r="B4610">
        <v>2016210043</v>
      </c>
      <c r="C4610" t="s">
        <v>63</v>
      </c>
      <c r="E4610" t="s">
        <v>87</v>
      </c>
      <c r="F4610" t="s">
        <v>88</v>
      </c>
      <c r="G4610">
        <v>2</v>
      </c>
      <c r="H4610" t="s">
        <v>260</v>
      </c>
      <c r="I4610" s="4">
        <f t="shared" si="631"/>
        <v>4</v>
      </c>
      <c r="J4610">
        <f t="shared" si="632"/>
        <v>8</v>
      </c>
      <c r="K4610">
        <v>72</v>
      </c>
      <c r="L4610">
        <v>22</v>
      </c>
      <c r="M4610" s="2">
        <v>3.27</v>
      </c>
      <c r="N4610" s="2">
        <v>3.13</v>
      </c>
      <c r="O4610">
        <v>0</v>
      </c>
      <c r="P4610">
        <v>4</v>
      </c>
      <c r="Q4610" s="4" t="str">
        <f t="shared" si="629"/>
        <v>2017/2018-Genap</v>
      </c>
      <c r="R4610" s="8" t="s">
        <v>260</v>
      </c>
      <c r="S4610" t="str">
        <f t="shared" si="630"/>
        <v>PA</v>
      </c>
    </row>
    <row r="4611" spans="1:19" x14ac:dyDescent="0.3">
      <c r="A4611" t="s">
        <v>8</v>
      </c>
      <c r="B4611">
        <v>2016210043</v>
      </c>
      <c r="C4611" t="s">
        <v>63</v>
      </c>
      <c r="E4611" t="s">
        <v>295</v>
      </c>
      <c r="F4611" t="s">
        <v>296</v>
      </c>
      <c r="G4611">
        <v>2</v>
      </c>
      <c r="H4611" t="s">
        <v>260</v>
      </c>
      <c r="I4611" s="4">
        <f t="shared" si="631"/>
        <v>4</v>
      </c>
      <c r="J4611">
        <f t="shared" si="632"/>
        <v>8</v>
      </c>
      <c r="K4611">
        <v>64</v>
      </c>
      <c r="L4611">
        <v>22</v>
      </c>
      <c r="M4611" s="2">
        <v>2.91</v>
      </c>
      <c r="N4611" s="2">
        <v>3.13</v>
      </c>
      <c r="O4611">
        <v>0</v>
      </c>
      <c r="P4611">
        <v>3</v>
      </c>
      <c r="Q4611" s="4" t="str">
        <f t="shared" si="629"/>
        <v>2017/2018-Ganjil</v>
      </c>
      <c r="R4611" s="8" t="s">
        <v>260</v>
      </c>
      <c r="S4611" t="str">
        <f t="shared" si="630"/>
        <v>PA</v>
      </c>
    </row>
    <row r="4612" spans="1:19" x14ac:dyDescent="0.3">
      <c r="A4612" t="s">
        <v>8</v>
      </c>
      <c r="B4612">
        <v>2016210043</v>
      </c>
      <c r="C4612" t="s">
        <v>63</v>
      </c>
      <c r="E4612" t="s">
        <v>185</v>
      </c>
      <c r="F4612" t="s">
        <v>186</v>
      </c>
      <c r="G4612">
        <v>4</v>
      </c>
      <c r="H4612" t="s">
        <v>260</v>
      </c>
      <c r="I4612" s="4">
        <f t="shared" si="631"/>
        <v>4</v>
      </c>
      <c r="J4612">
        <f t="shared" si="632"/>
        <v>16</v>
      </c>
      <c r="K4612">
        <v>34</v>
      </c>
      <c r="L4612">
        <v>10</v>
      </c>
      <c r="M4612" s="2">
        <v>3.4</v>
      </c>
      <c r="N4612" s="2">
        <v>3.13</v>
      </c>
      <c r="O4612">
        <v>0</v>
      </c>
      <c r="P4612">
        <v>7</v>
      </c>
      <c r="Q4612" s="4" t="str">
        <f t="shared" si="629"/>
        <v>2019/2020-Ganjil</v>
      </c>
      <c r="R4612" s="8" t="s">
        <v>260</v>
      </c>
      <c r="S4612" t="str">
        <f t="shared" si="630"/>
        <v>PA</v>
      </c>
    </row>
    <row r="4613" spans="1:19" x14ac:dyDescent="0.3">
      <c r="A4613" t="s">
        <v>8</v>
      </c>
      <c r="B4613">
        <v>2016210043</v>
      </c>
      <c r="C4613" t="s">
        <v>63</v>
      </c>
      <c r="E4613" t="s">
        <v>176</v>
      </c>
      <c r="F4613" t="s">
        <v>177</v>
      </c>
      <c r="G4613">
        <v>4</v>
      </c>
      <c r="H4613" t="s">
        <v>260</v>
      </c>
      <c r="I4613" s="4">
        <f t="shared" si="631"/>
        <v>4</v>
      </c>
      <c r="J4613">
        <f t="shared" si="632"/>
        <v>16</v>
      </c>
      <c r="K4613">
        <v>80</v>
      </c>
      <c r="L4613">
        <v>24</v>
      </c>
      <c r="M4613" s="2">
        <v>3.33</v>
      </c>
      <c r="N4613" s="2">
        <v>3.13</v>
      </c>
      <c r="O4613">
        <v>0</v>
      </c>
      <c r="P4613">
        <v>5</v>
      </c>
      <c r="Q4613" s="4" t="str">
        <f t="shared" si="629"/>
        <v>2018/2019-Ganjil</v>
      </c>
      <c r="R4613" s="8" t="s">
        <v>260</v>
      </c>
      <c r="S4613" t="str">
        <f t="shared" si="630"/>
        <v>PA</v>
      </c>
    </row>
    <row r="4614" spans="1:19" x14ac:dyDescent="0.3">
      <c r="A4614" t="s">
        <v>8</v>
      </c>
      <c r="B4614">
        <v>2016210043</v>
      </c>
      <c r="C4614" t="s">
        <v>63</v>
      </c>
      <c r="E4614" t="s">
        <v>449</v>
      </c>
      <c r="F4614" t="s">
        <v>460</v>
      </c>
      <c r="G4614">
        <v>4</v>
      </c>
      <c r="H4614" t="s">
        <v>438</v>
      </c>
      <c r="I4614" s="4">
        <f t="shared" si="631"/>
        <v>3</v>
      </c>
      <c r="J4614">
        <f t="shared" si="632"/>
        <v>12</v>
      </c>
      <c r="K4614">
        <v>72</v>
      </c>
      <c r="L4614">
        <v>22</v>
      </c>
      <c r="M4614">
        <v>3.27</v>
      </c>
      <c r="N4614" s="2">
        <v>3.13</v>
      </c>
      <c r="O4614">
        <v>0</v>
      </c>
      <c r="P4614">
        <v>4</v>
      </c>
      <c r="Q4614" s="4" t="str">
        <f t="shared" si="629"/>
        <v>2017/2018-Genap</v>
      </c>
      <c r="R4614" s="8" t="s">
        <v>260</v>
      </c>
      <c r="S4614" t="str">
        <f t="shared" si="630"/>
        <v>PA</v>
      </c>
    </row>
    <row r="4615" spans="1:19" x14ac:dyDescent="0.3">
      <c r="A4615" t="s">
        <v>8</v>
      </c>
      <c r="B4615">
        <v>2016210043</v>
      </c>
      <c r="C4615" t="s">
        <v>63</v>
      </c>
      <c r="E4615" t="s">
        <v>22</v>
      </c>
      <c r="F4615" t="s">
        <v>23</v>
      </c>
      <c r="G4615">
        <v>2</v>
      </c>
      <c r="H4615" t="s">
        <v>438</v>
      </c>
      <c r="I4615" s="4">
        <f t="shared" si="631"/>
        <v>3</v>
      </c>
      <c r="J4615">
        <f t="shared" si="632"/>
        <v>6</v>
      </c>
      <c r="K4615">
        <v>58</v>
      </c>
      <c r="L4615">
        <v>18</v>
      </c>
      <c r="M4615">
        <v>3.22</v>
      </c>
      <c r="N4615" s="2">
        <v>3.13</v>
      </c>
      <c r="O4615">
        <v>0</v>
      </c>
      <c r="P4615">
        <v>2</v>
      </c>
      <c r="Q4615" s="4" t="str">
        <f t="shared" si="629"/>
        <v>2016/2017-Genap</v>
      </c>
      <c r="R4615" s="8" t="s">
        <v>260</v>
      </c>
      <c r="S4615" t="str">
        <f t="shared" si="630"/>
        <v>PA</v>
      </c>
    </row>
    <row r="4616" spans="1:19" x14ac:dyDescent="0.3">
      <c r="A4616" t="s">
        <v>8</v>
      </c>
      <c r="B4616">
        <v>2016210043</v>
      </c>
      <c r="C4616" t="s">
        <v>63</v>
      </c>
      <c r="E4616" t="s">
        <v>107</v>
      </c>
      <c r="F4616" t="s">
        <v>108</v>
      </c>
      <c r="G4616">
        <v>2</v>
      </c>
      <c r="H4616" t="s">
        <v>438</v>
      </c>
      <c r="I4616" s="4">
        <f t="shared" si="631"/>
        <v>3</v>
      </c>
      <c r="J4616">
        <f t="shared" si="632"/>
        <v>6</v>
      </c>
      <c r="K4616">
        <v>58</v>
      </c>
      <c r="L4616">
        <v>22</v>
      </c>
      <c r="M4616">
        <v>2.64</v>
      </c>
      <c r="N4616" s="2">
        <v>3.13</v>
      </c>
      <c r="O4616">
        <v>0</v>
      </c>
      <c r="P4616">
        <v>6</v>
      </c>
      <c r="Q4616" s="4" t="str">
        <f t="shared" si="629"/>
        <v>2018/2019-Genap</v>
      </c>
      <c r="R4616" s="8" t="s">
        <v>260</v>
      </c>
      <c r="S4616" t="str">
        <f t="shared" si="630"/>
        <v>PA</v>
      </c>
    </row>
    <row r="4617" spans="1:19" x14ac:dyDescent="0.3">
      <c r="A4617" t="s">
        <v>8</v>
      </c>
      <c r="B4617">
        <v>2016210043</v>
      </c>
      <c r="C4617" t="s">
        <v>63</v>
      </c>
      <c r="E4617" t="s">
        <v>355</v>
      </c>
      <c r="F4617" t="s">
        <v>274</v>
      </c>
      <c r="G4617">
        <v>2</v>
      </c>
      <c r="H4617" t="s">
        <v>438</v>
      </c>
      <c r="I4617" s="4">
        <f t="shared" si="631"/>
        <v>3</v>
      </c>
      <c r="J4617">
        <f t="shared" si="632"/>
        <v>6</v>
      </c>
      <c r="K4617">
        <v>72</v>
      </c>
      <c r="L4617">
        <v>22</v>
      </c>
      <c r="M4617">
        <v>3.27</v>
      </c>
      <c r="N4617" s="2">
        <v>3.13</v>
      </c>
      <c r="O4617">
        <v>0</v>
      </c>
      <c r="P4617">
        <v>4</v>
      </c>
      <c r="Q4617" s="4" t="str">
        <f t="shared" si="629"/>
        <v>2017/2018-Genap</v>
      </c>
      <c r="R4617" s="8" t="s">
        <v>260</v>
      </c>
      <c r="S4617" t="str">
        <f t="shared" si="630"/>
        <v>PA</v>
      </c>
    </row>
    <row r="4618" spans="1:19" x14ac:dyDescent="0.3">
      <c r="A4618" t="s">
        <v>8</v>
      </c>
      <c r="B4618">
        <v>2016210043</v>
      </c>
      <c r="C4618" t="s">
        <v>63</v>
      </c>
      <c r="E4618" t="s">
        <v>115</v>
      </c>
      <c r="F4618" t="s">
        <v>116</v>
      </c>
      <c r="G4618">
        <v>4</v>
      </c>
      <c r="H4618" t="s">
        <v>438</v>
      </c>
      <c r="I4618" s="4">
        <f t="shared" si="631"/>
        <v>3</v>
      </c>
      <c r="J4618">
        <f t="shared" si="632"/>
        <v>12</v>
      </c>
      <c r="K4618">
        <v>58</v>
      </c>
      <c r="L4618">
        <v>18</v>
      </c>
      <c r="M4618">
        <v>3.22</v>
      </c>
      <c r="N4618" s="2">
        <v>3.13</v>
      </c>
      <c r="O4618">
        <v>0</v>
      </c>
      <c r="P4618">
        <v>2</v>
      </c>
      <c r="Q4618" s="4" t="str">
        <f t="shared" si="629"/>
        <v>2016/2017-Genap</v>
      </c>
      <c r="R4618" s="8" t="s">
        <v>260</v>
      </c>
      <c r="S4618" t="str">
        <f t="shared" si="630"/>
        <v>PA</v>
      </c>
    </row>
    <row r="4619" spans="1:19" x14ac:dyDescent="0.3">
      <c r="A4619" t="s">
        <v>8</v>
      </c>
      <c r="B4619">
        <v>2016210043</v>
      </c>
      <c r="C4619" t="s">
        <v>63</v>
      </c>
      <c r="E4619" t="s">
        <v>188</v>
      </c>
      <c r="F4619" t="s">
        <v>189</v>
      </c>
      <c r="G4619">
        <v>4</v>
      </c>
      <c r="H4619" t="s">
        <v>438</v>
      </c>
      <c r="I4619" s="4">
        <f t="shared" si="631"/>
        <v>3</v>
      </c>
      <c r="J4619">
        <f t="shared" si="632"/>
        <v>12</v>
      </c>
      <c r="K4619">
        <v>80</v>
      </c>
      <c r="L4619">
        <v>24</v>
      </c>
      <c r="M4619">
        <v>3.33</v>
      </c>
      <c r="N4619" s="2">
        <v>3.13</v>
      </c>
      <c r="O4619">
        <v>0</v>
      </c>
      <c r="P4619">
        <v>5</v>
      </c>
      <c r="Q4619" s="4" t="str">
        <f t="shared" si="629"/>
        <v>2018/2019-Ganjil</v>
      </c>
      <c r="R4619" s="8" t="s">
        <v>260</v>
      </c>
      <c r="S4619" t="str">
        <f t="shared" si="630"/>
        <v>PA</v>
      </c>
    </row>
    <row r="4620" spans="1:19" x14ac:dyDescent="0.3">
      <c r="A4620" t="s">
        <v>8</v>
      </c>
      <c r="B4620">
        <v>2016210043</v>
      </c>
      <c r="C4620" t="s">
        <v>63</v>
      </c>
      <c r="E4620" t="s">
        <v>157</v>
      </c>
      <c r="F4620" t="s">
        <v>158</v>
      </c>
      <c r="G4620">
        <v>2</v>
      </c>
      <c r="H4620" t="s">
        <v>438</v>
      </c>
      <c r="I4620" s="4">
        <f t="shared" si="631"/>
        <v>3</v>
      </c>
      <c r="J4620">
        <f t="shared" si="632"/>
        <v>6</v>
      </c>
      <c r="K4620">
        <v>64</v>
      </c>
      <c r="L4620">
        <v>22</v>
      </c>
      <c r="M4620">
        <v>2.91</v>
      </c>
      <c r="N4620" s="2">
        <v>3.13</v>
      </c>
      <c r="O4620">
        <v>0</v>
      </c>
      <c r="P4620">
        <v>3</v>
      </c>
      <c r="Q4620" s="4" t="str">
        <f t="shared" si="629"/>
        <v>2017/2018-Ganjil</v>
      </c>
      <c r="R4620" s="8" t="s">
        <v>260</v>
      </c>
      <c r="S4620" t="str">
        <f t="shared" si="630"/>
        <v>PA</v>
      </c>
    </row>
    <row r="4621" spans="1:19" x14ac:dyDescent="0.3">
      <c r="A4621" t="s">
        <v>8</v>
      </c>
      <c r="B4621">
        <v>2016210043</v>
      </c>
      <c r="C4621" t="s">
        <v>63</v>
      </c>
      <c r="E4621" t="s">
        <v>352</v>
      </c>
      <c r="F4621" t="s">
        <v>353</v>
      </c>
      <c r="G4621">
        <v>2</v>
      </c>
      <c r="H4621" t="s">
        <v>438</v>
      </c>
      <c r="I4621" s="4">
        <f t="shared" si="631"/>
        <v>3</v>
      </c>
      <c r="J4621">
        <f t="shared" si="632"/>
        <v>6</v>
      </c>
      <c r="K4621">
        <v>80</v>
      </c>
      <c r="L4621">
        <v>24</v>
      </c>
      <c r="M4621">
        <v>3.33</v>
      </c>
      <c r="N4621" s="2">
        <v>3.13</v>
      </c>
      <c r="O4621">
        <v>0</v>
      </c>
      <c r="P4621">
        <v>5</v>
      </c>
      <c r="Q4621" s="4" t="str">
        <f t="shared" si="629"/>
        <v>2018/2019-Ganjil</v>
      </c>
      <c r="R4621" s="8" t="s">
        <v>260</v>
      </c>
      <c r="S4621" t="str">
        <f t="shared" si="630"/>
        <v>PA</v>
      </c>
    </row>
    <row r="4622" spans="1:19" x14ac:dyDescent="0.3">
      <c r="A4622" t="s">
        <v>8</v>
      </c>
      <c r="B4622">
        <v>2016210043</v>
      </c>
      <c r="C4622" t="s">
        <v>63</v>
      </c>
      <c r="E4622" t="s">
        <v>105</v>
      </c>
      <c r="F4622" t="s">
        <v>106</v>
      </c>
      <c r="G4622">
        <v>2</v>
      </c>
      <c r="H4622" t="s">
        <v>438</v>
      </c>
      <c r="I4622" s="4">
        <f t="shared" si="631"/>
        <v>3</v>
      </c>
      <c r="J4622">
        <f t="shared" si="632"/>
        <v>6</v>
      </c>
      <c r="K4622">
        <v>64</v>
      </c>
      <c r="L4622">
        <v>22</v>
      </c>
      <c r="M4622">
        <v>2.91</v>
      </c>
      <c r="N4622" s="2">
        <v>3.13</v>
      </c>
      <c r="O4622">
        <v>0</v>
      </c>
      <c r="P4622">
        <v>3</v>
      </c>
      <c r="Q4622" s="4" t="str">
        <f t="shared" si="629"/>
        <v>2017/2018-Ganjil</v>
      </c>
      <c r="R4622" s="8" t="s">
        <v>260</v>
      </c>
      <c r="S4622" t="str">
        <f t="shared" si="630"/>
        <v>PA</v>
      </c>
    </row>
    <row r="4623" spans="1:19" x14ac:dyDescent="0.3">
      <c r="A4623" t="s">
        <v>8</v>
      </c>
      <c r="B4623">
        <v>2016210043</v>
      </c>
      <c r="C4623" t="s">
        <v>63</v>
      </c>
      <c r="E4623" t="s">
        <v>193</v>
      </c>
      <c r="F4623" t="s">
        <v>194</v>
      </c>
      <c r="G4623">
        <v>4</v>
      </c>
      <c r="H4623" t="s">
        <v>438</v>
      </c>
      <c r="I4623" s="4">
        <f t="shared" si="631"/>
        <v>3</v>
      </c>
      <c r="J4623">
        <f t="shared" si="632"/>
        <v>12</v>
      </c>
      <c r="K4623">
        <v>34</v>
      </c>
      <c r="L4623">
        <v>10</v>
      </c>
      <c r="M4623" s="2">
        <v>3.4</v>
      </c>
      <c r="N4623" s="2">
        <v>3.13</v>
      </c>
      <c r="O4623">
        <v>0</v>
      </c>
      <c r="P4623">
        <v>7</v>
      </c>
      <c r="Q4623" s="4" t="str">
        <f t="shared" si="629"/>
        <v>2019/2020-Ganjil</v>
      </c>
      <c r="R4623" s="8" t="s">
        <v>260</v>
      </c>
      <c r="S4623" t="str">
        <f t="shared" si="630"/>
        <v>PA</v>
      </c>
    </row>
    <row r="4624" spans="1:19" x14ac:dyDescent="0.3">
      <c r="A4624" t="s">
        <v>8</v>
      </c>
      <c r="B4624">
        <v>2016210043</v>
      </c>
      <c r="C4624" t="s">
        <v>63</v>
      </c>
      <c r="E4624" t="s">
        <v>112</v>
      </c>
      <c r="F4624" t="s">
        <v>113</v>
      </c>
      <c r="G4624">
        <v>4</v>
      </c>
      <c r="H4624" t="s">
        <v>438</v>
      </c>
      <c r="I4624" s="4">
        <f t="shared" si="631"/>
        <v>3</v>
      </c>
      <c r="J4624">
        <f t="shared" si="632"/>
        <v>12</v>
      </c>
      <c r="K4624">
        <v>64</v>
      </c>
      <c r="L4624">
        <v>22</v>
      </c>
      <c r="M4624">
        <v>2.91</v>
      </c>
      <c r="N4624" s="2">
        <v>3.13</v>
      </c>
      <c r="O4624">
        <v>0</v>
      </c>
      <c r="P4624">
        <v>3</v>
      </c>
      <c r="Q4624" s="4" t="str">
        <f t="shared" si="629"/>
        <v>2017/2018-Ganjil</v>
      </c>
      <c r="R4624" s="8" t="s">
        <v>260</v>
      </c>
      <c r="S4624" t="str">
        <f t="shared" si="630"/>
        <v>PA</v>
      </c>
    </row>
    <row r="4625" spans="1:19" x14ac:dyDescent="0.3">
      <c r="A4625" t="s">
        <v>8</v>
      </c>
      <c r="B4625">
        <v>2016210043</v>
      </c>
      <c r="C4625" t="s">
        <v>63</v>
      </c>
      <c r="E4625" t="s">
        <v>250</v>
      </c>
      <c r="F4625" t="s">
        <v>429</v>
      </c>
      <c r="G4625">
        <v>2</v>
      </c>
      <c r="H4625" t="s">
        <v>438</v>
      </c>
      <c r="I4625" s="4">
        <f t="shared" si="631"/>
        <v>3</v>
      </c>
      <c r="J4625">
        <f t="shared" si="632"/>
        <v>6</v>
      </c>
      <c r="K4625">
        <v>18</v>
      </c>
      <c r="L4625">
        <v>8</v>
      </c>
      <c r="M4625">
        <v>2.25</v>
      </c>
      <c r="N4625" s="2">
        <v>3.13</v>
      </c>
      <c r="O4625">
        <v>0</v>
      </c>
      <c r="P4625">
        <v>8</v>
      </c>
      <c r="Q4625" s="4" t="str">
        <f t="shared" si="629"/>
        <v>2019/2020-Genap</v>
      </c>
      <c r="R4625" t="s">
        <v>596</v>
      </c>
      <c r="S4625" t="str">
        <f t="shared" si="630"/>
        <v>PA</v>
      </c>
    </row>
    <row r="4626" spans="1:19" x14ac:dyDescent="0.3">
      <c r="A4626" t="s">
        <v>8</v>
      </c>
      <c r="B4626">
        <v>2016210043</v>
      </c>
      <c r="C4626" t="s">
        <v>63</v>
      </c>
      <c r="E4626" t="s">
        <v>393</v>
      </c>
      <c r="F4626" t="s">
        <v>436</v>
      </c>
      <c r="G4626">
        <v>2</v>
      </c>
      <c r="H4626" t="s">
        <v>438</v>
      </c>
      <c r="I4626" s="4">
        <f t="shared" si="631"/>
        <v>3</v>
      </c>
      <c r="J4626">
        <f t="shared" si="632"/>
        <v>6</v>
      </c>
      <c r="K4626">
        <v>80</v>
      </c>
      <c r="L4626">
        <v>24</v>
      </c>
      <c r="M4626">
        <v>3.33</v>
      </c>
      <c r="N4626" s="2">
        <v>3.13</v>
      </c>
      <c r="O4626">
        <v>0</v>
      </c>
      <c r="P4626">
        <v>5</v>
      </c>
      <c r="Q4626" s="4" t="str">
        <f t="shared" si="629"/>
        <v>2018/2019-Ganjil</v>
      </c>
      <c r="R4626" s="8" t="s">
        <v>260</v>
      </c>
      <c r="S4626" t="str">
        <f t="shared" si="630"/>
        <v>PA</v>
      </c>
    </row>
    <row r="4627" spans="1:19" x14ac:dyDescent="0.3">
      <c r="A4627" t="s">
        <v>8</v>
      </c>
      <c r="B4627">
        <v>2016210043</v>
      </c>
      <c r="C4627" t="s">
        <v>63</v>
      </c>
      <c r="E4627" t="s">
        <v>147</v>
      </c>
      <c r="F4627" t="s">
        <v>148</v>
      </c>
      <c r="G4627">
        <v>4</v>
      </c>
      <c r="H4627" t="s">
        <v>438</v>
      </c>
      <c r="I4627" s="4">
        <f t="shared" si="631"/>
        <v>3</v>
      </c>
      <c r="J4627">
        <f t="shared" si="632"/>
        <v>12</v>
      </c>
      <c r="K4627">
        <v>62</v>
      </c>
      <c r="L4627">
        <v>20</v>
      </c>
      <c r="M4627" s="2">
        <v>3.1</v>
      </c>
      <c r="N4627" s="2">
        <v>3.13</v>
      </c>
      <c r="O4627">
        <v>0</v>
      </c>
      <c r="P4627">
        <v>1</v>
      </c>
      <c r="Q4627" s="4" t="str">
        <f t="shared" si="629"/>
        <v>2016/2017-Ganjil</v>
      </c>
      <c r="R4627" s="8" t="s">
        <v>260</v>
      </c>
      <c r="S4627" t="str">
        <f t="shared" si="630"/>
        <v>PA</v>
      </c>
    </row>
    <row r="4628" spans="1:19" x14ac:dyDescent="0.3">
      <c r="A4628" t="s">
        <v>8</v>
      </c>
      <c r="B4628">
        <v>2016210043</v>
      </c>
      <c r="C4628" t="s">
        <v>63</v>
      </c>
      <c r="E4628" t="s">
        <v>238</v>
      </c>
      <c r="F4628" t="s">
        <v>239</v>
      </c>
      <c r="G4628">
        <v>4</v>
      </c>
      <c r="H4628" t="s">
        <v>438</v>
      </c>
      <c r="I4628" s="4">
        <f t="shared" si="631"/>
        <v>3</v>
      </c>
      <c r="J4628">
        <f t="shared" si="632"/>
        <v>12</v>
      </c>
      <c r="K4628">
        <v>58</v>
      </c>
      <c r="L4628">
        <v>22</v>
      </c>
      <c r="M4628">
        <v>2.64</v>
      </c>
      <c r="N4628" s="2">
        <v>3.13</v>
      </c>
      <c r="O4628">
        <v>0</v>
      </c>
      <c r="P4628">
        <v>6</v>
      </c>
      <c r="Q4628" s="4" t="str">
        <f t="shared" si="629"/>
        <v>2018/2019-Genap</v>
      </c>
      <c r="R4628" s="8" t="s">
        <v>260</v>
      </c>
      <c r="S4628" t="str">
        <f t="shared" si="630"/>
        <v>PA</v>
      </c>
    </row>
    <row r="4629" spans="1:19" x14ac:dyDescent="0.3">
      <c r="A4629" t="s">
        <v>8</v>
      </c>
      <c r="B4629">
        <v>2016210043</v>
      </c>
      <c r="C4629" t="s">
        <v>63</v>
      </c>
      <c r="E4629" t="s">
        <v>253</v>
      </c>
      <c r="F4629" t="s">
        <v>254</v>
      </c>
      <c r="G4629">
        <v>2</v>
      </c>
      <c r="H4629" t="s">
        <v>438</v>
      </c>
      <c r="I4629" s="4">
        <f t="shared" si="631"/>
        <v>3</v>
      </c>
      <c r="J4629">
        <f t="shared" si="632"/>
        <v>6</v>
      </c>
      <c r="K4629">
        <v>72</v>
      </c>
      <c r="L4629">
        <v>22</v>
      </c>
      <c r="M4629">
        <v>3.27</v>
      </c>
      <c r="N4629" s="2">
        <v>3.13</v>
      </c>
      <c r="O4629">
        <v>0</v>
      </c>
      <c r="P4629">
        <v>4</v>
      </c>
      <c r="Q4629" s="4" t="str">
        <f t="shared" ref="Q4629:Q4649" si="633">IF(P4629=1,"2016/2017-Ganjil",IF(P4629=2,"2016/2017-Genap",IF(P4629=3,"2017/2018-Ganjil",IF(P4629=4,"2017/2018-Genap",IF(P4629=5,"2018/2019-Ganjil",IF(P4629=6,"2018/2019-Genap",IF(P4629=7,"2019/2020-Ganjil",IF(P4629=8,"2019/2020-Genap",IF(P4629=9,"2020/2021-Ganjil",IF(P4629=10,"2020/2021-Genap",IF(P4629=11,"2021/2022-Ganjil",IF(P4629=12,"2021/2022-Genap",IF(P4629=13,"2022/2023-Ganjil","2022/2023-Genap")))))))))))))</f>
        <v>2017/2018-Genap</v>
      </c>
      <c r="R4629" s="8" t="s">
        <v>260</v>
      </c>
      <c r="S4629" t="str">
        <f t="shared" si="630"/>
        <v>PA</v>
      </c>
    </row>
    <row r="4630" spans="1:19" x14ac:dyDescent="0.3">
      <c r="A4630" t="s">
        <v>8</v>
      </c>
      <c r="B4630">
        <v>2016210043</v>
      </c>
      <c r="C4630" t="s">
        <v>63</v>
      </c>
      <c r="E4630" t="s">
        <v>246</v>
      </c>
      <c r="F4630" t="s">
        <v>247</v>
      </c>
      <c r="G4630">
        <v>4</v>
      </c>
      <c r="H4630" t="s">
        <v>438</v>
      </c>
      <c r="I4630" s="4">
        <f t="shared" si="631"/>
        <v>3</v>
      </c>
      <c r="J4630">
        <f t="shared" si="632"/>
        <v>12</v>
      </c>
      <c r="K4630">
        <v>72</v>
      </c>
      <c r="L4630">
        <v>22</v>
      </c>
      <c r="M4630">
        <v>3.27</v>
      </c>
      <c r="N4630" s="2">
        <v>3.13</v>
      </c>
      <c r="O4630">
        <v>0</v>
      </c>
      <c r="P4630">
        <v>4</v>
      </c>
      <c r="Q4630" s="4" t="str">
        <f t="shared" si="633"/>
        <v>2017/2018-Genap</v>
      </c>
      <c r="R4630" s="8" t="s">
        <v>260</v>
      </c>
      <c r="S4630" t="str">
        <f t="shared" si="630"/>
        <v>PA</v>
      </c>
    </row>
    <row r="4631" spans="1:19" x14ac:dyDescent="0.3">
      <c r="A4631" t="s">
        <v>8</v>
      </c>
      <c r="B4631">
        <v>2016210043</v>
      </c>
      <c r="C4631" t="s">
        <v>63</v>
      </c>
      <c r="E4631" t="s">
        <v>125</v>
      </c>
      <c r="F4631" t="s">
        <v>126</v>
      </c>
      <c r="G4631">
        <v>4</v>
      </c>
      <c r="H4631" t="s">
        <v>438</v>
      </c>
      <c r="I4631" s="4">
        <f t="shared" si="631"/>
        <v>3</v>
      </c>
      <c r="J4631">
        <f t="shared" si="632"/>
        <v>12</v>
      </c>
      <c r="K4631">
        <v>58</v>
      </c>
      <c r="L4631">
        <v>18</v>
      </c>
      <c r="M4631">
        <v>3.22</v>
      </c>
      <c r="N4631" s="2">
        <v>3.13</v>
      </c>
      <c r="O4631">
        <v>0</v>
      </c>
      <c r="P4631">
        <v>2</v>
      </c>
      <c r="Q4631" s="4" t="str">
        <f t="shared" si="633"/>
        <v>2016/2017-Genap</v>
      </c>
      <c r="R4631" s="8" t="s">
        <v>260</v>
      </c>
      <c r="S4631" t="str">
        <f t="shared" si="630"/>
        <v>PA</v>
      </c>
    </row>
    <row r="4632" spans="1:19" x14ac:dyDescent="0.3">
      <c r="A4632" t="s">
        <v>8</v>
      </c>
      <c r="B4632">
        <v>2016210043</v>
      </c>
      <c r="C4632" t="s">
        <v>63</v>
      </c>
      <c r="E4632" t="s">
        <v>80</v>
      </c>
      <c r="F4632" t="s">
        <v>81</v>
      </c>
      <c r="G4632">
        <v>4</v>
      </c>
      <c r="H4632" t="s">
        <v>438</v>
      </c>
      <c r="I4632" s="4">
        <f t="shared" si="631"/>
        <v>3</v>
      </c>
      <c r="J4632">
        <f t="shared" si="632"/>
        <v>12</v>
      </c>
      <c r="K4632">
        <v>58</v>
      </c>
      <c r="L4632">
        <v>22</v>
      </c>
      <c r="M4632">
        <v>2.64</v>
      </c>
      <c r="N4632" s="2">
        <v>3.13</v>
      </c>
      <c r="O4632">
        <v>0</v>
      </c>
      <c r="P4632">
        <v>6</v>
      </c>
      <c r="Q4632" s="4" t="str">
        <f t="shared" si="633"/>
        <v>2018/2019-Genap</v>
      </c>
      <c r="R4632" s="8" t="s">
        <v>260</v>
      </c>
      <c r="S4632" t="str">
        <f t="shared" si="630"/>
        <v>PA</v>
      </c>
    </row>
    <row r="4633" spans="1:19" x14ac:dyDescent="0.3">
      <c r="A4633" t="s">
        <v>8</v>
      </c>
      <c r="B4633">
        <v>2016210043</v>
      </c>
      <c r="C4633" t="s">
        <v>63</v>
      </c>
      <c r="E4633" t="s">
        <v>362</v>
      </c>
      <c r="F4633" t="s">
        <v>363</v>
      </c>
      <c r="G4633">
        <v>2</v>
      </c>
      <c r="H4633" t="s">
        <v>438</v>
      </c>
      <c r="I4633" s="4">
        <f t="shared" si="631"/>
        <v>3</v>
      </c>
      <c r="J4633">
        <f t="shared" si="632"/>
        <v>6</v>
      </c>
      <c r="K4633">
        <v>80</v>
      </c>
      <c r="L4633">
        <v>24</v>
      </c>
      <c r="M4633">
        <v>3.33</v>
      </c>
      <c r="N4633" s="2">
        <v>3.13</v>
      </c>
      <c r="O4633">
        <v>0</v>
      </c>
      <c r="P4633">
        <v>5</v>
      </c>
      <c r="Q4633" s="4" t="str">
        <f t="shared" si="633"/>
        <v>2018/2019-Ganjil</v>
      </c>
      <c r="R4633" s="8" t="s">
        <v>260</v>
      </c>
      <c r="S4633" t="str">
        <f t="shared" si="630"/>
        <v>PA</v>
      </c>
    </row>
    <row r="4634" spans="1:19" x14ac:dyDescent="0.3">
      <c r="A4634" t="s">
        <v>8</v>
      </c>
      <c r="B4634">
        <v>2016210043</v>
      </c>
      <c r="C4634" t="s">
        <v>63</v>
      </c>
      <c r="E4634" t="s">
        <v>227</v>
      </c>
      <c r="F4634" t="s">
        <v>228</v>
      </c>
      <c r="G4634">
        <v>2</v>
      </c>
      <c r="H4634" t="s">
        <v>438</v>
      </c>
      <c r="I4634" s="4">
        <f t="shared" si="631"/>
        <v>3</v>
      </c>
      <c r="J4634">
        <f t="shared" si="632"/>
        <v>6</v>
      </c>
      <c r="K4634">
        <v>64</v>
      </c>
      <c r="L4634">
        <v>22</v>
      </c>
      <c r="M4634">
        <v>2.91</v>
      </c>
      <c r="N4634" s="2">
        <v>3.13</v>
      </c>
      <c r="O4634">
        <v>0</v>
      </c>
      <c r="P4634">
        <v>3</v>
      </c>
      <c r="Q4634" s="4" t="str">
        <f t="shared" si="633"/>
        <v>2017/2018-Ganjil</v>
      </c>
      <c r="R4634" s="8" t="s">
        <v>260</v>
      </c>
      <c r="S4634" t="str">
        <f t="shared" si="630"/>
        <v>PA</v>
      </c>
    </row>
    <row r="4635" spans="1:19" x14ac:dyDescent="0.3">
      <c r="A4635" t="s">
        <v>8</v>
      </c>
      <c r="B4635">
        <v>2016210043</v>
      </c>
      <c r="C4635" t="s">
        <v>63</v>
      </c>
      <c r="E4635" t="s">
        <v>401</v>
      </c>
      <c r="F4635" t="s">
        <v>258</v>
      </c>
      <c r="G4635">
        <v>4</v>
      </c>
      <c r="H4635" t="s">
        <v>438</v>
      </c>
      <c r="I4635" s="4">
        <f t="shared" si="631"/>
        <v>3</v>
      </c>
      <c r="J4635">
        <f t="shared" si="632"/>
        <v>12</v>
      </c>
      <c r="K4635">
        <v>64</v>
      </c>
      <c r="L4635">
        <v>22</v>
      </c>
      <c r="M4635">
        <v>2.91</v>
      </c>
      <c r="N4635" s="2">
        <v>3.13</v>
      </c>
      <c r="O4635">
        <v>0</v>
      </c>
      <c r="P4635">
        <v>3</v>
      </c>
      <c r="Q4635" s="4" t="str">
        <f t="shared" si="633"/>
        <v>2017/2018-Ganjil</v>
      </c>
      <c r="R4635" s="8" t="s">
        <v>260</v>
      </c>
      <c r="S4635" t="str">
        <f t="shared" si="630"/>
        <v>PA</v>
      </c>
    </row>
    <row r="4636" spans="1:19" x14ac:dyDescent="0.3">
      <c r="A4636" t="s">
        <v>8</v>
      </c>
      <c r="B4636">
        <v>2016210043</v>
      </c>
      <c r="C4636" t="s">
        <v>63</v>
      </c>
      <c r="E4636" t="s">
        <v>213</v>
      </c>
      <c r="F4636" t="s">
        <v>214</v>
      </c>
      <c r="G4636">
        <v>4</v>
      </c>
      <c r="H4636" t="s">
        <v>438</v>
      </c>
      <c r="I4636" s="4">
        <f t="shared" si="631"/>
        <v>3</v>
      </c>
      <c r="J4636">
        <f t="shared" si="632"/>
        <v>12</v>
      </c>
      <c r="K4636">
        <v>80</v>
      </c>
      <c r="L4636">
        <v>24</v>
      </c>
      <c r="M4636">
        <v>3.33</v>
      </c>
      <c r="N4636" s="2">
        <v>3.13</v>
      </c>
      <c r="O4636">
        <v>0</v>
      </c>
      <c r="P4636">
        <v>5</v>
      </c>
      <c r="Q4636" s="4" t="str">
        <f t="shared" si="633"/>
        <v>2018/2019-Ganjil</v>
      </c>
      <c r="R4636" s="8" t="s">
        <v>260</v>
      </c>
      <c r="S4636" t="str">
        <f t="shared" si="630"/>
        <v>PA</v>
      </c>
    </row>
    <row r="4637" spans="1:19" x14ac:dyDescent="0.3">
      <c r="A4637" t="s">
        <v>8</v>
      </c>
      <c r="B4637">
        <v>2016210043</v>
      </c>
      <c r="C4637" t="s">
        <v>63</v>
      </c>
      <c r="E4637" t="s">
        <v>93</v>
      </c>
      <c r="F4637" t="s">
        <v>94</v>
      </c>
      <c r="G4637">
        <v>4</v>
      </c>
      <c r="H4637" t="s">
        <v>438</v>
      </c>
      <c r="I4637" s="4">
        <f t="shared" si="631"/>
        <v>3</v>
      </c>
      <c r="J4637">
        <f t="shared" si="632"/>
        <v>12</v>
      </c>
      <c r="K4637">
        <v>64</v>
      </c>
      <c r="L4637">
        <v>22</v>
      </c>
      <c r="M4637">
        <v>2.91</v>
      </c>
      <c r="N4637" s="2">
        <v>3.13</v>
      </c>
      <c r="O4637">
        <v>0</v>
      </c>
      <c r="P4637">
        <v>3</v>
      </c>
      <c r="Q4637" s="4" t="str">
        <f t="shared" si="633"/>
        <v>2017/2018-Ganjil</v>
      </c>
      <c r="R4637" s="8" t="s">
        <v>260</v>
      </c>
      <c r="S4637" t="str">
        <f t="shared" si="630"/>
        <v>PA</v>
      </c>
    </row>
    <row r="4638" spans="1:19" x14ac:dyDescent="0.3">
      <c r="A4638" t="s">
        <v>8</v>
      </c>
      <c r="B4638">
        <v>2016210043</v>
      </c>
      <c r="C4638" t="s">
        <v>63</v>
      </c>
      <c r="E4638" t="s">
        <v>163</v>
      </c>
      <c r="F4638" t="s">
        <v>164</v>
      </c>
      <c r="G4638">
        <v>2</v>
      </c>
      <c r="H4638" t="s">
        <v>438</v>
      </c>
      <c r="I4638" s="4">
        <f t="shared" si="631"/>
        <v>3</v>
      </c>
      <c r="J4638">
        <f t="shared" si="632"/>
        <v>6</v>
      </c>
      <c r="K4638">
        <v>62</v>
      </c>
      <c r="L4638">
        <v>20</v>
      </c>
      <c r="M4638" s="2">
        <v>3.1</v>
      </c>
      <c r="N4638" s="2">
        <v>3.13</v>
      </c>
      <c r="O4638">
        <v>0</v>
      </c>
      <c r="P4638">
        <v>1</v>
      </c>
      <c r="Q4638" s="4" t="str">
        <f t="shared" si="633"/>
        <v>2016/2017-Ganjil</v>
      </c>
      <c r="R4638" s="8" t="s">
        <v>260</v>
      </c>
      <c r="S4638" t="str">
        <f t="shared" si="630"/>
        <v>PA</v>
      </c>
    </row>
    <row r="4639" spans="1:19" x14ac:dyDescent="0.3">
      <c r="A4639" t="s">
        <v>8</v>
      </c>
      <c r="B4639">
        <v>2016210043</v>
      </c>
      <c r="C4639" t="s">
        <v>63</v>
      </c>
      <c r="E4639" t="s">
        <v>407</v>
      </c>
      <c r="F4639" t="s">
        <v>312</v>
      </c>
      <c r="G4639">
        <v>2</v>
      </c>
      <c r="H4639" t="s">
        <v>438</v>
      </c>
      <c r="I4639" s="4">
        <f t="shared" si="631"/>
        <v>3</v>
      </c>
      <c r="J4639">
        <f t="shared" si="632"/>
        <v>6</v>
      </c>
      <c r="K4639">
        <v>80</v>
      </c>
      <c r="L4639">
        <v>24</v>
      </c>
      <c r="M4639">
        <v>3.33</v>
      </c>
      <c r="N4639" s="2">
        <v>3.13</v>
      </c>
      <c r="O4639">
        <v>0</v>
      </c>
      <c r="P4639">
        <v>5</v>
      </c>
      <c r="Q4639" s="4" t="str">
        <f t="shared" si="633"/>
        <v>2018/2019-Ganjil</v>
      </c>
      <c r="R4639" s="8" t="s">
        <v>260</v>
      </c>
      <c r="S4639" t="str">
        <f t="shared" si="630"/>
        <v>PA</v>
      </c>
    </row>
    <row r="4640" spans="1:19" x14ac:dyDescent="0.3">
      <c r="A4640" t="s">
        <v>8</v>
      </c>
      <c r="B4640">
        <v>2016210043</v>
      </c>
      <c r="C4640" t="s">
        <v>63</v>
      </c>
      <c r="E4640" t="s">
        <v>44</v>
      </c>
      <c r="F4640" t="s">
        <v>45</v>
      </c>
      <c r="G4640">
        <v>2</v>
      </c>
      <c r="H4640" t="s">
        <v>524</v>
      </c>
      <c r="I4640" s="4">
        <f t="shared" si="631"/>
        <v>2</v>
      </c>
      <c r="J4640">
        <f t="shared" si="632"/>
        <v>4</v>
      </c>
      <c r="K4640">
        <v>58</v>
      </c>
      <c r="L4640">
        <v>18</v>
      </c>
      <c r="M4640">
        <v>3.22</v>
      </c>
      <c r="N4640" s="2">
        <v>3.13</v>
      </c>
      <c r="O4640">
        <v>0</v>
      </c>
      <c r="P4640">
        <v>2</v>
      </c>
      <c r="Q4640" s="4" t="str">
        <f t="shared" si="633"/>
        <v>2016/2017-Genap</v>
      </c>
      <c r="R4640" s="8" t="s">
        <v>260</v>
      </c>
      <c r="S4640" t="str">
        <f t="shared" si="630"/>
        <v>PA</v>
      </c>
    </row>
    <row r="4641" spans="1:19" x14ac:dyDescent="0.3">
      <c r="A4641" t="s">
        <v>8</v>
      </c>
      <c r="B4641">
        <v>2016210043</v>
      </c>
      <c r="C4641" t="s">
        <v>63</v>
      </c>
      <c r="E4641" t="s">
        <v>136</v>
      </c>
      <c r="F4641" t="s">
        <v>137</v>
      </c>
      <c r="G4641">
        <v>4</v>
      </c>
      <c r="H4641" t="s">
        <v>524</v>
      </c>
      <c r="I4641" s="4">
        <f t="shared" si="631"/>
        <v>2</v>
      </c>
      <c r="J4641">
        <f t="shared" si="632"/>
        <v>8</v>
      </c>
      <c r="K4641">
        <v>58</v>
      </c>
      <c r="L4641">
        <v>22</v>
      </c>
      <c r="M4641">
        <v>2.64</v>
      </c>
      <c r="N4641" s="2">
        <v>3.13</v>
      </c>
      <c r="O4641">
        <v>0</v>
      </c>
      <c r="P4641">
        <v>6</v>
      </c>
      <c r="Q4641" s="4" t="str">
        <f t="shared" si="633"/>
        <v>2018/2019-Genap</v>
      </c>
      <c r="R4641" s="8" t="s">
        <v>260</v>
      </c>
      <c r="S4641" t="str">
        <f t="shared" si="630"/>
        <v>PA</v>
      </c>
    </row>
    <row r="4642" spans="1:19" x14ac:dyDescent="0.3">
      <c r="A4642" t="s">
        <v>8</v>
      </c>
      <c r="B4642">
        <v>2016210043</v>
      </c>
      <c r="C4642" t="s">
        <v>63</v>
      </c>
      <c r="E4642" t="s">
        <v>216</v>
      </c>
      <c r="F4642" t="s">
        <v>217</v>
      </c>
      <c r="G4642">
        <v>2</v>
      </c>
      <c r="H4642" t="s">
        <v>524</v>
      </c>
      <c r="I4642" s="4">
        <f t="shared" si="631"/>
        <v>2</v>
      </c>
      <c r="J4642">
        <f t="shared" si="632"/>
        <v>4</v>
      </c>
      <c r="K4642">
        <v>72</v>
      </c>
      <c r="L4642">
        <v>22</v>
      </c>
      <c r="M4642">
        <v>3.27</v>
      </c>
      <c r="N4642" s="2">
        <v>3.13</v>
      </c>
      <c r="O4642">
        <v>0</v>
      </c>
      <c r="P4642">
        <v>4</v>
      </c>
      <c r="Q4642" s="4" t="str">
        <f t="shared" si="633"/>
        <v>2017/2018-Genap</v>
      </c>
      <c r="R4642" s="8" t="s">
        <v>260</v>
      </c>
      <c r="S4642" t="str">
        <f t="shared" si="630"/>
        <v>PA</v>
      </c>
    </row>
    <row r="4643" spans="1:19" x14ac:dyDescent="0.3">
      <c r="A4643" t="s">
        <v>8</v>
      </c>
      <c r="B4643">
        <v>2016210043</v>
      </c>
      <c r="C4643" t="s">
        <v>63</v>
      </c>
      <c r="E4643" t="s">
        <v>119</v>
      </c>
      <c r="F4643" t="s">
        <v>120</v>
      </c>
      <c r="G4643">
        <v>2</v>
      </c>
      <c r="H4643" t="s">
        <v>524</v>
      </c>
      <c r="I4643" s="4">
        <f t="shared" si="631"/>
        <v>2</v>
      </c>
      <c r="J4643">
        <f t="shared" si="632"/>
        <v>4</v>
      </c>
      <c r="K4643">
        <v>58</v>
      </c>
      <c r="L4643">
        <v>22</v>
      </c>
      <c r="M4643">
        <v>2.64</v>
      </c>
      <c r="N4643" s="2">
        <v>3.13</v>
      </c>
      <c r="O4643">
        <v>0</v>
      </c>
      <c r="P4643">
        <v>6</v>
      </c>
      <c r="Q4643" s="4" t="str">
        <f t="shared" si="633"/>
        <v>2018/2019-Genap</v>
      </c>
      <c r="R4643" s="8" t="s">
        <v>260</v>
      </c>
      <c r="S4643" t="str">
        <f t="shared" si="630"/>
        <v>PA</v>
      </c>
    </row>
    <row r="4644" spans="1:19" x14ac:dyDescent="0.3">
      <c r="A4644" t="s">
        <v>8</v>
      </c>
      <c r="B4644">
        <v>2016210043</v>
      </c>
      <c r="C4644" t="s">
        <v>63</v>
      </c>
      <c r="E4644" t="s">
        <v>110</v>
      </c>
      <c r="F4644" t="s">
        <v>111</v>
      </c>
      <c r="G4644">
        <v>4</v>
      </c>
      <c r="H4644" t="s">
        <v>524</v>
      </c>
      <c r="I4644" s="4">
        <f t="shared" si="631"/>
        <v>2</v>
      </c>
      <c r="J4644">
        <f t="shared" si="632"/>
        <v>8</v>
      </c>
      <c r="K4644">
        <v>62</v>
      </c>
      <c r="L4644">
        <v>20</v>
      </c>
      <c r="M4644" s="2">
        <v>3.1</v>
      </c>
      <c r="N4644" s="2">
        <v>3.13</v>
      </c>
      <c r="O4644">
        <v>0</v>
      </c>
      <c r="P4644">
        <v>1</v>
      </c>
      <c r="Q4644" s="4" t="str">
        <f t="shared" si="633"/>
        <v>2016/2017-Ganjil</v>
      </c>
      <c r="R4644" s="8" t="s">
        <v>260</v>
      </c>
      <c r="S4644" t="str">
        <f t="shared" si="630"/>
        <v>PA</v>
      </c>
    </row>
    <row r="4645" spans="1:19" x14ac:dyDescent="0.3">
      <c r="A4645" t="s">
        <v>8</v>
      </c>
      <c r="B4645">
        <v>2016210043</v>
      </c>
      <c r="C4645" t="s">
        <v>63</v>
      </c>
      <c r="E4645" t="s">
        <v>19</v>
      </c>
      <c r="F4645" t="s">
        <v>20</v>
      </c>
      <c r="G4645">
        <v>6</v>
      </c>
      <c r="H4645" t="s">
        <v>524</v>
      </c>
      <c r="I4645" s="4">
        <f t="shared" si="631"/>
        <v>2</v>
      </c>
      <c r="J4645">
        <f t="shared" si="632"/>
        <v>12</v>
      </c>
      <c r="K4645">
        <v>18</v>
      </c>
      <c r="L4645">
        <v>8</v>
      </c>
      <c r="M4645">
        <v>2.25</v>
      </c>
      <c r="N4645" s="2">
        <v>3.13</v>
      </c>
      <c r="O4645">
        <v>0</v>
      </c>
      <c r="P4645">
        <v>8</v>
      </c>
      <c r="Q4645" s="4" t="str">
        <f t="shared" si="633"/>
        <v>2019/2020-Genap</v>
      </c>
      <c r="R4645" t="s">
        <v>596</v>
      </c>
      <c r="S4645" t="str">
        <f t="shared" si="630"/>
        <v>PA</v>
      </c>
    </row>
    <row r="4646" spans="1:19" x14ac:dyDescent="0.3">
      <c r="A4646" t="s">
        <v>8</v>
      </c>
      <c r="B4646">
        <v>2016210043</v>
      </c>
      <c r="C4646" t="s">
        <v>63</v>
      </c>
      <c r="E4646" t="s">
        <v>395</v>
      </c>
      <c r="F4646" t="s">
        <v>396</v>
      </c>
      <c r="G4646">
        <v>2</v>
      </c>
      <c r="H4646" t="s">
        <v>524</v>
      </c>
      <c r="I4646" s="4">
        <f t="shared" si="631"/>
        <v>2</v>
      </c>
      <c r="J4646">
        <f t="shared" si="632"/>
        <v>4</v>
      </c>
      <c r="K4646">
        <v>62</v>
      </c>
      <c r="L4646">
        <v>20</v>
      </c>
      <c r="M4646" s="2">
        <v>3.1</v>
      </c>
      <c r="N4646" s="2">
        <v>3.13</v>
      </c>
      <c r="O4646">
        <v>0</v>
      </c>
      <c r="P4646">
        <v>1</v>
      </c>
      <c r="Q4646" s="4" t="str">
        <f t="shared" si="633"/>
        <v>2016/2017-Ganjil</v>
      </c>
      <c r="R4646" s="8" t="s">
        <v>260</v>
      </c>
      <c r="S4646" t="str">
        <f t="shared" si="630"/>
        <v>PA</v>
      </c>
    </row>
    <row r="4647" spans="1:19" x14ac:dyDescent="0.3">
      <c r="A4647" t="s">
        <v>8</v>
      </c>
      <c r="B4647">
        <v>2016210043</v>
      </c>
      <c r="C4647" t="s">
        <v>63</v>
      </c>
      <c r="E4647" t="s">
        <v>182</v>
      </c>
      <c r="F4647" t="s">
        <v>171</v>
      </c>
      <c r="G4647">
        <v>2</v>
      </c>
      <c r="H4647" t="s">
        <v>535</v>
      </c>
      <c r="I4647" s="4">
        <f t="shared" si="631"/>
        <v>1</v>
      </c>
      <c r="J4647">
        <f t="shared" si="632"/>
        <v>2</v>
      </c>
      <c r="K4647">
        <v>64</v>
      </c>
      <c r="L4647">
        <v>22</v>
      </c>
      <c r="M4647">
        <v>2.91</v>
      </c>
      <c r="N4647" s="2">
        <v>3.13</v>
      </c>
      <c r="O4647">
        <v>0</v>
      </c>
      <c r="P4647">
        <v>3</v>
      </c>
      <c r="Q4647" s="4" t="str">
        <f t="shared" si="633"/>
        <v>2017/2018-Ganjil</v>
      </c>
      <c r="R4647" s="8" t="s">
        <v>260</v>
      </c>
      <c r="S4647" t="str">
        <f t="shared" si="630"/>
        <v>FA</v>
      </c>
    </row>
    <row r="4648" spans="1:19" x14ac:dyDescent="0.3">
      <c r="A4648" t="s">
        <v>8</v>
      </c>
      <c r="B4648">
        <v>2016210043</v>
      </c>
      <c r="C4648" t="s">
        <v>63</v>
      </c>
      <c r="E4648" t="s">
        <v>182</v>
      </c>
      <c r="F4648" t="s">
        <v>171</v>
      </c>
      <c r="G4648">
        <v>2</v>
      </c>
      <c r="H4648" t="s">
        <v>260</v>
      </c>
      <c r="I4648" s="4">
        <f t="shared" si="631"/>
        <v>4</v>
      </c>
      <c r="J4648">
        <f t="shared" si="632"/>
        <v>8</v>
      </c>
      <c r="K4648">
        <v>80</v>
      </c>
      <c r="L4648">
        <v>24</v>
      </c>
      <c r="M4648">
        <v>3.33</v>
      </c>
      <c r="N4648" s="2">
        <v>3.13</v>
      </c>
      <c r="O4648">
        <v>1</v>
      </c>
      <c r="P4648">
        <v>5</v>
      </c>
      <c r="Q4648" s="4" t="str">
        <f t="shared" si="633"/>
        <v>2018/2019-Ganjil</v>
      </c>
      <c r="R4648" s="8" t="s">
        <v>260</v>
      </c>
      <c r="S4648" t="str">
        <f t="shared" si="630"/>
        <v>PA</v>
      </c>
    </row>
    <row r="4649" spans="1:19" x14ac:dyDescent="0.3">
      <c r="A4649" t="s">
        <v>8</v>
      </c>
      <c r="B4649">
        <v>2016210043</v>
      </c>
      <c r="C4649" t="s">
        <v>63</v>
      </c>
      <c r="E4649" t="s">
        <v>232</v>
      </c>
      <c r="F4649" t="s">
        <v>233</v>
      </c>
      <c r="G4649">
        <v>2</v>
      </c>
      <c r="H4649" t="s">
        <v>539</v>
      </c>
      <c r="I4649" s="4">
        <f t="shared" si="631"/>
        <v>0</v>
      </c>
      <c r="J4649">
        <f t="shared" si="632"/>
        <v>0</v>
      </c>
      <c r="K4649">
        <v>58</v>
      </c>
      <c r="L4649">
        <v>22</v>
      </c>
      <c r="M4649" s="2">
        <v>2.64</v>
      </c>
      <c r="N4649" s="2">
        <v>3.13</v>
      </c>
      <c r="O4649">
        <v>0</v>
      </c>
      <c r="P4649">
        <v>6</v>
      </c>
      <c r="Q4649" s="4" t="str">
        <f t="shared" si="633"/>
        <v>2018/2019-Genap</v>
      </c>
      <c r="R4649" s="8" t="s">
        <v>260</v>
      </c>
      <c r="S4649" t="str">
        <f t="shared" si="630"/>
        <v>FA</v>
      </c>
    </row>
    <row r="4650" spans="1:19" x14ac:dyDescent="0.3">
      <c r="A4650" t="s">
        <v>8</v>
      </c>
      <c r="B4650">
        <v>2016210043</v>
      </c>
      <c r="C4650" t="s">
        <v>63</v>
      </c>
      <c r="E4650" t="s">
        <v>232</v>
      </c>
      <c r="F4650" t="s">
        <v>233</v>
      </c>
      <c r="G4650">
        <v>2</v>
      </c>
      <c r="H4650" t="s">
        <v>438</v>
      </c>
      <c r="I4650" s="4">
        <f t="shared" si="631"/>
        <v>3</v>
      </c>
      <c r="J4650">
        <f t="shared" si="632"/>
        <v>6</v>
      </c>
      <c r="K4650">
        <v>6</v>
      </c>
      <c r="L4650">
        <v>2</v>
      </c>
      <c r="M4650" s="2">
        <v>3</v>
      </c>
      <c r="N4650" s="2">
        <v>3.13</v>
      </c>
      <c r="O4650">
        <v>1</v>
      </c>
      <c r="P4650">
        <v>6</v>
      </c>
      <c r="Q4650" s="4" t="s">
        <v>567</v>
      </c>
      <c r="R4650" s="8" t="s">
        <v>260</v>
      </c>
      <c r="S4650" t="str">
        <f t="shared" si="630"/>
        <v>PA</v>
      </c>
    </row>
    <row r="4651" spans="1:19" x14ac:dyDescent="0.3">
      <c r="A4651" t="s">
        <v>8</v>
      </c>
      <c r="B4651">
        <v>2016210044</v>
      </c>
      <c r="C4651" t="s">
        <v>178</v>
      </c>
      <c r="E4651" t="s">
        <v>125</v>
      </c>
      <c r="F4651" t="s">
        <v>126</v>
      </c>
      <c r="G4651">
        <v>4</v>
      </c>
      <c r="I4651" s="4"/>
      <c r="J4651">
        <v>0</v>
      </c>
      <c r="K4651">
        <v>42</v>
      </c>
      <c r="L4651">
        <v>16</v>
      </c>
      <c r="M4651">
        <v>2.63</v>
      </c>
      <c r="N4651">
        <v>3.01</v>
      </c>
      <c r="O4651">
        <v>0</v>
      </c>
      <c r="P4651">
        <v>2</v>
      </c>
      <c r="Q4651" s="4" t="str">
        <f>IF(P4651=1,"2016/2017-Ganjil",IF(P4651=2,"2016/2017-Genap",IF(P4651=3,"2017/2018-Ganjil",IF(P4651=4,"2017/2018-Genap",IF(P4651=5,"2018/2019-Ganjil",IF(P4651=6,"2018/2019-Genap",IF(P4651=7,"2019/2020-Ganjil",IF(P4651=8,"2019/2020-Genap",IF(P4651=9,"2020/2021-Ganjil",IF(P4651=10,"2020/2021-Genap",IF(P4651=11,"2021/2022-Ganjil",IF(P4651=12,"2021/2022-Genap",IF(P4651=13,"2022/2023-Ganjil","2022/2023-Genap")))))))))))))</f>
        <v>2016/2017-Genap</v>
      </c>
      <c r="R4651" s="8" t="s">
        <v>260</v>
      </c>
      <c r="S4651" t="s">
        <v>595</v>
      </c>
    </row>
    <row r="4652" spans="1:19" x14ac:dyDescent="0.3">
      <c r="A4652" t="s">
        <v>8</v>
      </c>
      <c r="B4652">
        <v>2016210044</v>
      </c>
      <c r="C4652" t="s">
        <v>178</v>
      </c>
      <c r="E4652" t="s">
        <v>125</v>
      </c>
      <c r="F4652" t="s">
        <v>126</v>
      </c>
      <c r="G4652">
        <v>4</v>
      </c>
      <c r="H4652" t="s">
        <v>438</v>
      </c>
      <c r="I4652" s="4">
        <v>3</v>
      </c>
      <c r="J4652">
        <v>12</v>
      </c>
      <c r="K4652">
        <v>74</v>
      </c>
      <c r="L4652">
        <v>22</v>
      </c>
      <c r="M4652">
        <v>3.36</v>
      </c>
      <c r="N4652">
        <v>3.01</v>
      </c>
      <c r="O4652">
        <v>1</v>
      </c>
      <c r="P4652">
        <v>10</v>
      </c>
      <c r="Q4652" t="s">
        <v>580</v>
      </c>
      <c r="R4652" t="s">
        <v>596</v>
      </c>
      <c r="S4652" t="str">
        <f>IF(OR(H4652="A",H4652="B",H4652="C"),"PA","FA")</f>
        <v>PA</v>
      </c>
    </row>
    <row r="4653" spans="1:19" x14ac:dyDescent="0.3">
      <c r="A4653" t="s">
        <v>8</v>
      </c>
      <c r="B4653">
        <v>2016210044</v>
      </c>
      <c r="C4653" t="s">
        <v>178</v>
      </c>
      <c r="E4653" t="s">
        <v>188</v>
      </c>
      <c r="F4653" t="s">
        <v>189</v>
      </c>
      <c r="G4653">
        <v>4</v>
      </c>
      <c r="I4653" s="4"/>
      <c r="J4653">
        <v>0</v>
      </c>
      <c r="K4653">
        <v>50</v>
      </c>
      <c r="L4653">
        <v>16</v>
      </c>
      <c r="M4653">
        <v>3.13</v>
      </c>
      <c r="N4653">
        <v>3.01</v>
      </c>
      <c r="O4653">
        <v>0</v>
      </c>
      <c r="P4653">
        <v>5</v>
      </c>
      <c r="Q4653" s="4" t="str">
        <f t="shared" ref="Q4653:Q4678" si="634">IF(P4653=1,"2016/2017-Ganjil",IF(P4653=2,"2016/2017-Genap",IF(P4653=3,"2017/2018-Ganjil",IF(P4653=4,"2017/2018-Genap",IF(P4653=5,"2018/2019-Ganjil",IF(P4653=6,"2018/2019-Genap",IF(P4653=7,"2019/2020-Ganjil",IF(P4653=8,"2019/2020-Genap",IF(P4653=9,"2020/2021-Ganjil",IF(P4653=10,"2020/2021-Genap",IF(P4653=11,"2021/2022-Ganjil",IF(P4653=12,"2021/2022-Genap",IF(P4653=13,"2022/2023-Ganjil","2022/2023-Genap")))))))))))))</f>
        <v>2018/2019-Ganjil</v>
      </c>
      <c r="R4653" s="8" t="s">
        <v>260</v>
      </c>
      <c r="S4653" t="s">
        <v>595</v>
      </c>
    </row>
    <row r="4654" spans="1:19" x14ac:dyDescent="0.3">
      <c r="A4654" t="s">
        <v>8</v>
      </c>
      <c r="B4654">
        <v>2016210044</v>
      </c>
      <c r="C4654" t="s">
        <v>178</v>
      </c>
      <c r="E4654" t="s">
        <v>188</v>
      </c>
      <c r="F4654" t="s">
        <v>189</v>
      </c>
      <c r="G4654">
        <v>4</v>
      </c>
      <c r="H4654" t="s">
        <v>438</v>
      </c>
      <c r="I4654" s="4">
        <v>3</v>
      </c>
      <c r="J4654">
        <v>12</v>
      </c>
      <c r="K4654">
        <v>26</v>
      </c>
      <c r="L4654">
        <v>8</v>
      </c>
      <c r="M4654">
        <v>3.25</v>
      </c>
      <c r="N4654">
        <v>3.01</v>
      </c>
      <c r="O4654">
        <v>1</v>
      </c>
      <c r="P4654">
        <v>9</v>
      </c>
      <c r="Q4654" s="4" t="str">
        <f t="shared" si="634"/>
        <v>2020/2021-Ganjil</v>
      </c>
      <c r="R4654" s="8" t="s">
        <v>260</v>
      </c>
      <c r="S4654" t="str">
        <f t="shared" ref="S4654:S4711" si="635">IF(OR(H4654="A",H4654="B",H4654="C"),"PA","FA")</f>
        <v>PA</v>
      </c>
    </row>
    <row r="4655" spans="1:19" x14ac:dyDescent="0.3">
      <c r="A4655" t="s">
        <v>8</v>
      </c>
      <c r="B4655">
        <v>2016210044</v>
      </c>
      <c r="C4655" t="s">
        <v>178</v>
      </c>
      <c r="E4655" t="s">
        <v>352</v>
      </c>
      <c r="F4655" t="s">
        <v>353</v>
      </c>
      <c r="G4655">
        <v>2</v>
      </c>
      <c r="H4655" t="s">
        <v>260</v>
      </c>
      <c r="I4655" s="4">
        <v>3</v>
      </c>
      <c r="J4655">
        <v>12</v>
      </c>
      <c r="K4655">
        <v>48</v>
      </c>
      <c r="L4655">
        <v>18</v>
      </c>
      <c r="M4655">
        <v>2.67</v>
      </c>
      <c r="N4655">
        <v>3.01</v>
      </c>
      <c r="O4655">
        <v>0</v>
      </c>
      <c r="P4655">
        <v>7</v>
      </c>
      <c r="Q4655" s="4" t="str">
        <f t="shared" si="634"/>
        <v>2019/2020-Ganjil</v>
      </c>
      <c r="R4655" s="8" t="s">
        <v>260</v>
      </c>
      <c r="S4655" t="str">
        <f t="shared" si="635"/>
        <v>PA</v>
      </c>
    </row>
    <row r="4656" spans="1:19" x14ac:dyDescent="0.3">
      <c r="A4656" t="s">
        <v>8</v>
      </c>
      <c r="B4656">
        <v>2016210044</v>
      </c>
      <c r="C4656" t="s">
        <v>178</v>
      </c>
      <c r="E4656" t="s">
        <v>242</v>
      </c>
      <c r="F4656" t="s">
        <v>166</v>
      </c>
      <c r="G4656">
        <v>2</v>
      </c>
      <c r="H4656" t="s">
        <v>260</v>
      </c>
      <c r="I4656" s="4">
        <v>3</v>
      </c>
      <c r="J4656">
        <v>12</v>
      </c>
      <c r="K4656">
        <v>62</v>
      </c>
      <c r="L4656">
        <v>20</v>
      </c>
      <c r="M4656" s="2">
        <v>3.1</v>
      </c>
      <c r="N4656">
        <v>3.01</v>
      </c>
      <c r="O4656">
        <v>0</v>
      </c>
      <c r="P4656">
        <v>4</v>
      </c>
      <c r="Q4656" s="4" t="str">
        <f t="shared" si="634"/>
        <v>2017/2018-Genap</v>
      </c>
      <c r="R4656" s="8" t="s">
        <v>260</v>
      </c>
      <c r="S4656" t="str">
        <f t="shared" si="635"/>
        <v>PA</v>
      </c>
    </row>
    <row r="4657" spans="1:19" x14ac:dyDescent="0.3">
      <c r="A4657" t="s">
        <v>8</v>
      </c>
      <c r="B4657">
        <v>2016210044</v>
      </c>
      <c r="C4657" t="s">
        <v>178</v>
      </c>
      <c r="E4657" t="s">
        <v>266</v>
      </c>
      <c r="F4657" t="s">
        <v>91</v>
      </c>
      <c r="G4657">
        <v>2</v>
      </c>
      <c r="H4657" t="s">
        <v>260</v>
      </c>
      <c r="I4657" s="4">
        <v>3</v>
      </c>
      <c r="J4657">
        <v>12</v>
      </c>
      <c r="K4657">
        <v>42</v>
      </c>
      <c r="L4657">
        <v>16</v>
      </c>
      <c r="M4657">
        <v>2.63</v>
      </c>
      <c r="N4657">
        <v>3.01</v>
      </c>
      <c r="O4657">
        <v>0</v>
      </c>
      <c r="P4657">
        <v>2</v>
      </c>
      <c r="Q4657" s="4" t="str">
        <f t="shared" si="634"/>
        <v>2016/2017-Genap</v>
      </c>
      <c r="R4657" s="8" t="s">
        <v>260</v>
      </c>
      <c r="S4657" t="str">
        <f t="shared" si="635"/>
        <v>PA</v>
      </c>
    </row>
    <row r="4658" spans="1:19" x14ac:dyDescent="0.3">
      <c r="A4658" t="s">
        <v>8</v>
      </c>
      <c r="B4658">
        <v>2016210044</v>
      </c>
      <c r="C4658" t="s">
        <v>178</v>
      </c>
      <c r="E4658" t="s">
        <v>10</v>
      </c>
      <c r="F4658" t="s">
        <v>11</v>
      </c>
      <c r="G4658">
        <v>2</v>
      </c>
      <c r="H4658" t="s">
        <v>260</v>
      </c>
      <c r="I4658" s="4">
        <v>3</v>
      </c>
      <c r="J4658">
        <v>12</v>
      </c>
      <c r="K4658">
        <v>26</v>
      </c>
      <c r="L4658">
        <v>8</v>
      </c>
      <c r="M4658">
        <v>3.25</v>
      </c>
      <c r="N4658">
        <v>3.01</v>
      </c>
      <c r="O4658">
        <v>0</v>
      </c>
      <c r="P4658">
        <v>9</v>
      </c>
      <c r="Q4658" s="4" t="str">
        <f t="shared" si="634"/>
        <v>2020/2021-Ganjil</v>
      </c>
      <c r="R4658" s="8" t="s">
        <v>260</v>
      </c>
      <c r="S4658" t="str">
        <f t="shared" si="635"/>
        <v>PA</v>
      </c>
    </row>
    <row r="4659" spans="1:19" x14ac:dyDescent="0.3">
      <c r="A4659" t="s">
        <v>8</v>
      </c>
      <c r="B4659">
        <v>2016210044</v>
      </c>
      <c r="C4659" t="s">
        <v>178</v>
      </c>
      <c r="E4659" t="s">
        <v>597</v>
      </c>
      <c r="F4659" t="s">
        <v>275</v>
      </c>
      <c r="G4659">
        <v>2</v>
      </c>
      <c r="H4659" t="s">
        <v>260</v>
      </c>
      <c r="I4659" s="4">
        <v>3</v>
      </c>
      <c r="J4659">
        <v>12</v>
      </c>
      <c r="K4659">
        <v>44</v>
      </c>
      <c r="L4659">
        <v>18</v>
      </c>
      <c r="M4659">
        <v>2.44</v>
      </c>
      <c r="N4659">
        <v>3.01</v>
      </c>
      <c r="O4659">
        <v>0</v>
      </c>
      <c r="P4659">
        <v>6</v>
      </c>
      <c r="Q4659" s="4" t="str">
        <f t="shared" si="634"/>
        <v>2018/2019-Genap</v>
      </c>
      <c r="R4659" s="8" t="s">
        <v>260</v>
      </c>
      <c r="S4659" t="str">
        <f t="shared" si="635"/>
        <v>PA</v>
      </c>
    </row>
    <row r="4660" spans="1:19" x14ac:dyDescent="0.3">
      <c r="A4660" t="s">
        <v>8</v>
      </c>
      <c r="B4660">
        <v>2016210044</v>
      </c>
      <c r="C4660" t="s">
        <v>178</v>
      </c>
      <c r="E4660" t="s">
        <v>369</v>
      </c>
      <c r="F4660" t="s">
        <v>307</v>
      </c>
      <c r="G4660">
        <v>2</v>
      </c>
      <c r="H4660" t="s">
        <v>260</v>
      </c>
      <c r="I4660" s="4">
        <v>3</v>
      </c>
      <c r="J4660">
        <v>12</v>
      </c>
      <c r="K4660">
        <v>44</v>
      </c>
      <c r="L4660">
        <v>18</v>
      </c>
      <c r="M4660">
        <v>2.44</v>
      </c>
      <c r="N4660">
        <v>3.01</v>
      </c>
      <c r="O4660">
        <v>0</v>
      </c>
      <c r="P4660">
        <v>6</v>
      </c>
      <c r="Q4660" s="4" t="str">
        <f t="shared" si="634"/>
        <v>2018/2019-Genap</v>
      </c>
      <c r="R4660" s="8" t="s">
        <v>260</v>
      </c>
      <c r="S4660" t="str">
        <f t="shared" si="635"/>
        <v>PA</v>
      </c>
    </row>
    <row r="4661" spans="1:19" x14ac:dyDescent="0.3">
      <c r="A4661" t="s">
        <v>8</v>
      </c>
      <c r="B4661">
        <v>2016210044</v>
      </c>
      <c r="C4661" t="s">
        <v>178</v>
      </c>
      <c r="E4661" t="s">
        <v>246</v>
      </c>
      <c r="F4661" t="s">
        <v>247</v>
      </c>
      <c r="G4661">
        <v>4</v>
      </c>
      <c r="H4661" t="s">
        <v>260</v>
      </c>
      <c r="I4661" s="4">
        <v>3</v>
      </c>
      <c r="J4661">
        <v>12</v>
      </c>
      <c r="K4661">
        <v>62</v>
      </c>
      <c r="L4661">
        <v>20</v>
      </c>
      <c r="M4661" s="2">
        <v>3.1</v>
      </c>
      <c r="N4661">
        <v>3.01</v>
      </c>
      <c r="O4661">
        <v>0</v>
      </c>
      <c r="P4661">
        <v>4</v>
      </c>
      <c r="Q4661" s="4" t="str">
        <f t="shared" si="634"/>
        <v>2017/2018-Genap</v>
      </c>
      <c r="R4661" s="8" t="s">
        <v>260</v>
      </c>
      <c r="S4661" t="str">
        <f t="shared" si="635"/>
        <v>PA</v>
      </c>
    </row>
    <row r="4662" spans="1:19" x14ac:dyDescent="0.3">
      <c r="A4662" t="s">
        <v>8</v>
      </c>
      <c r="B4662">
        <v>2016210044</v>
      </c>
      <c r="C4662" t="s">
        <v>178</v>
      </c>
      <c r="E4662" t="s">
        <v>216</v>
      </c>
      <c r="F4662" t="s">
        <v>217</v>
      </c>
      <c r="G4662">
        <v>2</v>
      </c>
      <c r="H4662" t="s">
        <v>260</v>
      </c>
      <c r="I4662" s="4">
        <v>3</v>
      </c>
      <c r="J4662">
        <v>12</v>
      </c>
      <c r="K4662">
        <v>62</v>
      </c>
      <c r="L4662">
        <v>20</v>
      </c>
      <c r="M4662" s="2">
        <v>3.1</v>
      </c>
      <c r="N4662">
        <v>3.01</v>
      </c>
      <c r="O4662">
        <v>0</v>
      </c>
      <c r="P4662">
        <v>4</v>
      </c>
      <c r="Q4662" s="4" t="str">
        <f t="shared" si="634"/>
        <v>2017/2018-Genap</v>
      </c>
      <c r="R4662" s="8" t="s">
        <v>260</v>
      </c>
      <c r="S4662" t="str">
        <f t="shared" si="635"/>
        <v>PA</v>
      </c>
    </row>
    <row r="4663" spans="1:19" x14ac:dyDescent="0.3">
      <c r="A4663" t="s">
        <v>8</v>
      </c>
      <c r="B4663">
        <v>2016210044</v>
      </c>
      <c r="C4663" t="s">
        <v>178</v>
      </c>
      <c r="E4663" t="s">
        <v>176</v>
      </c>
      <c r="F4663" t="s">
        <v>177</v>
      </c>
      <c r="G4663">
        <v>4</v>
      </c>
      <c r="H4663" t="s">
        <v>260</v>
      </c>
      <c r="I4663" s="4">
        <v>3</v>
      </c>
      <c r="J4663">
        <v>12</v>
      </c>
      <c r="K4663">
        <v>50</v>
      </c>
      <c r="L4663">
        <v>16</v>
      </c>
      <c r="M4663">
        <v>3.13</v>
      </c>
      <c r="N4663">
        <v>3.01</v>
      </c>
      <c r="O4663">
        <v>0</v>
      </c>
      <c r="P4663">
        <v>5</v>
      </c>
      <c r="Q4663" s="4" t="str">
        <f t="shared" si="634"/>
        <v>2018/2019-Ganjil</v>
      </c>
      <c r="R4663" s="8" t="s">
        <v>260</v>
      </c>
      <c r="S4663" t="str">
        <f t="shared" si="635"/>
        <v>PA</v>
      </c>
    </row>
    <row r="4664" spans="1:19" x14ac:dyDescent="0.3">
      <c r="A4664" t="s">
        <v>8</v>
      </c>
      <c r="B4664">
        <v>2016210044</v>
      </c>
      <c r="C4664" t="s">
        <v>178</v>
      </c>
      <c r="E4664" t="s">
        <v>362</v>
      </c>
      <c r="F4664" t="s">
        <v>363</v>
      </c>
      <c r="G4664">
        <v>2</v>
      </c>
      <c r="H4664" t="s">
        <v>260</v>
      </c>
      <c r="I4664" s="4">
        <v>3</v>
      </c>
      <c r="J4664">
        <v>12</v>
      </c>
      <c r="K4664">
        <v>50</v>
      </c>
      <c r="L4664">
        <v>16</v>
      </c>
      <c r="M4664">
        <v>3.13</v>
      </c>
      <c r="N4664">
        <v>3.01</v>
      </c>
      <c r="O4664">
        <v>0</v>
      </c>
      <c r="P4664">
        <v>5</v>
      </c>
      <c r="Q4664" s="4" t="str">
        <f t="shared" si="634"/>
        <v>2018/2019-Ganjil</v>
      </c>
      <c r="R4664" s="8" t="s">
        <v>260</v>
      </c>
      <c r="S4664" t="str">
        <f t="shared" si="635"/>
        <v>PA</v>
      </c>
    </row>
    <row r="4665" spans="1:19" x14ac:dyDescent="0.3">
      <c r="A4665" t="s">
        <v>8</v>
      </c>
      <c r="B4665">
        <v>2016210044</v>
      </c>
      <c r="C4665" t="s">
        <v>178</v>
      </c>
      <c r="E4665" t="s">
        <v>163</v>
      </c>
      <c r="F4665" t="s">
        <v>164</v>
      </c>
      <c r="G4665">
        <v>2</v>
      </c>
      <c r="H4665" t="s">
        <v>438</v>
      </c>
      <c r="I4665" s="4">
        <v>3</v>
      </c>
      <c r="J4665">
        <v>12</v>
      </c>
      <c r="K4665">
        <v>56</v>
      </c>
      <c r="L4665">
        <v>20</v>
      </c>
      <c r="M4665" s="2">
        <v>2.8</v>
      </c>
      <c r="N4665">
        <v>3.01</v>
      </c>
      <c r="O4665">
        <v>0</v>
      </c>
      <c r="P4665">
        <v>1</v>
      </c>
      <c r="Q4665" s="4" t="str">
        <f t="shared" si="634"/>
        <v>2016/2017-Ganjil</v>
      </c>
      <c r="R4665" s="8" t="s">
        <v>260</v>
      </c>
      <c r="S4665" t="str">
        <f t="shared" si="635"/>
        <v>PA</v>
      </c>
    </row>
    <row r="4666" spans="1:19" x14ac:dyDescent="0.3">
      <c r="A4666" t="s">
        <v>8</v>
      </c>
      <c r="B4666">
        <v>2016210044</v>
      </c>
      <c r="C4666" t="s">
        <v>178</v>
      </c>
      <c r="E4666" t="s">
        <v>318</v>
      </c>
      <c r="F4666" t="s">
        <v>319</v>
      </c>
      <c r="G4666">
        <v>2</v>
      </c>
      <c r="H4666" t="s">
        <v>438</v>
      </c>
      <c r="I4666" s="4">
        <v>3</v>
      </c>
      <c r="J4666">
        <v>12</v>
      </c>
      <c r="K4666">
        <v>50</v>
      </c>
      <c r="L4666">
        <v>16</v>
      </c>
      <c r="M4666" s="2">
        <v>3.13</v>
      </c>
      <c r="N4666">
        <v>3.01</v>
      </c>
      <c r="O4666">
        <v>0</v>
      </c>
      <c r="P4666">
        <v>5</v>
      </c>
      <c r="Q4666" s="4" t="str">
        <f t="shared" si="634"/>
        <v>2018/2019-Ganjil</v>
      </c>
      <c r="R4666" s="8" t="s">
        <v>260</v>
      </c>
      <c r="S4666" t="str">
        <f t="shared" si="635"/>
        <v>PA</v>
      </c>
    </row>
    <row r="4667" spans="1:19" x14ac:dyDescent="0.3">
      <c r="A4667" t="s">
        <v>8</v>
      </c>
      <c r="B4667">
        <v>2016210044</v>
      </c>
      <c r="C4667" t="s">
        <v>178</v>
      </c>
      <c r="E4667" t="s">
        <v>227</v>
      </c>
      <c r="F4667" t="s">
        <v>228</v>
      </c>
      <c r="G4667">
        <v>2</v>
      </c>
      <c r="H4667" t="s">
        <v>438</v>
      </c>
      <c r="I4667" s="4">
        <v>3</v>
      </c>
      <c r="J4667">
        <v>12</v>
      </c>
      <c r="K4667">
        <v>40</v>
      </c>
      <c r="L4667">
        <v>18</v>
      </c>
      <c r="M4667">
        <v>2.2200000000000002</v>
      </c>
      <c r="N4667">
        <v>3.01</v>
      </c>
      <c r="O4667">
        <v>0</v>
      </c>
      <c r="P4667">
        <v>3</v>
      </c>
      <c r="Q4667" s="4" t="str">
        <f t="shared" si="634"/>
        <v>2017/2018-Ganjil</v>
      </c>
      <c r="R4667" s="8" t="s">
        <v>260</v>
      </c>
      <c r="S4667" t="str">
        <f t="shared" si="635"/>
        <v>PA</v>
      </c>
    </row>
    <row r="4668" spans="1:19" x14ac:dyDescent="0.3">
      <c r="A4668" t="s">
        <v>8</v>
      </c>
      <c r="B4668">
        <v>2016210044</v>
      </c>
      <c r="C4668" t="s">
        <v>178</v>
      </c>
      <c r="E4668" t="s">
        <v>157</v>
      </c>
      <c r="F4668" t="s">
        <v>158</v>
      </c>
      <c r="G4668">
        <v>2</v>
      </c>
      <c r="H4668" t="s">
        <v>438</v>
      </c>
      <c r="I4668" s="4">
        <v>3</v>
      </c>
      <c r="J4668">
        <v>12</v>
      </c>
      <c r="K4668">
        <v>26</v>
      </c>
      <c r="L4668">
        <v>8</v>
      </c>
      <c r="M4668">
        <v>3.25</v>
      </c>
      <c r="N4668">
        <v>3.01</v>
      </c>
      <c r="O4668">
        <v>0</v>
      </c>
      <c r="P4668">
        <v>9</v>
      </c>
      <c r="Q4668" s="4" t="str">
        <f t="shared" si="634"/>
        <v>2020/2021-Ganjil</v>
      </c>
      <c r="R4668" s="8" t="s">
        <v>260</v>
      </c>
      <c r="S4668" t="str">
        <f t="shared" si="635"/>
        <v>PA</v>
      </c>
    </row>
    <row r="4669" spans="1:19" x14ac:dyDescent="0.3">
      <c r="A4669" t="s">
        <v>8</v>
      </c>
      <c r="B4669">
        <v>2016210044</v>
      </c>
      <c r="C4669" t="s">
        <v>178</v>
      </c>
      <c r="E4669" t="s">
        <v>202</v>
      </c>
      <c r="F4669" t="s">
        <v>203</v>
      </c>
      <c r="G4669">
        <v>4</v>
      </c>
      <c r="H4669" t="s">
        <v>438</v>
      </c>
      <c r="I4669" s="4">
        <v>3</v>
      </c>
      <c r="J4669">
        <v>12</v>
      </c>
      <c r="K4669">
        <v>56</v>
      </c>
      <c r="L4669">
        <v>20</v>
      </c>
      <c r="M4669" s="2">
        <v>2.8</v>
      </c>
      <c r="N4669">
        <v>3.01</v>
      </c>
      <c r="O4669">
        <v>0</v>
      </c>
      <c r="P4669">
        <v>1</v>
      </c>
      <c r="Q4669" s="4" t="str">
        <f t="shared" si="634"/>
        <v>2016/2017-Ganjil</v>
      </c>
      <c r="R4669" s="8" t="s">
        <v>260</v>
      </c>
      <c r="S4669" t="str">
        <f t="shared" si="635"/>
        <v>PA</v>
      </c>
    </row>
    <row r="4670" spans="1:19" x14ac:dyDescent="0.3">
      <c r="A4670" t="s">
        <v>8</v>
      </c>
      <c r="B4670">
        <v>2016210044</v>
      </c>
      <c r="C4670" t="s">
        <v>178</v>
      </c>
      <c r="E4670" t="s">
        <v>136</v>
      </c>
      <c r="F4670" t="s">
        <v>137</v>
      </c>
      <c r="G4670">
        <v>4</v>
      </c>
      <c r="H4670" t="s">
        <v>438</v>
      </c>
      <c r="I4670" s="4">
        <v>3</v>
      </c>
      <c r="J4670">
        <v>12</v>
      </c>
      <c r="K4670">
        <v>44</v>
      </c>
      <c r="L4670">
        <v>18</v>
      </c>
      <c r="M4670" s="2">
        <v>2.44</v>
      </c>
      <c r="N4670">
        <v>3.01</v>
      </c>
      <c r="O4670">
        <v>0</v>
      </c>
      <c r="P4670">
        <v>6</v>
      </c>
      <c r="Q4670" s="4" t="str">
        <f t="shared" si="634"/>
        <v>2018/2019-Genap</v>
      </c>
      <c r="R4670" s="8" t="s">
        <v>260</v>
      </c>
      <c r="S4670" t="str">
        <f t="shared" si="635"/>
        <v>PA</v>
      </c>
    </row>
    <row r="4671" spans="1:19" x14ac:dyDescent="0.3">
      <c r="A4671" t="s">
        <v>8</v>
      </c>
      <c r="B4671">
        <v>2016210044</v>
      </c>
      <c r="C4671" t="s">
        <v>178</v>
      </c>
      <c r="E4671" t="s">
        <v>147</v>
      </c>
      <c r="F4671" t="s">
        <v>148</v>
      </c>
      <c r="G4671">
        <v>4</v>
      </c>
      <c r="H4671" t="s">
        <v>438</v>
      </c>
      <c r="I4671" s="4">
        <v>3</v>
      </c>
      <c r="J4671">
        <v>12</v>
      </c>
      <c r="K4671">
        <v>56</v>
      </c>
      <c r="L4671">
        <v>20</v>
      </c>
      <c r="M4671" s="2">
        <v>2.8</v>
      </c>
      <c r="N4671">
        <v>3.01</v>
      </c>
      <c r="O4671">
        <v>0</v>
      </c>
      <c r="P4671">
        <v>1</v>
      </c>
      <c r="Q4671" s="4" t="str">
        <f t="shared" si="634"/>
        <v>2016/2017-Ganjil</v>
      </c>
      <c r="R4671" s="8" t="s">
        <v>260</v>
      </c>
      <c r="S4671" t="str">
        <f t="shared" si="635"/>
        <v>PA</v>
      </c>
    </row>
    <row r="4672" spans="1:19" x14ac:dyDescent="0.3">
      <c r="A4672" t="s">
        <v>8</v>
      </c>
      <c r="B4672">
        <v>2016210044</v>
      </c>
      <c r="C4672" t="s">
        <v>178</v>
      </c>
      <c r="E4672" t="s">
        <v>180</v>
      </c>
      <c r="F4672" t="s">
        <v>181</v>
      </c>
      <c r="G4672">
        <v>4</v>
      </c>
      <c r="H4672" t="s">
        <v>438</v>
      </c>
      <c r="I4672" s="4">
        <v>3</v>
      </c>
      <c r="J4672">
        <v>12</v>
      </c>
      <c r="K4672">
        <v>62</v>
      </c>
      <c r="L4672">
        <v>20</v>
      </c>
      <c r="M4672" s="2">
        <v>3.1</v>
      </c>
      <c r="N4672">
        <v>3.01</v>
      </c>
      <c r="O4672">
        <v>0</v>
      </c>
      <c r="P4672">
        <v>4</v>
      </c>
      <c r="Q4672" s="4" t="str">
        <f t="shared" si="634"/>
        <v>2017/2018-Genap</v>
      </c>
      <c r="R4672" s="8" t="s">
        <v>260</v>
      </c>
      <c r="S4672" t="str">
        <f t="shared" si="635"/>
        <v>PA</v>
      </c>
    </row>
    <row r="4673" spans="1:19" x14ac:dyDescent="0.3">
      <c r="A4673" t="s">
        <v>8</v>
      </c>
      <c r="B4673">
        <v>2016210044</v>
      </c>
      <c r="C4673" t="s">
        <v>178</v>
      </c>
      <c r="E4673" t="s">
        <v>117</v>
      </c>
      <c r="F4673" t="s">
        <v>118</v>
      </c>
      <c r="G4673">
        <v>2</v>
      </c>
      <c r="H4673" t="s">
        <v>438</v>
      </c>
      <c r="I4673" s="4">
        <v>3</v>
      </c>
      <c r="J4673">
        <v>12</v>
      </c>
      <c r="K4673">
        <v>42</v>
      </c>
      <c r="L4673">
        <v>16</v>
      </c>
      <c r="M4673">
        <v>2.63</v>
      </c>
      <c r="N4673">
        <v>3.01</v>
      </c>
      <c r="O4673">
        <v>0</v>
      </c>
      <c r="P4673">
        <v>2</v>
      </c>
      <c r="Q4673" s="4" t="str">
        <f t="shared" si="634"/>
        <v>2016/2017-Genap</v>
      </c>
      <c r="R4673" s="8" t="s">
        <v>260</v>
      </c>
      <c r="S4673" t="str">
        <f t="shared" si="635"/>
        <v>PA</v>
      </c>
    </row>
    <row r="4674" spans="1:19" x14ac:dyDescent="0.3">
      <c r="A4674" t="s">
        <v>8</v>
      </c>
      <c r="B4674">
        <v>2016210044</v>
      </c>
      <c r="C4674" t="s">
        <v>178</v>
      </c>
      <c r="E4674" t="s">
        <v>393</v>
      </c>
      <c r="F4674" t="s">
        <v>492</v>
      </c>
      <c r="G4674">
        <v>2</v>
      </c>
      <c r="H4674" t="s">
        <v>438</v>
      </c>
      <c r="I4674" s="4">
        <v>3</v>
      </c>
      <c r="J4674">
        <v>12</v>
      </c>
      <c r="K4674">
        <v>48</v>
      </c>
      <c r="L4674">
        <v>18</v>
      </c>
      <c r="M4674" s="2">
        <v>2.67</v>
      </c>
      <c r="N4674">
        <v>3.01</v>
      </c>
      <c r="O4674">
        <v>0</v>
      </c>
      <c r="P4674">
        <v>7</v>
      </c>
      <c r="Q4674" s="4" t="str">
        <f t="shared" si="634"/>
        <v>2019/2020-Ganjil</v>
      </c>
      <c r="R4674" s="8" t="s">
        <v>260</v>
      </c>
      <c r="S4674" t="str">
        <f t="shared" si="635"/>
        <v>PA</v>
      </c>
    </row>
    <row r="4675" spans="1:19" x14ac:dyDescent="0.3">
      <c r="A4675" t="s">
        <v>8</v>
      </c>
      <c r="B4675">
        <v>2016210044</v>
      </c>
      <c r="C4675" t="s">
        <v>178</v>
      </c>
      <c r="E4675" t="s">
        <v>87</v>
      </c>
      <c r="F4675" t="s">
        <v>88</v>
      </c>
      <c r="G4675">
        <v>2</v>
      </c>
      <c r="H4675" t="s">
        <v>438</v>
      </c>
      <c r="I4675" s="4">
        <v>3</v>
      </c>
      <c r="J4675">
        <v>12</v>
      </c>
      <c r="K4675">
        <v>38</v>
      </c>
      <c r="L4675">
        <v>14</v>
      </c>
      <c r="M4675" s="2">
        <v>2.71</v>
      </c>
      <c r="N4675">
        <v>3.01</v>
      </c>
      <c r="O4675">
        <v>0</v>
      </c>
      <c r="P4675">
        <v>8</v>
      </c>
      <c r="Q4675" s="4" t="str">
        <f t="shared" si="634"/>
        <v>2019/2020-Genap</v>
      </c>
      <c r="R4675" s="8" t="s">
        <v>260</v>
      </c>
      <c r="S4675" t="str">
        <f t="shared" si="635"/>
        <v>PA</v>
      </c>
    </row>
    <row r="4676" spans="1:19" x14ac:dyDescent="0.3">
      <c r="A4676" t="s">
        <v>8</v>
      </c>
      <c r="B4676">
        <v>2016210044</v>
      </c>
      <c r="C4676" t="s">
        <v>178</v>
      </c>
      <c r="E4676" t="s">
        <v>119</v>
      </c>
      <c r="F4676" t="s">
        <v>120</v>
      </c>
      <c r="G4676">
        <v>2</v>
      </c>
      <c r="H4676" t="s">
        <v>438</v>
      </c>
      <c r="I4676" s="4">
        <v>3</v>
      </c>
      <c r="J4676">
        <v>12</v>
      </c>
      <c r="K4676">
        <v>38</v>
      </c>
      <c r="L4676">
        <v>14</v>
      </c>
      <c r="M4676" s="2">
        <v>2.71</v>
      </c>
      <c r="N4676">
        <v>3.01</v>
      </c>
      <c r="O4676">
        <v>0</v>
      </c>
      <c r="P4676">
        <v>8</v>
      </c>
      <c r="Q4676" s="4" t="str">
        <f t="shared" si="634"/>
        <v>2019/2020-Genap</v>
      </c>
      <c r="R4676" s="8" t="s">
        <v>260</v>
      </c>
      <c r="S4676" t="str">
        <f t="shared" si="635"/>
        <v>PA</v>
      </c>
    </row>
    <row r="4677" spans="1:19" x14ac:dyDescent="0.3">
      <c r="A4677" t="s">
        <v>8</v>
      </c>
      <c r="B4677">
        <v>2016210044</v>
      </c>
      <c r="C4677" t="s">
        <v>178</v>
      </c>
      <c r="E4677" t="s">
        <v>182</v>
      </c>
      <c r="F4677" t="s">
        <v>171</v>
      </c>
      <c r="G4677">
        <v>2</v>
      </c>
      <c r="H4677" t="s">
        <v>438</v>
      </c>
      <c r="I4677" s="4">
        <v>3</v>
      </c>
      <c r="J4677">
        <v>12</v>
      </c>
      <c r="K4677">
        <v>50</v>
      </c>
      <c r="L4677">
        <v>16</v>
      </c>
      <c r="M4677">
        <v>3.13</v>
      </c>
      <c r="N4677">
        <v>3.01</v>
      </c>
      <c r="O4677">
        <v>0</v>
      </c>
      <c r="P4677">
        <v>5</v>
      </c>
      <c r="Q4677" s="4" t="str">
        <f t="shared" si="634"/>
        <v>2018/2019-Ganjil</v>
      </c>
      <c r="R4677" s="8" t="s">
        <v>260</v>
      </c>
      <c r="S4677" t="str">
        <f t="shared" si="635"/>
        <v>PA</v>
      </c>
    </row>
    <row r="4678" spans="1:19" x14ac:dyDescent="0.3">
      <c r="A4678" t="s">
        <v>8</v>
      </c>
      <c r="B4678">
        <v>2016210044</v>
      </c>
      <c r="C4678" t="s">
        <v>178</v>
      </c>
      <c r="E4678" t="s">
        <v>295</v>
      </c>
      <c r="F4678" t="s">
        <v>296</v>
      </c>
      <c r="G4678">
        <v>2</v>
      </c>
      <c r="H4678" t="s">
        <v>438</v>
      </c>
      <c r="I4678" s="4">
        <v>3</v>
      </c>
      <c r="J4678">
        <v>12</v>
      </c>
      <c r="K4678">
        <v>40</v>
      </c>
      <c r="L4678">
        <v>18</v>
      </c>
      <c r="M4678">
        <v>2.2200000000000002</v>
      </c>
      <c r="N4678">
        <v>3.01</v>
      </c>
      <c r="O4678">
        <v>0</v>
      </c>
      <c r="P4678">
        <v>3</v>
      </c>
      <c r="Q4678" s="4" t="str">
        <f t="shared" si="634"/>
        <v>2017/2018-Ganjil</v>
      </c>
      <c r="R4678" s="8" t="s">
        <v>260</v>
      </c>
      <c r="S4678" t="str">
        <f t="shared" si="635"/>
        <v>PA</v>
      </c>
    </row>
    <row r="4679" spans="1:19" x14ac:dyDescent="0.3">
      <c r="A4679" t="s">
        <v>8</v>
      </c>
      <c r="B4679">
        <v>2016210044</v>
      </c>
      <c r="C4679" t="s">
        <v>178</v>
      </c>
      <c r="E4679" t="s">
        <v>19</v>
      </c>
      <c r="F4679" t="s">
        <v>20</v>
      </c>
      <c r="G4679">
        <v>6</v>
      </c>
      <c r="H4679" t="s">
        <v>438</v>
      </c>
      <c r="I4679" s="4">
        <v>3</v>
      </c>
      <c r="J4679">
        <v>12</v>
      </c>
      <c r="K4679">
        <v>74</v>
      </c>
      <c r="L4679">
        <v>22</v>
      </c>
      <c r="M4679" s="2">
        <v>3.36</v>
      </c>
      <c r="N4679">
        <v>3.01</v>
      </c>
      <c r="O4679">
        <v>0</v>
      </c>
      <c r="P4679">
        <v>10</v>
      </c>
      <c r="Q4679" t="s">
        <v>580</v>
      </c>
      <c r="R4679" t="s">
        <v>596</v>
      </c>
      <c r="S4679" t="str">
        <f t="shared" si="635"/>
        <v>PA</v>
      </c>
    </row>
    <row r="4680" spans="1:19" x14ac:dyDescent="0.3">
      <c r="A4680" t="s">
        <v>8</v>
      </c>
      <c r="B4680">
        <v>2016210044</v>
      </c>
      <c r="C4680" t="s">
        <v>178</v>
      </c>
      <c r="E4680" t="s">
        <v>131</v>
      </c>
      <c r="F4680" t="s">
        <v>132</v>
      </c>
      <c r="G4680">
        <v>2</v>
      </c>
      <c r="H4680" t="s">
        <v>438</v>
      </c>
      <c r="I4680" s="4">
        <v>3</v>
      </c>
      <c r="J4680">
        <v>12</v>
      </c>
      <c r="K4680">
        <v>56</v>
      </c>
      <c r="L4680">
        <v>20</v>
      </c>
      <c r="M4680" s="2">
        <v>2.8</v>
      </c>
      <c r="N4680">
        <v>3.01</v>
      </c>
      <c r="O4680">
        <v>0</v>
      </c>
      <c r="P4680">
        <v>1</v>
      </c>
      <c r="Q4680" s="4" t="str">
        <f t="shared" ref="Q4680:Q4690" si="636">IF(P4680=1,"2016/2017-Ganjil",IF(P4680=2,"2016/2017-Genap",IF(P4680=3,"2017/2018-Ganjil",IF(P4680=4,"2017/2018-Genap",IF(P4680=5,"2018/2019-Ganjil",IF(P4680=6,"2018/2019-Genap",IF(P4680=7,"2019/2020-Ganjil",IF(P4680=8,"2019/2020-Genap",IF(P4680=9,"2020/2021-Ganjil",IF(P4680=10,"2020/2021-Genap",IF(P4680=11,"2021/2022-Ganjil",IF(P4680=12,"2021/2022-Genap",IF(P4680=13,"2022/2023-Ganjil","2022/2023-Genap")))))))))))))</f>
        <v>2016/2017-Ganjil</v>
      </c>
      <c r="R4680" s="8" t="s">
        <v>260</v>
      </c>
      <c r="S4680" t="str">
        <f t="shared" si="635"/>
        <v>PA</v>
      </c>
    </row>
    <row r="4681" spans="1:19" x14ac:dyDescent="0.3">
      <c r="A4681" t="s">
        <v>8</v>
      </c>
      <c r="B4681">
        <v>2016210044</v>
      </c>
      <c r="C4681" t="s">
        <v>178</v>
      </c>
      <c r="E4681" t="s">
        <v>253</v>
      </c>
      <c r="F4681" t="s">
        <v>254</v>
      </c>
      <c r="G4681">
        <v>2</v>
      </c>
      <c r="H4681" t="s">
        <v>438</v>
      </c>
      <c r="I4681" s="4">
        <v>3</v>
      </c>
      <c r="J4681">
        <v>12</v>
      </c>
      <c r="K4681">
        <v>62</v>
      </c>
      <c r="L4681">
        <v>20</v>
      </c>
      <c r="M4681" s="2">
        <v>3.1</v>
      </c>
      <c r="N4681">
        <v>3.01</v>
      </c>
      <c r="O4681">
        <v>0</v>
      </c>
      <c r="P4681">
        <v>4</v>
      </c>
      <c r="Q4681" s="4" t="str">
        <f t="shared" si="636"/>
        <v>2017/2018-Genap</v>
      </c>
      <c r="R4681" s="8" t="s">
        <v>260</v>
      </c>
      <c r="S4681" t="str">
        <f t="shared" si="635"/>
        <v>PA</v>
      </c>
    </row>
    <row r="4682" spans="1:19" x14ac:dyDescent="0.3">
      <c r="A4682" t="s">
        <v>8</v>
      </c>
      <c r="B4682">
        <v>2016210044</v>
      </c>
      <c r="C4682" t="s">
        <v>178</v>
      </c>
      <c r="E4682" t="s">
        <v>279</v>
      </c>
      <c r="F4682" t="s">
        <v>280</v>
      </c>
      <c r="G4682">
        <v>2</v>
      </c>
      <c r="H4682" t="s">
        <v>438</v>
      </c>
      <c r="I4682" s="4">
        <v>3</v>
      </c>
      <c r="J4682">
        <v>12</v>
      </c>
      <c r="K4682">
        <v>42</v>
      </c>
      <c r="L4682">
        <v>16</v>
      </c>
      <c r="M4682">
        <v>2.63</v>
      </c>
      <c r="N4682">
        <v>3.01</v>
      </c>
      <c r="O4682">
        <v>0</v>
      </c>
      <c r="P4682">
        <v>2</v>
      </c>
      <c r="Q4682" s="4" t="str">
        <f t="shared" si="636"/>
        <v>2016/2017-Genap</v>
      </c>
      <c r="R4682" s="8" t="s">
        <v>260</v>
      </c>
      <c r="S4682" t="str">
        <f t="shared" si="635"/>
        <v>PA</v>
      </c>
    </row>
    <row r="4683" spans="1:19" x14ac:dyDescent="0.3">
      <c r="A4683" t="s">
        <v>8</v>
      </c>
      <c r="B4683">
        <v>2016210044</v>
      </c>
      <c r="C4683" t="s">
        <v>178</v>
      </c>
      <c r="E4683" t="s">
        <v>407</v>
      </c>
      <c r="F4683" t="s">
        <v>312</v>
      </c>
      <c r="G4683">
        <v>2</v>
      </c>
      <c r="H4683" t="s">
        <v>438</v>
      </c>
      <c r="I4683" s="4">
        <v>3</v>
      </c>
      <c r="J4683">
        <v>12</v>
      </c>
      <c r="K4683">
        <v>48</v>
      </c>
      <c r="L4683">
        <v>18</v>
      </c>
      <c r="M4683">
        <v>2.67</v>
      </c>
      <c r="N4683">
        <v>3.01</v>
      </c>
      <c r="O4683">
        <v>0</v>
      </c>
      <c r="P4683">
        <v>7</v>
      </c>
      <c r="Q4683" s="4" t="str">
        <f t="shared" si="636"/>
        <v>2019/2020-Ganjil</v>
      </c>
      <c r="R4683" s="8" t="s">
        <v>260</v>
      </c>
      <c r="S4683" t="str">
        <f t="shared" si="635"/>
        <v>PA</v>
      </c>
    </row>
    <row r="4684" spans="1:19" x14ac:dyDescent="0.3">
      <c r="A4684" t="s">
        <v>8</v>
      </c>
      <c r="B4684">
        <v>2016210044</v>
      </c>
      <c r="C4684" t="s">
        <v>178</v>
      </c>
      <c r="E4684" t="s">
        <v>22</v>
      </c>
      <c r="F4684" t="s">
        <v>23</v>
      </c>
      <c r="G4684">
        <v>2</v>
      </c>
      <c r="H4684" t="s">
        <v>438</v>
      </c>
      <c r="I4684" s="4">
        <v>3</v>
      </c>
      <c r="J4684">
        <v>12</v>
      </c>
      <c r="K4684">
        <v>42</v>
      </c>
      <c r="L4684">
        <v>16</v>
      </c>
      <c r="M4684">
        <v>2.63</v>
      </c>
      <c r="N4684">
        <v>3.01</v>
      </c>
      <c r="O4684">
        <v>0</v>
      </c>
      <c r="P4684">
        <v>2</v>
      </c>
      <c r="Q4684" s="4" t="str">
        <f t="shared" si="636"/>
        <v>2016/2017-Genap</v>
      </c>
      <c r="R4684" s="8" t="s">
        <v>260</v>
      </c>
      <c r="S4684" t="str">
        <f t="shared" si="635"/>
        <v>PA</v>
      </c>
    </row>
    <row r="4685" spans="1:19" x14ac:dyDescent="0.3">
      <c r="A4685" t="s">
        <v>8</v>
      </c>
      <c r="B4685">
        <v>2016210044</v>
      </c>
      <c r="C4685" t="s">
        <v>178</v>
      </c>
      <c r="E4685" t="s">
        <v>193</v>
      </c>
      <c r="F4685" t="s">
        <v>194</v>
      </c>
      <c r="G4685">
        <v>4</v>
      </c>
      <c r="H4685" t="s">
        <v>438</v>
      </c>
      <c r="I4685" s="4">
        <v>3</v>
      </c>
      <c r="J4685">
        <v>12</v>
      </c>
      <c r="K4685">
        <v>48</v>
      </c>
      <c r="L4685">
        <v>18</v>
      </c>
      <c r="M4685">
        <v>2.67</v>
      </c>
      <c r="N4685">
        <v>3.01</v>
      </c>
      <c r="O4685">
        <v>0</v>
      </c>
      <c r="P4685">
        <v>7</v>
      </c>
      <c r="Q4685" s="4" t="str">
        <f t="shared" si="636"/>
        <v>2019/2020-Ganjil</v>
      </c>
      <c r="R4685" s="8" t="s">
        <v>260</v>
      </c>
      <c r="S4685" t="str">
        <f t="shared" si="635"/>
        <v>PA</v>
      </c>
    </row>
    <row r="4686" spans="1:19" x14ac:dyDescent="0.3">
      <c r="A4686" t="s">
        <v>8</v>
      </c>
      <c r="B4686">
        <v>2016210044</v>
      </c>
      <c r="C4686" t="s">
        <v>178</v>
      </c>
      <c r="E4686" t="s">
        <v>232</v>
      </c>
      <c r="F4686" t="s">
        <v>245</v>
      </c>
      <c r="G4686">
        <v>2</v>
      </c>
      <c r="H4686" t="s">
        <v>438</v>
      </c>
      <c r="I4686" s="4">
        <v>3</v>
      </c>
      <c r="J4686">
        <v>12</v>
      </c>
      <c r="K4686">
        <v>42</v>
      </c>
      <c r="L4686">
        <v>16</v>
      </c>
      <c r="M4686">
        <v>2.63</v>
      </c>
      <c r="N4686">
        <v>3.01</v>
      </c>
      <c r="O4686">
        <v>0</v>
      </c>
      <c r="P4686">
        <v>2</v>
      </c>
      <c r="Q4686" s="4" t="str">
        <f t="shared" si="636"/>
        <v>2016/2017-Genap</v>
      </c>
      <c r="R4686" s="8" t="s">
        <v>260</v>
      </c>
      <c r="S4686" t="str">
        <f t="shared" si="635"/>
        <v>PA</v>
      </c>
    </row>
    <row r="4687" spans="1:19" x14ac:dyDescent="0.3">
      <c r="A4687" t="s">
        <v>8</v>
      </c>
      <c r="B4687">
        <v>2016210044</v>
      </c>
      <c r="C4687" t="s">
        <v>178</v>
      </c>
      <c r="E4687" t="s">
        <v>391</v>
      </c>
      <c r="F4687" t="s">
        <v>392</v>
      </c>
      <c r="G4687">
        <v>2</v>
      </c>
      <c r="H4687" t="s">
        <v>438</v>
      </c>
      <c r="I4687" s="4">
        <v>3</v>
      </c>
      <c r="J4687">
        <v>12</v>
      </c>
      <c r="K4687">
        <v>50</v>
      </c>
      <c r="L4687">
        <v>16</v>
      </c>
      <c r="M4687">
        <v>3.13</v>
      </c>
      <c r="N4687">
        <v>3.01</v>
      </c>
      <c r="O4687">
        <v>0</v>
      </c>
      <c r="P4687">
        <v>5</v>
      </c>
      <c r="Q4687" s="4" t="str">
        <f t="shared" si="636"/>
        <v>2018/2019-Ganjil</v>
      </c>
      <c r="R4687" s="8" t="s">
        <v>260</v>
      </c>
      <c r="S4687" t="str">
        <f t="shared" si="635"/>
        <v>PA</v>
      </c>
    </row>
    <row r="4688" spans="1:19" x14ac:dyDescent="0.3">
      <c r="A4688" t="s">
        <v>8</v>
      </c>
      <c r="B4688">
        <v>2016210044</v>
      </c>
      <c r="C4688" t="s">
        <v>178</v>
      </c>
      <c r="E4688" t="s">
        <v>93</v>
      </c>
      <c r="F4688" t="s">
        <v>94</v>
      </c>
      <c r="G4688">
        <v>4</v>
      </c>
      <c r="H4688" t="s">
        <v>438</v>
      </c>
      <c r="I4688" s="4">
        <v>3</v>
      </c>
      <c r="J4688">
        <v>12</v>
      </c>
      <c r="K4688">
        <v>40</v>
      </c>
      <c r="L4688">
        <v>18</v>
      </c>
      <c r="M4688">
        <v>2.2200000000000002</v>
      </c>
      <c r="N4688">
        <v>3.01</v>
      </c>
      <c r="O4688">
        <v>0</v>
      </c>
      <c r="P4688">
        <v>3</v>
      </c>
      <c r="Q4688" s="4" t="str">
        <f t="shared" si="636"/>
        <v>2017/2018-Ganjil</v>
      </c>
      <c r="R4688" s="8" t="s">
        <v>260</v>
      </c>
      <c r="S4688" t="str">
        <f t="shared" si="635"/>
        <v>PA</v>
      </c>
    </row>
    <row r="4689" spans="1:19" x14ac:dyDescent="0.3">
      <c r="A4689" t="s">
        <v>8</v>
      </c>
      <c r="B4689">
        <v>2016210044</v>
      </c>
      <c r="C4689" t="s">
        <v>178</v>
      </c>
      <c r="E4689" t="s">
        <v>110</v>
      </c>
      <c r="F4689" t="s">
        <v>111</v>
      </c>
      <c r="G4689">
        <v>4</v>
      </c>
      <c r="H4689" t="s">
        <v>438</v>
      </c>
      <c r="I4689" s="4">
        <v>3</v>
      </c>
      <c r="J4689">
        <v>12</v>
      </c>
      <c r="K4689">
        <v>56</v>
      </c>
      <c r="L4689">
        <v>20</v>
      </c>
      <c r="M4689" s="2">
        <v>2.8</v>
      </c>
      <c r="N4689">
        <v>3.01</v>
      </c>
      <c r="O4689">
        <v>0</v>
      </c>
      <c r="P4689">
        <v>1</v>
      </c>
      <c r="Q4689" s="4" t="str">
        <f t="shared" si="636"/>
        <v>2016/2017-Ganjil</v>
      </c>
      <c r="R4689" s="8" t="s">
        <v>260</v>
      </c>
      <c r="S4689" t="str">
        <f t="shared" si="635"/>
        <v>PA</v>
      </c>
    </row>
    <row r="4690" spans="1:19" x14ac:dyDescent="0.3">
      <c r="A4690" t="s">
        <v>8</v>
      </c>
      <c r="B4690">
        <v>2016210044</v>
      </c>
      <c r="C4690" t="s">
        <v>178</v>
      </c>
      <c r="E4690" t="s">
        <v>449</v>
      </c>
      <c r="F4690" t="s">
        <v>460</v>
      </c>
      <c r="G4690">
        <v>4</v>
      </c>
      <c r="H4690" t="s">
        <v>524</v>
      </c>
      <c r="I4690" s="4">
        <v>3</v>
      </c>
      <c r="J4690">
        <v>12</v>
      </c>
      <c r="K4690">
        <v>62</v>
      </c>
      <c r="L4690">
        <v>20</v>
      </c>
      <c r="M4690" s="2">
        <v>3.1</v>
      </c>
      <c r="N4690">
        <v>3.01</v>
      </c>
      <c r="O4690">
        <v>0</v>
      </c>
      <c r="P4690">
        <v>4</v>
      </c>
      <c r="Q4690" s="4" t="str">
        <f t="shared" si="636"/>
        <v>2017/2018-Genap</v>
      </c>
      <c r="R4690" s="8" t="s">
        <v>260</v>
      </c>
      <c r="S4690" t="str">
        <f t="shared" si="635"/>
        <v>PA</v>
      </c>
    </row>
    <row r="4691" spans="1:19" x14ac:dyDescent="0.3">
      <c r="A4691" t="s">
        <v>8</v>
      </c>
      <c r="B4691">
        <v>2016210044</v>
      </c>
      <c r="C4691" t="s">
        <v>178</v>
      </c>
      <c r="E4691" t="s">
        <v>449</v>
      </c>
      <c r="F4691" t="s">
        <v>460</v>
      </c>
      <c r="G4691">
        <v>4</v>
      </c>
      <c r="H4691" t="s">
        <v>260</v>
      </c>
      <c r="I4691" s="4">
        <v>3</v>
      </c>
      <c r="J4691">
        <v>12</v>
      </c>
      <c r="K4691">
        <v>74</v>
      </c>
      <c r="L4691">
        <v>22</v>
      </c>
      <c r="M4691" s="2">
        <v>3.36</v>
      </c>
      <c r="N4691">
        <v>3.01</v>
      </c>
      <c r="O4691">
        <v>1</v>
      </c>
      <c r="P4691">
        <v>10</v>
      </c>
      <c r="Q4691" t="s">
        <v>580</v>
      </c>
      <c r="R4691" s="8" t="s">
        <v>260</v>
      </c>
      <c r="S4691" t="str">
        <f t="shared" si="635"/>
        <v>PA</v>
      </c>
    </row>
    <row r="4692" spans="1:19" x14ac:dyDescent="0.3">
      <c r="A4692" t="s">
        <v>8</v>
      </c>
      <c r="B4692">
        <v>2016210044</v>
      </c>
      <c r="C4692" t="s">
        <v>178</v>
      </c>
      <c r="E4692" t="s">
        <v>238</v>
      </c>
      <c r="F4692" t="s">
        <v>239</v>
      </c>
      <c r="G4692">
        <v>4</v>
      </c>
      <c r="H4692" t="s">
        <v>524</v>
      </c>
      <c r="I4692" s="4">
        <v>3</v>
      </c>
      <c r="J4692">
        <v>12</v>
      </c>
      <c r="K4692">
        <v>44</v>
      </c>
      <c r="L4692">
        <v>18</v>
      </c>
      <c r="M4692">
        <v>2.44</v>
      </c>
      <c r="N4692">
        <v>3.01</v>
      </c>
      <c r="O4692">
        <v>0</v>
      </c>
      <c r="P4692">
        <v>6</v>
      </c>
      <c r="Q4692" s="4" t="str">
        <f>IF(P4692=1,"2016/2017-Ganjil",IF(P4692=2,"2016/2017-Genap",IF(P4692=3,"2017/2018-Ganjil",IF(P4692=4,"2017/2018-Genap",IF(P4692=5,"2018/2019-Ganjil",IF(P4692=6,"2018/2019-Genap",IF(P4692=7,"2019/2020-Ganjil",IF(P4692=8,"2019/2020-Genap",IF(P4692=9,"2020/2021-Ganjil",IF(P4692=10,"2020/2021-Genap",IF(P4692=11,"2021/2022-Ganjil",IF(P4692=12,"2021/2022-Genap",IF(P4692=13,"2022/2023-Ganjil","2022/2023-Genap")))))))))))))</f>
        <v>2018/2019-Genap</v>
      </c>
      <c r="R4692" s="8" t="s">
        <v>260</v>
      </c>
      <c r="S4692" t="str">
        <f t="shared" si="635"/>
        <v>PA</v>
      </c>
    </row>
    <row r="4693" spans="1:19" x14ac:dyDescent="0.3">
      <c r="A4693" t="s">
        <v>8</v>
      </c>
      <c r="B4693">
        <v>2016210044</v>
      </c>
      <c r="C4693" t="s">
        <v>178</v>
      </c>
      <c r="E4693" t="s">
        <v>238</v>
      </c>
      <c r="F4693" t="s">
        <v>239</v>
      </c>
      <c r="G4693">
        <v>4</v>
      </c>
      <c r="H4693" t="s">
        <v>260</v>
      </c>
      <c r="I4693" s="4">
        <v>3</v>
      </c>
      <c r="J4693">
        <v>12</v>
      </c>
      <c r="K4693">
        <v>74</v>
      </c>
      <c r="L4693">
        <v>22</v>
      </c>
      <c r="M4693">
        <v>3.36</v>
      </c>
      <c r="N4693">
        <v>3.01</v>
      </c>
      <c r="O4693">
        <v>1</v>
      </c>
      <c r="P4693">
        <v>10</v>
      </c>
      <c r="Q4693" t="s">
        <v>580</v>
      </c>
      <c r="R4693" t="s">
        <v>596</v>
      </c>
      <c r="S4693" t="str">
        <f t="shared" si="635"/>
        <v>PA</v>
      </c>
    </row>
    <row r="4694" spans="1:19" x14ac:dyDescent="0.3">
      <c r="A4694" t="s">
        <v>8</v>
      </c>
      <c r="B4694">
        <v>2016210044</v>
      </c>
      <c r="C4694" t="s">
        <v>178</v>
      </c>
      <c r="E4694" t="s">
        <v>355</v>
      </c>
      <c r="F4694" t="s">
        <v>274</v>
      </c>
      <c r="G4694">
        <v>2</v>
      </c>
      <c r="H4694" t="s">
        <v>524</v>
      </c>
      <c r="I4694" s="4">
        <v>3</v>
      </c>
      <c r="J4694">
        <v>12</v>
      </c>
      <c r="K4694">
        <v>62</v>
      </c>
      <c r="L4694">
        <v>20</v>
      </c>
      <c r="M4694" s="2">
        <v>3.1</v>
      </c>
      <c r="N4694">
        <v>3.01</v>
      </c>
      <c r="O4694">
        <v>0</v>
      </c>
      <c r="P4694">
        <v>4</v>
      </c>
      <c r="Q4694" s="4" t="str">
        <f t="shared" ref="Q4694:Q4700" si="637">IF(P4694=1,"2016/2017-Ganjil",IF(P4694=2,"2016/2017-Genap",IF(P4694=3,"2017/2018-Ganjil",IF(P4694=4,"2017/2018-Genap",IF(P4694=5,"2018/2019-Ganjil",IF(P4694=6,"2018/2019-Genap",IF(P4694=7,"2019/2020-Ganjil",IF(P4694=8,"2019/2020-Genap",IF(P4694=9,"2020/2021-Ganjil",IF(P4694=10,"2020/2021-Genap",IF(P4694=11,"2021/2022-Ganjil",IF(P4694=12,"2021/2022-Genap",IF(P4694=13,"2022/2023-Ganjil","2022/2023-Genap")))))))))))))</f>
        <v>2017/2018-Genap</v>
      </c>
      <c r="R4694" s="8" t="s">
        <v>260</v>
      </c>
      <c r="S4694" t="str">
        <f t="shared" si="635"/>
        <v>PA</v>
      </c>
    </row>
    <row r="4695" spans="1:19" x14ac:dyDescent="0.3">
      <c r="A4695" t="s">
        <v>8</v>
      </c>
      <c r="B4695">
        <v>2016210044</v>
      </c>
      <c r="C4695" t="s">
        <v>178</v>
      </c>
      <c r="E4695" t="s">
        <v>213</v>
      </c>
      <c r="F4695" t="s">
        <v>214</v>
      </c>
      <c r="G4695">
        <v>4</v>
      </c>
      <c r="H4695" t="s">
        <v>524</v>
      </c>
      <c r="I4695" s="4">
        <v>3</v>
      </c>
      <c r="J4695">
        <v>12</v>
      </c>
      <c r="K4695">
        <v>50</v>
      </c>
      <c r="L4695">
        <v>16</v>
      </c>
      <c r="M4695" s="2">
        <v>3.13</v>
      </c>
      <c r="N4695">
        <v>3.01</v>
      </c>
      <c r="O4695">
        <v>0</v>
      </c>
      <c r="P4695">
        <v>5</v>
      </c>
      <c r="Q4695" s="4" t="str">
        <f t="shared" si="637"/>
        <v>2018/2019-Ganjil</v>
      </c>
      <c r="R4695" s="8" t="s">
        <v>260</v>
      </c>
      <c r="S4695" t="str">
        <f t="shared" si="635"/>
        <v>PA</v>
      </c>
    </row>
    <row r="4696" spans="1:19" x14ac:dyDescent="0.3">
      <c r="A4696" t="s">
        <v>8</v>
      </c>
      <c r="B4696">
        <v>2016210044</v>
      </c>
      <c r="C4696" t="s">
        <v>178</v>
      </c>
      <c r="E4696" t="s">
        <v>112</v>
      </c>
      <c r="F4696" t="s">
        <v>113</v>
      </c>
      <c r="G4696">
        <v>4</v>
      </c>
      <c r="H4696" t="s">
        <v>524</v>
      </c>
      <c r="I4696" s="4">
        <v>3</v>
      </c>
      <c r="J4696">
        <v>12</v>
      </c>
      <c r="K4696">
        <v>40</v>
      </c>
      <c r="L4696">
        <v>18</v>
      </c>
      <c r="M4696">
        <v>2.2200000000000002</v>
      </c>
      <c r="N4696">
        <v>3.01</v>
      </c>
      <c r="O4696">
        <v>0</v>
      </c>
      <c r="P4696">
        <v>3</v>
      </c>
      <c r="Q4696" s="4" t="str">
        <f t="shared" si="637"/>
        <v>2017/2018-Ganjil</v>
      </c>
      <c r="R4696" s="8" t="s">
        <v>260</v>
      </c>
      <c r="S4696" t="str">
        <f t="shared" si="635"/>
        <v>PA</v>
      </c>
    </row>
    <row r="4697" spans="1:19" x14ac:dyDescent="0.3">
      <c r="A4697" t="s">
        <v>8</v>
      </c>
      <c r="B4697">
        <v>2016210044</v>
      </c>
      <c r="C4697" t="s">
        <v>178</v>
      </c>
      <c r="E4697" t="s">
        <v>77</v>
      </c>
      <c r="F4697" t="s">
        <v>78</v>
      </c>
      <c r="G4697">
        <v>2</v>
      </c>
      <c r="H4697" t="s">
        <v>524</v>
      </c>
      <c r="I4697" s="4">
        <v>3</v>
      </c>
      <c r="J4697">
        <v>12</v>
      </c>
      <c r="K4697">
        <v>56</v>
      </c>
      <c r="L4697">
        <v>20</v>
      </c>
      <c r="M4697" s="2">
        <v>2.8</v>
      </c>
      <c r="N4697">
        <v>3.01</v>
      </c>
      <c r="O4697">
        <v>0</v>
      </c>
      <c r="P4697">
        <v>1</v>
      </c>
      <c r="Q4697" s="4" t="str">
        <f t="shared" si="637"/>
        <v>2016/2017-Ganjil</v>
      </c>
      <c r="R4697" s="8" t="s">
        <v>260</v>
      </c>
      <c r="S4697" t="str">
        <f t="shared" si="635"/>
        <v>PA</v>
      </c>
    </row>
    <row r="4698" spans="1:19" x14ac:dyDescent="0.3">
      <c r="A4698" t="s">
        <v>8</v>
      </c>
      <c r="B4698">
        <v>2016210044</v>
      </c>
      <c r="C4698" t="s">
        <v>178</v>
      </c>
      <c r="E4698" t="s">
        <v>395</v>
      </c>
      <c r="F4698" t="s">
        <v>396</v>
      </c>
      <c r="G4698">
        <v>2</v>
      </c>
      <c r="H4698" t="s">
        <v>524</v>
      </c>
      <c r="I4698" s="4">
        <v>3</v>
      </c>
      <c r="J4698">
        <v>12</v>
      </c>
      <c r="K4698">
        <v>56</v>
      </c>
      <c r="L4698">
        <v>20</v>
      </c>
      <c r="M4698" s="2">
        <v>2.8</v>
      </c>
      <c r="N4698">
        <v>3.01</v>
      </c>
      <c r="O4698">
        <v>0</v>
      </c>
      <c r="P4698">
        <v>1</v>
      </c>
      <c r="Q4698" s="4" t="str">
        <f t="shared" si="637"/>
        <v>2016/2017-Ganjil</v>
      </c>
      <c r="R4698" s="8" t="s">
        <v>260</v>
      </c>
      <c r="S4698" t="str">
        <f t="shared" si="635"/>
        <v>PA</v>
      </c>
    </row>
    <row r="4699" spans="1:19" x14ac:dyDescent="0.3">
      <c r="A4699" t="s">
        <v>8</v>
      </c>
      <c r="B4699">
        <v>2016210044</v>
      </c>
      <c r="C4699" t="s">
        <v>178</v>
      </c>
      <c r="E4699" t="s">
        <v>107</v>
      </c>
      <c r="F4699" t="s">
        <v>108</v>
      </c>
      <c r="G4699">
        <v>2</v>
      </c>
      <c r="H4699" t="s">
        <v>524</v>
      </c>
      <c r="I4699" s="4">
        <v>3</v>
      </c>
      <c r="J4699">
        <v>12</v>
      </c>
      <c r="K4699">
        <v>44</v>
      </c>
      <c r="L4699">
        <v>18</v>
      </c>
      <c r="M4699" s="2">
        <v>2.44</v>
      </c>
      <c r="N4699">
        <v>3.01</v>
      </c>
      <c r="O4699">
        <v>0</v>
      </c>
      <c r="P4699">
        <v>6</v>
      </c>
      <c r="Q4699" s="4" t="str">
        <f t="shared" si="637"/>
        <v>2018/2019-Genap</v>
      </c>
      <c r="R4699" s="8" t="s">
        <v>260</v>
      </c>
      <c r="S4699" t="str">
        <f t="shared" si="635"/>
        <v>PA</v>
      </c>
    </row>
    <row r="4700" spans="1:19" x14ac:dyDescent="0.3">
      <c r="A4700" t="s">
        <v>8</v>
      </c>
      <c r="B4700">
        <v>2016210044</v>
      </c>
      <c r="C4700" t="s">
        <v>178</v>
      </c>
      <c r="E4700" t="s">
        <v>115</v>
      </c>
      <c r="F4700" t="s">
        <v>116</v>
      </c>
      <c r="G4700">
        <v>4</v>
      </c>
      <c r="H4700" t="s">
        <v>524</v>
      </c>
      <c r="I4700" s="4">
        <v>3</v>
      </c>
      <c r="J4700">
        <v>12</v>
      </c>
      <c r="K4700">
        <v>42</v>
      </c>
      <c r="L4700">
        <v>16</v>
      </c>
      <c r="M4700">
        <v>2.63</v>
      </c>
      <c r="N4700">
        <v>3.01</v>
      </c>
      <c r="O4700">
        <v>0</v>
      </c>
      <c r="P4700">
        <v>2</v>
      </c>
      <c r="Q4700" s="4" t="str">
        <f t="shared" si="637"/>
        <v>2016/2017-Genap</v>
      </c>
      <c r="R4700" s="8" t="s">
        <v>260</v>
      </c>
      <c r="S4700" t="str">
        <f t="shared" si="635"/>
        <v>PA</v>
      </c>
    </row>
    <row r="4701" spans="1:19" x14ac:dyDescent="0.3">
      <c r="A4701" t="s">
        <v>8</v>
      </c>
      <c r="B4701">
        <v>2016210044</v>
      </c>
      <c r="C4701" t="s">
        <v>178</v>
      </c>
      <c r="E4701" t="s">
        <v>115</v>
      </c>
      <c r="F4701" t="s">
        <v>116</v>
      </c>
      <c r="G4701">
        <v>4</v>
      </c>
      <c r="H4701" t="s">
        <v>438</v>
      </c>
      <c r="I4701" s="4">
        <v>3</v>
      </c>
      <c r="J4701">
        <v>12</v>
      </c>
      <c r="K4701">
        <v>74</v>
      </c>
      <c r="L4701">
        <v>22</v>
      </c>
      <c r="M4701">
        <v>3.36</v>
      </c>
      <c r="N4701">
        <v>3.01</v>
      </c>
      <c r="O4701">
        <v>1</v>
      </c>
      <c r="P4701">
        <v>10</v>
      </c>
      <c r="Q4701" t="s">
        <v>580</v>
      </c>
      <c r="R4701" t="s">
        <v>596</v>
      </c>
      <c r="S4701" t="str">
        <f t="shared" si="635"/>
        <v>PA</v>
      </c>
    </row>
    <row r="4702" spans="1:19" x14ac:dyDescent="0.3">
      <c r="A4702" t="s">
        <v>8</v>
      </c>
      <c r="B4702">
        <v>2016210044</v>
      </c>
      <c r="C4702" t="s">
        <v>178</v>
      </c>
      <c r="E4702" t="s">
        <v>185</v>
      </c>
      <c r="F4702" t="s">
        <v>186</v>
      </c>
      <c r="G4702">
        <v>4</v>
      </c>
      <c r="H4702" t="s">
        <v>524</v>
      </c>
      <c r="I4702" s="4">
        <v>3</v>
      </c>
      <c r="J4702">
        <v>12</v>
      </c>
      <c r="K4702">
        <v>48</v>
      </c>
      <c r="L4702">
        <v>18</v>
      </c>
      <c r="M4702" s="2">
        <v>2.67</v>
      </c>
      <c r="N4702">
        <v>3.01</v>
      </c>
      <c r="O4702">
        <v>0</v>
      </c>
      <c r="P4702">
        <v>7</v>
      </c>
      <c r="Q4702" s="4" t="str">
        <f t="shared" ref="Q4702:Q4748" si="638">IF(P4702=1,"2016/2017-Ganjil",IF(P4702=2,"2016/2017-Genap",IF(P4702=3,"2017/2018-Ganjil",IF(P4702=4,"2017/2018-Genap",IF(P4702=5,"2018/2019-Ganjil",IF(P4702=6,"2018/2019-Genap",IF(P4702=7,"2019/2020-Ganjil",IF(P4702=8,"2019/2020-Genap",IF(P4702=9,"2020/2021-Ganjil",IF(P4702=10,"2020/2021-Genap",IF(P4702=11,"2021/2022-Ganjil",IF(P4702=12,"2021/2022-Genap",IF(P4702=13,"2022/2023-Ganjil","2022/2023-Genap")))))))))))))</f>
        <v>2019/2020-Ganjil</v>
      </c>
      <c r="R4702" s="8" t="s">
        <v>260</v>
      </c>
      <c r="S4702" t="str">
        <f t="shared" si="635"/>
        <v>PA</v>
      </c>
    </row>
    <row r="4703" spans="1:19" x14ac:dyDescent="0.3">
      <c r="A4703" t="s">
        <v>8</v>
      </c>
      <c r="B4703">
        <v>2016210044</v>
      </c>
      <c r="C4703" t="s">
        <v>178</v>
      </c>
      <c r="E4703" t="s">
        <v>222</v>
      </c>
      <c r="F4703" t="s">
        <v>223</v>
      </c>
      <c r="G4703">
        <v>2</v>
      </c>
      <c r="H4703" t="s">
        <v>524</v>
      </c>
      <c r="I4703" s="4">
        <v>3</v>
      </c>
      <c r="J4703">
        <v>12</v>
      </c>
      <c r="K4703">
        <v>38</v>
      </c>
      <c r="L4703">
        <v>14</v>
      </c>
      <c r="M4703" s="2">
        <v>2.71</v>
      </c>
      <c r="N4703">
        <v>3.01</v>
      </c>
      <c r="O4703">
        <v>0</v>
      </c>
      <c r="P4703">
        <v>8</v>
      </c>
      <c r="Q4703" s="4" t="str">
        <f t="shared" si="638"/>
        <v>2019/2020-Genap</v>
      </c>
      <c r="R4703" s="8" t="s">
        <v>260</v>
      </c>
      <c r="S4703" t="str">
        <f t="shared" si="635"/>
        <v>PA</v>
      </c>
    </row>
    <row r="4704" spans="1:19" x14ac:dyDescent="0.3">
      <c r="A4704" t="s">
        <v>8</v>
      </c>
      <c r="B4704">
        <v>2016210044</v>
      </c>
      <c r="C4704" t="s">
        <v>178</v>
      </c>
      <c r="E4704" t="s">
        <v>105</v>
      </c>
      <c r="F4704" t="s">
        <v>106</v>
      </c>
      <c r="G4704">
        <v>2</v>
      </c>
      <c r="H4704" t="s">
        <v>524</v>
      </c>
      <c r="I4704" s="4">
        <v>3</v>
      </c>
      <c r="J4704">
        <v>12</v>
      </c>
      <c r="K4704">
        <v>40</v>
      </c>
      <c r="L4704">
        <v>18</v>
      </c>
      <c r="M4704">
        <v>2.2200000000000002</v>
      </c>
      <c r="N4704">
        <v>3.01</v>
      </c>
      <c r="O4704">
        <v>0</v>
      </c>
      <c r="P4704">
        <v>3</v>
      </c>
      <c r="Q4704" s="4" t="str">
        <f t="shared" si="638"/>
        <v>2017/2018-Ganjil</v>
      </c>
      <c r="R4704" s="8" t="s">
        <v>260</v>
      </c>
      <c r="S4704" t="str">
        <f t="shared" si="635"/>
        <v>PA</v>
      </c>
    </row>
    <row r="4705" spans="1:19" x14ac:dyDescent="0.3">
      <c r="A4705" t="s">
        <v>8</v>
      </c>
      <c r="B4705">
        <v>2016210044</v>
      </c>
      <c r="C4705" t="s">
        <v>178</v>
      </c>
      <c r="E4705" t="s">
        <v>439</v>
      </c>
      <c r="F4705" t="s">
        <v>504</v>
      </c>
      <c r="G4705">
        <v>2</v>
      </c>
      <c r="H4705" t="s">
        <v>524</v>
      </c>
      <c r="I4705" s="4">
        <v>3</v>
      </c>
      <c r="J4705">
        <v>12</v>
      </c>
      <c r="K4705">
        <v>38</v>
      </c>
      <c r="L4705">
        <v>14</v>
      </c>
      <c r="M4705" s="2">
        <v>2.71</v>
      </c>
      <c r="N4705">
        <v>3.01</v>
      </c>
      <c r="O4705">
        <v>0</v>
      </c>
      <c r="P4705">
        <v>8</v>
      </c>
      <c r="Q4705" s="4" t="str">
        <f t="shared" si="638"/>
        <v>2019/2020-Genap</v>
      </c>
      <c r="R4705" s="8" t="s">
        <v>260</v>
      </c>
      <c r="S4705" t="str">
        <f t="shared" si="635"/>
        <v>PA</v>
      </c>
    </row>
    <row r="4706" spans="1:19" x14ac:dyDescent="0.3">
      <c r="A4706" t="s">
        <v>8</v>
      </c>
      <c r="B4706">
        <v>2016210044</v>
      </c>
      <c r="C4706" t="s">
        <v>178</v>
      </c>
      <c r="E4706" t="s">
        <v>80</v>
      </c>
      <c r="F4706" t="s">
        <v>81</v>
      </c>
      <c r="G4706">
        <v>4</v>
      </c>
      <c r="H4706" t="s">
        <v>535</v>
      </c>
      <c r="I4706" s="4">
        <v>3</v>
      </c>
      <c r="J4706">
        <v>12</v>
      </c>
      <c r="K4706">
        <v>44</v>
      </c>
      <c r="L4706">
        <v>18</v>
      </c>
      <c r="M4706">
        <v>2.44</v>
      </c>
      <c r="N4706">
        <v>3.01</v>
      </c>
      <c r="O4706">
        <v>0</v>
      </c>
      <c r="P4706">
        <v>6</v>
      </c>
      <c r="Q4706" s="4" t="str">
        <f t="shared" si="638"/>
        <v>2018/2019-Genap</v>
      </c>
      <c r="R4706" s="8" t="s">
        <v>260</v>
      </c>
      <c r="S4706" t="str">
        <f t="shared" si="635"/>
        <v>FA</v>
      </c>
    </row>
    <row r="4707" spans="1:19" x14ac:dyDescent="0.3">
      <c r="A4707" t="s">
        <v>8</v>
      </c>
      <c r="B4707">
        <v>2016210044</v>
      </c>
      <c r="C4707" t="s">
        <v>178</v>
      </c>
      <c r="E4707" t="s">
        <v>80</v>
      </c>
      <c r="F4707" t="s">
        <v>81</v>
      </c>
      <c r="G4707">
        <v>4</v>
      </c>
      <c r="H4707" t="s">
        <v>438</v>
      </c>
      <c r="I4707" s="4">
        <v>3</v>
      </c>
      <c r="J4707">
        <v>12</v>
      </c>
      <c r="K4707">
        <v>38</v>
      </c>
      <c r="L4707">
        <v>14</v>
      </c>
      <c r="M4707">
        <v>2.71</v>
      </c>
      <c r="N4707">
        <v>3.01</v>
      </c>
      <c r="O4707">
        <v>1</v>
      </c>
      <c r="P4707">
        <v>8</v>
      </c>
      <c r="Q4707" s="4" t="str">
        <f t="shared" si="638"/>
        <v>2019/2020-Genap</v>
      </c>
      <c r="R4707" s="8" t="s">
        <v>260</v>
      </c>
      <c r="S4707" t="str">
        <f t="shared" si="635"/>
        <v>PA</v>
      </c>
    </row>
    <row r="4708" spans="1:19" x14ac:dyDescent="0.3">
      <c r="A4708" t="s">
        <v>8</v>
      </c>
      <c r="B4708">
        <v>2016210044</v>
      </c>
      <c r="C4708" t="s">
        <v>178</v>
      </c>
      <c r="E4708" t="s">
        <v>44</v>
      </c>
      <c r="F4708" t="s">
        <v>45</v>
      </c>
      <c r="G4708">
        <v>2</v>
      </c>
      <c r="H4708" t="s">
        <v>535</v>
      </c>
      <c r="I4708" s="4">
        <v>3</v>
      </c>
      <c r="J4708">
        <v>12</v>
      </c>
      <c r="K4708">
        <v>42</v>
      </c>
      <c r="L4708">
        <v>16</v>
      </c>
      <c r="M4708">
        <v>2.63</v>
      </c>
      <c r="N4708">
        <v>3.01</v>
      </c>
      <c r="O4708">
        <v>0</v>
      </c>
      <c r="P4708">
        <v>2</v>
      </c>
      <c r="Q4708" s="4" t="str">
        <f t="shared" si="638"/>
        <v>2016/2017-Genap</v>
      </c>
      <c r="R4708" s="8" t="s">
        <v>260</v>
      </c>
      <c r="S4708" t="str">
        <f t="shared" si="635"/>
        <v>FA</v>
      </c>
    </row>
    <row r="4709" spans="1:19" x14ac:dyDescent="0.3">
      <c r="A4709" t="s">
        <v>8</v>
      </c>
      <c r="B4709">
        <v>2016210044</v>
      </c>
      <c r="C4709" t="s">
        <v>178</v>
      </c>
      <c r="E4709" t="s">
        <v>44</v>
      </c>
      <c r="F4709" t="s">
        <v>45</v>
      </c>
      <c r="G4709">
        <v>2</v>
      </c>
      <c r="H4709" t="s">
        <v>438</v>
      </c>
      <c r="I4709" s="4">
        <v>3</v>
      </c>
      <c r="J4709">
        <v>12</v>
      </c>
      <c r="K4709">
        <v>38</v>
      </c>
      <c r="L4709">
        <v>14</v>
      </c>
      <c r="M4709">
        <v>2.71</v>
      </c>
      <c r="N4709">
        <v>3.01</v>
      </c>
      <c r="O4709">
        <v>1</v>
      </c>
      <c r="P4709">
        <v>8</v>
      </c>
      <c r="Q4709" s="4" t="str">
        <f t="shared" si="638"/>
        <v>2019/2020-Genap</v>
      </c>
      <c r="R4709" s="8" t="s">
        <v>260</v>
      </c>
      <c r="S4709" t="str">
        <f t="shared" si="635"/>
        <v>PA</v>
      </c>
    </row>
    <row r="4710" spans="1:19" x14ac:dyDescent="0.3">
      <c r="A4710" t="s">
        <v>8</v>
      </c>
      <c r="B4710">
        <v>2016210044</v>
      </c>
      <c r="C4710" t="s">
        <v>178</v>
      </c>
      <c r="E4710" t="s">
        <v>401</v>
      </c>
      <c r="F4710" t="s">
        <v>258</v>
      </c>
      <c r="G4710">
        <v>4</v>
      </c>
      <c r="H4710" t="s">
        <v>535</v>
      </c>
      <c r="I4710" s="4">
        <v>3</v>
      </c>
      <c r="J4710">
        <v>12</v>
      </c>
      <c r="K4710">
        <v>40</v>
      </c>
      <c r="L4710">
        <v>18</v>
      </c>
      <c r="M4710">
        <v>2.2200000000000002</v>
      </c>
      <c r="N4710">
        <v>3.01</v>
      </c>
      <c r="O4710">
        <v>0</v>
      </c>
      <c r="P4710">
        <v>3</v>
      </c>
      <c r="Q4710" s="4" t="str">
        <f t="shared" si="638"/>
        <v>2017/2018-Ganjil</v>
      </c>
      <c r="R4710" s="8" t="s">
        <v>260</v>
      </c>
      <c r="S4710" t="str">
        <f t="shared" si="635"/>
        <v>FA</v>
      </c>
    </row>
    <row r="4711" spans="1:19" x14ac:dyDescent="0.3">
      <c r="A4711" t="s">
        <v>8</v>
      </c>
      <c r="B4711">
        <v>2016210044</v>
      </c>
      <c r="C4711" t="s">
        <v>178</v>
      </c>
      <c r="E4711" t="s">
        <v>401</v>
      </c>
      <c r="F4711" t="s">
        <v>258</v>
      </c>
      <c r="G4711">
        <v>4</v>
      </c>
      <c r="H4711" t="s">
        <v>524</v>
      </c>
      <c r="I4711" s="4">
        <v>3</v>
      </c>
      <c r="J4711">
        <v>12</v>
      </c>
      <c r="K4711">
        <v>48</v>
      </c>
      <c r="L4711">
        <v>18</v>
      </c>
      <c r="M4711">
        <v>2.67</v>
      </c>
      <c r="N4711">
        <v>3.01</v>
      </c>
      <c r="O4711">
        <v>1</v>
      </c>
      <c r="P4711">
        <v>7</v>
      </c>
      <c r="Q4711" s="4" t="str">
        <f t="shared" si="638"/>
        <v>2019/2020-Ganjil</v>
      </c>
      <c r="R4711" s="8" t="s">
        <v>260</v>
      </c>
      <c r="S4711" t="str">
        <f t="shared" si="635"/>
        <v>PA</v>
      </c>
    </row>
    <row r="4712" spans="1:19" x14ac:dyDescent="0.3">
      <c r="A4712" t="s">
        <v>8</v>
      </c>
      <c r="B4712">
        <v>2016210045</v>
      </c>
      <c r="C4712" t="s">
        <v>86</v>
      </c>
      <c r="E4712" t="s">
        <v>87</v>
      </c>
      <c r="F4712" t="s">
        <v>88</v>
      </c>
      <c r="G4712">
        <v>2</v>
      </c>
      <c r="I4712" s="4"/>
      <c r="J4712">
        <f t="shared" ref="J4712:J4757" si="639">G4712*I4712</f>
        <v>0</v>
      </c>
      <c r="K4712">
        <v>14</v>
      </c>
      <c r="L4712">
        <v>6</v>
      </c>
      <c r="M4712">
        <v>2.33</v>
      </c>
      <c r="N4712" s="2">
        <v>1.97</v>
      </c>
      <c r="O4712">
        <v>0</v>
      </c>
      <c r="P4712">
        <v>6</v>
      </c>
      <c r="Q4712" s="4" t="str">
        <f t="shared" si="638"/>
        <v>2018/2019-Genap</v>
      </c>
      <c r="R4712" s="8" t="s">
        <v>535</v>
      </c>
      <c r="S4712" t="s">
        <v>595</v>
      </c>
    </row>
    <row r="4713" spans="1:19" x14ac:dyDescent="0.3">
      <c r="A4713" t="s">
        <v>8</v>
      </c>
      <c r="B4713">
        <v>2016210045</v>
      </c>
      <c r="C4713" t="s">
        <v>86</v>
      </c>
      <c r="E4713" t="s">
        <v>119</v>
      </c>
      <c r="F4713" t="s">
        <v>120</v>
      </c>
      <c r="G4713">
        <v>2</v>
      </c>
      <c r="I4713" s="4"/>
      <c r="J4713">
        <f t="shared" si="639"/>
        <v>0</v>
      </c>
      <c r="K4713">
        <v>14</v>
      </c>
      <c r="L4713">
        <v>6</v>
      </c>
      <c r="M4713">
        <v>2.33</v>
      </c>
      <c r="N4713" s="2">
        <v>1.97</v>
      </c>
      <c r="O4713">
        <v>0</v>
      </c>
      <c r="P4713">
        <v>6</v>
      </c>
      <c r="Q4713" s="4" t="str">
        <f t="shared" si="638"/>
        <v>2018/2019-Genap</v>
      </c>
      <c r="R4713" s="8" t="s">
        <v>535</v>
      </c>
      <c r="S4713" t="s">
        <v>595</v>
      </c>
    </row>
    <row r="4714" spans="1:19" x14ac:dyDescent="0.3">
      <c r="A4714" t="s">
        <v>8</v>
      </c>
      <c r="B4714">
        <v>2016210045</v>
      </c>
      <c r="C4714" t="s">
        <v>86</v>
      </c>
      <c r="E4714" t="s">
        <v>180</v>
      </c>
      <c r="F4714" t="s">
        <v>181</v>
      </c>
      <c r="G4714">
        <v>4</v>
      </c>
      <c r="I4714" s="4"/>
      <c r="J4714">
        <f t="shared" ref="J4714" si="640">G4714*I4714</f>
        <v>0</v>
      </c>
      <c r="K4714">
        <v>14</v>
      </c>
      <c r="L4714">
        <v>6</v>
      </c>
      <c r="M4714" s="2">
        <v>2.33</v>
      </c>
      <c r="N4714" s="2">
        <v>1.97</v>
      </c>
      <c r="O4714">
        <v>1</v>
      </c>
      <c r="P4714">
        <v>6</v>
      </c>
      <c r="Q4714" s="4" t="str">
        <f>IF(P4714=1,"2016/2017-Ganjil",IF(P4714=2,"2016/2017-Genap",IF(P4714=3,"2017/2018-Ganjil",IF(P4714=4,"2017/2018-Genap",IF(P4714=5,"2018/2019-Ganjil",IF(P4714=6,"2018/2019-Genap",IF(P4714=7,"2019/2020-Ganjil",IF(P4714=8,"2019/2020-Genap",IF(P4714=9,"2020/2021-Ganjil",IF(P4714=10,"2020/2021-Genap",IF(P4714=11,"2021/2022-Ganjil",IF(P4714=12,"2021/2022-Genap",IF(P4714=13,"2022/2023-Ganjil","2022/2023-Genap")))))))))))))</f>
        <v>2018/2019-Genap</v>
      </c>
      <c r="R4714" s="8" t="s">
        <v>535</v>
      </c>
      <c r="S4714" t="s">
        <v>595</v>
      </c>
    </row>
    <row r="4715" spans="1:19" x14ac:dyDescent="0.3">
      <c r="A4715" t="s">
        <v>8</v>
      </c>
      <c r="B4715">
        <v>2016210045</v>
      </c>
      <c r="C4715" t="s">
        <v>86</v>
      </c>
      <c r="E4715" t="s">
        <v>180</v>
      </c>
      <c r="F4715" t="s">
        <v>181</v>
      </c>
      <c r="G4715">
        <v>4</v>
      </c>
      <c r="I4715" s="4"/>
      <c r="J4715">
        <f t="shared" si="639"/>
        <v>0</v>
      </c>
      <c r="K4715">
        <v>0</v>
      </c>
      <c r="L4715">
        <v>10</v>
      </c>
      <c r="M4715" s="2">
        <v>0</v>
      </c>
      <c r="N4715" s="2">
        <v>1.97</v>
      </c>
      <c r="O4715">
        <v>0</v>
      </c>
      <c r="P4715">
        <v>4</v>
      </c>
      <c r="Q4715" s="4" t="str">
        <f>IF(P4715=1,"2016/2017-Ganjil",IF(P4715=2,"2016/2017-Genap",IF(P4715=3,"2017/2018-Ganjil",IF(P4715=4,"2017/2018-Genap",IF(P4715=5,"2018/2019-Ganjil",IF(P4715=6,"2018/2019-Genap",IF(P4715=7,"2019/2020-Ganjil",IF(P4715=8,"2019/2020-Genap",IF(P4715=9,"2020/2021-Ganjil",IF(P4715=10,"2020/2021-Genap",IF(P4715=11,"2021/2022-Ganjil",IF(P4715=12,"2021/2022-Genap",IF(P4715=13,"2022/2023-Ganjil","2022/2023-Genap")))))))))))))</f>
        <v>2017/2018-Genap</v>
      </c>
      <c r="R4715" s="8" t="s">
        <v>260</v>
      </c>
      <c r="S4715" t="s">
        <v>595</v>
      </c>
    </row>
    <row r="4716" spans="1:19" x14ac:dyDescent="0.3">
      <c r="A4716" t="s">
        <v>8</v>
      </c>
      <c r="B4716">
        <v>2016210045</v>
      </c>
      <c r="C4716" t="s">
        <v>86</v>
      </c>
      <c r="E4716" t="s">
        <v>188</v>
      </c>
      <c r="F4716" t="s">
        <v>189</v>
      </c>
      <c r="G4716">
        <v>4</v>
      </c>
      <c r="I4716" s="4"/>
      <c r="J4716">
        <f t="shared" si="639"/>
        <v>0</v>
      </c>
      <c r="K4716">
        <v>0</v>
      </c>
      <c r="L4716">
        <v>4</v>
      </c>
      <c r="M4716" s="2">
        <v>0</v>
      </c>
      <c r="N4716" s="2">
        <v>1.97</v>
      </c>
      <c r="O4716">
        <v>0</v>
      </c>
      <c r="P4716">
        <v>5</v>
      </c>
      <c r="Q4716" s="4" t="str">
        <f t="shared" si="638"/>
        <v>2018/2019-Ganjil</v>
      </c>
      <c r="R4716" s="8" t="s">
        <v>260</v>
      </c>
      <c r="S4716" t="s">
        <v>595</v>
      </c>
    </row>
    <row r="4717" spans="1:19" x14ac:dyDescent="0.3">
      <c r="A4717" t="s">
        <v>8</v>
      </c>
      <c r="B4717">
        <v>2016210045</v>
      </c>
      <c r="C4717" t="s">
        <v>86</v>
      </c>
      <c r="E4717" t="s">
        <v>213</v>
      </c>
      <c r="F4717" t="s">
        <v>214</v>
      </c>
      <c r="G4717">
        <v>4</v>
      </c>
      <c r="I4717" s="4"/>
      <c r="J4717">
        <f t="shared" si="639"/>
        <v>0</v>
      </c>
      <c r="K4717">
        <v>0</v>
      </c>
      <c r="L4717">
        <v>4</v>
      </c>
      <c r="M4717" s="2">
        <v>0</v>
      </c>
      <c r="N4717" s="2">
        <v>1.97</v>
      </c>
      <c r="O4717">
        <v>0</v>
      </c>
      <c r="P4717">
        <v>5</v>
      </c>
      <c r="Q4717" s="4" t="str">
        <f t="shared" si="638"/>
        <v>2018/2019-Ganjil</v>
      </c>
      <c r="R4717" s="8" t="s">
        <v>260</v>
      </c>
      <c r="S4717" t="s">
        <v>595</v>
      </c>
    </row>
    <row r="4718" spans="1:19" x14ac:dyDescent="0.3">
      <c r="A4718" t="s">
        <v>8</v>
      </c>
      <c r="B4718">
        <v>2016210045</v>
      </c>
      <c r="C4718" t="s">
        <v>86</v>
      </c>
      <c r="E4718" t="s">
        <v>110</v>
      </c>
      <c r="F4718" t="s">
        <v>111</v>
      </c>
      <c r="G4718">
        <v>4</v>
      </c>
      <c r="I4718" s="4"/>
      <c r="J4718">
        <f t="shared" si="639"/>
        <v>0</v>
      </c>
      <c r="K4718">
        <v>46</v>
      </c>
      <c r="L4718">
        <v>16</v>
      </c>
      <c r="M4718">
        <v>2.88</v>
      </c>
      <c r="N4718" s="2">
        <v>1.97</v>
      </c>
      <c r="O4718">
        <v>0</v>
      </c>
      <c r="P4718">
        <v>1</v>
      </c>
      <c r="Q4718" s="4" t="str">
        <f t="shared" si="638"/>
        <v>2016/2017-Ganjil</v>
      </c>
      <c r="R4718" s="8" t="s">
        <v>260</v>
      </c>
      <c r="S4718" t="s">
        <v>595</v>
      </c>
    </row>
    <row r="4719" spans="1:19" x14ac:dyDescent="0.3">
      <c r="A4719" t="s">
        <v>8</v>
      </c>
      <c r="B4719">
        <v>2016210045</v>
      </c>
      <c r="C4719" t="s">
        <v>86</v>
      </c>
      <c r="E4719" t="s">
        <v>216</v>
      </c>
      <c r="F4719" t="s">
        <v>217</v>
      </c>
      <c r="G4719">
        <v>2</v>
      </c>
      <c r="I4719" s="4"/>
      <c r="J4719">
        <v>0</v>
      </c>
      <c r="K4719">
        <v>14</v>
      </c>
      <c r="L4719">
        <v>6</v>
      </c>
      <c r="M4719" s="2">
        <v>2.33</v>
      </c>
      <c r="N4719" s="2">
        <v>1.97</v>
      </c>
      <c r="O4719">
        <v>1</v>
      </c>
      <c r="P4719">
        <v>6</v>
      </c>
      <c r="Q4719" s="4" t="str">
        <f>IF(P4719=1,"2016/2017-Ganjil",IF(P4719=2,"2016/2017-Genap",IF(P4719=3,"2017/2018-Ganjil",IF(P4719=4,"2017/2018-Genap",IF(P4719=5,"2018/2019-Ganjil",IF(P4719=6,"2018/2019-Genap",IF(P4719=7,"2019/2020-Ganjil",IF(P4719=8,"2019/2020-Genap",IF(P4719=9,"2020/2021-Ganjil",IF(P4719=10,"2020/2021-Genap",IF(P4719=11,"2021/2022-Ganjil",IF(P4719=12,"2021/2022-Genap",IF(P4719=13,"2022/2023-Ganjil","2022/2023-Genap")))))))))))))</f>
        <v>2018/2019-Genap</v>
      </c>
      <c r="R4719" s="8" t="s">
        <v>535</v>
      </c>
      <c r="S4719" t="s">
        <v>595</v>
      </c>
    </row>
    <row r="4720" spans="1:19" x14ac:dyDescent="0.3">
      <c r="A4720" t="s">
        <v>8</v>
      </c>
      <c r="B4720">
        <v>2016210045</v>
      </c>
      <c r="C4720" t="s">
        <v>86</v>
      </c>
      <c r="E4720" t="s">
        <v>216</v>
      </c>
      <c r="F4720" t="s">
        <v>217</v>
      </c>
      <c r="G4720">
        <v>2</v>
      </c>
      <c r="I4720" s="4"/>
      <c r="J4720">
        <v>0</v>
      </c>
      <c r="K4720">
        <v>0</v>
      </c>
      <c r="L4720">
        <v>10</v>
      </c>
      <c r="M4720" s="2">
        <v>0</v>
      </c>
      <c r="N4720" s="2">
        <v>1.97</v>
      </c>
      <c r="O4720">
        <v>0</v>
      </c>
      <c r="P4720">
        <v>4</v>
      </c>
      <c r="Q4720" s="4" t="str">
        <f>IF(P4720=1,"2016/2017-Ganjil",IF(P4720=2,"2016/2017-Genap",IF(P4720=3,"2017/2018-Ganjil",IF(P4720=4,"2017/2018-Genap",IF(P4720=5,"2018/2019-Ganjil",IF(P4720=6,"2018/2019-Genap",IF(P4720=7,"2019/2020-Ganjil",IF(P4720=8,"2019/2020-Genap",IF(P4720=9,"2020/2021-Ganjil",IF(P4720=10,"2020/2021-Genap",IF(P4720=11,"2021/2022-Ganjil",IF(P4720=12,"2021/2022-Genap",IF(P4720=13,"2022/2023-Ganjil","2022/2023-Genap")))))))))))))</f>
        <v>2017/2018-Genap</v>
      </c>
      <c r="R4720" s="8" t="s">
        <v>260</v>
      </c>
      <c r="S4720" t="s">
        <v>595</v>
      </c>
    </row>
    <row r="4721" spans="1:19" x14ac:dyDescent="0.3">
      <c r="A4721" t="s">
        <v>8</v>
      </c>
      <c r="B4721">
        <v>2016210045</v>
      </c>
      <c r="C4721" t="s">
        <v>86</v>
      </c>
      <c r="E4721" t="s">
        <v>131</v>
      </c>
      <c r="F4721" t="s">
        <v>132</v>
      </c>
      <c r="G4721">
        <v>2</v>
      </c>
      <c r="H4721" t="s">
        <v>260</v>
      </c>
      <c r="I4721" s="4">
        <f t="shared" ref="I4721:I4754" si="641">IF(H4721="A",4,IF(H4721="B",3,IF(H4721="C",2,IF(H4721="D",1,0))))</f>
        <v>4</v>
      </c>
      <c r="J4721">
        <f t="shared" si="639"/>
        <v>8</v>
      </c>
      <c r="K4721">
        <v>46</v>
      </c>
      <c r="L4721">
        <v>16</v>
      </c>
      <c r="M4721">
        <v>2.88</v>
      </c>
      <c r="N4721" s="2">
        <v>1.97</v>
      </c>
      <c r="O4721">
        <v>0</v>
      </c>
      <c r="P4721">
        <v>1</v>
      </c>
      <c r="Q4721" s="4" t="str">
        <f t="shared" si="638"/>
        <v>2016/2017-Ganjil</v>
      </c>
      <c r="R4721" s="8" t="s">
        <v>260</v>
      </c>
      <c r="S4721" t="str">
        <f t="shared" ref="S4721:S4741" si="642">IF(OR(H4721="A",H4721="B",H4721="C"),"PA","FA")</f>
        <v>PA</v>
      </c>
    </row>
    <row r="4722" spans="1:19" x14ac:dyDescent="0.3">
      <c r="A4722" t="s">
        <v>8</v>
      </c>
      <c r="B4722">
        <v>2016210045</v>
      </c>
      <c r="C4722" t="s">
        <v>86</v>
      </c>
      <c r="E4722" t="s">
        <v>163</v>
      </c>
      <c r="F4722" t="s">
        <v>164</v>
      </c>
      <c r="G4722">
        <v>2</v>
      </c>
      <c r="H4722" t="s">
        <v>260</v>
      </c>
      <c r="I4722" s="4">
        <f t="shared" ref="I4722:I4741" si="643">IF(H4722="A",4,IF(H4722="B",3,IF(H4722="C",2,IF(H4722="D",1,0))))</f>
        <v>4</v>
      </c>
      <c r="J4722">
        <f t="shared" ref="J4722:J4741" si="644">G4722*I4722</f>
        <v>8</v>
      </c>
      <c r="K4722">
        <v>46</v>
      </c>
      <c r="L4722">
        <v>16</v>
      </c>
      <c r="M4722">
        <v>2.88</v>
      </c>
      <c r="N4722" s="2">
        <v>1.97</v>
      </c>
      <c r="O4722">
        <v>0</v>
      </c>
      <c r="P4722">
        <v>1</v>
      </c>
      <c r="Q4722" s="4" t="str">
        <f t="shared" si="638"/>
        <v>2016/2017-Ganjil</v>
      </c>
      <c r="R4722" s="8" t="s">
        <v>260</v>
      </c>
      <c r="S4722" t="str">
        <f t="shared" si="642"/>
        <v>PA</v>
      </c>
    </row>
    <row r="4723" spans="1:19" x14ac:dyDescent="0.3">
      <c r="A4723" t="s">
        <v>8</v>
      </c>
      <c r="B4723">
        <v>2016210045</v>
      </c>
      <c r="C4723" t="s">
        <v>86</v>
      </c>
      <c r="E4723" t="s">
        <v>22</v>
      </c>
      <c r="F4723" t="s">
        <v>23</v>
      </c>
      <c r="G4723">
        <v>2</v>
      </c>
      <c r="H4723" t="s">
        <v>438</v>
      </c>
      <c r="I4723" s="4">
        <f t="shared" si="643"/>
        <v>3</v>
      </c>
      <c r="J4723">
        <f t="shared" si="644"/>
        <v>6</v>
      </c>
      <c r="K4723">
        <v>38</v>
      </c>
      <c r="L4723">
        <v>18</v>
      </c>
      <c r="M4723">
        <v>2.11</v>
      </c>
      <c r="N4723" s="2">
        <v>1.97</v>
      </c>
      <c r="O4723">
        <v>0</v>
      </c>
      <c r="P4723">
        <v>2</v>
      </c>
      <c r="Q4723" s="4" t="str">
        <f t="shared" si="638"/>
        <v>2016/2017-Genap</v>
      </c>
      <c r="R4723" s="8" t="s">
        <v>260</v>
      </c>
      <c r="S4723" t="str">
        <f t="shared" si="642"/>
        <v>PA</v>
      </c>
    </row>
    <row r="4724" spans="1:19" x14ac:dyDescent="0.3">
      <c r="A4724" t="s">
        <v>8</v>
      </c>
      <c r="B4724">
        <v>2016210045</v>
      </c>
      <c r="C4724" t="s">
        <v>86</v>
      </c>
      <c r="E4724" t="s">
        <v>105</v>
      </c>
      <c r="F4724" t="s">
        <v>106</v>
      </c>
      <c r="G4724">
        <v>2</v>
      </c>
      <c r="H4724" t="s">
        <v>438</v>
      </c>
      <c r="I4724" s="4">
        <f t="shared" si="643"/>
        <v>3</v>
      </c>
      <c r="J4724">
        <f t="shared" si="644"/>
        <v>6</v>
      </c>
      <c r="K4724">
        <v>40</v>
      </c>
      <c r="L4724">
        <v>16</v>
      </c>
      <c r="M4724" s="2">
        <v>2.5</v>
      </c>
      <c r="N4724" s="2">
        <v>1.97</v>
      </c>
      <c r="O4724">
        <v>0</v>
      </c>
      <c r="P4724">
        <v>3</v>
      </c>
      <c r="Q4724" s="4" t="str">
        <f t="shared" si="638"/>
        <v>2017/2018-Ganjil</v>
      </c>
      <c r="R4724" s="8" t="s">
        <v>260</v>
      </c>
      <c r="S4724" t="str">
        <f t="shared" si="642"/>
        <v>PA</v>
      </c>
    </row>
    <row r="4725" spans="1:19" x14ac:dyDescent="0.3">
      <c r="A4725" t="s">
        <v>8</v>
      </c>
      <c r="B4725">
        <v>2016210045</v>
      </c>
      <c r="C4725" t="s">
        <v>86</v>
      </c>
      <c r="E4725" t="s">
        <v>93</v>
      </c>
      <c r="F4725" t="s">
        <v>94</v>
      </c>
      <c r="G4725">
        <v>4</v>
      </c>
      <c r="H4725" t="s">
        <v>438</v>
      </c>
      <c r="I4725" s="4">
        <f t="shared" si="643"/>
        <v>3</v>
      </c>
      <c r="J4725">
        <f t="shared" si="644"/>
        <v>12</v>
      </c>
      <c r="K4725">
        <v>40</v>
      </c>
      <c r="L4725">
        <v>16</v>
      </c>
      <c r="M4725" s="2">
        <v>2.5</v>
      </c>
      <c r="N4725" s="2">
        <v>1.97</v>
      </c>
      <c r="O4725">
        <v>0</v>
      </c>
      <c r="P4725">
        <v>3</v>
      </c>
      <c r="Q4725" s="4" t="str">
        <f t="shared" si="638"/>
        <v>2017/2018-Ganjil</v>
      </c>
      <c r="R4725" s="8" t="s">
        <v>260</v>
      </c>
      <c r="S4725" t="str">
        <f t="shared" si="642"/>
        <v>PA</v>
      </c>
    </row>
    <row r="4726" spans="1:19" x14ac:dyDescent="0.3">
      <c r="A4726" t="s">
        <v>8</v>
      </c>
      <c r="B4726">
        <v>2016210045</v>
      </c>
      <c r="C4726" t="s">
        <v>86</v>
      </c>
      <c r="E4726" t="s">
        <v>202</v>
      </c>
      <c r="F4726" t="s">
        <v>203</v>
      </c>
      <c r="G4726">
        <v>4</v>
      </c>
      <c r="H4726" t="s">
        <v>438</v>
      </c>
      <c r="I4726" s="4">
        <f t="shared" si="643"/>
        <v>3</v>
      </c>
      <c r="J4726">
        <f t="shared" si="644"/>
        <v>12</v>
      </c>
      <c r="K4726">
        <v>46</v>
      </c>
      <c r="L4726">
        <v>16</v>
      </c>
      <c r="M4726">
        <v>2.88</v>
      </c>
      <c r="N4726" s="2">
        <v>1.97</v>
      </c>
      <c r="O4726">
        <v>0</v>
      </c>
      <c r="P4726">
        <v>1</v>
      </c>
      <c r="Q4726" s="4" t="str">
        <f t="shared" si="638"/>
        <v>2016/2017-Ganjil</v>
      </c>
      <c r="R4726" s="8" t="s">
        <v>260</v>
      </c>
      <c r="S4726" t="str">
        <f t="shared" si="642"/>
        <v>PA</v>
      </c>
    </row>
    <row r="4727" spans="1:19" x14ac:dyDescent="0.3">
      <c r="A4727" t="s">
        <v>8</v>
      </c>
      <c r="B4727">
        <v>2016210045</v>
      </c>
      <c r="C4727" t="s">
        <v>86</v>
      </c>
      <c r="E4727" t="s">
        <v>147</v>
      </c>
      <c r="F4727" t="s">
        <v>148</v>
      </c>
      <c r="G4727">
        <v>4</v>
      </c>
      <c r="H4727" t="s">
        <v>438</v>
      </c>
      <c r="I4727" s="4">
        <f t="shared" si="643"/>
        <v>3</v>
      </c>
      <c r="J4727">
        <f t="shared" si="644"/>
        <v>12</v>
      </c>
      <c r="K4727">
        <v>46</v>
      </c>
      <c r="L4727">
        <v>16</v>
      </c>
      <c r="M4727">
        <v>2.88</v>
      </c>
      <c r="N4727" s="2">
        <v>1.97</v>
      </c>
      <c r="O4727">
        <v>0</v>
      </c>
      <c r="P4727">
        <v>1</v>
      </c>
      <c r="Q4727" s="4" t="str">
        <f t="shared" si="638"/>
        <v>2016/2017-Ganjil</v>
      </c>
      <c r="R4727" s="8" t="s">
        <v>260</v>
      </c>
      <c r="S4727" t="str">
        <f t="shared" si="642"/>
        <v>PA</v>
      </c>
    </row>
    <row r="4728" spans="1:19" x14ac:dyDescent="0.3">
      <c r="A4728" t="s">
        <v>8</v>
      </c>
      <c r="B4728">
        <v>2016210045</v>
      </c>
      <c r="C4728" t="s">
        <v>86</v>
      </c>
      <c r="E4728" t="s">
        <v>115</v>
      </c>
      <c r="F4728" t="s">
        <v>116</v>
      </c>
      <c r="G4728">
        <v>4</v>
      </c>
      <c r="H4728" t="s">
        <v>438</v>
      </c>
      <c r="I4728" s="4">
        <f t="shared" si="643"/>
        <v>3</v>
      </c>
      <c r="J4728">
        <f t="shared" si="644"/>
        <v>12</v>
      </c>
      <c r="K4728">
        <v>38</v>
      </c>
      <c r="L4728">
        <v>18</v>
      </c>
      <c r="M4728">
        <v>2.11</v>
      </c>
      <c r="N4728" s="2">
        <v>1.97</v>
      </c>
      <c r="O4728">
        <v>0</v>
      </c>
      <c r="P4728">
        <v>2</v>
      </c>
      <c r="Q4728" s="4" t="str">
        <f t="shared" si="638"/>
        <v>2016/2017-Genap</v>
      </c>
      <c r="R4728" s="8" t="s">
        <v>260</v>
      </c>
      <c r="S4728" t="str">
        <f t="shared" si="642"/>
        <v>PA</v>
      </c>
    </row>
    <row r="4729" spans="1:19" x14ac:dyDescent="0.3">
      <c r="A4729" t="s">
        <v>8</v>
      </c>
      <c r="B4729">
        <v>2016210045</v>
      </c>
      <c r="C4729" t="s">
        <v>86</v>
      </c>
      <c r="E4729" t="s">
        <v>279</v>
      </c>
      <c r="F4729" t="s">
        <v>280</v>
      </c>
      <c r="G4729">
        <v>2</v>
      </c>
      <c r="H4729" t="s">
        <v>438</v>
      </c>
      <c r="I4729" s="4">
        <f t="shared" si="643"/>
        <v>3</v>
      </c>
      <c r="J4729">
        <f t="shared" si="644"/>
        <v>6</v>
      </c>
      <c r="K4729">
        <v>38</v>
      </c>
      <c r="L4729">
        <v>18</v>
      </c>
      <c r="M4729">
        <v>2.11</v>
      </c>
      <c r="N4729" s="2">
        <v>1.97</v>
      </c>
      <c r="O4729">
        <v>0</v>
      </c>
      <c r="P4729">
        <v>2</v>
      </c>
      <c r="Q4729" s="4" t="str">
        <f t="shared" si="638"/>
        <v>2016/2017-Genap</v>
      </c>
      <c r="R4729" s="8" t="s">
        <v>260</v>
      </c>
      <c r="S4729" t="str">
        <f t="shared" si="642"/>
        <v>PA</v>
      </c>
    </row>
    <row r="4730" spans="1:19" x14ac:dyDescent="0.3">
      <c r="A4730" t="s">
        <v>8</v>
      </c>
      <c r="B4730">
        <v>2016210045</v>
      </c>
      <c r="C4730" t="s">
        <v>86</v>
      </c>
      <c r="E4730" t="s">
        <v>597</v>
      </c>
      <c r="F4730" t="s">
        <v>275</v>
      </c>
      <c r="G4730">
        <v>2</v>
      </c>
      <c r="H4730" t="s">
        <v>438</v>
      </c>
      <c r="I4730" s="4">
        <f t="shared" si="643"/>
        <v>3</v>
      </c>
      <c r="J4730">
        <f t="shared" si="644"/>
        <v>6</v>
      </c>
      <c r="K4730">
        <v>14</v>
      </c>
      <c r="L4730">
        <v>6</v>
      </c>
      <c r="M4730">
        <v>2.33</v>
      </c>
      <c r="N4730" s="2">
        <v>1.97</v>
      </c>
      <c r="O4730">
        <v>0</v>
      </c>
      <c r="P4730">
        <v>6</v>
      </c>
      <c r="Q4730" s="4" t="str">
        <f t="shared" si="638"/>
        <v>2018/2019-Genap</v>
      </c>
      <c r="R4730" s="8" t="s">
        <v>535</v>
      </c>
      <c r="S4730" t="str">
        <f t="shared" si="642"/>
        <v>PA</v>
      </c>
    </row>
    <row r="4731" spans="1:19" x14ac:dyDescent="0.3">
      <c r="A4731" t="s">
        <v>8</v>
      </c>
      <c r="B4731">
        <v>2016210045</v>
      </c>
      <c r="C4731" t="s">
        <v>86</v>
      </c>
      <c r="E4731" t="s">
        <v>295</v>
      </c>
      <c r="F4731" t="s">
        <v>296</v>
      </c>
      <c r="G4731">
        <v>2</v>
      </c>
      <c r="H4731" t="s">
        <v>438</v>
      </c>
      <c r="I4731" s="4">
        <f t="shared" si="643"/>
        <v>3</v>
      </c>
      <c r="J4731">
        <f t="shared" si="644"/>
        <v>6</v>
      </c>
      <c r="K4731">
        <v>40</v>
      </c>
      <c r="L4731">
        <v>16</v>
      </c>
      <c r="M4731" s="2">
        <v>2.5</v>
      </c>
      <c r="N4731" s="2">
        <v>1.97</v>
      </c>
      <c r="O4731">
        <v>0</v>
      </c>
      <c r="P4731">
        <v>3</v>
      </c>
      <c r="Q4731" s="4" t="str">
        <f t="shared" si="638"/>
        <v>2017/2018-Ganjil</v>
      </c>
      <c r="R4731" s="8" t="s">
        <v>260</v>
      </c>
      <c r="S4731" t="str">
        <f t="shared" si="642"/>
        <v>PA</v>
      </c>
    </row>
    <row r="4732" spans="1:19" x14ac:dyDescent="0.3">
      <c r="A4732" t="s">
        <v>8</v>
      </c>
      <c r="B4732">
        <v>2016210045</v>
      </c>
      <c r="C4732" t="s">
        <v>86</v>
      </c>
      <c r="E4732" t="s">
        <v>117</v>
      </c>
      <c r="F4732" t="s">
        <v>118</v>
      </c>
      <c r="G4732">
        <v>2</v>
      </c>
      <c r="H4732" t="s">
        <v>438</v>
      </c>
      <c r="I4732" s="4">
        <f t="shared" si="643"/>
        <v>3</v>
      </c>
      <c r="J4732">
        <f t="shared" si="644"/>
        <v>6</v>
      </c>
      <c r="K4732">
        <v>38</v>
      </c>
      <c r="L4732">
        <v>18</v>
      </c>
      <c r="M4732">
        <v>2.11</v>
      </c>
      <c r="N4732" s="2">
        <v>1.97</v>
      </c>
      <c r="O4732">
        <v>0</v>
      </c>
      <c r="P4732">
        <v>2</v>
      </c>
      <c r="Q4732" s="4" t="str">
        <f t="shared" si="638"/>
        <v>2016/2017-Genap</v>
      </c>
      <c r="R4732" s="8" t="s">
        <v>260</v>
      </c>
      <c r="S4732" t="str">
        <f t="shared" si="642"/>
        <v>PA</v>
      </c>
    </row>
    <row r="4733" spans="1:19" x14ac:dyDescent="0.3">
      <c r="A4733" t="s">
        <v>8</v>
      </c>
      <c r="B4733">
        <v>2016210045</v>
      </c>
      <c r="C4733" t="s">
        <v>86</v>
      </c>
      <c r="E4733" t="s">
        <v>227</v>
      </c>
      <c r="F4733" t="s">
        <v>228</v>
      </c>
      <c r="G4733">
        <v>2</v>
      </c>
      <c r="H4733" t="s">
        <v>524</v>
      </c>
      <c r="I4733" s="4">
        <f t="shared" si="643"/>
        <v>2</v>
      </c>
      <c r="J4733">
        <f t="shared" si="644"/>
        <v>4</v>
      </c>
      <c r="K4733">
        <v>40</v>
      </c>
      <c r="L4733">
        <v>16</v>
      </c>
      <c r="M4733" s="2">
        <v>2.5</v>
      </c>
      <c r="N4733" s="2">
        <v>1.97</v>
      </c>
      <c r="O4733">
        <v>0</v>
      </c>
      <c r="P4733">
        <v>3</v>
      </c>
      <c r="Q4733" s="4" t="str">
        <f t="shared" si="638"/>
        <v>2017/2018-Ganjil</v>
      </c>
      <c r="R4733" s="8" t="s">
        <v>260</v>
      </c>
      <c r="S4733" t="str">
        <f t="shared" si="642"/>
        <v>PA</v>
      </c>
    </row>
    <row r="4734" spans="1:19" x14ac:dyDescent="0.3">
      <c r="A4734" t="s">
        <v>8</v>
      </c>
      <c r="B4734">
        <v>2016210045</v>
      </c>
      <c r="C4734" t="s">
        <v>86</v>
      </c>
      <c r="E4734" t="s">
        <v>136</v>
      </c>
      <c r="F4734" t="s">
        <v>137</v>
      </c>
      <c r="G4734">
        <v>4</v>
      </c>
      <c r="H4734" t="s">
        <v>524</v>
      </c>
      <c r="I4734" s="4">
        <f t="shared" si="643"/>
        <v>2</v>
      </c>
      <c r="J4734">
        <f t="shared" si="644"/>
        <v>8</v>
      </c>
      <c r="K4734">
        <v>14</v>
      </c>
      <c r="L4734">
        <v>6</v>
      </c>
      <c r="M4734">
        <v>2.33</v>
      </c>
      <c r="N4734" s="2">
        <v>1.97</v>
      </c>
      <c r="O4734">
        <v>0</v>
      </c>
      <c r="P4734">
        <v>6</v>
      </c>
      <c r="Q4734" s="4" t="str">
        <f t="shared" si="638"/>
        <v>2018/2019-Genap</v>
      </c>
      <c r="R4734" s="8" t="s">
        <v>535</v>
      </c>
      <c r="S4734" t="str">
        <f t="shared" si="642"/>
        <v>PA</v>
      </c>
    </row>
    <row r="4735" spans="1:19" x14ac:dyDescent="0.3">
      <c r="A4735" t="s">
        <v>8</v>
      </c>
      <c r="B4735">
        <v>2016210045</v>
      </c>
      <c r="C4735" t="s">
        <v>86</v>
      </c>
      <c r="E4735" t="s">
        <v>157</v>
      </c>
      <c r="F4735" t="s">
        <v>158</v>
      </c>
      <c r="G4735">
        <v>2</v>
      </c>
      <c r="H4735" t="s">
        <v>524</v>
      </c>
      <c r="I4735" s="4">
        <f t="shared" si="643"/>
        <v>2</v>
      </c>
      <c r="J4735">
        <f t="shared" si="644"/>
        <v>4</v>
      </c>
      <c r="K4735">
        <v>40</v>
      </c>
      <c r="L4735">
        <v>16</v>
      </c>
      <c r="M4735" s="2">
        <v>2.5</v>
      </c>
      <c r="N4735" s="2">
        <v>1.97</v>
      </c>
      <c r="O4735">
        <v>0</v>
      </c>
      <c r="P4735">
        <v>3</v>
      </c>
      <c r="Q4735" s="4" t="str">
        <f t="shared" si="638"/>
        <v>2017/2018-Ganjil</v>
      </c>
      <c r="R4735" s="8" t="s">
        <v>260</v>
      </c>
      <c r="S4735" t="str">
        <f t="shared" si="642"/>
        <v>PA</v>
      </c>
    </row>
    <row r="4736" spans="1:19" x14ac:dyDescent="0.3">
      <c r="A4736" t="s">
        <v>8</v>
      </c>
      <c r="B4736">
        <v>2016210045</v>
      </c>
      <c r="C4736" t="s">
        <v>86</v>
      </c>
      <c r="E4736" t="s">
        <v>112</v>
      </c>
      <c r="F4736" t="s">
        <v>113</v>
      </c>
      <c r="G4736">
        <v>4</v>
      </c>
      <c r="H4736" t="s">
        <v>524</v>
      </c>
      <c r="I4736" s="4">
        <f t="shared" si="643"/>
        <v>2</v>
      </c>
      <c r="J4736">
        <f t="shared" si="644"/>
        <v>8</v>
      </c>
      <c r="K4736">
        <v>40</v>
      </c>
      <c r="L4736">
        <v>16</v>
      </c>
      <c r="M4736" s="2">
        <v>2.5</v>
      </c>
      <c r="N4736" s="2">
        <v>1.97</v>
      </c>
      <c r="O4736">
        <v>0</v>
      </c>
      <c r="P4736">
        <v>3</v>
      </c>
      <c r="Q4736" s="4" t="str">
        <f t="shared" si="638"/>
        <v>2017/2018-Ganjil</v>
      </c>
      <c r="R4736" s="8" t="s">
        <v>260</v>
      </c>
      <c r="S4736" t="str">
        <f t="shared" si="642"/>
        <v>PA</v>
      </c>
    </row>
    <row r="4737" spans="1:19" x14ac:dyDescent="0.3">
      <c r="A4737" t="s">
        <v>8</v>
      </c>
      <c r="B4737">
        <v>2016210045</v>
      </c>
      <c r="C4737" t="s">
        <v>86</v>
      </c>
      <c r="E4737" t="s">
        <v>395</v>
      </c>
      <c r="F4737" t="s">
        <v>396</v>
      </c>
      <c r="G4737">
        <v>2</v>
      </c>
      <c r="H4737" t="s">
        <v>524</v>
      </c>
      <c r="I4737" s="4">
        <f t="shared" si="643"/>
        <v>2</v>
      </c>
      <c r="J4737">
        <f t="shared" si="644"/>
        <v>4</v>
      </c>
      <c r="K4737">
        <v>46</v>
      </c>
      <c r="L4737">
        <v>16</v>
      </c>
      <c r="M4737">
        <v>2.88</v>
      </c>
      <c r="N4737" s="2">
        <v>1.97</v>
      </c>
      <c r="O4737">
        <v>0</v>
      </c>
      <c r="P4737">
        <v>1</v>
      </c>
      <c r="Q4737" s="4" t="str">
        <f t="shared" si="638"/>
        <v>2016/2017-Ganjil</v>
      </c>
      <c r="R4737" s="8" t="s">
        <v>260</v>
      </c>
      <c r="S4737" t="str">
        <f t="shared" si="642"/>
        <v>PA</v>
      </c>
    </row>
    <row r="4738" spans="1:19" x14ac:dyDescent="0.3">
      <c r="A4738" t="s">
        <v>8</v>
      </c>
      <c r="B4738">
        <v>2016210045</v>
      </c>
      <c r="C4738" t="s">
        <v>86</v>
      </c>
      <c r="E4738" t="s">
        <v>77</v>
      </c>
      <c r="F4738" t="s">
        <v>78</v>
      </c>
      <c r="G4738">
        <v>2</v>
      </c>
      <c r="H4738" t="s">
        <v>535</v>
      </c>
      <c r="I4738" s="4">
        <f t="shared" si="643"/>
        <v>1</v>
      </c>
      <c r="J4738">
        <f t="shared" si="644"/>
        <v>2</v>
      </c>
      <c r="K4738">
        <v>46</v>
      </c>
      <c r="L4738">
        <v>16</v>
      </c>
      <c r="M4738">
        <v>2.88</v>
      </c>
      <c r="N4738" s="2">
        <v>1.97</v>
      </c>
      <c r="O4738">
        <v>0</v>
      </c>
      <c r="P4738">
        <v>1</v>
      </c>
      <c r="Q4738" s="4" t="str">
        <f t="shared" si="638"/>
        <v>2016/2017-Ganjil</v>
      </c>
      <c r="R4738" s="8" t="s">
        <v>260</v>
      </c>
      <c r="S4738" t="str">
        <f t="shared" si="642"/>
        <v>FA</v>
      </c>
    </row>
    <row r="4739" spans="1:19" x14ac:dyDescent="0.3">
      <c r="A4739" t="s">
        <v>8</v>
      </c>
      <c r="B4739">
        <v>2016210045</v>
      </c>
      <c r="C4739" t="s">
        <v>86</v>
      </c>
      <c r="E4739" t="s">
        <v>266</v>
      </c>
      <c r="F4739" t="s">
        <v>91</v>
      </c>
      <c r="G4739">
        <v>2</v>
      </c>
      <c r="H4739" t="s">
        <v>535</v>
      </c>
      <c r="I4739" s="4">
        <f t="shared" si="643"/>
        <v>1</v>
      </c>
      <c r="J4739">
        <f t="shared" si="644"/>
        <v>2</v>
      </c>
      <c r="K4739">
        <v>38</v>
      </c>
      <c r="L4739">
        <v>18</v>
      </c>
      <c r="M4739">
        <v>2.11</v>
      </c>
      <c r="N4739" s="2">
        <v>1.97</v>
      </c>
      <c r="O4739">
        <v>0</v>
      </c>
      <c r="P4739">
        <v>2</v>
      </c>
      <c r="Q4739" s="4" t="str">
        <f t="shared" si="638"/>
        <v>2016/2017-Genap</v>
      </c>
      <c r="R4739" s="8" t="s">
        <v>260</v>
      </c>
      <c r="S4739" t="str">
        <f t="shared" si="642"/>
        <v>FA</v>
      </c>
    </row>
    <row r="4740" spans="1:19" x14ac:dyDescent="0.3">
      <c r="A4740" t="s">
        <v>8</v>
      </c>
      <c r="B4740">
        <v>2016210045</v>
      </c>
      <c r="C4740" t="s">
        <v>86</v>
      </c>
      <c r="E4740" t="s">
        <v>44</v>
      </c>
      <c r="F4740" t="s">
        <v>45</v>
      </c>
      <c r="G4740">
        <v>2</v>
      </c>
      <c r="H4740" t="s">
        <v>535</v>
      </c>
      <c r="I4740" s="4">
        <f t="shared" si="643"/>
        <v>1</v>
      </c>
      <c r="J4740">
        <f t="shared" si="644"/>
        <v>2</v>
      </c>
      <c r="K4740">
        <v>38</v>
      </c>
      <c r="L4740">
        <v>18</v>
      </c>
      <c r="M4740">
        <v>2.11</v>
      </c>
      <c r="N4740" s="2">
        <v>1.97</v>
      </c>
      <c r="O4740">
        <v>0</v>
      </c>
      <c r="P4740">
        <v>2</v>
      </c>
      <c r="Q4740" s="4" t="str">
        <f t="shared" si="638"/>
        <v>2016/2017-Genap</v>
      </c>
      <c r="R4740" s="8" t="s">
        <v>260</v>
      </c>
      <c r="S4740" t="str">
        <f t="shared" si="642"/>
        <v>FA</v>
      </c>
    </row>
    <row r="4741" spans="1:19" x14ac:dyDescent="0.3">
      <c r="A4741" t="s">
        <v>8</v>
      </c>
      <c r="B4741">
        <v>2016210045</v>
      </c>
      <c r="C4741" t="s">
        <v>86</v>
      </c>
      <c r="E4741" t="s">
        <v>125</v>
      </c>
      <c r="F4741" t="s">
        <v>126</v>
      </c>
      <c r="G4741">
        <v>4</v>
      </c>
      <c r="H4741" t="s">
        <v>535</v>
      </c>
      <c r="I4741" s="4">
        <f t="shared" si="643"/>
        <v>1</v>
      </c>
      <c r="J4741">
        <f t="shared" si="644"/>
        <v>4</v>
      </c>
      <c r="K4741">
        <v>38</v>
      </c>
      <c r="L4741">
        <v>18</v>
      </c>
      <c r="M4741">
        <v>2.11</v>
      </c>
      <c r="N4741" s="2">
        <v>1.97</v>
      </c>
      <c r="O4741">
        <v>0</v>
      </c>
      <c r="P4741">
        <v>2</v>
      </c>
      <c r="Q4741" s="4" t="str">
        <f t="shared" si="638"/>
        <v>2016/2017-Genap</v>
      </c>
      <c r="R4741" s="8" t="s">
        <v>260</v>
      </c>
      <c r="S4741" t="str">
        <f t="shared" si="642"/>
        <v>FA</v>
      </c>
    </row>
    <row r="4742" spans="1:19" x14ac:dyDescent="0.3">
      <c r="A4742" t="s">
        <v>8</v>
      </c>
      <c r="B4742">
        <v>2016210045</v>
      </c>
      <c r="C4742" t="s">
        <v>86</v>
      </c>
      <c r="E4742" t="s">
        <v>253</v>
      </c>
      <c r="F4742" t="s">
        <v>254</v>
      </c>
      <c r="G4742">
        <v>2</v>
      </c>
      <c r="I4742" s="4"/>
      <c r="J4742">
        <v>0</v>
      </c>
      <c r="K4742">
        <v>14</v>
      </c>
      <c r="L4742">
        <v>6</v>
      </c>
      <c r="M4742" s="2">
        <v>2.33</v>
      </c>
      <c r="N4742" s="2">
        <v>1.97</v>
      </c>
      <c r="O4742">
        <v>1</v>
      </c>
      <c r="P4742">
        <v>6</v>
      </c>
      <c r="Q4742" s="4" t="str">
        <f>IF(P4742=1,"2016/2017-Ganjil",IF(P4742=2,"2016/2017-Genap",IF(P4742=3,"2017/2018-Ganjil",IF(P4742=4,"2017/2018-Genap",IF(P4742=5,"2018/2019-Ganjil",IF(P4742=6,"2018/2019-Genap",IF(P4742=7,"2019/2020-Ganjil",IF(P4742=8,"2019/2020-Genap",IF(P4742=9,"2020/2021-Ganjil",IF(P4742=10,"2020/2021-Genap",IF(P4742=11,"2021/2022-Ganjil",IF(P4742=12,"2021/2022-Genap",IF(P4742=13,"2022/2023-Ganjil","2022/2023-Genap")))))))))))))</f>
        <v>2018/2019-Genap</v>
      </c>
      <c r="R4742" s="8" t="s">
        <v>535</v>
      </c>
      <c r="S4742" t="s">
        <v>595</v>
      </c>
    </row>
    <row r="4743" spans="1:19" x14ac:dyDescent="0.3">
      <c r="A4743" t="s">
        <v>8</v>
      </c>
      <c r="B4743">
        <v>2016210045</v>
      </c>
      <c r="C4743" t="s">
        <v>86</v>
      </c>
      <c r="E4743" t="s">
        <v>253</v>
      </c>
      <c r="F4743" t="s">
        <v>254</v>
      </c>
      <c r="G4743">
        <v>2</v>
      </c>
      <c r="H4743" t="s">
        <v>539</v>
      </c>
      <c r="I4743" s="4">
        <f t="shared" ref="I4743" si="645">IF(H4743="A",4,IF(H4743="B",3,IF(H4743="C",2,IF(H4743="D",1,0))))</f>
        <v>0</v>
      </c>
      <c r="J4743">
        <f t="shared" ref="J4743" si="646">G4743*I4743</f>
        <v>0</v>
      </c>
      <c r="K4743">
        <v>0</v>
      </c>
      <c r="L4743">
        <v>10</v>
      </c>
      <c r="M4743" s="2">
        <v>0</v>
      </c>
      <c r="N4743" s="2">
        <v>1.97</v>
      </c>
      <c r="O4743">
        <v>0</v>
      </c>
      <c r="P4743">
        <v>4</v>
      </c>
      <c r="Q4743" s="4" t="str">
        <f>IF(P4743=1,"2016/2017-Ganjil",IF(P4743=2,"2016/2017-Genap",IF(P4743=3,"2017/2018-Ganjil",IF(P4743=4,"2017/2018-Genap",IF(P4743=5,"2018/2019-Ganjil",IF(P4743=6,"2018/2019-Genap",IF(P4743=7,"2019/2020-Ganjil",IF(P4743=8,"2019/2020-Genap",IF(P4743=9,"2020/2021-Ganjil",IF(P4743=10,"2020/2021-Genap",IF(P4743=11,"2021/2022-Ganjil",IF(P4743=12,"2021/2022-Genap",IF(P4743=13,"2022/2023-Ganjil","2022/2023-Genap")))))))))))))</f>
        <v>2017/2018-Genap</v>
      </c>
      <c r="R4743" s="8" t="s">
        <v>260</v>
      </c>
      <c r="S4743" t="str">
        <f t="shared" ref="S4743:S4747" si="647">IF(OR(H4743="A",H4743="B",H4743="C"),"PA","FA")</f>
        <v>FA</v>
      </c>
    </row>
    <row r="4744" spans="1:19" x14ac:dyDescent="0.3">
      <c r="A4744" t="s">
        <v>8</v>
      </c>
      <c r="B4744">
        <v>2016210045</v>
      </c>
      <c r="C4744" t="s">
        <v>86</v>
      </c>
      <c r="E4744" t="s">
        <v>449</v>
      </c>
      <c r="F4744" t="s">
        <v>460</v>
      </c>
      <c r="G4744">
        <v>4</v>
      </c>
      <c r="H4744" t="s">
        <v>539</v>
      </c>
      <c r="I4744" s="4">
        <f t="shared" si="641"/>
        <v>0</v>
      </c>
      <c r="J4744">
        <f t="shared" si="639"/>
        <v>0</v>
      </c>
      <c r="K4744">
        <v>0</v>
      </c>
      <c r="L4744">
        <v>10</v>
      </c>
      <c r="M4744" s="2">
        <v>0</v>
      </c>
      <c r="N4744" s="2">
        <v>1.97</v>
      </c>
      <c r="O4744">
        <v>0</v>
      </c>
      <c r="P4744">
        <v>4</v>
      </c>
      <c r="Q4744" s="4" t="str">
        <f t="shared" si="638"/>
        <v>2017/2018-Genap</v>
      </c>
      <c r="R4744" s="8" t="s">
        <v>260</v>
      </c>
      <c r="S4744" t="str">
        <f t="shared" si="647"/>
        <v>FA</v>
      </c>
    </row>
    <row r="4745" spans="1:19" x14ac:dyDescent="0.3">
      <c r="A4745" t="s">
        <v>8</v>
      </c>
      <c r="B4745">
        <v>2016210045</v>
      </c>
      <c r="C4745" t="s">
        <v>86</v>
      </c>
      <c r="E4745" t="s">
        <v>246</v>
      </c>
      <c r="F4745" t="s">
        <v>247</v>
      </c>
      <c r="G4745">
        <v>4</v>
      </c>
      <c r="H4745" t="s">
        <v>539</v>
      </c>
      <c r="I4745" s="4">
        <f t="shared" si="641"/>
        <v>0</v>
      </c>
      <c r="J4745">
        <f t="shared" si="639"/>
        <v>0</v>
      </c>
      <c r="K4745">
        <v>0</v>
      </c>
      <c r="L4745">
        <v>10</v>
      </c>
      <c r="M4745" s="2">
        <v>0</v>
      </c>
      <c r="N4745" s="2">
        <v>1.97</v>
      </c>
      <c r="O4745">
        <v>0</v>
      </c>
      <c r="P4745">
        <v>4</v>
      </c>
      <c r="Q4745" s="4" t="str">
        <f t="shared" si="638"/>
        <v>2017/2018-Genap</v>
      </c>
      <c r="R4745" s="8" t="s">
        <v>260</v>
      </c>
      <c r="S4745" t="str">
        <f t="shared" si="647"/>
        <v>FA</v>
      </c>
    </row>
    <row r="4746" spans="1:19" x14ac:dyDescent="0.3">
      <c r="A4746" t="s">
        <v>8</v>
      </c>
      <c r="B4746">
        <v>2016210045</v>
      </c>
      <c r="C4746" t="s">
        <v>86</v>
      </c>
      <c r="E4746" t="s">
        <v>362</v>
      </c>
      <c r="F4746" t="s">
        <v>363</v>
      </c>
      <c r="G4746">
        <v>2</v>
      </c>
      <c r="H4746" t="s">
        <v>539</v>
      </c>
      <c r="I4746" s="4">
        <f t="shared" si="641"/>
        <v>0</v>
      </c>
      <c r="J4746">
        <f t="shared" si="639"/>
        <v>0</v>
      </c>
      <c r="K4746">
        <v>0</v>
      </c>
      <c r="L4746">
        <v>4</v>
      </c>
      <c r="M4746" s="2">
        <v>0</v>
      </c>
      <c r="N4746" s="2">
        <v>1.97</v>
      </c>
      <c r="O4746">
        <v>0</v>
      </c>
      <c r="P4746">
        <v>5</v>
      </c>
      <c r="Q4746" s="4" t="str">
        <f t="shared" si="638"/>
        <v>2018/2019-Ganjil</v>
      </c>
      <c r="R4746" s="8" t="s">
        <v>260</v>
      </c>
      <c r="S4746" t="str">
        <f t="shared" si="647"/>
        <v>FA</v>
      </c>
    </row>
    <row r="4747" spans="1:19" x14ac:dyDescent="0.3">
      <c r="A4747" t="s">
        <v>8</v>
      </c>
      <c r="B4747">
        <v>2016210045</v>
      </c>
      <c r="C4747" t="s">
        <v>86</v>
      </c>
      <c r="E4747" t="s">
        <v>182</v>
      </c>
      <c r="F4747" t="s">
        <v>171</v>
      </c>
      <c r="G4747">
        <v>2</v>
      </c>
      <c r="H4747" t="s">
        <v>539</v>
      </c>
      <c r="I4747" s="4">
        <f t="shared" si="641"/>
        <v>0</v>
      </c>
      <c r="J4747">
        <f t="shared" si="639"/>
        <v>0</v>
      </c>
      <c r="K4747">
        <v>0</v>
      </c>
      <c r="L4747">
        <v>4</v>
      </c>
      <c r="M4747" s="2">
        <v>0</v>
      </c>
      <c r="N4747" s="2">
        <v>1.97</v>
      </c>
      <c r="O4747">
        <v>0</v>
      </c>
      <c r="P4747">
        <v>5</v>
      </c>
      <c r="Q4747" s="4" t="str">
        <f t="shared" si="638"/>
        <v>2018/2019-Ganjil</v>
      </c>
      <c r="R4747" s="8" t="s">
        <v>260</v>
      </c>
      <c r="S4747" t="str">
        <f t="shared" si="647"/>
        <v>FA</v>
      </c>
    </row>
    <row r="4748" spans="1:19" x14ac:dyDescent="0.3">
      <c r="A4748" t="s">
        <v>8</v>
      </c>
      <c r="B4748">
        <v>2016210047</v>
      </c>
      <c r="C4748" t="s">
        <v>156</v>
      </c>
      <c r="E4748" t="s">
        <v>110</v>
      </c>
      <c r="F4748" t="s">
        <v>111</v>
      </c>
      <c r="G4748">
        <v>4</v>
      </c>
      <c r="I4748" s="4"/>
      <c r="J4748">
        <f t="shared" si="639"/>
        <v>0</v>
      </c>
      <c r="K4748">
        <v>0</v>
      </c>
      <c r="L4748">
        <v>4</v>
      </c>
      <c r="M4748" s="2">
        <v>0</v>
      </c>
      <c r="N4748" s="2">
        <v>0</v>
      </c>
      <c r="O4748">
        <v>0</v>
      </c>
      <c r="P4748">
        <v>1</v>
      </c>
      <c r="Q4748" s="4" t="str">
        <f t="shared" si="638"/>
        <v>2016/2017-Ganjil</v>
      </c>
      <c r="R4748" s="8" t="s">
        <v>535</v>
      </c>
      <c r="S4748" t="s">
        <v>595</v>
      </c>
    </row>
    <row r="4749" spans="1:19" x14ac:dyDescent="0.3">
      <c r="A4749" t="s">
        <v>8</v>
      </c>
      <c r="B4749">
        <v>2016210047</v>
      </c>
      <c r="C4749" t="s">
        <v>156</v>
      </c>
      <c r="E4749" t="s">
        <v>163</v>
      </c>
      <c r="F4749" t="s">
        <v>164</v>
      </c>
      <c r="G4749">
        <v>2</v>
      </c>
      <c r="I4749" s="4"/>
      <c r="J4749">
        <f t="shared" si="639"/>
        <v>0</v>
      </c>
      <c r="K4749">
        <v>0</v>
      </c>
      <c r="L4749">
        <v>4</v>
      </c>
      <c r="M4749" s="2">
        <v>0</v>
      </c>
      <c r="N4749" s="2">
        <v>0</v>
      </c>
      <c r="O4749">
        <v>0</v>
      </c>
      <c r="P4749">
        <v>1</v>
      </c>
      <c r="Q4749" s="4" t="str">
        <f t="shared" ref="Q4749:Q4754" si="648">IF(P4749=1,"2016/2017-Ganjil",IF(P4749=2,"2016/2017-Genap",IF(P4749=3,"2017/2018-Ganjil",IF(P4749=4,"2017/2018-Genap",IF(P4749=5,"2018/2019-Ganjil",IF(P4749=6,"2018/2019-Genap",IF(P4749=7,"2019/2020-Ganjil",IF(P4749=8,"2019/2020-Genap",IF(P4749=9,"2020/2021-Ganjil",IF(P4749=10,"2020/2021-Genap",IF(P4749=11,"2021/2022-Ganjil",IF(P4749=12,"2021/2022-Genap",IF(P4749=13,"2022/2023-Ganjil","2022/2023-Genap")))))))))))))</f>
        <v>2016/2017-Ganjil</v>
      </c>
      <c r="R4749" s="8" t="s">
        <v>535</v>
      </c>
      <c r="S4749" t="s">
        <v>595</v>
      </c>
    </row>
    <row r="4750" spans="1:19" x14ac:dyDescent="0.3">
      <c r="A4750" t="s">
        <v>8</v>
      </c>
      <c r="B4750">
        <v>2016210047</v>
      </c>
      <c r="C4750" t="s">
        <v>156</v>
      </c>
      <c r="E4750" t="s">
        <v>77</v>
      </c>
      <c r="F4750" t="s">
        <v>78</v>
      </c>
      <c r="G4750">
        <v>2</v>
      </c>
      <c r="I4750" s="4"/>
      <c r="J4750">
        <f t="shared" si="639"/>
        <v>0</v>
      </c>
      <c r="K4750">
        <v>0</v>
      </c>
      <c r="L4750">
        <v>4</v>
      </c>
      <c r="M4750" s="2">
        <v>0</v>
      </c>
      <c r="N4750" s="2">
        <v>0</v>
      </c>
      <c r="O4750">
        <v>0</v>
      </c>
      <c r="P4750">
        <v>1</v>
      </c>
      <c r="Q4750" s="4" t="str">
        <f t="shared" si="648"/>
        <v>2016/2017-Ganjil</v>
      </c>
      <c r="R4750" s="8" t="s">
        <v>535</v>
      </c>
      <c r="S4750" t="s">
        <v>595</v>
      </c>
    </row>
    <row r="4751" spans="1:19" x14ac:dyDescent="0.3">
      <c r="A4751" t="s">
        <v>8</v>
      </c>
      <c r="B4751">
        <v>2016210047</v>
      </c>
      <c r="C4751" t="s">
        <v>156</v>
      </c>
      <c r="E4751" t="s">
        <v>202</v>
      </c>
      <c r="F4751" t="s">
        <v>203</v>
      </c>
      <c r="G4751">
        <v>4</v>
      </c>
      <c r="I4751" s="4"/>
      <c r="J4751">
        <f t="shared" si="639"/>
        <v>0</v>
      </c>
      <c r="K4751">
        <v>0</v>
      </c>
      <c r="L4751">
        <v>4</v>
      </c>
      <c r="M4751" s="2">
        <v>0</v>
      </c>
      <c r="N4751" s="2">
        <v>0</v>
      </c>
      <c r="O4751">
        <v>0</v>
      </c>
      <c r="P4751">
        <v>1</v>
      </c>
      <c r="Q4751" s="4" t="str">
        <f t="shared" si="648"/>
        <v>2016/2017-Ganjil</v>
      </c>
      <c r="R4751" s="8" t="s">
        <v>535</v>
      </c>
      <c r="S4751" t="s">
        <v>595</v>
      </c>
    </row>
    <row r="4752" spans="1:19" x14ac:dyDescent="0.3">
      <c r="A4752" t="s">
        <v>8</v>
      </c>
      <c r="B4752">
        <v>2016210047</v>
      </c>
      <c r="C4752" t="s">
        <v>156</v>
      </c>
      <c r="E4752" t="s">
        <v>147</v>
      </c>
      <c r="F4752" t="s">
        <v>148</v>
      </c>
      <c r="G4752">
        <v>4</v>
      </c>
      <c r="I4752" s="4"/>
      <c r="J4752">
        <f t="shared" si="639"/>
        <v>0</v>
      </c>
      <c r="K4752">
        <v>0</v>
      </c>
      <c r="L4752">
        <v>4</v>
      </c>
      <c r="M4752" s="2">
        <v>0</v>
      </c>
      <c r="N4752" s="2">
        <v>0</v>
      </c>
      <c r="O4752">
        <v>0</v>
      </c>
      <c r="P4752">
        <v>1</v>
      </c>
      <c r="Q4752" s="4" t="str">
        <f t="shared" si="648"/>
        <v>2016/2017-Ganjil</v>
      </c>
      <c r="R4752" s="8" t="s">
        <v>535</v>
      </c>
      <c r="S4752" t="s">
        <v>595</v>
      </c>
    </row>
    <row r="4753" spans="1:19" x14ac:dyDescent="0.3">
      <c r="A4753" t="s">
        <v>8</v>
      </c>
      <c r="B4753">
        <v>2016210047</v>
      </c>
      <c r="C4753" t="s">
        <v>156</v>
      </c>
      <c r="E4753" t="s">
        <v>395</v>
      </c>
      <c r="F4753" t="s">
        <v>396</v>
      </c>
      <c r="G4753">
        <v>2</v>
      </c>
      <c r="H4753" t="s">
        <v>539</v>
      </c>
      <c r="I4753" s="4">
        <f t="shared" si="641"/>
        <v>0</v>
      </c>
      <c r="J4753">
        <f t="shared" si="639"/>
        <v>0</v>
      </c>
      <c r="K4753">
        <v>0</v>
      </c>
      <c r="L4753">
        <v>4</v>
      </c>
      <c r="M4753" s="2">
        <v>0</v>
      </c>
      <c r="N4753" s="2">
        <v>0</v>
      </c>
      <c r="O4753">
        <v>0</v>
      </c>
      <c r="P4753">
        <v>1</v>
      </c>
      <c r="Q4753" s="4" t="str">
        <f t="shared" si="648"/>
        <v>2016/2017-Ganjil</v>
      </c>
      <c r="R4753" s="8" t="s">
        <v>535</v>
      </c>
      <c r="S4753" t="str">
        <f t="shared" ref="S4753:S4754" si="649">IF(OR(H4753="A",H4753="B",H4753="C"),"PA","FA")</f>
        <v>FA</v>
      </c>
    </row>
    <row r="4754" spans="1:19" x14ac:dyDescent="0.3">
      <c r="A4754" t="s">
        <v>8</v>
      </c>
      <c r="B4754">
        <v>2016210047</v>
      </c>
      <c r="C4754" t="s">
        <v>156</v>
      </c>
      <c r="E4754" t="s">
        <v>131</v>
      </c>
      <c r="F4754" t="s">
        <v>132</v>
      </c>
      <c r="G4754">
        <v>2</v>
      </c>
      <c r="H4754" t="s">
        <v>539</v>
      </c>
      <c r="I4754" s="4">
        <f t="shared" si="641"/>
        <v>0</v>
      </c>
      <c r="J4754">
        <f t="shared" si="639"/>
        <v>0</v>
      </c>
      <c r="K4754">
        <v>0</v>
      </c>
      <c r="L4754">
        <v>4</v>
      </c>
      <c r="M4754" s="2">
        <v>0</v>
      </c>
      <c r="N4754" s="2">
        <v>0</v>
      </c>
      <c r="O4754">
        <v>0</v>
      </c>
      <c r="P4754">
        <v>1</v>
      </c>
      <c r="Q4754" s="4" t="str">
        <f t="shared" si="648"/>
        <v>2016/2017-Ganjil</v>
      </c>
      <c r="R4754" s="8" t="s">
        <v>535</v>
      </c>
      <c r="S4754" t="str">
        <f t="shared" si="649"/>
        <v>FA</v>
      </c>
    </row>
    <row r="4755" spans="1:19" x14ac:dyDescent="0.3">
      <c r="A4755" t="s">
        <v>8</v>
      </c>
      <c r="B4755">
        <v>2016210048</v>
      </c>
      <c r="C4755" t="s">
        <v>64</v>
      </c>
      <c r="E4755" t="s">
        <v>10</v>
      </c>
      <c r="F4755" t="s">
        <v>11</v>
      </c>
      <c r="G4755">
        <v>2</v>
      </c>
      <c r="I4755" s="4"/>
      <c r="J4755">
        <v>0</v>
      </c>
      <c r="K4755">
        <v>50</v>
      </c>
      <c r="L4755">
        <v>20</v>
      </c>
      <c r="M4755" s="2">
        <v>2.5</v>
      </c>
      <c r="N4755" s="2">
        <v>3.01</v>
      </c>
      <c r="O4755">
        <v>0</v>
      </c>
      <c r="P4755">
        <v>6</v>
      </c>
      <c r="Q4755" s="4" t="str">
        <f t="shared" ref="Q4755:Q4794" si="650">IF(P4755=1,"2016/2017-Ganjil",IF(P4755=2,"2016/2017-Genap",IF(P4755=3,"2017/2018-Ganjil",IF(P4755=4,"2017/2018-Genap",IF(P4755=5,"2018/2019-Ganjil",IF(P4755=6,"2018/2019-Genap",IF(P4755=7,"2019/2020-Ganjil",IF(P4755=8,"2019/2020-Genap",IF(P4755=9,"2020/2021-Ganjil",IF(P4755=10,"2020/2021-Genap",IF(P4755=11,"2021/2022-Ganjil",IF(P4755=12,"2021/2022-Genap",IF(P4755=13,"2022/2023-Ganjil","2022/2023-Genap")))))))))))))</f>
        <v>2018/2019-Genap</v>
      </c>
      <c r="R4755" s="8" t="s">
        <v>260</v>
      </c>
      <c r="S4755" t="s">
        <v>595</v>
      </c>
    </row>
    <row r="4756" spans="1:19" x14ac:dyDescent="0.3">
      <c r="A4756" t="s">
        <v>8</v>
      </c>
      <c r="B4756">
        <v>2016210048</v>
      </c>
      <c r="C4756" t="s">
        <v>64</v>
      </c>
      <c r="E4756" t="s">
        <v>17</v>
      </c>
      <c r="F4756" t="s">
        <v>11</v>
      </c>
      <c r="G4756">
        <v>2</v>
      </c>
      <c r="I4756" s="4"/>
      <c r="J4756">
        <v>0</v>
      </c>
      <c r="K4756">
        <v>30</v>
      </c>
      <c r="L4756">
        <v>10</v>
      </c>
      <c r="M4756" s="2">
        <v>3</v>
      </c>
      <c r="N4756" s="2">
        <v>3.01</v>
      </c>
      <c r="O4756">
        <v>1</v>
      </c>
      <c r="P4756">
        <v>7</v>
      </c>
      <c r="Q4756" s="4" t="str">
        <f t="shared" si="650"/>
        <v>2019/2020-Ganjil</v>
      </c>
      <c r="R4756" s="8" t="s">
        <v>260</v>
      </c>
      <c r="S4756" t="s">
        <v>595</v>
      </c>
    </row>
    <row r="4757" spans="1:19" x14ac:dyDescent="0.3">
      <c r="A4757" t="s">
        <v>8</v>
      </c>
      <c r="B4757">
        <v>2016210048</v>
      </c>
      <c r="C4757" t="s">
        <v>64</v>
      </c>
      <c r="E4757" t="s">
        <v>17</v>
      </c>
      <c r="F4757" t="s">
        <v>11</v>
      </c>
      <c r="G4757">
        <v>2</v>
      </c>
      <c r="I4757" s="4"/>
      <c r="J4757">
        <f t="shared" si="639"/>
        <v>0</v>
      </c>
      <c r="K4757">
        <v>16</v>
      </c>
      <c r="L4757">
        <v>6</v>
      </c>
      <c r="M4757" s="2">
        <v>2.67</v>
      </c>
      <c r="N4757" s="2">
        <v>3.01</v>
      </c>
      <c r="O4757">
        <v>2</v>
      </c>
      <c r="P4757">
        <v>8</v>
      </c>
      <c r="Q4757" s="4" t="str">
        <f t="shared" si="650"/>
        <v>2019/2020-Genap</v>
      </c>
      <c r="R4757" s="8" t="s">
        <v>260</v>
      </c>
      <c r="S4757" t="s">
        <v>595</v>
      </c>
    </row>
    <row r="4758" spans="1:19" x14ac:dyDescent="0.3">
      <c r="A4758" t="s">
        <v>8</v>
      </c>
      <c r="B4758">
        <v>2016210048</v>
      </c>
      <c r="C4758" t="s">
        <v>64</v>
      </c>
      <c r="E4758" t="s">
        <v>17</v>
      </c>
      <c r="F4758" t="s">
        <v>11</v>
      </c>
      <c r="G4758">
        <v>2</v>
      </c>
      <c r="I4758" s="4"/>
      <c r="J4758">
        <v>0</v>
      </c>
      <c r="K4758">
        <v>6</v>
      </c>
      <c r="L4758">
        <v>2</v>
      </c>
      <c r="M4758" s="2">
        <v>3</v>
      </c>
      <c r="N4758" s="2">
        <v>3.01</v>
      </c>
      <c r="O4758">
        <v>3</v>
      </c>
      <c r="P4758">
        <v>9</v>
      </c>
      <c r="Q4758" s="4" t="str">
        <f t="shared" si="650"/>
        <v>2020/2021-Ganjil</v>
      </c>
      <c r="R4758" s="8" t="s">
        <v>260</v>
      </c>
      <c r="S4758" t="s">
        <v>595</v>
      </c>
    </row>
    <row r="4759" spans="1:19" x14ac:dyDescent="0.3">
      <c r="A4759" t="s">
        <v>8</v>
      </c>
      <c r="B4759">
        <v>2016210048</v>
      </c>
      <c r="C4759" t="s">
        <v>64</v>
      </c>
      <c r="E4759" t="s">
        <v>17</v>
      </c>
      <c r="F4759" t="s">
        <v>11</v>
      </c>
      <c r="G4759">
        <v>2</v>
      </c>
      <c r="H4759" t="s">
        <v>438</v>
      </c>
      <c r="I4759" s="4">
        <f>IF(H4759="A",4,IF(H4759="B",3,IF(H4759="C",2,IF(H4759="D",1,0))))</f>
        <v>3</v>
      </c>
      <c r="J4759">
        <f>G4759*I4759</f>
        <v>6</v>
      </c>
      <c r="K4759">
        <v>28</v>
      </c>
      <c r="L4759">
        <v>8</v>
      </c>
      <c r="M4759" s="2">
        <v>3.5</v>
      </c>
      <c r="N4759" s="2">
        <v>3.01</v>
      </c>
      <c r="O4759">
        <v>4</v>
      </c>
      <c r="P4759">
        <v>10</v>
      </c>
      <c r="Q4759" s="4" t="str">
        <f t="shared" si="650"/>
        <v>2020/2021-Genap</v>
      </c>
      <c r="R4759" s="8" t="s">
        <v>260</v>
      </c>
      <c r="S4759" t="str">
        <f t="shared" ref="S4759:S4822" si="651">IF(OR(H4759="A",H4759="B",H4759="C"),"PA","FA")</f>
        <v>PA</v>
      </c>
    </row>
    <row r="4760" spans="1:19" x14ac:dyDescent="0.3">
      <c r="A4760" t="s">
        <v>8</v>
      </c>
      <c r="B4760">
        <v>2016210048</v>
      </c>
      <c r="C4760" t="s">
        <v>64</v>
      </c>
      <c r="E4760" t="s">
        <v>597</v>
      </c>
      <c r="F4760" t="s">
        <v>275</v>
      </c>
      <c r="G4760">
        <v>2</v>
      </c>
      <c r="H4760" t="s">
        <v>260</v>
      </c>
      <c r="I4760" s="4">
        <f t="shared" ref="I4760:I4823" si="652">IF(H4760="A",4,IF(H4760="B",3,IF(H4760="C",2,IF(H4760="D",1,0))))</f>
        <v>4</v>
      </c>
      <c r="J4760">
        <f t="shared" ref="J4760:J4823" si="653">G4760*I4760</f>
        <v>8</v>
      </c>
      <c r="K4760">
        <v>50</v>
      </c>
      <c r="L4760">
        <v>20</v>
      </c>
      <c r="M4760" s="2">
        <v>2.5</v>
      </c>
      <c r="N4760" s="2">
        <v>3.01</v>
      </c>
      <c r="O4760">
        <v>0</v>
      </c>
      <c r="P4760">
        <v>6</v>
      </c>
      <c r="Q4760" s="4" t="str">
        <f t="shared" si="650"/>
        <v>2018/2019-Genap</v>
      </c>
      <c r="R4760" s="8" t="s">
        <v>260</v>
      </c>
      <c r="S4760" t="str">
        <f t="shared" si="651"/>
        <v>PA</v>
      </c>
    </row>
    <row r="4761" spans="1:19" x14ac:dyDescent="0.3">
      <c r="A4761" t="s">
        <v>8</v>
      </c>
      <c r="B4761">
        <v>2016210048</v>
      </c>
      <c r="C4761" t="s">
        <v>64</v>
      </c>
      <c r="E4761" t="s">
        <v>77</v>
      </c>
      <c r="F4761" t="s">
        <v>78</v>
      </c>
      <c r="G4761">
        <v>2</v>
      </c>
      <c r="H4761" t="s">
        <v>260</v>
      </c>
      <c r="I4761" s="4">
        <f t="shared" si="652"/>
        <v>4</v>
      </c>
      <c r="J4761">
        <f t="shared" si="653"/>
        <v>8</v>
      </c>
      <c r="K4761">
        <v>60</v>
      </c>
      <c r="L4761">
        <v>20</v>
      </c>
      <c r="M4761" s="2">
        <v>3</v>
      </c>
      <c r="N4761" s="2">
        <v>3.01</v>
      </c>
      <c r="O4761">
        <v>0</v>
      </c>
      <c r="P4761">
        <v>1</v>
      </c>
      <c r="Q4761" s="4" t="str">
        <f t="shared" si="650"/>
        <v>2016/2017-Ganjil</v>
      </c>
      <c r="R4761" s="8" t="s">
        <v>260</v>
      </c>
      <c r="S4761" t="str">
        <f t="shared" si="651"/>
        <v>PA</v>
      </c>
    </row>
    <row r="4762" spans="1:19" x14ac:dyDescent="0.3">
      <c r="A4762" t="s">
        <v>8</v>
      </c>
      <c r="B4762">
        <v>2016210048</v>
      </c>
      <c r="C4762" t="s">
        <v>64</v>
      </c>
      <c r="E4762" t="s">
        <v>202</v>
      </c>
      <c r="F4762" t="s">
        <v>203</v>
      </c>
      <c r="G4762">
        <v>4</v>
      </c>
      <c r="H4762" t="s">
        <v>260</v>
      </c>
      <c r="I4762" s="4">
        <f t="shared" si="652"/>
        <v>4</v>
      </c>
      <c r="J4762">
        <f t="shared" si="653"/>
        <v>16</v>
      </c>
      <c r="K4762">
        <v>60</v>
      </c>
      <c r="L4762">
        <v>20</v>
      </c>
      <c r="M4762" s="2">
        <v>3</v>
      </c>
      <c r="N4762" s="2">
        <v>3.01</v>
      </c>
      <c r="O4762">
        <v>0</v>
      </c>
      <c r="P4762">
        <v>1</v>
      </c>
      <c r="Q4762" s="4" t="str">
        <f t="shared" si="650"/>
        <v>2016/2017-Ganjil</v>
      </c>
      <c r="R4762" s="8" t="s">
        <v>260</v>
      </c>
      <c r="S4762" t="str">
        <f t="shared" si="651"/>
        <v>PA</v>
      </c>
    </row>
    <row r="4763" spans="1:19" x14ac:dyDescent="0.3">
      <c r="A4763" t="s">
        <v>8</v>
      </c>
      <c r="B4763">
        <v>2016210048</v>
      </c>
      <c r="C4763" t="s">
        <v>64</v>
      </c>
      <c r="E4763" t="s">
        <v>242</v>
      </c>
      <c r="F4763" t="s">
        <v>166</v>
      </c>
      <c r="G4763">
        <v>2</v>
      </c>
      <c r="H4763" t="s">
        <v>260</v>
      </c>
      <c r="I4763" s="4">
        <f t="shared" si="652"/>
        <v>4</v>
      </c>
      <c r="J4763">
        <f t="shared" si="653"/>
        <v>8</v>
      </c>
      <c r="K4763">
        <v>58</v>
      </c>
      <c r="L4763">
        <v>20</v>
      </c>
      <c r="M4763" s="2">
        <v>2.9</v>
      </c>
      <c r="N4763" s="2">
        <v>3.01</v>
      </c>
      <c r="O4763">
        <v>0</v>
      </c>
      <c r="P4763">
        <v>4</v>
      </c>
      <c r="Q4763" s="4" t="str">
        <f t="shared" si="650"/>
        <v>2017/2018-Genap</v>
      </c>
      <c r="R4763" s="8" t="s">
        <v>260</v>
      </c>
      <c r="S4763" t="str">
        <f t="shared" si="651"/>
        <v>PA</v>
      </c>
    </row>
    <row r="4764" spans="1:19" x14ac:dyDescent="0.3">
      <c r="A4764" t="s">
        <v>8</v>
      </c>
      <c r="B4764">
        <v>2016210048</v>
      </c>
      <c r="C4764" t="s">
        <v>64</v>
      </c>
      <c r="E4764" t="s">
        <v>295</v>
      </c>
      <c r="F4764" t="s">
        <v>296</v>
      </c>
      <c r="G4764">
        <v>2</v>
      </c>
      <c r="H4764" t="s">
        <v>260</v>
      </c>
      <c r="I4764" s="4">
        <f t="shared" si="652"/>
        <v>4</v>
      </c>
      <c r="J4764">
        <f t="shared" si="653"/>
        <v>8</v>
      </c>
      <c r="K4764">
        <v>42</v>
      </c>
      <c r="L4764">
        <v>20</v>
      </c>
      <c r="M4764" s="2">
        <v>2.1</v>
      </c>
      <c r="N4764" s="2">
        <v>3.01</v>
      </c>
      <c r="O4764">
        <v>0</v>
      </c>
      <c r="P4764">
        <v>3</v>
      </c>
      <c r="Q4764" s="4" t="str">
        <f t="shared" si="650"/>
        <v>2017/2018-Ganjil</v>
      </c>
      <c r="R4764" s="8" t="s">
        <v>260</v>
      </c>
      <c r="S4764" t="str">
        <f t="shared" si="651"/>
        <v>PA</v>
      </c>
    </row>
    <row r="4765" spans="1:19" x14ac:dyDescent="0.3">
      <c r="A4765" t="s">
        <v>8</v>
      </c>
      <c r="B4765">
        <v>2016210048</v>
      </c>
      <c r="C4765" t="s">
        <v>64</v>
      </c>
      <c r="E4765" t="s">
        <v>180</v>
      </c>
      <c r="F4765" t="s">
        <v>181</v>
      </c>
      <c r="G4765">
        <v>4</v>
      </c>
      <c r="H4765" t="s">
        <v>260</v>
      </c>
      <c r="I4765" s="4">
        <f t="shared" si="652"/>
        <v>4</v>
      </c>
      <c r="J4765">
        <f t="shared" si="653"/>
        <v>16</v>
      </c>
      <c r="K4765">
        <v>58</v>
      </c>
      <c r="L4765">
        <v>20</v>
      </c>
      <c r="M4765" s="2">
        <v>2.9</v>
      </c>
      <c r="N4765" s="2">
        <v>3.01</v>
      </c>
      <c r="O4765">
        <v>0</v>
      </c>
      <c r="P4765">
        <v>4</v>
      </c>
      <c r="Q4765" s="4" t="str">
        <f t="shared" si="650"/>
        <v>2017/2018-Genap</v>
      </c>
      <c r="R4765" s="8" t="s">
        <v>260</v>
      </c>
      <c r="S4765" t="str">
        <f t="shared" si="651"/>
        <v>PA</v>
      </c>
    </row>
    <row r="4766" spans="1:19" x14ac:dyDescent="0.3">
      <c r="A4766" t="s">
        <v>8</v>
      </c>
      <c r="B4766">
        <v>2016210048</v>
      </c>
      <c r="C4766" t="s">
        <v>64</v>
      </c>
      <c r="E4766" t="s">
        <v>87</v>
      </c>
      <c r="F4766" t="s">
        <v>88</v>
      </c>
      <c r="G4766">
        <v>2</v>
      </c>
      <c r="H4766" t="s">
        <v>260</v>
      </c>
      <c r="I4766" s="4">
        <f t="shared" si="652"/>
        <v>4</v>
      </c>
      <c r="J4766">
        <f t="shared" si="653"/>
        <v>8</v>
      </c>
      <c r="K4766">
        <v>58</v>
      </c>
      <c r="L4766">
        <v>20</v>
      </c>
      <c r="M4766" s="2">
        <v>2.9</v>
      </c>
      <c r="N4766" s="2">
        <v>3.01</v>
      </c>
      <c r="O4766">
        <v>0</v>
      </c>
      <c r="P4766">
        <v>4</v>
      </c>
      <c r="Q4766" s="4" t="str">
        <f t="shared" si="650"/>
        <v>2017/2018-Genap</v>
      </c>
      <c r="R4766" s="8" t="s">
        <v>260</v>
      </c>
      <c r="S4766" t="str">
        <f t="shared" si="651"/>
        <v>PA</v>
      </c>
    </row>
    <row r="4767" spans="1:19" x14ac:dyDescent="0.3">
      <c r="A4767" t="s">
        <v>8</v>
      </c>
      <c r="B4767">
        <v>2016210048</v>
      </c>
      <c r="C4767" t="s">
        <v>64</v>
      </c>
      <c r="E4767" t="s">
        <v>185</v>
      </c>
      <c r="F4767" t="s">
        <v>186</v>
      </c>
      <c r="G4767">
        <v>4</v>
      </c>
      <c r="H4767" t="s">
        <v>438</v>
      </c>
      <c r="I4767" s="4">
        <f t="shared" si="652"/>
        <v>3</v>
      </c>
      <c r="J4767">
        <f t="shared" si="653"/>
        <v>12</v>
      </c>
      <c r="K4767">
        <v>30</v>
      </c>
      <c r="L4767">
        <v>10</v>
      </c>
      <c r="M4767" s="2">
        <v>3</v>
      </c>
      <c r="N4767" s="2">
        <v>3.01</v>
      </c>
      <c r="O4767">
        <v>0</v>
      </c>
      <c r="P4767">
        <v>7</v>
      </c>
      <c r="Q4767" s="4" t="str">
        <f t="shared" si="650"/>
        <v>2019/2020-Ganjil</v>
      </c>
      <c r="R4767" s="8" t="s">
        <v>260</v>
      </c>
      <c r="S4767" t="str">
        <f t="shared" si="651"/>
        <v>PA</v>
      </c>
    </row>
    <row r="4768" spans="1:19" x14ac:dyDescent="0.3">
      <c r="A4768" t="s">
        <v>8</v>
      </c>
      <c r="B4768">
        <v>2016210048</v>
      </c>
      <c r="C4768" t="s">
        <v>64</v>
      </c>
      <c r="E4768" t="s">
        <v>213</v>
      </c>
      <c r="F4768" t="s">
        <v>214</v>
      </c>
      <c r="G4768">
        <v>4</v>
      </c>
      <c r="H4768" t="s">
        <v>438</v>
      </c>
      <c r="I4768" s="4">
        <f t="shared" si="652"/>
        <v>3</v>
      </c>
      <c r="J4768">
        <f t="shared" si="653"/>
        <v>12</v>
      </c>
      <c r="K4768">
        <v>64</v>
      </c>
      <c r="L4768">
        <v>22</v>
      </c>
      <c r="M4768" s="2">
        <v>2.91</v>
      </c>
      <c r="N4768" s="2">
        <v>3.01</v>
      </c>
      <c r="O4768">
        <v>0</v>
      </c>
      <c r="P4768">
        <v>5</v>
      </c>
      <c r="Q4768" s="4" t="str">
        <f t="shared" si="650"/>
        <v>2018/2019-Ganjil</v>
      </c>
      <c r="R4768" s="8" t="s">
        <v>260</v>
      </c>
      <c r="S4768" t="str">
        <f t="shared" si="651"/>
        <v>PA</v>
      </c>
    </row>
    <row r="4769" spans="1:19" x14ac:dyDescent="0.3">
      <c r="A4769" t="s">
        <v>8</v>
      </c>
      <c r="B4769">
        <v>2016210048</v>
      </c>
      <c r="C4769" t="s">
        <v>64</v>
      </c>
      <c r="E4769" t="s">
        <v>227</v>
      </c>
      <c r="F4769" t="s">
        <v>228</v>
      </c>
      <c r="G4769">
        <v>2</v>
      </c>
      <c r="H4769" t="s">
        <v>438</v>
      </c>
      <c r="I4769" s="4">
        <f t="shared" si="652"/>
        <v>3</v>
      </c>
      <c r="J4769">
        <f t="shared" si="653"/>
        <v>6</v>
      </c>
      <c r="K4769">
        <v>30</v>
      </c>
      <c r="L4769">
        <v>10</v>
      </c>
      <c r="M4769" s="2">
        <v>3</v>
      </c>
      <c r="N4769" s="2">
        <v>3.01</v>
      </c>
      <c r="O4769">
        <v>0</v>
      </c>
      <c r="P4769">
        <v>7</v>
      </c>
      <c r="Q4769" s="4" t="str">
        <f t="shared" si="650"/>
        <v>2019/2020-Ganjil</v>
      </c>
      <c r="R4769" s="8" t="s">
        <v>260</v>
      </c>
      <c r="S4769" t="str">
        <f t="shared" si="651"/>
        <v>PA</v>
      </c>
    </row>
    <row r="4770" spans="1:19" x14ac:dyDescent="0.3">
      <c r="A4770" t="s">
        <v>8</v>
      </c>
      <c r="B4770">
        <v>2016210048</v>
      </c>
      <c r="C4770" t="s">
        <v>64</v>
      </c>
      <c r="E4770" t="s">
        <v>163</v>
      </c>
      <c r="F4770" t="s">
        <v>164</v>
      </c>
      <c r="G4770">
        <v>2</v>
      </c>
      <c r="H4770" t="s">
        <v>438</v>
      </c>
      <c r="I4770" s="4">
        <f t="shared" si="652"/>
        <v>3</v>
      </c>
      <c r="J4770">
        <f t="shared" si="653"/>
        <v>6</v>
      </c>
      <c r="K4770">
        <v>60</v>
      </c>
      <c r="L4770">
        <v>20</v>
      </c>
      <c r="M4770" s="2">
        <v>3</v>
      </c>
      <c r="N4770" s="2">
        <v>3.01</v>
      </c>
      <c r="O4770">
        <v>0</v>
      </c>
      <c r="P4770">
        <v>1</v>
      </c>
      <c r="Q4770" s="4" t="str">
        <f t="shared" si="650"/>
        <v>2016/2017-Ganjil</v>
      </c>
      <c r="R4770" s="8" t="s">
        <v>260</v>
      </c>
      <c r="S4770" t="str">
        <f t="shared" si="651"/>
        <v>PA</v>
      </c>
    </row>
    <row r="4771" spans="1:19" x14ac:dyDescent="0.3">
      <c r="A4771" t="s">
        <v>8</v>
      </c>
      <c r="B4771">
        <v>2016210048</v>
      </c>
      <c r="C4771" t="s">
        <v>64</v>
      </c>
      <c r="E4771" t="s">
        <v>188</v>
      </c>
      <c r="F4771" t="s">
        <v>189</v>
      </c>
      <c r="G4771">
        <v>4</v>
      </c>
      <c r="H4771" t="s">
        <v>438</v>
      </c>
      <c r="I4771" s="4">
        <f t="shared" si="652"/>
        <v>3</v>
      </c>
      <c r="J4771">
        <f t="shared" si="653"/>
        <v>12</v>
      </c>
      <c r="K4771">
        <v>64</v>
      </c>
      <c r="L4771">
        <v>22</v>
      </c>
      <c r="M4771">
        <v>2.91</v>
      </c>
      <c r="N4771" s="2">
        <v>3.01</v>
      </c>
      <c r="O4771">
        <v>0</v>
      </c>
      <c r="P4771">
        <v>5</v>
      </c>
      <c r="Q4771" s="4" t="str">
        <f t="shared" si="650"/>
        <v>2018/2019-Ganjil</v>
      </c>
      <c r="R4771" s="8" t="s">
        <v>260</v>
      </c>
      <c r="S4771" t="str">
        <f t="shared" si="651"/>
        <v>PA</v>
      </c>
    </row>
    <row r="4772" spans="1:19" x14ac:dyDescent="0.3">
      <c r="A4772" t="s">
        <v>8</v>
      </c>
      <c r="B4772">
        <v>2016210048</v>
      </c>
      <c r="C4772" t="s">
        <v>64</v>
      </c>
      <c r="E4772" t="s">
        <v>216</v>
      </c>
      <c r="F4772" t="s">
        <v>217</v>
      </c>
      <c r="G4772">
        <v>2</v>
      </c>
      <c r="H4772" t="s">
        <v>438</v>
      </c>
      <c r="I4772" s="4">
        <f t="shared" si="652"/>
        <v>3</v>
      </c>
      <c r="J4772">
        <f t="shared" si="653"/>
        <v>6</v>
      </c>
      <c r="K4772">
        <v>16</v>
      </c>
      <c r="L4772">
        <v>6</v>
      </c>
      <c r="M4772" s="2">
        <v>2.67</v>
      </c>
      <c r="N4772" s="2">
        <v>3.01</v>
      </c>
      <c r="O4772">
        <v>0</v>
      </c>
      <c r="P4772">
        <v>8</v>
      </c>
      <c r="Q4772" s="4" t="str">
        <f t="shared" si="650"/>
        <v>2019/2020-Genap</v>
      </c>
      <c r="R4772" s="8" t="s">
        <v>260</v>
      </c>
      <c r="S4772" t="str">
        <f t="shared" si="651"/>
        <v>PA</v>
      </c>
    </row>
    <row r="4773" spans="1:19" x14ac:dyDescent="0.3">
      <c r="A4773" t="s">
        <v>8</v>
      </c>
      <c r="B4773">
        <v>2016210048</v>
      </c>
      <c r="C4773" t="s">
        <v>64</v>
      </c>
      <c r="E4773" t="s">
        <v>318</v>
      </c>
      <c r="F4773" t="s">
        <v>319</v>
      </c>
      <c r="G4773">
        <v>2</v>
      </c>
      <c r="H4773" t="s">
        <v>438</v>
      </c>
      <c r="I4773" s="4">
        <f t="shared" si="652"/>
        <v>3</v>
      </c>
      <c r="J4773">
        <f t="shared" si="653"/>
        <v>6</v>
      </c>
      <c r="K4773">
        <v>64</v>
      </c>
      <c r="L4773">
        <v>22</v>
      </c>
      <c r="M4773">
        <v>2.91</v>
      </c>
      <c r="N4773" s="2">
        <v>3.01</v>
      </c>
      <c r="O4773">
        <v>0</v>
      </c>
      <c r="P4773">
        <v>5</v>
      </c>
      <c r="Q4773" s="4" t="str">
        <f t="shared" si="650"/>
        <v>2018/2019-Ganjil</v>
      </c>
      <c r="R4773" s="8" t="s">
        <v>260</v>
      </c>
      <c r="S4773" t="str">
        <f t="shared" si="651"/>
        <v>PA</v>
      </c>
    </row>
    <row r="4774" spans="1:19" x14ac:dyDescent="0.3">
      <c r="A4774" t="s">
        <v>8</v>
      </c>
      <c r="B4774">
        <v>2016210048</v>
      </c>
      <c r="C4774" t="s">
        <v>64</v>
      </c>
      <c r="E4774" t="s">
        <v>157</v>
      </c>
      <c r="F4774" t="s">
        <v>158</v>
      </c>
      <c r="G4774">
        <v>2</v>
      </c>
      <c r="H4774" t="s">
        <v>438</v>
      </c>
      <c r="I4774" s="4">
        <f t="shared" si="652"/>
        <v>3</v>
      </c>
      <c r="J4774">
        <f t="shared" si="653"/>
        <v>6</v>
      </c>
      <c r="K4774">
        <v>42</v>
      </c>
      <c r="L4774">
        <v>20</v>
      </c>
      <c r="M4774" s="2">
        <v>2.1</v>
      </c>
      <c r="N4774" s="2">
        <v>3.01</v>
      </c>
      <c r="O4774">
        <v>0</v>
      </c>
      <c r="P4774">
        <v>3</v>
      </c>
      <c r="Q4774" s="4" t="str">
        <f t="shared" si="650"/>
        <v>2017/2018-Ganjil</v>
      </c>
      <c r="R4774" s="8" t="s">
        <v>260</v>
      </c>
      <c r="S4774" t="str">
        <f t="shared" si="651"/>
        <v>PA</v>
      </c>
    </row>
    <row r="4775" spans="1:19" x14ac:dyDescent="0.3">
      <c r="A4775" t="s">
        <v>8</v>
      </c>
      <c r="B4775">
        <v>2016210048</v>
      </c>
      <c r="C4775" t="s">
        <v>64</v>
      </c>
      <c r="E4775" t="s">
        <v>22</v>
      </c>
      <c r="F4775" t="s">
        <v>23</v>
      </c>
      <c r="G4775">
        <v>2</v>
      </c>
      <c r="H4775" t="s">
        <v>438</v>
      </c>
      <c r="I4775" s="4">
        <f t="shared" si="652"/>
        <v>3</v>
      </c>
      <c r="J4775">
        <f t="shared" si="653"/>
        <v>6</v>
      </c>
      <c r="K4775">
        <v>42</v>
      </c>
      <c r="L4775">
        <v>18</v>
      </c>
      <c r="M4775">
        <v>2.33</v>
      </c>
      <c r="N4775" s="2">
        <v>3.01</v>
      </c>
      <c r="O4775">
        <v>0</v>
      </c>
      <c r="P4775">
        <v>1</v>
      </c>
      <c r="Q4775" s="4" t="str">
        <f t="shared" si="650"/>
        <v>2016/2017-Ganjil</v>
      </c>
      <c r="R4775" s="8" t="s">
        <v>260</v>
      </c>
      <c r="S4775" t="str">
        <f t="shared" si="651"/>
        <v>PA</v>
      </c>
    </row>
    <row r="4776" spans="1:19" x14ac:dyDescent="0.3">
      <c r="A4776" t="s">
        <v>8</v>
      </c>
      <c r="B4776">
        <v>2016210048</v>
      </c>
      <c r="C4776" t="s">
        <v>64</v>
      </c>
      <c r="E4776" t="s">
        <v>115</v>
      </c>
      <c r="F4776" t="s">
        <v>116</v>
      </c>
      <c r="G4776">
        <v>4</v>
      </c>
      <c r="H4776" t="s">
        <v>438</v>
      </c>
      <c r="I4776" s="4">
        <f t="shared" si="652"/>
        <v>3</v>
      </c>
      <c r="J4776">
        <f t="shared" si="653"/>
        <v>12</v>
      </c>
      <c r="K4776">
        <v>42</v>
      </c>
      <c r="L4776">
        <v>18</v>
      </c>
      <c r="M4776">
        <v>2.33</v>
      </c>
      <c r="N4776" s="2">
        <v>3.01</v>
      </c>
      <c r="O4776">
        <v>0</v>
      </c>
      <c r="P4776">
        <v>2</v>
      </c>
      <c r="Q4776" s="4" t="str">
        <f t="shared" si="650"/>
        <v>2016/2017-Genap</v>
      </c>
      <c r="R4776" s="8" t="s">
        <v>260</v>
      </c>
      <c r="S4776" t="str">
        <f t="shared" si="651"/>
        <v>PA</v>
      </c>
    </row>
    <row r="4777" spans="1:19" x14ac:dyDescent="0.3">
      <c r="A4777" t="s">
        <v>8</v>
      </c>
      <c r="B4777">
        <v>2016210048</v>
      </c>
      <c r="C4777" t="s">
        <v>64</v>
      </c>
      <c r="E4777" t="s">
        <v>266</v>
      </c>
      <c r="F4777" t="s">
        <v>91</v>
      </c>
      <c r="G4777">
        <v>2</v>
      </c>
      <c r="H4777" t="s">
        <v>438</v>
      </c>
      <c r="I4777" s="4">
        <f t="shared" si="652"/>
        <v>3</v>
      </c>
      <c r="J4777">
        <f t="shared" si="653"/>
        <v>6</v>
      </c>
      <c r="K4777">
        <v>42</v>
      </c>
      <c r="L4777">
        <v>18</v>
      </c>
      <c r="M4777">
        <v>2.33</v>
      </c>
      <c r="N4777" s="2">
        <v>3.01</v>
      </c>
      <c r="O4777">
        <v>0</v>
      </c>
      <c r="P4777">
        <v>2</v>
      </c>
      <c r="Q4777" s="4" t="str">
        <f t="shared" si="650"/>
        <v>2016/2017-Genap</v>
      </c>
      <c r="R4777" s="8" t="s">
        <v>260</v>
      </c>
      <c r="S4777" t="str">
        <f t="shared" si="651"/>
        <v>PA</v>
      </c>
    </row>
    <row r="4778" spans="1:19" x14ac:dyDescent="0.3">
      <c r="A4778" t="s">
        <v>8</v>
      </c>
      <c r="B4778">
        <v>2016210048</v>
      </c>
      <c r="C4778" t="s">
        <v>64</v>
      </c>
      <c r="E4778" t="s">
        <v>238</v>
      </c>
      <c r="F4778" t="s">
        <v>239</v>
      </c>
      <c r="G4778">
        <v>4</v>
      </c>
      <c r="H4778" t="s">
        <v>438</v>
      </c>
      <c r="I4778" s="4">
        <f t="shared" si="652"/>
        <v>3</v>
      </c>
      <c r="J4778">
        <f t="shared" si="653"/>
        <v>12</v>
      </c>
      <c r="K4778">
        <v>50</v>
      </c>
      <c r="L4778">
        <v>20</v>
      </c>
      <c r="M4778" s="2">
        <v>2.5</v>
      </c>
      <c r="N4778" s="2">
        <v>3.01</v>
      </c>
      <c r="O4778">
        <v>0</v>
      </c>
      <c r="P4778">
        <v>6</v>
      </c>
      <c r="Q4778" s="4" t="str">
        <f t="shared" si="650"/>
        <v>2018/2019-Genap</v>
      </c>
      <c r="R4778" s="8" t="s">
        <v>260</v>
      </c>
      <c r="S4778" t="str">
        <f t="shared" si="651"/>
        <v>PA</v>
      </c>
    </row>
    <row r="4779" spans="1:19" x14ac:dyDescent="0.3">
      <c r="A4779" t="s">
        <v>8</v>
      </c>
      <c r="B4779">
        <v>2016210048</v>
      </c>
      <c r="C4779" t="s">
        <v>64</v>
      </c>
      <c r="E4779" t="s">
        <v>131</v>
      </c>
      <c r="F4779" t="s">
        <v>132</v>
      </c>
      <c r="G4779">
        <v>2</v>
      </c>
      <c r="H4779" t="s">
        <v>438</v>
      </c>
      <c r="I4779" s="4">
        <f t="shared" si="652"/>
        <v>3</v>
      </c>
      <c r="J4779">
        <f t="shared" si="653"/>
        <v>6</v>
      </c>
      <c r="K4779">
        <v>60</v>
      </c>
      <c r="L4779">
        <v>20</v>
      </c>
      <c r="M4779" s="2">
        <v>3</v>
      </c>
      <c r="N4779" s="2">
        <v>3.01</v>
      </c>
      <c r="O4779">
        <v>0</v>
      </c>
      <c r="P4779">
        <v>1</v>
      </c>
      <c r="Q4779" s="4" t="str">
        <f t="shared" si="650"/>
        <v>2016/2017-Ganjil</v>
      </c>
      <c r="R4779" s="8" t="s">
        <v>260</v>
      </c>
      <c r="S4779" t="str">
        <f t="shared" si="651"/>
        <v>PA</v>
      </c>
    </row>
    <row r="4780" spans="1:19" x14ac:dyDescent="0.3">
      <c r="A4780" t="s">
        <v>8</v>
      </c>
      <c r="B4780">
        <v>2016210048</v>
      </c>
      <c r="C4780" t="s">
        <v>64</v>
      </c>
      <c r="E4780" t="s">
        <v>107</v>
      </c>
      <c r="F4780" t="s">
        <v>108</v>
      </c>
      <c r="G4780">
        <v>2</v>
      </c>
      <c r="H4780" t="s">
        <v>438</v>
      </c>
      <c r="I4780" s="4">
        <f t="shared" si="652"/>
        <v>3</v>
      </c>
      <c r="J4780">
        <f t="shared" si="653"/>
        <v>6</v>
      </c>
      <c r="K4780">
        <v>50</v>
      </c>
      <c r="L4780">
        <v>20</v>
      </c>
      <c r="M4780" s="2">
        <v>2.5</v>
      </c>
      <c r="N4780" s="2">
        <v>3.01</v>
      </c>
      <c r="O4780">
        <v>0</v>
      </c>
      <c r="P4780">
        <v>6</v>
      </c>
      <c r="Q4780" s="4" t="str">
        <f t="shared" si="650"/>
        <v>2018/2019-Genap</v>
      </c>
      <c r="R4780" s="8" t="s">
        <v>260</v>
      </c>
      <c r="S4780" t="str">
        <f t="shared" si="651"/>
        <v>PA</v>
      </c>
    </row>
    <row r="4781" spans="1:19" x14ac:dyDescent="0.3">
      <c r="A4781" t="s">
        <v>8</v>
      </c>
      <c r="B4781">
        <v>2016210048</v>
      </c>
      <c r="C4781" t="s">
        <v>64</v>
      </c>
      <c r="E4781" t="s">
        <v>176</v>
      </c>
      <c r="F4781" t="s">
        <v>177</v>
      </c>
      <c r="G4781">
        <v>4</v>
      </c>
      <c r="H4781" t="s">
        <v>438</v>
      </c>
      <c r="I4781" s="4">
        <f t="shared" si="652"/>
        <v>3</v>
      </c>
      <c r="J4781">
        <f t="shared" si="653"/>
        <v>12</v>
      </c>
      <c r="K4781">
        <v>64</v>
      </c>
      <c r="L4781">
        <v>22</v>
      </c>
      <c r="M4781">
        <v>2.91</v>
      </c>
      <c r="N4781" s="2">
        <v>3.01</v>
      </c>
      <c r="O4781">
        <v>0</v>
      </c>
      <c r="P4781">
        <v>5</v>
      </c>
      <c r="Q4781" s="4" t="str">
        <f t="shared" si="650"/>
        <v>2018/2019-Ganjil</v>
      </c>
      <c r="R4781" s="8" t="s">
        <v>260</v>
      </c>
      <c r="S4781" t="str">
        <f t="shared" si="651"/>
        <v>PA</v>
      </c>
    </row>
    <row r="4782" spans="1:19" x14ac:dyDescent="0.3">
      <c r="A4782" t="s">
        <v>8</v>
      </c>
      <c r="B4782">
        <v>2016210048</v>
      </c>
      <c r="C4782" t="s">
        <v>64</v>
      </c>
      <c r="E4782" t="s">
        <v>193</v>
      </c>
      <c r="F4782" t="s">
        <v>194</v>
      </c>
      <c r="G4782">
        <v>4</v>
      </c>
      <c r="H4782" t="s">
        <v>438</v>
      </c>
      <c r="I4782" s="4">
        <f t="shared" si="652"/>
        <v>3</v>
      </c>
      <c r="J4782">
        <f t="shared" si="653"/>
        <v>12</v>
      </c>
      <c r="K4782">
        <v>30</v>
      </c>
      <c r="L4782">
        <v>10</v>
      </c>
      <c r="M4782" s="2">
        <v>3</v>
      </c>
      <c r="N4782" s="2">
        <v>3.01</v>
      </c>
      <c r="O4782">
        <v>0</v>
      </c>
      <c r="P4782">
        <v>7</v>
      </c>
      <c r="Q4782" s="4" t="str">
        <f t="shared" si="650"/>
        <v>2019/2020-Ganjil</v>
      </c>
      <c r="R4782" s="8" t="s">
        <v>260</v>
      </c>
      <c r="S4782" t="str">
        <f t="shared" si="651"/>
        <v>PA</v>
      </c>
    </row>
    <row r="4783" spans="1:19" x14ac:dyDescent="0.3">
      <c r="A4783" t="s">
        <v>8</v>
      </c>
      <c r="B4783">
        <v>2016210048</v>
      </c>
      <c r="C4783" t="s">
        <v>64</v>
      </c>
      <c r="E4783" t="s">
        <v>352</v>
      </c>
      <c r="F4783" t="s">
        <v>353</v>
      </c>
      <c r="G4783">
        <v>2</v>
      </c>
      <c r="H4783" t="s">
        <v>438</v>
      </c>
      <c r="I4783" s="4">
        <f t="shared" si="652"/>
        <v>3</v>
      </c>
      <c r="J4783">
        <f t="shared" si="653"/>
        <v>6</v>
      </c>
      <c r="K4783">
        <v>64</v>
      </c>
      <c r="L4783">
        <v>22</v>
      </c>
      <c r="M4783">
        <v>2.91</v>
      </c>
      <c r="N4783" s="2">
        <v>3.01</v>
      </c>
      <c r="O4783">
        <v>0</v>
      </c>
      <c r="P4783">
        <v>5</v>
      </c>
      <c r="Q4783" s="4" t="str">
        <f t="shared" si="650"/>
        <v>2018/2019-Ganjil</v>
      </c>
      <c r="R4783" s="8" t="s">
        <v>260</v>
      </c>
      <c r="S4783" t="str">
        <f t="shared" si="651"/>
        <v>PA</v>
      </c>
    </row>
    <row r="4784" spans="1:19" x14ac:dyDescent="0.3">
      <c r="A4784" t="s">
        <v>8</v>
      </c>
      <c r="B4784">
        <v>2016210048</v>
      </c>
      <c r="C4784" t="s">
        <v>64</v>
      </c>
      <c r="E4784" t="s">
        <v>147</v>
      </c>
      <c r="F4784" t="s">
        <v>148</v>
      </c>
      <c r="G4784">
        <v>4</v>
      </c>
      <c r="H4784" t="s">
        <v>438</v>
      </c>
      <c r="I4784" s="4">
        <f t="shared" si="652"/>
        <v>3</v>
      </c>
      <c r="J4784">
        <f t="shared" si="653"/>
        <v>12</v>
      </c>
      <c r="K4784">
        <v>60</v>
      </c>
      <c r="L4784">
        <v>20</v>
      </c>
      <c r="M4784" s="2">
        <v>3</v>
      </c>
      <c r="N4784" s="2">
        <v>3.01</v>
      </c>
      <c r="O4784">
        <v>0</v>
      </c>
      <c r="P4784">
        <v>1</v>
      </c>
      <c r="Q4784" s="4" t="str">
        <f t="shared" si="650"/>
        <v>2016/2017-Ganjil</v>
      </c>
      <c r="R4784" s="8" t="s">
        <v>260</v>
      </c>
      <c r="S4784" t="str">
        <f t="shared" si="651"/>
        <v>PA</v>
      </c>
    </row>
    <row r="4785" spans="1:19" x14ac:dyDescent="0.3">
      <c r="A4785" t="s">
        <v>8</v>
      </c>
      <c r="B4785">
        <v>2016210048</v>
      </c>
      <c r="C4785" t="s">
        <v>64</v>
      </c>
      <c r="E4785" t="s">
        <v>391</v>
      </c>
      <c r="F4785" t="s">
        <v>392</v>
      </c>
      <c r="G4785">
        <v>2</v>
      </c>
      <c r="H4785" t="s">
        <v>438</v>
      </c>
      <c r="I4785" s="4">
        <f t="shared" si="652"/>
        <v>3</v>
      </c>
      <c r="J4785">
        <f t="shared" si="653"/>
        <v>6</v>
      </c>
      <c r="K4785">
        <v>64</v>
      </c>
      <c r="L4785">
        <v>22</v>
      </c>
      <c r="M4785">
        <v>2.91</v>
      </c>
      <c r="N4785" s="2">
        <v>3.01</v>
      </c>
      <c r="O4785">
        <v>0</v>
      </c>
      <c r="P4785">
        <v>5</v>
      </c>
      <c r="Q4785" s="4" t="str">
        <f t="shared" si="650"/>
        <v>2018/2019-Ganjil</v>
      </c>
      <c r="R4785" s="8" t="s">
        <v>260</v>
      </c>
      <c r="S4785" t="str">
        <f t="shared" si="651"/>
        <v>PA</v>
      </c>
    </row>
    <row r="4786" spans="1:19" x14ac:dyDescent="0.3">
      <c r="A4786" t="s">
        <v>8</v>
      </c>
      <c r="B4786">
        <v>2016210048</v>
      </c>
      <c r="C4786" t="s">
        <v>64</v>
      </c>
      <c r="E4786" t="s">
        <v>355</v>
      </c>
      <c r="F4786" t="s">
        <v>274</v>
      </c>
      <c r="G4786">
        <v>2</v>
      </c>
      <c r="H4786" t="s">
        <v>438</v>
      </c>
      <c r="I4786" s="4">
        <f t="shared" si="652"/>
        <v>3</v>
      </c>
      <c r="J4786">
        <f t="shared" si="653"/>
        <v>6</v>
      </c>
      <c r="K4786">
        <v>16</v>
      </c>
      <c r="L4786">
        <v>6</v>
      </c>
      <c r="M4786" s="2">
        <v>2.67</v>
      </c>
      <c r="N4786" s="2">
        <v>3.01</v>
      </c>
      <c r="O4786">
        <v>0</v>
      </c>
      <c r="P4786">
        <v>8</v>
      </c>
      <c r="Q4786" s="4" t="str">
        <f t="shared" si="650"/>
        <v>2019/2020-Genap</v>
      </c>
      <c r="R4786" s="8" t="s">
        <v>260</v>
      </c>
      <c r="S4786" t="str">
        <f t="shared" si="651"/>
        <v>PA</v>
      </c>
    </row>
    <row r="4787" spans="1:19" x14ac:dyDescent="0.3">
      <c r="A4787" t="s">
        <v>8</v>
      </c>
      <c r="B4787">
        <v>2016210048</v>
      </c>
      <c r="C4787" t="s">
        <v>64</v>
      </c>
      <c r="E4787" t="s">
        <v>279</v>
      </c>
      <c r="F4787" t="s">
        <v>280</v>
      </c>
      <c r="G4787">
        <v>2</v>
      </c>
      <c r="H4787" t="s">
        <v>438</v>
      </c>
      <c r="I4787" s="4">
        <f t="shared" si="652"/>
        <v>3</v>
      </c>
      <c r="J4787">
        <f t="shared" si="653"/>
        <v>6</v>
      </c>
      <c r="K4787">
        <v>42</v>
      </c>
      <c r="L4787">
        <v>18</v>
      </c>
      <c r="M4787">
        <v>2.33</v>
      </c>
      <c r="N4787" s="2">
        <v>3.01</v>
      </c>
      <c r="O4787">
        <v>0</v>
      </c>
      <c r="P4787">
        <v>2</v>
      </c>
      <c r="Q4787" s="4" t="str">
        <f t="shared" si="650"/>
        <v>2016/2017-Genap</v>
      </c>
      <c r="R4787" s="8" t="s">
        <v>260</v>
      </c>
      <c r="S4787" t="str">
        <f t="shared" si="651"/>
        <v>PA</v>
      </c>
    </row>
    <row r="4788" spans="1:19" x14ac:dyDescent="0.3">
      <c r="A4788" t="s">
        <v>8</v>
      </c>
      <c r="B4788">
        <v>2016210048</v>
      </c>
      <c r="C4788" t="s">
        <v>64</v>
      </c>
      <c r="E4788" t="s">
        <v>407</v>
      </c>
      <c r="F4788" t="s">
        <v>312</v>
      </c>
      <c r="G4788">
        <v>2</v>
      </c>
      <c r="H4788" t="s">
        <v>438</v>
      </c>
      <c r="I4788" s="4">
        <f t="shared" si="652"/>
        <v>3</v>
      </c>
      <c r="J4788">
        <f t="shared" si="653"/>
        <v>6</v>
      </c>
      <c r="K4788">
        <v>64</v>
      </c>
      <c r="L4788">
        <v>22</v>
      </c>
      <c r="M4788">
        <v>2.91</v>
      </c>
      <c r="N4788" s="2">
        <v>3.01</v>
      </c>
      <c r="O4788">
        <v>0</v>
      </c>
      <c r="P4788">
        <v>5</v>
      </c>
      <c r="Q4788" s="4" t="str">
        <f t="shared" si="650"/>
        <v>2018/2019-Ganjil</v>
      </c>
      <c r="R4788" s="8" t="s">
        <v>260</v>
      </c>
      <c r="S4788" t="str">
        <f t="shared" si="651"/>
        <v>PA</v>
      </c>
    </row>
    <row r="4789" spans="1:19" x14ac:dyDescent="0.3">
      <c r="A4789" t="s">
        <v>8</v>
      </c>
      <c r="B4789">
        <v>2016210048</v>
      </c>
      <c r="C4789" t="s">
        <v>64</v>
      </c>
      <c r="E4789" t="s">
        <v>93</v>
      </c>
      <c r="F4789" t="s">
        <v>94</v>
      </c>
      <c r="G4789">
        <v>4</v>
      </c>
      <c r="H4789" t="s">
        <v>438</v>
      </c>
      <c r="I4789" s="4">
        <f t="shared" si="652"/>
        <v>3</v>
      </c>
      <c r="J4789">
        <f t="shared" si="653"/>
        <v>12</v>
      </c>
      <c r="K4789">
        <v>42</v>
      </c>
      <c r="L4789">
        <v>20</v>
      </c>
      <c r="M4789" s="2">
        <v>2.1</v>
      </c>
      <c r="N4789" s="2">
        <v>3.01</v>
      </c>
      <c r="O4789">
        <v>0</v>
      </c>
      <c r="P4789">
        <v>3</v>
      </c>
      <c r="Q4789" s="4" t="str">
        <f t="shared" si="650"/>
        <v>2017/2018-Ganjil</v>
      </c>
      <c r="R4789" s="8" t="s">
        <v>260</v>
      </c>
      <c r="S4789" t="str">
        <f t="shared" si="651"/>
        <v>PA</v>
      </c>
    </row>
    <row r="4790" spans="1:19" x14ac:dyDescent="0.3">
      <c r="A4790" t="s">
        <v>8</v>
      </c>
      <c r="B4790">
        <v>2016210048</v>
      </c>
      <c r="C4790" t="s">
        <v>64</v>
      </c>
      <c r="E4790" t="s">
        <v>19</v>
      </c>
      <c r="F4790" t="s">
        <v>20</v>
      </c>
      <c r="G4790">
        <v>6</v>
      </c>
      <c r="H4790" t="s">
        <v>438</v>
      </c>
      <c r="I4790" s="4">
        <f t="shared" si="652"/>
        <v>3</v>
      </c>
      <c r="J4790">
        <f t="shared" si="653"/>
        <v>18</v>
      </c>
      <c r="K4790">
        <v>18</v>
      </c>
      <c r="L4790">
        <v>6</v>
      </c>
      <c r="M4790" s="2">
        <v>3</v>
      </c>
      <c r="N4790" s="2">
        <v>3.01</v>
      </c>
      <c r="O4790">
        <v>0</v>
      </c>
      <c r="P4790">
        <v>11</v>
      </c>
      <c r="Q4790" s="4" t="str">
        <f t="shared" si="650"/>
        <v>2021/2022-Ganjil</v>
      </c>
      <c r="R4790" t="s">
        <v>596</v>
      </c>
      <c r="S4790" t="str">
        <f t="shared" si="651"/>
        <v>PA</v>
      </c>
    </row>
    <row r="4791" spans="1:19" x14ac:dyDescent="0.3">
      <c r="A4791" t="s">
        <v>8</v>
      </c>
      <c r="B4791">
        <v>2016210048</v>
      </c>
      <c r="C4791" t="s">
        <v>64</v>
      </c>
      <c r="E4791" t="s">
        <v>253</v>
      </c>
      <c r="F4791" t="s">
        <v>254</v>
      </c>
      <c r="G4791">
        <v>2</v>
      </c>
      <c r="H4791" t="s">
        <v>438</v>
      </c>
      <c r="I4791" s="4">
        <f t="shared" si="652"/>
        <v>3</v>
      </c>
      <c r="J4791">
        <f t="shared" si="653"/>
        <v>6</v>
      </c>
      <c r="K4791">
        <v>58</v>
      </c>
      <c r="L4791">
        <v>20</v>
      </c>
      <c r="M4791" s="2">
        <v>2.9</v>
      </c>
      <c r="N4791" s="2">
        <v>3.01</v>
      </c>
      <c r="O4791">
        <v>0</v>
      </c>
      <c r="P4791">
        <v>4</v>
      </c>
      <c r="Q4791" s="4" t="str">
        <f t="shared" si="650"/>
        <v>2017/2018-Genap</v>
      </c>
      <c r="R4791" s="8" t="s">
        <v>260</v>
      </c>
      <c r="S4791" t="str">
        <f t="shared" si="651"/>
        <v>PA</v>
      </c>
    </row>
    <row r="4792" spans="1:19" x14ac:dyDescent="0.3">
      <c r="A4792" t="s">
        <v>8</v>
      </c>
      <c r="B4792">
        <v>2016210048</v>
      </c>
      <c r="C4792" t="s">
        <v>64</v>
      </c>
      <c r="E4792" t="s">
        <v>117</v>
      </c>
      <c r="F4792" t="s">
        <v>118</v>
      </c>
      <c r="G4792">
        <v>2</v>
      </c>
      <c r="H4792" t="s">
        <v>438</v>
      </c>
      <c r="I4792" s="4">
        <f t="shared" si="652"/>
        <v>3</v>
      </c>
      <c r="J4792">
        <f t="shared" si="653"/>
        <v>6</v>
      </c>
      <c r="K4792">
        <v>42</v>
      </c>
      <c r="L4792">
        <v>18</v>
      </c>
      <c r="M4792">
        <v>2.33</v>
      </c>
      <c r="N4792" s="2">
        <v>3.01</v>
      </c>
      <c r="O4792">
        <v>0</v>
      </c>
      <c r="P4792">
        <v>2</v>
      </c>
      <c r="Q4792" s="4" t="str">
        <f t="shared" si="650"/>
        <v>2016/2017-Genap</v>
      </c>
      <c r="R4792" s="8" t="s">
        <v>260</v>
      </c>
      <c r="S4792" t="str">
        <f t="shared" si="651"/>
        <v>PA</v>
      </c>
    </row>
    <row r="4793" spans="1:19" x14ac:dyDescent="0.3">
      <c r="A4793" t="s">
        <v>8</v>
      </c>
      <c r="B4793">
        <v>2016210048</v>
      </c>
      <c r="C4793" t="s">
        <v>64</v>
      </c>
      <c r="E4793" t="s">
        <v>80</v>
      </c>
      <c r="F4793" t="s">
        <v>81</v>
      </c>
      <c r="G4793">
        <v>4</v>
      </c>
      <c r="H4793" t="s">
        <v>438</v>
      </c>
      <c r="I4793" s="4">
        <f t="shared" si="652"/>
        <v>3</v>
      </c>
      <c r="J4793">
        <f t="shared" si="653"/>
        <v>12</v>
      </c>
      <c r="K4793">
        <v>50</v>
      </c>
      <c r="L4793">
        <v>20</v>
      </c>
      <c r="M4793" s="2">
        <v>2.5</v>
      </c>
      <c r="N4793" s="2">
        <v>3.01</v>
      </c>
      <c r="O4793">
        <v>0</v>
      </c>
      <c r="P4793">
        <v>6</v>
      </c>
      <c r="Q4793" s="4" t="str">
        <f t="shared" si="650"/>
        <v>2018/2019-Genap</v>
      </c>
      <c r="R4793" s="8" t="s">
        <v>260</v>
      </c>
      <c r="S4793" t="str">
        <f t="shared" si="651"/>
        <v>PA</v>
      </c>
    </row>
    <row r="4794" spans="1:19" x14ac:dyDescent="0.3">
      <c r="A4794" t="s">
        <v>8</v>
      </c>
      <c r="B4794">
        <v>2016210048</v>
      </c>
      <c r="C4794" t="s">
        <v>64</v>
      </c>
      <c r="E4794" t="s">
        <v>395</v>
      </c>
      <c r="F4794" t="s">
        <v>396</v>
      </c>
      <c r="G4794">
        <v>2</v>
      </c>
      <c r="H4794" t="s">
        <v>524</v>
      </c>
      <c r="I4794" s="4">
        <f t="shared" si="652"/>
        <v>2</v>
      </c>
      <c r="J4794">
        <f t="shared" si="653"/>
        <v>4</v>
      </c>
      <c r="K4794">
        <v>60</v>
      </c>
      <c r="L4794">
        <v>20</v>
      </c>
      <c r="M4794" s="2">
        <v>3</v>
      </c>
      <c r="N4794" s="2">
        <v>3.01</v>
      </c>
      <c r="O4794">
        <v>0</v>
      </c>
      <c r="P4794">
        <v>1</v>
      </c>
      <c r="Q4794" s="4" t="str">
        <f t="shared" si="650"/>
        <v>2016/2017-Ganjil</v>
      </c>
      <c r="R4794" s="8" t="s">
        <v>260</v>
      </c>
      <c r="S4794" t="str">
        <f t="shared" si="651"/>
        <v>PA</v>
      </c>
    </row>
    <row r="4795" spans="1:19" x14ac:dyDescent="0.3">
      <c r="A4795" t="s">
        <v>8</v>
      </c>
      <c r="B4795">
        <v>2016210048</v>
      </c>
      <c r="C4795" t="s">
        <v>64</v>
      </c>
      <c r="E4795" t="s">
        <v>395</v>
      </c>
      <c r="F4795" t="s">
        <v>396</v>
      </c>
      <c r="G4795">
        <v>2</v>
      </c>
      <c r="H4795" t="s">
        <v>438</v>
      </c>
      <c r="I4795" s="4">
        <f t="shared" si="652"/>
        <v>3</v>
      </c>
      <c r="J4795">
        <f t="shared" si="653"/>
        <v>6</v>
      </c>
      <c r="K4795">
        <v>54</v>
      </c>
      <c r="L4795">
        <v>18</v>
      </c>
      <c r="M4795" s="2">
        <v>3</v>
      </c>
      <c r="N4795" s="2">
        <v>3.01</v>
      </c>
      <c r="O4795">
        <v>1</v>
      </c>
      <c r="P4795">
        <v>10</v>
      </c>
      <c r="Q4795" s="4" t="s">
        <v>578</v>
      </c>
      <c r="R4795" s="8" t="s">
        <v>260</v>
      </c>
      <c r="S4795" t="str">
        <f t="shared" si="651"/>
        <v>PA</v>
      </c>
    </row>
    <row r="4796" spans="1:19" x14ac:dyDescent="0.3">
      <c r="A4796" t="s">
        <v>8</v>
      </c>
      <c r="B4796">
        <v>2016210048</v>
      </c>
      <c r="C4796" t="s">
        <v>64</v>
      </c>
      <c r="E4796" t="s">
        <v>439</v>
      </c>
      <c r="F4796" t="s">
        <v>504</v>
      </c>
      <c r="G4796">
        <v>2</v>
      </c>
      <c r="H4796" t="s">
        <v>524</v>
      </c>
      <c r="I4796" s="4">
        <f t="shared" si="652"/>
        <v>2</v>
      </c>
      <c r="J4796">
        <f t="shared" si="653"/>
        <v>4</v>
      </c>
      <c r="K4796">
        <v>16</v>
      </c>
      <c r="L4796">
        <v>6</v>
      </c>
      <c r="M4796" s="2">
        <v>2.67</v>
      </c>
      <c r="N4796" s="2">
        <v>3.01</v>
      </c>
      <c r="O4796">
        <v>0</v>
      </c>
      <c r="P4796">
        <v>8</v>
      </c>
      <c r="Q4796" s="4" t="str">
        <f t="shared" ref="Q4796:Q4809" si="654">IF(P4796=1,"2016/2017-Ganjil",IF(P4796=2,"2016/2017-Genap",IF(P4796=3,"2017/2018-Ganjil",IF(P4796=4,"2017/2018-Genap",IF(P4796=5,"2018/2019-Ganjil",IF(P4796=6,"2018/2019-Genap",IF(P4796=7,"2019/2020-Ganjil",IF(P4796=8,"2019/2020-Genap",IF(P4796=9,"2020/2021-Ganjil",IF(P4796=10,"2020/2021-Genap",IF(P4796=11,"2021/2022-Ganjil",IF(P4796=12,"2021/2022-Genap",IF(P4796=13,"2022/2023-Ganjil","2022/2023-Genap")))))))))))))</f>
        <v>2019/2020-Genap</v>
      </c>
      <c r="R4796" s="8" t="s">
        <v>260</v>
      </c>
      <c r="S4796" t="str">
        <f t="shared" si="651"/>
        <v>PA</v>
      </c>
    </row>
    <row r="4797" spans="1:19" x14ac:dyDescent="0.3">
      <c r="A4797" t="s">
        <v>8</v>
      </c>
      <c r="B4797">
        <v>2016210048</v>
      </c>
      <c r="C4797" t="s">
        <v>64</v>
      </c>
      <c r="E4797" t="s">
        <v>439</v>
      </c>
      <c r="F4797" t="s">
        <v>504</v>
      </c>
      <c r="G4797">
        <v>2</v>
      </c>
      <c r="H4797" t="s">
        <v>438</v>
      </c>
      <c r="I4797" s="4">
        <f t="shared" si="652"/>
        <v>3</v>
      </c>
      <c r="J4797">
        <f t="shared" si="653"/>
        <v>6</v>
      </c>
      <c r="K4797">
        <v>28</v>
      </c>
      <c r="L4797">
        <v>8</v>
      </c>
      <c r="M4797" s="2">
        <v>3.5</v>
      </c>
      <c r="N4797" s="2">
        <v>3.01</v>
      </c>
      <c r="O4797">
        <v>1</v>
      </c>
      <c r="P4797">
        <v>10</v>
      </c>
      <c r="Q4797" s="4" t="str">
        <f t="shared" si="654"/>
        <v>2020/2021-Genap</v>
      </c>
      <c r="R4797" s="8" t="s">
        <v>260</v>
      </c>
      <c r="S4797" t="str">
        <f t="shared" si="651"/>
        <v>PA</v>
      </c>
    </row>
    <row r="4798" spans="1:19" x14ac:dyDescent="0.3">
      <c r="A4798" t="s">
        <v>8</v>
      </c>
      <c r="B4798">
        <v>2016210048</v>
      </c>
      <c r="C4798" t="s">
        <v>64</v>
      </c>
      <c r="E4798" t="s">
        <v>393</v>
      </c>
      <c r="F4798" t="s">
        <v>436</v>
      </c>
      <c r="G4798">
        <v>2</v>
      </c>
      <c r="H4798" t="s">
        <v>524</v>
      </c>
      <c r="I4798" s="4">
        <f t="shared" si="652"/>
        <v>2</v>
      </c>
      <c r="J4798">
        <f t="shared" si="653"/>
        <v>4</v>
      </c>
      <c r="K4798">
        <v>64</v>
      </c>
      <c r="L4798">
        <v>22</v>
      </c>
      <c r="M4798">
        <v>2.91</v>
      </c>
      <c r="N4798" s="2">
        <v>3.01</v>
      </c>
      <c r="O4798">
        <v>0</v>
      </c>
      <c r="P4798">
        <v>5</v>
      </c>
      <c r="Q4798" s="4" t="str">
        <f t="shared" si="654"/>
        <v>2018/2019-Ganjil</v>
      </c>
      <c r="R4798" s="8" t="s">
        <v>260</v>
      </c>
      <c r="S4798" t="str">
        <f t="shared" si="651"/>
        <v>PA</v>
      </c>
    </row>
    <row r="4799" spans="1:19" x14ac:dyDescent="0.3">
      <c r="A4799" t="s">
        <v>8</v>
      </c>
      <c r="B4799">
        <v>2016210048</v>
      </c>
      <c r="C4799" t="s">
        <v>64</v>
      </c>
      <c r="E4799" t="s">
        <v>449</v>
      </c>
      <c r="F4799" t="s">
        <v>460</v>
      </c>
      <c r="G4799">
        <v>4</v>
      </c>
      <c r="H4799" t="s">
        <v>524</v>
      </c>
      <c r="I4799" s="4">
        <f t="shared" si="652"/>
        <v>2</v>
      </c>
      <c r="J4799">
        <f t="shared" si="653"/>
        <v>8</v>
      </c>
      <c r="K4799">
        <v>58</v>
      </c>
      <c r="L4799">
        <v>20</v>
      </c>
      <c r="M4799" s="2">
        <v>2.9</v>
      </c>
      <c r="N4799" s="2">
        <v>3.01</v>
      </c>
      <c r="O4799">
        <v>0</v>
      </c>
      <c r="P4799">
        <v>4</v>
      </c>
      <c r="Q4799" s="4" t="str">
        <f t="shared" si="654"/>
        <v>2017/2018-Genap</v>
      </c>
      <c r="R4799" s="8" t="s">
        <v>260</v>
      </c>
      <c r="S4799" t="str">
        <f t="shared" si="651"/>
        <v>PA</v>
      </c>
    </row>
    <row r="4800" spans="1:19" x14ac:dyDescent="0.3">
      <c r="A4800" t="s">
        <v>8</v>
      </c>
      <c r="B4800">
        <v>2016210048</v>
      </c>
      <c r="C4800" t="s">
        <v>64</v>
      </c>
      <c r="E4800" t="s">
        <v>246</v>
      </c>
      <c r="F4800" t="s">
        <v>247</v>
      </c>
      <c r="G4800">
        <v>4</v>
      </c>
      <c r="H4800" t="s">
        <v>524</v>
      </c>
      <c r="I4800" s="4">
        <f t="shared" si="652"/>
        <v>2</v>
      </c>
      <c r="J4800">
        <f t="shared" si="653"/>
        <v>8</v>
      </c>
      <c r="K4800">
        <v>58</v>
      </c>
      <c r="L4800">
        <v>20</v>
      </c>
      <c r="M4800" s="2">
        <v>2.9</v>
      </c>
      <c r="N4800" s="2">
        <v>3.01</v>
      </c>
      <c r="O4800">
        <v>0</v>
      </c>
      <c r="P4800">
        <v>4</v>
      </c>
      <c r="Q4800" s="4" t="str">
        <f t="shared" si="654"/>
        <v>2017/2018-Genap</v>
      </c>
      <c r="R4800" s="8" t="s">
        <v>260</v>
      </c>
      <c r="S4800" t="str">
        <f t="shared" si="651"/>
        <v>PA</v>
      </c>
    </row>
    <row r="4801" spans="1:19" x14ac:dyDescent="0.3">
      <c r="A4801" t="s">
        <v>8</v>
      </c>
      <c r="B4801">
        <v>2016210048</v>
      </c>
      <c r="C4801" t="s">
        <v>64</v>
      </c>
      <c r="E4801" t="s">
        <v>182</v>
      </c>
      <c r="F4801" t="s">
        <v>171</v>
      </c>
      <c r="G4801">
        <v>2</v>
      </c>
      <c r="H4801" t="s">
        <v>524</v>
      </c>
      <c r="I4801" s="4">
        <f t="shared" si="652"/>
        <v>2</v>
      </c>
      <c r="J4801">
        <f t="shared" si="653"/>
        <v>4</v>
      </c>
      <c r="K4801">
        <v>42</v>
      </c>
      <c r="L4801">
        <v>20</v>
      </c>
      <c r="M4801" s="2">
        <v>2.1</v>
      </c>
      <c r="N4801" s="2">
        <v>3.01</v>
      </c>
      <c r="O4801">
        <v>0</v>
      </c>
      <c r="P4801">
        <v>3</v>
      </c>
      <c r="Q4801" s="4" t="str">
        <f t="shared" si="654"/>
        <v>2017/2018-Ganjil</v>
      </c>
      <c r="R4801" s="8" t="s">
        <v>260</v>
      </c>
      <c r="S4801" t="str">
        <f t="shared" si="651"/>
        <v>PA</v>
      </c>
    </row>
    <row r="4802" spans="1:19" x14ac:dyDescent="0.3">
      <c r="A4802" t="s">
        <v>8</v>
      </c>
      <c r="B4802">
        <v>2016210048</v>
      </c>
      <c r="C4802" t="s">
        <v>64</v>
      </c>
      <c r="E4802" t="s">
        <v>182</v>
      </c>
      <c r="F4802" t="s">
        <v>171</v>
      </c>
      <c r="G4802">
        <v>2</v>
      </c>
      <c r="H4802" t="s">
        <v>438</v>
      </c>
      <c r="I4802" s="4">
        <f t="shared" si="652"/>
        <v>3</v>
      </c>
      <c r="J4802">
        <f t="shared" si="653"/>
        <v>6</v>
      </c>
      <c r="K4802">
        <v>6</v>
      </c>
      <c r="L4802">
        <v>2</v>
      </c>
      <c r="M4802" s="2">
        <v>3</v>
      </c>
      <c r="N4802" s="2">
        <v>3.01</v>
      </c>
      <c r="O4802">
        <v>1</v>
      </c>
      <c r="P4802">
        <v>9</v>
      </c>
      <c r="Q4802" s="4" t="str">
        <f t="shared" si="654"/>
        <v>2020/2021-Ganjil</v>
      </c>
      <c r="R4802" s="8" t="s">
        <v>260</v>
      </c>
      <c r="S4802" t="str">
        <f t="shared" si="651"/>
        <v>PA</v>
      </c>
    </row>
    <row r="4803" spans="1:19" x14ac:dyDescent="0.3">
      <c r="A4803" t="s">
        <v>8</v>
      </c>
      <c r="B4803">
        <v>2016210048</v>
      </c>
      <c r="C4803" t="s">
        <v>64</v>
      </c>
      <c r="E4803" t="s">
        <v>136</v>
      </c>
      <c r="F4803" t="s">
        <v>137</v>
      </c>
      <c r="G4803">
        <v>4</v>
      </c>
      <c r="H4803" t="s">
        <v>524</v>
      </c>
      <c r="I4803" s="4">
        <f t="shared" si="652"/>
        <v>2</v>
      </c>
      <c r="J4803">
        <f t="shared" si="653"/>
        <v>8</v>
      </c>
      <c r="K4803">
        <v>50</v>
      </c>
      <c r="L4803">
        <v>20</v>
      </c>
      <c r="M4803" s="2">
        <v>2.5</v>
      </c>
      <c r="N4803" s="2">
        <v>3.01</v>
      </c>
      <c r="O4803">
        <v>0</v>
      </c>
      <c r="P4803">
        <v>6</v>
      </c>
      <c r="Q4803" s="4" t="str">
        <f t="shared" si="654"/>
        <v>2018/2019-Genap</v>
      </c>
      <c r="R4803" s="8" t="s">
        <v>260</v>
      </c>
      <c r="S4803" t="str">
        <f t="shared" si="651"/>
        <v>PA</v>
      </c>
    </row>
    <row r="4804" spans="1:19" x14ac:dyDescent="0.3">
      <c r="A4804" t="s">
        <v>8</v>
      </c>
      <c r="B4804">
        <v>2016210048</v>
      </c>
      <c r="C4804" t="s">
        <v>64</v>
      </c>
      <c r="E4804" t="s">
        <v>136</v>
      </c>
      <c r="F4804" t="s">
        <v>137</v>
      </c>
      <c r="G4804">
        <v>4</v>
      </c>
      <c r="H4804" t="s">
        <v>260</v>
      </c>
      <c r="I4804" s="4">
        <f t="shared" si="652"/>
        <v>4</v>
      </c>
      <c r="J4804">
        <f t="shared" si="653"/>
        <v>16</v>
      </c>
      <c r="K4804">
        <v>28</v>
      </c>
      <c r="L4804">
        <v>8</v>
      </c>
      <c r="M4804" s="2">
        <v>3.5</v>
      </c>
      <c r="N4804" s="2">
        <v>3.01</v>
      </c>
      <c r="O4804">
        <v>1</v>
      </c>
      <c r="P4804">
        <v>10</v>
      </c>
      <c r="Q4804" s="4" t="str">
        <f t="shared" si="654"/>
        <v>2020/2021-Genap</v>
      </c>
      <c r="R4804" s="8" t="s">
        <v>260</v>
      </c>
      <c r="S4804" t="str">
        <f t="shared" si="651"/>
        <v>PA</v>
      </c>
    </row>
    <row r="4805" spans="1:19" x14ac:dyDescent="0.3">
      <c r="A4805" t="s">
        <v>8</v>
      </c>
      <c r="B4805">
        <v>2016210048</v>
      </c>
      <c r="C4805" t="s">
        <v>64</v>
      </c>
      <c r="E4805" t="s">
        <v>369</v>
      </c>
      <c r="F4805" t="s">
        <v>307</v>
      </c>
      <c r="G4805">
        <v>2</v>
      </c>
      <c r="H4805" t="s">
        <v>524</v>
      </c>
      <c r="I4805" s="4">
        <f t="shared" si="652"/>
        <v>2</v>
      </c>
      <c r="J4805">
        <f t="shared" si="653"/>
        <v>4</v>
      </c>
      <c r="K4805">
        <v>58</v>
      </c>
      <c r="L4805">
        <v>20</v>
      </c>
      <c r="M4805" s="2">
        <v>2.9</v>
      </c>
      <c r="N4805" s="2">
        <v>3.01</v>
      </c>
      <c r="O4805">
        <v>0</v>
      </c>
      <c r="P4805">
        <v>4</v>
      </c>
      <c r="Q4805" s="4" t="str">
        <f t="shared" si="654"/>
        <v>2017/2018-Genap</v>
      </c>
      <c r="R4805" s="8" t="s">
        <v>260</v>
      </c>
      <c r="S4805" t="str">
        <f t="shared" si="651"/>
        <v>PA</v>
      </c>
    </row>
    <row r="4806" spans="1:19" x14ac:dyDescent="0.3">
      <c r="A4806" t="s">
        <v>8</v>
      </c>
      <c r="B4806">
        <v>2016210048</v>
      </c>
      <c r="C4806" t="s">
        <v>64</v>
      </c>
      <c r="E4806" t="s">
        <v>105</v>
      </c>
      <c r="F4806" t="s">
        <v>106</v>
      </c>
      <c r="G4806">
        <v>2</v>
      </c>
      <c r="H4806" t="s">
        <v>524</v>
      </c>
      <c r="I4806" s="4">
        <f t="shared" si="652"/>
        <v>2</v>
      </c>
      <c r="J4806">
        <f t="shared" si="653"/>
        <v>4</v>
      </c>
      <c r="K4806">
        <v>42</v>
      </c>
      <c r="L4806">
        <v>20</v>
      </c>
      <c r="M4806" s="2">
        <v>2.1</v>
      </c>
      <c r="N4806" s="2">
        <v>3.01</v>
      </c>
      <c r="O4806">
        <v>0</v>
      </c>
      <c r="P4806">
        <v>3</v>
      </c>
      <c r="Q4806" s="4" t="str">
        <f t="shared" si="654"/>
        <v>2017/2018-Ganjil</v>
      </c>
      <c r="R4806" s="8" t="s">
        <v>260</v>
      </c>
      <c r="S4806" t="str">
        <f t="shared" si="651"/>
        <v>PA</v>
      </c>
    </row>
    <row r="4807" spans="1:19" x14ac:dyDescent="0.3">
      <c r="A4807" t="s">
        <v>8</v>
      </c>
      <c r="B4807">
        <v>2016210048</v>
      </c>
      <c r="C4807" t="s">
        <v>64</v>
      </c>
      <c r="E4807" t="s">
        <v>119</v>
      </c>
      <c r="F4807" t="s">
        <v>120</v>
      </c>
      <c r="G4807">
        <v>2</v>
      </c>
      <c r="H4807" t="s">
        <v>524</v>
      </c>
      <c r="I4807" s="4">
        <f t="shared" si="652"/>
        <v>2</v>
      </c>
      <c r="J4807">
        <f t="shared" si="653"/>
        <v>4</v>
      </c>
      <c r="K4807">
        <v>50</v>
      </c>
      <c r="L4807">
        <v>20</v>
      </c>
      <c r="M4807" s="2">
        <v>2.5</v>
      </c>
      <c r="N4807" s="2">
        <v>3.01</v>
      </c>
      <c r="O4807">
        <v>0</v>
      </c>
      <c r="P4807">
        <v>6</v>
      </c>
      <c r="Q4807" s="4" t="str">
        <f t="shared" si="654"/>
        <v>2018/2019-Genap</v>
      </c>
      <c r="R4807" s="8" t="s">
        <v>260</v>
      </c>
      <c r="S4807" t="str">
        <f t="shared" si="651"/>
        <v>PA</v>
      </c>
    </row>
    <row r="4808" spans="1:19" x14ac:dyDescent="0.3">
      <c r="A4808" t="s">
        <v>8</v>
      </c>
      <c r="B4808">
        <v>2016210048</v>
      </c>
      <c r="C4808" t="s">
        <v>64</v>
      </c>
      <c r="E4808" t="s">
        <v>112</v>
      </c>
      <c r="F4808" t="s">
        <v>113</v>
      </c>
      <c r="G4808">
        <v>4</v>
      </c>
      <c r="H4808" t="s">
        <v>524</v>
      </c>
      <c r="I4808" s="4">
        <f t="shared" si="652"/>
        <v>2</v>
      </c>
      <c r="J4808">
        <f t="shared" si="653"/>
        <v>8</v>
      </c>
      <c r="K4808">
        <v>42</v>
      </c>
      <c r="L4808">
        <v>20</v>
      </c>
      <c r="M4808" s="2">
        <v>2.1</v>
      </c>
      <c r="N4808" s="2">
        <v>3.01</v>
      </c>
      <c r="O4808">
        <v>0</v>
      </c>
      <c r="P4808">
        <v>3</v>
      </c>
      <c r="Q4808" s="4" t="str">
        <f t="shared" si="654"/>
        <v>2017/2018-Ganjil</v>
      </c>
      <c r="R4808" s="8" t="s">
        <v>260</v>
      </c>
      <c r="S4808" t="str">
        <f t="shared" si="651"/>
        <v>PA</v>
      </c>
    </row>
    <row r="4809" spans="1:19" x14ac:dyDescent="0.3">
      <c r="A4809" t="s">
        <v>8</v>
      </c>
      <c r="B4809">
        <v>2016210048</v>
      </c>
      <c r="C4809" t="s">
        <v>64</v>
      </c>
      <c r="E4809" t="s">
        <v>110</v>
      </c>
      <c r="F4809" t="s">
        <v>111</v>
      </c>
      <c r="G4809">
        <v>4</v>
      </c>
      <c r="H4809" t="s">
        <v>524</v>
      </c>
      <c r="I4809" s="4">
        <f t="shared" si="652"/>
        <v>2</v>
      </c>
      <c r="J4809">
        <f t="shared" si="653"/>
        <v>8</v>
      </c>
      <c r="K4809">
        <v>60</v>
      </c>
      <c r="L4809">
        <v>20</v>
      </c>
      <c r="M4809" s="2">
        <v>3</v>
      </c>
      <c r="N4809" s="2">
        <v>3.01</v>
      </c>
      <c r="O4809">
        <v>0</v>
      </c>
      <c r="P4809">
        <v>1</v>
      </c>
      <c r="Q4809" s="4" t="str">
        <f t="shared" si="654"/>
        <v>2016/2017-Ganjil</v>
      </c>
      <c r="R4809" s="8" t="s">
        <v>260</v>
      </c>
      <c r="S4809" t="str">
        <f t="shared" si="651"/>
        <v>PA</v>
      </c>
    </row>
    <row r="4810" spans="1:19" x14ac:dyDescent="0.3">
      <c r="A4810" t="s">
        <v>8</v>
      </c>
      <c r="B4810">
        <v>2016210048</v>
      </c>
      <c r="C4810" t="s">
        <v>64</v>
      </c>
      <c r="E4810" t="s">
        <v>110</v>
      </c>
      <c r="F4810" t="s">
        <v>111</v>
      </c>
      <c r="G4810">
        <v>4</v>
      </c>
      <c r="H4810" t="s">
        <v>438</v>
      </c>
      <c r="I4810" s="4">
        <f t="shared" si="652"/>
        <v>3</v>
      </c>
      <c r="J4810">
        <f t="shared" si="653"/>
        <v>12</v>
      </c>
      <c r="K4810">
        <v>54</v>
      </c>
      <c r="L4810">
        <v>18</v>
      </c>
      <c r="M4810" s="2">
        <v>3</v>
      </c>
      <c r="N4810" s="2">
        <v>3.01</v>
      </c>
      <c r="O4810">
        <v>1</v>
      </c>
      <c r="P4810">
        <v>10</v>
      </c>
      <c r="Q4810" s="4" t="s">
        <v>578</v>
      </c>
      <c r="R4810" s="8" t="s">
        <v>260</v>
      </c>
      <c r="S4810" t="str">
        <f t="shared" si="651"/>
        <v>PA</v>
      </c>
    </row>
    <row r="4811" spans="1:19" x14ac:dyDescent="0.3">
      <c r="A4811" t="s">
        <v>8</v>
      </c>
      <c r="B4811">
        <v>2016210048</v>
      </c>
      <c r="C4811" t="s">
        <v>64</v>
      </c>
      <c r="E4811" t="s">
        <v>44</v>
      </c>
      <c r="F4811" t="s">
        <v>45</v>
      </c>
      <c r="G4811">
        <v>2</v>
      </c>
      <c r="H4811" t="s">
        <v>535</v>
      </c>
      <c r="I4811" s="4">
        <f t="shared" si="652"/>
        <v>1</v>
      </c>
      <c r="J4811">
        <f t="shared" si="653"/>
        <v>2</v>
      </c>
      <c r="K4811">
        <v>60</v>
      </c>
      <c r="L4811">
        <v>20</v>
      </c>
      <c r="M4811" s="2">
        <v>3</v>
      </c>
      <c r="N4811" s="2">
        <v>3.01</v>
      </c>
      <c r="O4811">
        <v>0</v>
      </c>
      <c r="P4811">
        <v>2</v>
      </c>
      <c r="Q4811" s="4" t="str">
        <f>IF(P4811=1,"2016/2017-Ganjil",IF(P4811=2,"2016/2017-Genap",IF(P4811=3,"2017/2018-Ganjil",IF(P4811=4,"2017/2018-Genap",IF(P4811=5,"2018/2019-Ganjil",IF(P4811=6,"2018/2019-Genap",IF(P4811=7,"2019/2020-Ganjil",IF(P4811=8,"2019/2020-Genap",IF(P4811=9,"2020/2021-Ganjil",IF(P4811=10,"2020/2021-Genap",IF(P4811=11,"2021/2022-Ganjil",IF(P4811=12,"2021/2022-Genap",IF(P4811=13,"2022/2023-Ganjil","2022/2023-Genap")))))))))))))</f>
        <v>2016/2017-Genap</v>
      </c>
      <c r="R4811" s="8" t="s">
        <v>260</v>
      </c>
      <c r="S4811" t="str">
        <f t="shared" si="651"/>
        <v>FA</v>
      </c>
    </row>
    <row r="4812" spans="1:19" x14ac:dyDescent="0.3">
      <c r="A4812" t="s">
        <v>8</v>
      </c>
      <c r="B4812">
        <v>2016210048</v>
      </c>
      <c r="C4812" t="s">
        <v>64</v>
      </c>
      <c r="E4812" t="s">
        <v>44</v>
      </c>
      <c r="F4812" t="s">
        <v>45</v>
      </c>
      <c r="G4812">
        <v>2</v>
      </c>
      <c r="H4812" t="s">
        <v>438</v>
      </c>
      <c r="I4812" s="4">
        <f t="shared" si="652"/>
        <v>3</v>
      </c>
      <c r="J4812">
        <f t="shared" si="653"/>
        <v>6</v>
      </c>
      <c r="K4812">
        <v>54</v>
      </c>
      <c r="L4812">
        <v>18</v>
      </c>
      <c r="M4812" s="2">
        <v>3</v>
      </c>
      <c r="N4812" s="2">
        <v>3.01</v>
      </c>
      <c r="O4812">
        <v>1</v>
      </c>
      <c r="P4812">
        <v>10</v>
      </c>
      <c r="Q4812" s="4" t="s">
        <v>578</v>
      </c>
      <c r="R4812" s="8" t="s">
        <v>260</v>
      </c>
      <c r="S4812" t="str">
        <f t="shared" si="651"/>
        <v>PA</v>
      </c>
    </row>
    <row r="4813" spans="1:19" x14ac:dyDescent="0.3">
      <c r="A4813" t="s">
        <v>8</v>
      </c>
      <c r="B4813">
        <v>2016210048</v>
      </c>
      <c r="C4813" t="s">
        <v>64</v>
      </c>
      <c r="E4813" t="s">
        <v>125</v>
      </c>
      <c r="F4813" t="s">
        <v>126</v>
      </c>
      <c r="G4813">
        <v>4</v>
      </c>
      <c r="H4813" t="s">
        <v>535</v>
      </c>
      <c r="I4813" s="4">
        <f t="shared" si="652"/>
        <v>1</v>
      </c>
      <c r="J4813">
        <f t="shared" si="653"/>
        <v>4</v>
      </c>
      <c r="K4813">
        <v>42</v>
      </c>
      <c r="L4813">
        <v>18</v>
      </c>
      <c r="M4813">
        <v>2.33</v>
      </c>
      <c r="N4813" s="2">
        <v>3.01</v>
      </c>
      <c r="O4813">
        <v>0</v>
      </c>
      <c r="P4813">
        <v>2</v>
      </c>
      <c r="Q4813" s="4" t="str">
        <f>IF(P4813=1,"2016/2017-Ganjil",IF(P4813=2,"2016/2017-Genap",IF(P4813=3,"2017/2018-Ganjil",IF(P4813=4,"2017/2018-Genap",IF(P4813=5,"2018/2019-Ganjil",IF(P4813=6,"2018/2019-Genap",IF(P4813=7,"2019/2020-Ganjil",IF(P4813=8,"2019/2020-Genap",IF(P4813=9,"2020/2021-Ganjil",IF(P4813=10,"2020/2021-Genap",IF(P4813=11,"2021/2022-Ganjil",IF(P4813=12,"2021/2022-Genap",IF(P4813=13,"2022/2023-Ganjil","2022/2023-Genap")))))))))))))</f>
        <v>2016/2017-Genap</v>
      </c>
      <c r="R4813" s="8" t="s">
        <v>260</v>
      </c>
      <c r="S4813" t="str">
        <f t="shared" si="651"/>
        <v>FA</v>
      </c>
    </row>
    <row r="4814" spans="1:19" x14ac:dyDescent="0.3">
      <c r="A4814" t="s">
        <v>8</v>
      </c>
      <c r="B4814">
        <v>2016210048</v>
      </c>
      <c r="C4814" t="s">
        <v>64</v>
      </c>
      <c r="E4814" t="s">
        <v>401</v>
      </c>
      <c r="F4814" t="s">
        <v>258</v>
      </c>
      <c r="G4814">
        <v>4</v>
      </c>
      <c r="H4814" t="s">
        <v>539</v>
      </c>
      <c r="I4814" s="4">
        <f t="shared" si="652"/>
        <v>0</v>
      </c>
      <c r="J4814">
        <f t="shared" si="653"/>
        <v>0</v>
      </c>
      <c r="K4814">
        <v>42</v>
      </c>
      <c r="L4814">
        <v>20</v>
      </c>
      <c r="M4814" s="2">
        <v>2.1</v>
      </c>
      <c r="N4814" s="2">
        <v>3.01</v>
      </c>
      <c r="O4814">
        <v>0</v>
      </c>
      <c r="P4814">
        <v>3</v>
      </c>
      <c r="Q4814" s="4" t="str">
        <f>IF(P4814=1,"2016/2017-Ganjil",IF(P4814=2,"2016/2017-Genap",IF(P4814=3,"2017/2018-Ganjil",IF(P4814=4,"2017/2018-Genap",IF(P4814=5,"2018/2019-Ganjil",IF(P4814=6,"2018/2019-Genap",IF(P4814=7,"2019/2020-Ganjil",IF(P4814=8,"2019/2020-Genap",IF(P4814=9,"2020/2021-Ganjil",IF(P4814=10,"2020/2021-Genap",IF(P4814=11,"2021/2022-Ganjil",IF(P4814=12,"2021/2022-Genap",IF(P4814=13,"2022/2023-Ganjil","2022/2023-Genap")))))))))))))</f>
        <v>2017/2018-Ganjil</v>
      </c>
      <c r="R4814" s="8" t="s">
        <v>260</v>
      </c>
      <c r="S4814" t="str">
        <f t="shared" si="651"/>
        <v>FA</v>
      </c>
    </row>
    <row r="4815" spans="1:19" x14ac:dyDescent="0.3">
      <c r="A4815" t="s">
        <v>8</v>
      </c>
      <c r="B4815">
        <v>2016210048</v>
      </c>
      <c r="C4815" t="s">
        <v>64</v>
      </c>
      <c r="E4815" t="s">
        <v>232</v>
      </c>
      <c r="F4815" t="s">
        <v>233</v>
      </c>
      <c r="G4815">
        <v>2</v>
      </c>
      <c r="H4815" t="s">
        <v>539</v>
      </c>
      <c r="I4815" s="4">
        <f t="shared" si="652"/>
        <v>0</v>
      </c>
      <c r="J4815">
        <f t="shared" si="653"/>
        <v>0</v>
      </c>
      <c r="K4815">
        <v>50</v>
      </c>
      <c r="L4815">
        <v>20</v>
      </c>
      <c r="M4815" s="2">
        <v>2.5</v>
      </c>
      <c r="N4815" s="2">
        <v>3.01</v>
      </c>
      <c r="O4815">
        <v>0</v>
      </c>
      <c r="P4815">
        <v>6</v>
      </c>
      <c r="Q4815" s="4" t="str">
        <f>IF(P4815=1,"2016/2017-Ganjil",IF(P4815=2,"2016/2017-Genap",IF(P4815=3,"2017/2018-Ganjil",IF(P4815=4,"2017/2018-Genap",IF(P4815=5,"2018/2019-Ganjil",IF(P4815=6,"2018/2019-Genap",IF(P4815=7,"2019/2020-Ganjil",IF(P4815=8,"2019/2020-Genap",IF(P4815=9,"2020/2021-Ganjil",IF(P4815=10,"2020/2021-Genap",IF(P4815=11,"2021/2022-Ganjil",IF(P4815=12,"2021/2022-Genap",IF(P4815=13,"2022/2023-Ganjil","2022/2023-Genap")))))))))))))</f>
        <v>2018/2019-Genap</v>
      </c>
      <c r="R4815" s="8" t="s">
        <v>260</v>
      </c>
      <c r="S4815" t="str">
        <f t="shared" si="651"/>
        <v>FA</v>
      </c>
    </row>
    <row r="4816" spans="1:19" x14ac:dyDescent="0.3">
      <c r="A4816" t="s">
        <v>8</v>
      </c>
      <c r="B4816">
        <v>2016210048</v>
      </c>
      <c r="C4816" t="s">
        <v>64</v>
      </c>
      <c r="E4816" t="s">
        <v>125</v>
      </c>
      <c r="F4816" t="s">
        <v>126</v>
      </c>
      <c r="G4816">
        <v>4</v>
      </c>
      <c r="H4816" t="s">
        <v>438</v>
      </c>
      <c r="I4816" s="4">
        <f t="shared" si="652"/>
        <v>3</v>
      </c>
      <c r="J4816">
        <f t="shared" si="653"/>
        <v>12</v>
      </c>
      <c r="K4816">
        <v>54</v>
      </c>
      <c r="L4816">
        <v>18</v>
      </c>
      <c r="M4816" s="2">
        <v>3</v>
      </c>
      <c r="N4816" s="2">
        <v>3.01</v>
      </c>
      <c r="O4816">
        <v>1</v>
      </c>
      <c r="P4816">
        <v>10</v>
      </c>
      <c r="Q4816" s="4" t="s">
        <v>578</v>
      </c>
      <c r="R4816" s="8" t="s">
        <v>260</v>
      </c>
      <c r="S4816" t="str">
        <f t="shared" si="651"/>
        <v>PA</v>
      </c>
    </row>
    <row r="4817" spans="1:19" x14ac:dyDescent="0.3">
      <c r="A4817" t="s">
        <v>8</v>
      </c>
      <c r="B4817">
        <v>2016210048</v>
      </c>
      <c r="C4817" t="s">
        <v>64</v>
      </c>
      <c r="E4817" t="s">
        <v>401</v>
      </c>
      <c r="F4817" t="s">
        <v>258</v>
      </c>
      <c r="G4817">
        <v>4</v>
      </c>
      <c r="H4817" t="s">
        <v>438</v>
      </c>
      <c r="I4817" s="4">
        <f t="shared" si="652"/>
        <v>3</v>
      </c>
      <c r="J4817">
        <f t="shared" si="653"/>
        <v>12</v>
      </c>
      <c r="K4817">
        <v>54</v>
      </c>
      <c r="L4817">
        <v>18</v>
      </c>
      <c r="M4817" s="2">
        <v>3</v>
      </c>
      <c r="N4817" s="2">
        <v>3.01</v>
      </c>
      <c r="O4817">
        <v>1</v>
      </c>
      <c r="P4817">
        <v>10</v>
      </c>
      <c r="Q4817" s="4" t="s">
        <v>578</v>
      </c>
      <c r="R4817" s="8" t="s">
        <v>260</v>
      </c>
      <c r="S4817" t="str">
        <f t="shared" si="651"/>
        <v>PA</v>
      </c>
    </row>
    <row r="4818" spans="1:19" x14ac:dyDescent="0.3">
      <c r="A4818" t="s">
        <v>8</v>
      </c>
      <c r="B4818">
        <v>2016210048</v>
      </c>
      <c r="C4818" t="s">
        <v>64</v>
      </c>
      <c r="E4818" t="s">
        <v>232</v>
      </c>
      <c r="F4818" t="s">
        <v>233</v>
      </c>
      <c r="G4818">
        <v>2</v>
      </c>
      <c r="H4818" t="s">
        <v>438</v>
      </c>
      <c r="I4818" s="4">
        <f t="shared" si="652"/>
        <v>3</v>
      </c>
      <c r="J4818">
        <f t="shared" si="653"/>
        <v>6</v>
      </c>
      <c r="K4818">
        <v>54</v>
      </c>
      <c r="L4818">
        <v>18</v>
      </c>
      <c r="M4818" s="2">
        <v>3</v>
      </c>
      <c r="N4818" s="2">
        <v>3.01</v>
      </c>
      <c r="O4818">
        <v>1</v>
      </c>
      <c r="P4818">
        <v>10</v>
      </c>
      <c r="Q4818" s="4" t="s">
        <v>578</v>
      </c>
      <c r="R4818" s="8" t="s">
        <v>260</v>
      </c>
      <c r="S4818" t="str">
        <f t="shared" si="651"/>
        <v>PA</v>
      </c>
    </row>
    <row r="4819" spans="1:19" x14ac:dyDescent="0.3">
      <c r="A4819" t="s">
        <v>8</v>
      </c>
      <c r="B4819">
        <v>2016210049</v>
      </c>
      <c r="C4819" t="s">
        <v>326</v>
      </c>
      <c r="E4819" t="s">
        <v>266</v>
      </c>
      <c r="F4819" t="s">
        <v>91</v>
      </c>
      <c r="G4819">
        <v>2</v>
      </c>
      <c r="H4819" t="s">
        <v>260</v>
      </c>
      <c r="I4819" s="4">
        <f t="shared" si="652"/>
        <v>4</v>
      </c>
      <c r="J4819">
        <f t="shared" si="653"/>
        <v>8</v>
      </c>
      <c r="K4819">
        <v>40</v>
      </c>
      <c r="L4819">
        <v>18</v>
      </c>
      <c r="M4819">
        <v>2.2200000000000002</v>
      </c>
      <c r="N4819">
        <v>2.83</v>
      </c>
      <c r="O4819">
        <v>0</v>
      </c>
      <c r="P4819">
        <v>2</v>
      </c>
      <c r="Q4819" s="4" t="str">
        <f t="shared" ref="Q4819:Q4850" si="655">IF(P4819=1,"2016/2017-Ganjil",IF(P4819=2,"2016/2017-Genap",IF(P4819=3,"2017/2018-Ganjil",IF(P4819=4,"2017/2018-Genap",IF(P4819=5,"2018/2019-Ganjil",IF(P4819=6,"2018/2019-Genap",IF(P4819=7,"2019/2020-Ganjil",IF(P4819=8,"2019/2020-Genap",IF(P4819=9,"2020/2021-Ganjil",IF(P4819=10,"2020/2021-Genap",IF(P4819=11,"2021/2022-Ganjil",IF(P4819=12,"2021/2022-Genap",IF(P4819=13,"2022/2023-Ganjil","2022/2023-Genap")))))))))))))</f>
        <v>2016/2017-Genap</v>
      </c>
      <c r="R4819" s="8" t="s">
        <v>260</v>
      </c>
      <c r="S4819" t="str">
        <f t="shared" si="651"/>
        <v>PA</v>
      </c>
    </row>
    <row r="4820" spans="1:19" x14ac:dyDescent="0.3">
      <c r="A4820" t="s">
        <v>8</v>
      </c>
      <c r="B4820">
        <v>2016210049</v>
      </c>
      <c r="C4820" t="s">
        <v>326</v>
      </c>
      <c r="E4820" t="s">
        <v>295</v>
      </c>
      <c r="F4820" t="s">
        <v>296</v>
      </c>
      <c r="G4820">
        <v>2</v>
      </c>
      <c r="H4820" t="s">
        <v>260</v>
      </c>
      <c r="I4820" s="4">
        <f t="shared" si="652"/>
        <v>4</v>
      </c>
      <c r="J4820">
        <f t="shared" si="653"/>
        <v>8</v>
      </c>
      <c r="K4820">
        <v>40</v>
      </c>
      <c r="L4820">
        <v>18</v>
      </c>
      <c r="M4820">
        <v>2.2200000000000002</v>
      </c>
      <c r="N4820">
        <v>2.83</v>
      </c>
      <c r="O4820">
        <v>0</v>
      </c>
      <c r="P4820">
        <v>3</v>
      </c>
      <c r="Q4820" s="4" t="str">
        <f t="shared" si="655"/>
        <v>2017/2018-Ganjil</v>
      </c>
      <c r="R4820" s="8" t="s">
        <v>260</v>
      </c>
      <c r="S4820" t="str">
        <f t="shared" si="651"/>
        <v>PA</v>
      </c>
    </row>
    <row r="4821" spans="1:19" x14ac:dyDescent="0.3">
      <c r="A4821" t="s">
        <v>8</v>
      </c>
      <c r="B4821">
        <v>2016210049</v>
      </c>
      <c r="C4821" t="s">
        <v>326</v>
      </c>
      <c r="E4821" t="s">
        <v>87</v>
      </c>
      <c r="F4821" t="s">
        <v>88</v>
      </c>
      <c r="G4821">
        <v>2</v>
      </c>
      <c r="H4821" t="s">
        <v>260</v>
      </c>
      <c r="I4821" s="4">
        <f t="shared" si="652"/>
        <v>4</v>
      </c>
      <c r="J4821">
        <f t="shared" si="653"/>
        <v>8</v>
      </c>
      <c r="K4821">
        <v>28</v>
      </c>
      <c r="L4821">
        <v>12</v>
      </c>
      <c r="M4821" s="2">
        <v>2.33</v>
      </c>
      <c r="N4821">
        <v>2.83</v>
      </c>
      <c r="O4821">
        <v>0</v>
      </c>
      <c r="P4821">
        <v>8</v>
      </c>
      <c r="Q4821" s="4" t="str">
        <f t="shared" si="655"/>
        <v>2019/2020-Genap</v>
      </c>
      <c r="R4821" t="s">
        <v>596</v>
      </c>
      <c r="S4821" t="str">
        <f t="shared" si="651"/>
        <v>PA</v>
      </c>
    </row>
    <row r="4822" spans="1:19" x14ac:dyDescent="0.3">
      <c r="A4822" t="s">
        <v>8</v>
      </c>
      <c r="B4822">
        <v>2016210049</v>
      </c>
      <c r="C4822" t="s">
        <v>326</v>
      </c>
      <c r="E4822" t="s">
        <v>77</v>
      </c>
      <c r="F4822" t="s">
        <v>78</v>
      </c>
      <c r="G4822">
        <v>2</v>
      </c>
      <c r="H4822" t="s">
        <v>260</v>
      </c>
      <c r="I4822" s="4">
        <f t="shared" si="652"/>
        <v>4</v>
      </c>
      <c r="J4822">
        <f t="shared" si="653"/>
        <v>8</v>
      </c>
      <c r="K4822">
        <v>60</v>
      </c>
      <c r="L4822">
        <v>20</v>
      </c>
      <c r="M4822" s="2">
        <v>3</v>
      </c>
      <c r="N4822">
        <v>2.83</v>
      </c>
      <c r="O4822">
        <v>0</v>
      </c>
      <c r="P4822">
        <v>1</v>
      </c>
      <c r="Q4822" s="4" t="str">
        <f t="shared" si="655"/>
        <v>2016/2017-Ganjil</v>
      </c>
      <c r="R4822" s="8" t="s">
        <v>260</v>
      </c>
      <c r="S4822" t="str">
        <f t="shared" si="651"/>
        <v>PA</v>
      </c>
    </row>
    <row r="4823" spans="1:19" x14ac:dyDescent="0.3">
      <c r="A4823" t="s">
        <v>8</v>
      </c>
      <c r="B4823">
        <v>2016210049</v>
      </c>
      <c r="C4823" t="s">
        <v>326</v>
      </c>
      <c r="E4823" t="s">
        <v>202</v>
      </c>
      <c r="F4823" t="s">
        <v>203</v>
      </c>
      <c r="G4823">
        <v>4</v>
      </c>
      <c r="H4823" t="s">
        <v>260</v>
      </c>
      <c r="I4823" s="4">
        <f t="shared" si="652"/>
        <v>4</v>
      </c>
      <c r="J4823">
        <f t="shared" si="653"/>
        <v>16</v>
      </c>
      <c r="K4823">
        <v>60</v>
      </c>
      <c r="L4823">
        <v>20</v>
      </c>
      <c r="M4823" s="2">
        <v>3</v>
      </c>
      <c r="N4823">
        <v>2.83</v>
      </c>
      <c r="O4823">
        <v>0</v>
      </c>
      <c r="P4823">
        <v>1</v>
      </c>
      <c r="Q4823" s="4" t="str">
        <f t="shared" si="655"/>
        <v>2016/2017-Ganjil</v>
      </c>
      <c r="R4823" s="8" t="s">
        <v>260</v>
      </c>
      <c r="S4823" t="str">
        <f t="shared" ref="S4823:S4886" si="656">IF(OR(H4823="A",H4823="B",H4823="C"),"PA","FA")</f>
        <v>PA</v>
      </c>
    </row>
    <row r="4824" spans="1:19" x14ac:dyDescent="0.3">
      <c r="A4824" t="s">
        <v>8</v>
      </c>
      <c r="B4824">
        <v>2016210049</v>
      </c>
      <c r="C4824" t="s">
        <v>326</v>
      </c>
      <c r="E4824" t="s">
        <v>391</v>
      </c>
      <c r="F4824" t="s">
        <v>392</v>
      </c>
      <c r="G4824">
        <v>2</v>
      </c>
      <c r="H4824" t="s">
        <v>260</v>
      </c>
      <c r="I4824" s="4">
        <f t="shared" ref="I4824:I4887" si="657">IF(H4824="A",4,IF(H4824="B",3,IF(H4824="C",2,IF(H4824="D",1,0))))</f>
        <v>4</v>
      </c>
      <c r="J4824">
        <f t="shared" ref="J4824:J4887" si="658">G4824*I4824</f>
        <v>8</v>
      </c>
      <c r="K4824">
        <v>70</v>
      </c>
      <c r="L4824">
        <v>24</v>
      </c>
      <c r="M4824">
        <v>2.92</v>
      </c>
      <c r="N4824">
        <v>2.83</v>
      </c>
      <c r="O4824">
        <v>0</v>
      </c>
      <c r="P4824">
        <v>5</v>
      </c>
      <c r="Q4824" s="4" t="str">
        <f t="shared" si="655"/>
        <v>2018/2019-Ganjil</v>
      </c>
      <c r="R4824" s="8" t="s">
        <v>260</v>
      </c>
      <c r="S4824" t="str">
        <f t="shared" si="656"/>
        <v>PA</v>
      </c>
    </row>
    <row r="4825" spans="1:19" x14ac:dyDescent="0.3">
      <c r="A4825" t="s">
        <v>8</v>
      </c>
      <c r="B4825">
        <v>2016210049</v>
      </c>
      <c r="C4825" t="s">
        <v>326</v>
      </c>
      <c r="E4825" t="s">
        <v>242</v>
      </c>
      <c r="F4825" t="s">
        <v>166</v>
      </c>
      <c r="G4825">
        <v>2</v>
      </c>
      <c r="H4825" t="s">
        <v>260</v>
      </c>
      <c r="I4825" s="4">
        <f t="shared" si="657"/>
        <v>4</v>
      </c>
      <c r="J4825">
        <f t="shared" si="658"/>
        <v>8</v>
      </c>
      <c r="K4825">
        <v>60</v>
      </c>
      <c r="L4825">
        <v>22</v>
      </c>
      <c r="M4825">
        <v>2.73</v>
      </c>
      <c r="N4825">
        <v>2.83</v>
      </c>
      <c r="O4825">
        <v>0</v>
      </c>
      <c r="P4825">
        <v>4</v>
      </c>
      <c r="Q4825" s="4" t="str">
        <f t="shared" si="655"/>
        <v>2017/2018-Genap</v>
      </c>
      <c r="R4825" s="8" t="s">
        <v>260</v>
      </c>
      <c r="S4825" t="str">
        <f t="shared" si="656"/>
        <v>PA</v>
      </c>
    </row>
    <row r="4826" spans="1:19" x14ac:dyDescent="0.3">
      <c r="A4826" t="s">
        <v>8</v>
      </c>
      <c r="B4826">
        <v>2016210049</v>
      </c>
      <c r="C4826" t="s">
        <v>326</v>
      </c>
      <c r="E4826" t="s">
        <v>163</v>
      </c>
      <c r="F4826" t="s">
        <v>164</v>
      </c>
      <c r="G4826">
        <v>2</v>
      </c>
      <c r="H4826" t="s">
        <v>438</v>
      </c>
      <c r="I4826" s="4">
        <f t="shared" si="657"/>
        <v>3</v>
      </c>
      <c r="J4826">
        <f t="shared" si="658"/>
        <v>6</v>
      </c>
      <c r="K4826">
        <v>60</v>
      </c>
      <c r="L4826">
        <v>20</v>
      </c>
      <c r="M4826" s="2">
        <v>3</v>
      </c>
      <c r="N4826">
        <v>2.83</v>
      </c>
      <c r="O4826">
        <v>0</v>
      </c>
      <c r="P4826">
        <v>1</v>
      </c>
      <c r="Q4826" s="4" t="str">
        <f t="shared" si="655"/>
        <v>2016/2017-Ganjil</v>
      </c>
      <c r="R4826" s="8" t="s">
        <v>260</v>
      </c>
      <c r="S4826" t="str">
        <f t="shared" si="656"/>
        <v>PA</v>
      </c>
    </row>
    <row r="4827" spans="1:19" x14ac:dyDescent="0.3">
      <c r="A4827" t="s">
        <v>8</v>
      </c>
      <c r="B4827">
        <v>2016210049</v>
      </c>
      <c r="C4827" t="s">
        <v>326</v>
      </c>
      <c r="E4827" t="s">
        <v>369</v>
      </c>
      <c r="F4827" t="s">
        <v>307</v>
      </c>
      <c r="G4827">
        <v>2</v>
      </c>
      <c r="H4827" t="s">
        <v>438</v>
      </c>
      <c r="I4827" s="4">
        <f t="shared" si="657"/>
        <v>3</v>
      </c>
      <c r="J4827">
        <f t="shared" si="658"/>
        <v>6</v>
      </c>
      <c r="K4827">
        <v>60</v>
      </c>
      <c r="L4827">
        <v>22</v>
      </c>
      <c r="M4827" s="2">
        <v>2.73</v>
      </c>
      <c r="N4827">
        <v>2.83</v>
      </c>
      <c r="O4827">
        <v>0</v>
      </c>
      <c r="P4827">
        <v>4</v>
      </c>
      <c r="Q4827" s="4" t="str">
        <f t="shared" ref="Q4827" si="659">IF(P4827=1,"2016/2017-Ganjil",IF(P4827=2,"2016/2017-Genap",IF(P4827=3,"2017/2018-Ganjil",IF(P4827=4,"2017/2018-Genap",IF(P4827=5,"2018/2019-Ganjil",IF(P4827=6,"2018/2019-Genap",IF(P4827=7,"2019/2020-Ganjil",IF(P4827=8,"2019/2020-Genap",IF(P4827=9,"2020/2021-Ganjil",IF(P4827=10,"2020/2021-Genap",IF(P4827=11,"2021/2022-Ganjil",IF(P4827=12,"2021/2022-Genap",IF(P4827=13,"2022/2023-Ganjil","2022/2023-Genap")))))))))))))</f>
        <v>2017/2018-Genap</v>
      </c>
      <c r="R4827" s="8" t="s">
        <v>260</v>
      </c>
      <c r="S4827" t="str">
        <f t="shared" si="656"/>
        <v>PA</v>
      </c>
    </row>
    <row r="4828" spans="1:19" x14ac:dyDescent="0.3">
      <c r="A4828" t="s">
        <v>8</v>
      </c>
      <c r="B4828">
        <v>2016210049</v>
      </c>
      <c r="C4828" t="s">
        <v>326</v>
      </c>
      <c r="E4828" t="s">
        <v>115</v>
      </c>
      <c r="F4828" t="s">
        <v>116</v>
      </c>
      <c r="G4828">
        <v>4</v>
      </c>
      <c r="H4828" t="s">
        <v>438</v>
      </c>
      <c r="I4828" s="4">
        <f t="shared" si="657"/>
        <v>3</v>
      </c>
      <c r="J4828">
        <f t="shared" si="658"/>
        <v>12</v>
      </c>
      <c r="K4828">
        <v>40</v>
      </c>
      <c r="L4828">
        <v>18</v>
      </c>
      <c r="M4828">
        <v>2.2200000000000002</v>
      </c>
      <c r="N4828">
        <v>2.83</v>
      </c>
      <c r="O4828">
        <v>0</v>
      </c>
      <c r="P4828">
        <v>2</v>
      </c>
      <c r="Q4828" s="4" t="str">
        <f t="shared" si="655"/>
        <v>2016/2017-Genap</v>
      </c>
      <c r="R4828" s="8" t="s">
        <v>260</v>
      </c>
      <c r="S4828" t="str">
        <f t="shared" si="656"/>
        <v>PA</v>
      </c>
    </row>
    <row r="4829" spans="1:19" x14ac:dyDescent="0.3">
      <c r="A4829" t="s">
        <v>8</v>
      </c>
      <c r="B4829">
        <v>2016210049</v>
      </c>
      <c r="C4829" t="s">
        <v>326</v>
      </c>
      <c r="E4829" t="s">
        <v>157</v>
      </c>
      <c r="F4829" t="s">
        <v>158</v>
      </c>
      <c r="G4829">
        <v>2</v>
      </c>
      <c r="H4829" t="s">
        <v>438</v>
      </c>
      <c r="I4829" s="4">
        <f t="shared" si="657"/>
        <v>3</v>
      </c>
      <c r="J4829">
        <f t="shared" si="658"/>
        <v>6</v>
      </c>
      <c r="K4829">
        <v>46</v>
      </c>
      <c r="L4829">
        <v>16</v>
      </c>
      <c r="M4829" s="2">
        <v>2.88</v>
      </c>
      <c r="N4829">
        <v>2.83</v>
      </c>
      <c r="O4829">
        <v>0</v>
      </c>
      <c r="P4829">
        <v>7</v>
      </c>
      <c r="Q4829" s="4" t="str">
        <f t="shared" si="655"/>
        <v>2019/2020-Ganjil</v>
      </c>
      <c r="R4829" s="8" t="s">
        <v>260</v>
      </c>
      <c r="S4829" t="str">
        <f t="shared" si="656"/>
        <v>PA</v>
      </c>
    </row>
    <row r="4830" spans="1:19" x14ac:dyDescent="0.3">
      <c r="A4830" t="s">
        <v>8</v>
      </c>
      <c r="B4830">
        <v>2016210049</v>
      </c>
      <c r="C4830" t="s">
        <v>326</v>
      </c>
      <c r="E4830" t="s">
        <v>216</v>
      </c>
      <c r="F4830" t="s">
        <v>217</v>
      </c>
      <c r="G4830">
        <v>2</v>
      </c>
      <c r="H4830" t="s">
        <v>438</v>
      </c>
      <c r="I4830" s="4">
        <f t="shared" si="657"/>
        <v>3</v>
      </c>
      <c r="J4830">
        <f t="shared" si="658"/>
        <v>6</v>
      </c>
      <c r="K4830">
        <v>60</v>
      </c>
      <c r="L4830">
        <v>22</v>
      </c>
      <c r="M4830">
        <v>2.73</v>
      </c>
      <c r="N4830">
        <v>2.83</v>
      </c>
      <c r="O4830">
        <v>0</v>
      </c>
      <c r="P4830">
        <v>4</v>
      </c>
      <c r="Q4830" s="4" t="str">
        <f t="shared" si="655"/>
        <v>2017/2018-Genap</v>
      </c>
      <c r="R4830" s="8" t="s">
        <v>260</v>
      </c>
      <c r="S4830" t="str">
        <f t="shared" si="656"/>
        <v>PA</v>
      </c>
    </row>
    <row r="4831" spans="1:19" x14ac:dyDescent="0.3">
      <c r="A4831" t="s">
        <v>8</v>
      </c>
      <c r="B4831">
        <v>2016210049</v>
      </c>
      <c r="C4831" t="s">
        <v>326</v>
      </c>
      <c r="E4831" t="s">
        <v>279</v>
      </c>
      <c r="F4831" t="s">
        <v>280</v>
      </c>
      <c r="G4831">
        <v>2</v>
      </c>
      <c r="H4831" t="s">
        <v>438</v>
      </c>
      <c r="I4831" s="4">
        <f t="shared" si="657"/>
        <v>3</v>
      </c>
      <c r="J4831">
        <f t="shared" si="658"/>
        <v>6</v>
      </c>
      <c r="K4831">
        <v>40</v>
      </c>
      <c r="L4831">
        <v>18</v>
      </c>
      <c r="M4831">
        <v>2.2200000000000002</v>
      </c>
      <c r="N4831">
        <v>2.83</v>
      </c>
      <c r="O4831">
        <v>0</v>
      </c>
      <c r="P4831">
        <v>2</v>
      </c>
      <c r="Q4831" s="4" t="str">
        <f t="shared" si="655"/>
        <v>2016/2017-Genap</v>
      </c>
      <c r="R4831" s="8" t="s">
        <v>260</v>
      </c>
      <c r="S4831" t="str">
        <f t="shared" si="656"/>
        <v>PA</v>
      </c>
    </row>
    <row r="4832" spans="1:19" x14ac:dyDescent="0.3">
      <c r="A4832" t="s">
        <v>8</v>
      </c>
      <c r="B4832">
        <v>2016210049</v>
      </c>
      <c r="C4832" t="s">
        <v>326</v>
      </c>
      <c r="E4832" t="s">
        <v>407</v>
      </c>
      <c r="F4832" t="s">
        <v>312</v>
      </c>
      <c r="G4832">
        <v>2</v>
      </c>
      <c r="H4832" t="s">
        <v>438</v>
      </c>
      <c r="I4832" s="4">
        <f t="shared" si="657"/>
        <v>3</v>
      </c>
      <c r="J4832">
        <f t="shared" si="658"/>
        <v>6</v>
      </c>
      <c r="K4832">
        <v>46</v>
      </c>
      <c r="L4832">
        <v>16</v>
      </c>
      <c r="M4832">
        <v>2.88</v>
      </c>
      <c r="N4832">
        <v>2.83</v>
      </c>
      <c r="O4832">
        <v>0</v>
      </c>
      <c r="P4832">
        <v>7</v>
      </c>
      <c r="Q4832" s="4" t="str">
        <f t="shared" si="655"/>
        <v>2019/2020-Ganjil</v>
      </c>
      <c r="R4832" s="8" t="s">
        <v>260</v>
      </c>
      <c r="S4832" t="str">
        <f t="shared" si="656"/>
        <v>PA</v>
      </c>
    </row>
    <row r="4833" spans="1:19" x14ac:dyDescent="0.3">
      <c r="A4833" t="s">
        <v>8</v>
      </c>
      <c r="B4833">
        <v>2016210049</v>
      </c>
      <c r="C4833" t="s">
        <v>326</v>
      </c>
      <c r="E4833" t="s">
        <v>352</v>
      </c>
      <c r="F4833" t="s">
        <v>353</v>
      </c>
      <c r="G4833">
        <v>2</v>
      </c>
      <c r="H4833" t="s">
        <v>438</v>
      </c>
      <c r="I4833" s="4">
        <f t="shared" si="657"/>
        <v>3</v>
      </c>
      <c r="J4833">
        <f t="shared" si="658"/>
        <v>6</v>
      </c>
      <c r="K4833">
        <v>70</v>
      </c>
      <c r="L4833">
        <v>24</v>
      </c>
      <c r="M4833">
        <v>2.92</v>
      </c>
      <c r="N4833">
        <v>2.83</v>
      </c>
      <c r="O4833">
        <v>0</v>
      </c>
      <c r="P4833">
        <v>5</v>
      </c>
      <c r="Q4833" s="4" t="str">
        <f t="shared" si="655"/>
        <v>2018/2019-Ganjil</v>
      </c>
      <c r="R4833" s="8" t="s">
        <v>260</v>
      </c>
      <c r="S4833" t="str">
        <f t="shared" si="656"/>
        <v>PA</v>
      </c>
    </row>
    <row r="4834" spans="1:19" x14ac:dyDescent="0.3">
      <c r="A4834" t="s">
        <v>8</v>
      </c>
      <c r="B4834">
        <v>2016210049</v>
      </c>
      <c r="C4834" t="s">
        <v>326</v>
      </c>
      <c r="E4834" t="s">
        <v>213</v>
      </c>
      <c r="F4834" t="s">
        <v>214</v>
      </c>
      <c r="G4834">
        <v>4</v>
      </c>
      <c r="H4834" t="s">
        <v>438</v>
      </c>
      <c r="I4834" s="4">
        <f t="shared" si="657"/>
        <v>3</v>
      </c>
      <c r="J4834">
        <f t="shared" si="658"/>
        <v>12</v>
      </c>
      <c r="K4834">
        <v>70</v>
      </c>
      <c r="L4834">
        <v>24</v>
      </c>
      <c r="M4834">
        <v>2.92</v>
      </c>
      <c r="N4834">
        <v>2.83</v>
      </c>
      <c r="O4834">
        <v>0</v>
      </c>
      <c r="P4834">
        <v>5</v>
      </c>
      <c r="Q4834" s="4" t="str">
        <f t="shared" si="655"/>
        <v>2018/2019-Ganjil</v>
      </c>
      <c r="R4834" s="8" t="s">
        <v>260</v>
      </c>
      <c r="S4834" t="str">
        <f t="shared" si="656"/>
        <v>PA</v>
      </c>
    </row>
    <row r="4835" spans="1:19" x14ac:dyDescent="0.3">
      <c r="A4835" t="s">
        <v>8</v>
      </c>
      <c r="B4835">
        <v>2016210049</v>
      </c>
      <c r="C4835" t="s">
        <v>326</v>
      </c>
      <c r="E4835" t="s">
        <v>131</v>
      </c>
      <c r="F4835" t="s">
        <v>132</v>
      </c>
      <c r="G4835">
        <v>2</v>
      </c>
      <c r="H4835" t="s">
        <v>438</v>
      </c>
      <c r="I4835" s="4">
        <f t="shared" si="657"/>
        <v>3</v>
      </c>
      <c r="J4835">
        <f t="shared" si="658"/>
        <v>6</v>
      </c>
      <c r="K4835">
        <v>60</v>
      </c>
      <c r="L4835">
        <v>20</v>
      </c>
      <c r="M4835" s="2">
        <v>3</v>
      </c>
      <c r="N4835">
        <v>2.83</v>
      </c>
      <c r="O4835">
        <v>0</v>
      </c>
      <c r="P4835">
        <v>1</v>
      </c>
      <c r="Q4835" s="4" t="str">
        <f t="shared" si="655"/>
        <v>2016/2017-Ganjil</v>
      </c>
      <c r="R4835" s="8" t="s">
        <v>260</v>
      </c>
      <c r="S4835" t="str">
        <f t="shared" si="656"/>
        <v>PA</v>
      </c>
    </row>
    <row r="4836" spans="1:19" x14ac:dyDescent="0.3">
      <c r="A4836" t="s">
        <v>8</v>
      </c>
      <c r="B4836">
        <v>2016210049</v>
      </c>
      <c r="C4836" t="s">
        <v>326</v>
      </c>
      <c r="E4836" t="s">
        <v>105</v>
      </c>
      <c r="F4836" t="s">
        <v>106</v>
      </c>
      <c r="G4836">
        <v>2</v>
      </c>
      <c r="H4836" t="s">
        <v>438</v>
      </c>
      <c r="I4836" s="4">
        <f t="shared" si="657"/>
        <v>3</v>
      </c>
      <c r="J4836">
        <f t="shared" si="658"/>
        <v>6</v>
      </c>
      <c r="K4836">
        <v>70</v>
      </c>
      <c r="L4836">
        <v>24</v>
      </c>
      <c r="M4836">
        <v>2.92</v>
      </c>
      <c r="N4836">
        <v>2.83</v>
      </c>
      <c r="O4836">
        <v>0</v>
      </c>
      <c r="P4836">
        <v>5</v>
      </c>
      <c r="Q4836" s="4" t="str">
        <f t="shared" si="655"/>
        <v>2018/2019-Ganjil</v>
      </c>
      <c r="R4836" s="8" t="s">
        <v>260</v>
      </c>
      <c r="S4836" t="str">
        <f t="shared" si="656"/>
        <v>PA</v>
      </c>
    </row>
    <row r="4837" spans="1:19" x14ac:dyDescent="0.3">
      <c r="A4837" t="s">
        <v>8</v>
      </c>
      <c r="B4837">
        <v>2016210049</v>
      </c>
      <c r="C4837" t="s">
        <v>326</v>
      </c>
      <c r="E4837" t="s">
        <v>80</v>
      </c>
      <c r="F4837" t="s">
        <v>81</v>
      </c>
      <c r="G4837">
        <v>4</v>
      </c>
      <c r="H4837" t="s">
        <v>438</v>
      </c>
      <c r="I4837" s="4">
        <f t="shared" si="657"/>
        <v>3</v>
      </c>
      <c r="J4837">
        <f t="shared" si="658"/>
        <v>12</v>
      </c>
      <c r="K4837">
        <v>52</v>
      </c>
      <c r="L4837">
        <v>22</v>
      </c>
      <c r="M4837">
        <v>2.36</v>
      </c>
      <c r="N4837">
        <v>2.83</v>
      </c>
      <c r="O4837">
        <v>0</v>
      </c>
      <c r="P4837">
        <v>6</v>
      </c>
      <c r="Q4837" s="4" t="str">
        <f t="shared" si="655"/>
        <v>2018/2019-Genap</v>
      </c>
      <c r="R4837" s="8" t="s">
        <v>260</v>
      </c>
      <c r="S4837" t="str">
        <f t="shared" si="656"/>
        <v>PA</v>
      </c>
    </row>
    <row r="4838" spans="1:19" x14ac:dyDescent="0.3">
      <c r="A4838" t="s">
        <v>8</v>
      </c>
      <c r="B4838">
        <v>2016210049</v>
      </c>
      <c r="C4838" t="s">
        <v>326</v>
      </c>
      <c r="E4838" t="s">
        <v>597</v>
      </c>
      <c r="F4838" t="s">
        <v>275</v>
      </c>
      <c r="G4838">
        <v>2</v>
      </c>
      <c r="H4838" t="s">
        <v>438</v>
      </c>
      <c r="I4838" s="4">
        <f t="shared" si="657"/>
        <v>3</v>
      </c>
      <c r="J4838">
        <f t="shared" si="658"/>
        <v>6</v>
      </c>
      <c r="K4838">
        <v>52</v>
      </c>
      <c r="L4838">
        <v>22</v>
      </c>
      <c r="M4838">
        <v>2.36</v>
      </c>
      <c r="N4838">
        <v>2.83</v>
      </c>
      <c r="O4838">
        <v>0</v>
      </c>
      <c r="P4838">
        <v>6</v>
      </c>
      <c r="Q4838" s="4" t="str">
        <f t="shared" si="655"/>
        <v>2018/2019-Genap</v>
      </c>
      <c r="R4838" s="8" t="s">
        <v>260</v>
      </c>
      <c r="S4838" t="str">
        <f t="shared" si="656"/>
        <v>PA</v>
      </c>
    </row>
    <row r="4839" spans="1:19" x14ac:dyDescent="0.3">
      <c r="A4839" t="s">
        <v>8</v>
      </c>
      <c r="B4839">
        <v>2016210049</v>
      </c>
      <c r="C4839" t="s">
        <v>326</v>
      </c>
      <c r="E4839" t="s">
        <v>147</v>
      </c>
      <c r="F4839" t="s">
        <v>148</v>
      </c>
      <c r="G4839">
        <v>4</v>
      </c>
      <c r="H4839" t="s">
        <v>438</v>
      </c>
      <c r="I4839" s="4">
        <f t="shared" si="657"/>
        <v>3</v>
      </c>
      <c r="J4839">
        <f t="shared" si="658"/>
        <v>12</v>
      </c>
      <c r="K4839">
        <v>60</v>
      </c>
      <c r="L4839">
        <v>20</v>
      </c>
      <c r="M4839" s="2">
        <v>3</v>
      </c>
      <c r="N4839">
        <v>2.83</v>
      </c>
      <c r="O4839">
        <v>0</v>
      </c>
      <c r="P4839">
        <v>1</v>
      </c>
      <c r="Q4839" s="4" t="str">
        <f t="shared" si="655"/>
        <v>2016/2017-Ganjil</v>
      </c>
      <c r="R4839" s="8" t="s">
        <v>260</v>
      </c>
      <c r="S4839" t="str">
        <f t="shared" si="656"/>
        <v>PA</v>
      </c>
    </row>
    <row r="4840" spans="1:19" x14ac:dyDescent="0.3">
      <c r="A4840" t="s">
        <v>8</v>
      </c>
      <c r="B4840">
        <v>2016210049</v>
      </c>
      <c r="C4840" t="s">
        <v>326</v>
      </c>
      <c r="E4840" t="s">
        <v>136</v>
      </c>
      <c r="F4840" t="s">
        <v>137</v>
      </c>
      <c r="G4840">
        <v>4</v>
      </c>
      <c r="H4840" t="s">
        <v>438</v>
      </c>
      <c r="I4840" s="4">
        <f t="shared" si="657"/>
        <v>3</v>
      </c>
      <c r="J4840">
        <f t="shared" si="658"/>
        <v>12</v>
      </c>
      <c r="K4840">
        <v>52</v>
      </c>
      <c r="L4840">
        <v>22</v>
      </c>
      <c r="M4840" s="2">
        <v>2.36</v>
      </c>
      <c r="N4840">
        <v>2.83</v>
      </c>
      <c r="O4840">
        <v>0</v>
      </c>
      <c r="P4840">
        <v>6</v>
      </c>
      <c r="Q4840" s="4" t="str">
        <f t="shared" si="655"/>
        <v>2018/2019-Genap</v>
      </c>
      <c r="R4840" s="8" t="s">
        <v>260</v>
      </c>
      <c r="S4840" t="str">
        <f t="shared" si="656"/>
        <v>PA</v>
      </c>
    </row>
    <row r="4841" spans="1:19" x14ac:dyDescent="0.3">
      <c r="A4841" t="s">
        <v>8</v>
      </c>
      <c r="B4841">
        <v>2016210049</v>
      </c>
      <c r="C4841" t="s">
        <v>326</v>
      </c>
      <c r="E4841" t="s">
        <v>253</v>
      </c>
      <c r="F4841" t="s">
        <v>254</v>
      </c>
      <c r="G4841">
        <v>2</v>
      </c>
      <c r="H4841" t="s">
        <v>438</v>
      </c>
      <c r="I4841" s="4">
        <f t="shared" si="657"/>
        <v>3</v>
      </c>
      <c r="J4841">
        <f t="shared" si="658"/>
        <v>6</v>
      </c>
      <c r="K4841">
        <v>60</v>
      </c>
      <c r="L4841">
        <v>22</v>
      </c>
      <c r="M4841">
        <v>2.73</v>
      </c>
      <c r="N4841">
        <v>2.83</v>
      </c>
      <c r="O4841">
        <v>0</v>
      </c>
      <c r="P4841">
        <v>4</v>
      </c>
      <c r="Q4841" s="4" t="str">
        <f t="shared" si="655"/>
        <v>2017/2018-Genap</v>
      </c>
      <c r="R4841" s="8" t="s">
        <v>260</v>
      </c>
      <c r="S4841" t="str">
        <f t="shared" si="656"/>
        <v>PA</v>
      </c>
    </row>
    <row r="4842" spans="1:19" x14ac:dyDescent="0.3">
      <c r="A4842" t="s">
        <v>8</v>
      </c>
      <c r="B4842">
        <v>2016210049</v>
      </c>
      <c r="C4842" t="s">
        <v>326</v>
      </c>
      <c r="E4842" t="s">
        <v>117</v>
      </c>
      <c r="F4842" t="s">
        <v>118</v>
      </c>
      <c r="G4842">
        <v>2</v>
      </c>
      <c r="H4842" t="s">
        <v>438</v>
      </c>
      <c r="I4842" s="4">
        <f t="shared" si="657"/>
        <v>3</v>
      </c>
      <c r="J4842">
        <f t="shared" si="658"/>
        <v>6</v>
      </c>
      <c r="K4842">
        <v>40</v>
      </c>
      <c r="L4842">
        <v>18</v>
      </c>
      <c r="M4842">
        <v>2.2200000000000002</v>
      </c>
      <c r="N4842">
        <v>2.83</v>
      </c>
      <c r="O4842">
        <v>0</v>
      </c>
      <c r="P4842">
        <v>2</v>
      </c>
      <c r="Q4842" s="4" t="str">
        <f t="shared" si="655"/>
        <v>2016/2017-Genap</v>
      </c>
      <c r="R4842" s="8" t="s">
        <v>260</v>
      </c>
      <c r="S4842" t="str">
        <f t="shared" si="656"/>
        <v>PA</v>
      </c>
    </row>
    <row r="4843" spans="1:19" x14ac:dyDescent="0.3">
      <c r="A4843" t="s">
        <v>8</v>
      </c>
      <c r="B4843">
        <v>2016210049</v>
      </c>
      <c r="C4843" t="s">
        <v>326</v>
      </c>
      <c r="E4843" t="s">
        <v>107</v>
      </c>
      <c r="F4843" t="s">
        <v>108</v>
      </c>
      <c r="G4843">
        <v>2</v>
      </c>
      <c r="H4843" t="s">
        <v>438</v>
      </c>
      <c r="I4843" s="4">
        <f t="shared" si="657"/>
        <v>3</v>
      </c>
      <c r="J4843">
        <f t="shared" si="658"/>
        <v>6</v>
      </c>
      <c r="K4843">
        <v>52</v>
      </c>
      <c r="L4843">
        <v>22</v>
      </c>
      <c r="M4843" s="2">
        <v>2.36</v>
      </c>
      <c r="N4843">
        <v>2.83</v>
      </c>
      <c r="O4843">
        <v>0</v>
      </c>
      <c r="P4843">
        <v>6</v>
      </c>
      <c r="Q4843" s="4" t="str">
        <f t="shared" si="655"/>
        <v>2018/2019-Genap</v>
      </c>
      <c r="R4843" s="8" t="s">
        <v>260</v>
      </c>
      <c r="S4843" t="str">
        <f t="shared" si="656"/>
        <v>PA</v>
      </c>
    </row>
    <row r="4844" spans="1:19" x14ac:dyDescent="0.3">
      <c r="A4844" t="s">
        <v>8</v>
      </c>
      <c r="B4844">
        <v>2016210049</v>
      </c>
      <c r="C4844" t="s">
        <v>326</v>
      </c>
      <c r="E4844" t="s">
        <v>246</v>
      </c>
      <c r="F4844" t="s">
        <v>247</v>
      </c>
      <c r="G4844">
        <v>4</v>
      </c>
      <c r="H4844" t="s">
        <v>438</v>
      </c>
      <c r="I4844" s="4">
        <f t="shared" si="657"/>
        <v>3</v>
      </c>
      <c r="J4844">
        <f t="shared" si="658"/>
        <v>12</v>
      </c>
      <c r="K4844">
        <v>60</v>
      </c>
      <c r="L4844">
        <v>22</v>
      </c>
      <c r="M4844">
        <v>2.73</v>
      </c>
      <c r="N4844">
        <v>2.83</v>
      </c>
      <c r="O4844">
        <v>0</v>
      </c>
      <c r="P4844">
        <v>4</v>
      </c>
      <c r="Q4844" s="4" t="str">
        <f t="shared" si="655"/>
        <v>2017/2018-Genap</v>
      </c>
      <c r="R4844" s="8" t="s">
        <v>260</v>
      </c>
      <c r="S4844" t="str">
        <f t="shared" si="656"/>
        <v>PA</v>
      </c>
    </row>
    <row r="4845" spans="1:19" x14ac:dyDescent="0.3">
      <c r="A4845" t="s">
        <v>8</v>
      </c>
      <c r="B4845">
        <v>2016210049</v>
      </c>
      <c r="C4845" t="s">
        <v>326</v>
      </c>
      <c r="E4845" t="s">
        <v>22</v>
      </c>
      <c r="F4845" t="s">
        <v>23</v>
      </c>
      <c r="G4845">
        <v>2</v>
      </c>
      <c r="H4845" t="s">
        <v>438</v>
      </c>
      <c r="I4845" s="4">
        <f t="shared" si="657"/>
        <v>3</v>
      </c>
      <c r="J4845">
        <f t="shared" si="658"/>
        <v>6</v>
      </c>
      <c r="K4845">
        <v>40</v>
      </c>
      <c r="L4845">
        <v>18</v>
      </c>
      <c r="M4845">
        <v>2.2200000000000002</v>
      </c>
      <c r="N4845">
        <v>2.83</v>
      </c>
      <c r="O4845">
        <v>0</v>
      </c>
      <c r="P4845">
        <v>2</v>
      </c>
      <c r="Q4845" s="4" t="str">
        <f t="shared" si="655"/>
        <v>2016/2017-Genap</v>
      </c>
      <c r="R4845" s="8" t="s">
        <v>260</v>
      </c>
      <c r="S4845" t="str">
        <f t="shared" si="656"/>
        <v>PA</v>
      </c>
    </row>
    <row r="4846" spans="1:19" x14ac:dyDescent="0.3">
      <c r="A4846" t="s">
        <v>8</v>
      </c>
      <c r="B4846">
        <v>2016210049</v>
      </c>
      <c r="C4846" t="s">
        <v>326</v>
      </c>
      <c r="E4846" t="s">
        <v>185</v>
      </c>
      <c r="F4846" t="s">
        <v>186</v>
      </c>
      <c r="G4846">
        <v>4</v>
      </c>
      <c r="H4846" t="s">
        <v>438</v>
      </c>
      <c r="I4846" s="4">
        <f t="shared" si="657"/>
        <v>3</v>
      </c>
      <c r="J4846">
        <f t="shared" si="658"/>
        <v>12</v>
      </c>
      <c r="K4846">
        <v>46</v>
      </c>
      <c r="L4846">
        <v>16</v>
      </c>
      <c r="M4846" s="2">
        <v>2.88</v>
      </c>
      <c r="N4846">
        <v>2.83</v>
      </c>
      <c r="O4846">
        <v>0</v>
      </c>
      <c r="P4846">
        <v>7</v>
      </c>
      <c r="Q4846" s="4" t="str">
        <f t="shared" si="655"/>
        <v>2019/2020-Ganjil</v>
      </c>
      <c r="R4846" s="8" t="s">
        <v>260</v>
      </c>
      <c r="S4846" t="str">
        <f t="shared" si="656"/>
        <v>PA</v>
      </c>
    </row>
    <row r="4847" spans="1:19" x14ac:dyDescent="0.3">
      <c r="A4847" t="s">
        <v>8</v>
      </c>
      <c r="B4847">
        <v>2016210049</v>
      </c>
      <c r="C4847" t="s">
        <v>326</v>
      </c>
      <c r="E4847" t="s">
        <v>355</v>
      </c>
      <c r="F4847" t="s">
        <v>274</v>
      </c>
      <c r="G4847">
        <v>2</v>
      </c>
      <c r="H4847" t="s">
        <v>438</v>
      </c>
      <c r="I4847" s="4">
        <f t="shared" si="657"/>
        <v>3</v>
      </c>
      <c r="J4847">
        <f t="shared" si="658"/>
        <v>6</v>
      </c>
      <c r="K4847">
        <v>60</v>
      </c>
      <c r="L4847">
        <v>22</v>
      </c>
      <c r="M4847">
        <v>2.73</v>
      </c>
      <c r="N4847">
        <v>2.83</v>
      </c>
      <c r="O4847">
        <v>0</v>
      </c>
      <c r="P4847">
        <v>4</v>
      </c>
      <c r="Q4847" s="4" t="str">
        <f t="shared" si="655"/>
        <v>2017/2018-Genap</v>
      </c>
      <c r="R4847" s="8" t="s">
        <v>260</v>
      </c>
      <c r="S4847" t="str">
        <f t="shared" si="656"/>
        <v>PA</v>
      </c>
    </row>
    <row r="4848" spans="1:19" x14ac:dyDescent="0.3">
      <c r="A4848" t="s">
        <v>8</v>
      </c>
      <c r="B4848">
        <v>2016210049</v>
      </c>
      <c r="C4848" t="s">
        <v>326</v>
      </c>
      <c r="E4848" t="s">
        <v>193</v>
      </c>
      <c r="F4848" t="s">
        <v>194</v>
      </c>
      <c r="G4848">
        <v>4</v>
      </c>
      <c r="H4848" t="s">
        <v>438</v>
      </c>
      <c r="I4848" s="4">
        <f t="shared" si="657"/>
        <v>3</v>
      </c>
      <c r="J4848">
        <f t="shared" si="658"/>
        <v>12</v>
      </c>
      <c r="K4848">
        <v>46</v>
      </c>
      <c r="L4848">
        <v>16</v>
      </c>
      <c r="M4848" s="2">
        <v>2.88</v>
      </c>
      <c r="N4848">
        <v>2.83</v>
      </c>
      <c r="O4848">
        <v>0</v>
      </c>
      <c r="P4848">
        <v>7</v>
      </c>
      <c r="Q4848" s="4" t="str">
        <f t="shared" si="655"/>
        <v>2019/2020-Ganjil</v>
      </c>
      <c r="R4848" s="8" t="s">
        <v>260</v>
      </c>
      <c r="S4848" t="str">
        <f t="shared" si="656"/>
        <v>PA</v>
      </c>
    </row>
    <row r="4849" spans="1:19" x14ac:dyDescent="0.3">
      <c r="A4849" t="s">
        <v>8</v>
      </c>
      <c r="B4849">
        <v>2016210049</v>
      </c>
      <c r="C4849" t="s">
        <v>326</v>
      </c>
      <c r="E4849" t="s">
        <v>10</v>
      </c>
      <c r="F4849" t="s">
        <v>11</v>
      </c>
      <c r="G4849">
        <v>2</v>
      </c>
      <c r="H4849" t="s">
        <v>438</v>
      </c>
      <c r="I4849" s="4">
        <f t="shared" si="657"/>
        <v>3</v>
      </c>
      <c r="J4849">
        <f t="shared" si="658"/>
        <v>6</v>
      </c>
      <c r="K4849">
        <v>46</v>
      </c>
      <c r="L4849">
        <v>16</v>
      </c>
      <c r="M4849" s="2">
        <v>2.88</v>
      </c>
      <c r="N4849">
        <v>2.83</v>
      </c>
      <c r="O4849">
        <v>0</v>
      </c>
      <c r="P4849">
        <v>7</v>
      </c>
      <c r="Q4849" s="4" t="str">
        <f t="shared" si="655"/>
        <v>2019/2020-Ganjil</v>
      </c>
      <c r="R4849" s="8" t="s">
        <v>260</v>
      </c>
      <c r="S4849" t="str">
        <f t="shared" si="656"/>
        <v>PA</v>
      </c>
    </row>
    <row r="4850" spans="1:19" x14ac:dyDescent="0.3">
      <c r="A4850" t="s">
        <v>8</v>
      </c>
      <c r="B4850">
        <v>2016210049</v>
      </c>
      <c r="C4850" t="s">
        <v>326</v>
      </c>
      <c r="E4850" t="s">
        <v>176</v>
      </c>
      <c r="F4850" t="s">
        <v>177</v>
      </c>
      <c r="G4850">
        <v>4</v>
      </c>
      <c r="H4850" t="s">
        <v>438</v>
      </c>
      <c r="I4850" s="4">
        <f t="shared" si="657"/>
        <v>3</v>
      </c>
      <c r="J4850">
        <f t="shared" si="658"/>
        <v>12</v>
      </c>
      <c r="K4850">
        <v>70</v>
      </c>
      <c r="L4850">
        <v>24</v>
      </c>
      <c r="M4850">
        <v>2.92</v>
      </c>
      <c r="N4850">
        <v>2.83</v>
      </c>
      <c r="O4850">
        <v>0</v>
      </c>
      <c r="P4850">
        <v>5</v>
      </c>
      <c r="Q4850" s="4" t="str">
        <f t="shared" si="655"/>
        <v>2018/2019-Ganjil</v>
      </c>
      <c r="R4850" s="8" t="s">
        <v>260</v>
      </c>
      <c r="S4850" t="str">
        <f t="shared" si="656"/>
        <v>PA</v>
      </c>
    </row>
    <row r="4851" spans="1:19" x14ac:dyDescent="0.3">
      <c r="A4851" t="s">
        <v>8</v>
      </c>
      <c r="B4851">
        <v>2016210049</v>
      </c>
      <c r="C4851" t="s">
        <v>326</v>
      </c>
      <c r="E4851" t="s">
        <v>227</v>
      </c>
      <c r="F4851" t="s">
        <v>228</v>
      </c>
      <c r="G4851">
        <v>2</v>
      </c>
      <c r="H4851" t="s">
        <v>438</v>
      </c>
      <c r="I4851" s="4">
        <f t="shared" si="657"/>
        <v>3</v>
      </c>
      <c r="J4851">
        <f t="shared" si="658"/>
        <v>6</v>
      </c>
      <c r="K4851">
        <v>40</v>
      </c>
      <c r="L4851">
        <v>18</v>
      </c>
      <c r="M4851">
        <v>2.2200000000000002</v>
      </c>
      <c r="N4851">
        <v>2.83</v>
      </c>
      <c r="O4851">
        <v>0</v>
      </c>
      <c r="P4851">
        <v>3</v>
      </c>
      <c r="Q4851" s="4" t="str">
        <f t="shared" ref="Q4851:Q4868" si="660">IF(P4851=1,"2016/2017-Ganjil",IF(P4851=2,"2016/2017-Genap",IF(P4851=3,"2017/2018-Ganjil",IF(P4851=4,"2017/2018-Genap",IF(P4851=5,"2018/2019-Ganjil",IF(P4851=6,"2018/2019-Genap",IF(P4851=7,"2019/2020-Ganjil",IF(P4851=8,"2019/2020-Genap",IF(P4851=9,"2020/2021-Ganjil",IF(P4851=10,"2020/2021-Genap",IF(P4851=11,"2021/2022-Ganjil",IF(P4851=12,"2021/2022-Genap",IF(P4851=13,"2022/2023-Ganjil","2022/2023-Genap")))))))))))))</f>
        <v>2017/2018-Ganjil</v>
      </c>
      <c r="R4851" s="8" t="s">
        <v>260</v>
      </c>
      <c r="S4851" t="str">
        <f t="shared" si="656"/>
        <v>PA</v>
      </c>
    </row>
    <row r="4852" spans="1:19" x14ac:dyDescent="0.3">
      <c r="A4852" t="s">
        <v>8</v>
      </c>
      <c r="B4852">
        <v>2016210049</v>
      </c>
      <c r="C4852" t="s">
        <v>326</v>
      </c>
      <c r="E4852" t="s">
        <v>188</v>
      </c>
      <c r="F4852" t="s">
        <v>189</v>
      </c>
      <c r="G4852">
        <v>4</v>
      </c>
      <c r="H4852" t="s">
        <v>438</v>
      </c>
      <c r="I4852" s="4">
        <f t="shared" si="657"/>
        <v>3</v>
      </c>
      <c r="J4852">
        <f t="shared" si="658"/>
        <v>12</v>
      </c>
      <c r="K4852">
        <v>70</v>
      </c>
      <c r="L4852">
        <v>24</v>
      </c>
      <c r="M4852">
        <v>2.92</v>
      </c>
      <c r="N4852">
        <v>2.83</v>
      </c>
      <c r="O4852">
        <v>0</v>
      </c>
      <c r="P4852">
        <v>5</v>
      </c>
      <c r="Q4852" s="4" t="str">
        <f t="shared" si="660"/>
        <v>2018/2019-Ganjil</v>
      </c>
      <c r="R4852" s="8" t="s">
        <v>260</v>
      </c>
      <c r="S4852" t="str">
        <f t="shared" si="656"/>
        <v>PA</v>
      </c>
    </row>
    <row r="4853" spans="1:19" x14ac:dyDescent="0.3">
      <c r="A4853" t="s">
        <v>8</v>
      </c>
      <c r="B4853">
        <v>2016210049</v>
      </c>
      <c r="C4853" t="s">
        <v>326</v>
      </c>
      <c r="E4853" t="s">
        <v>93</v>
      </c>
      <c r="F4853" t="s">
        <v>94</v>
      </c>
      <c r="G4853">
        <v>4</v>
      </c>
      <c r="H4853" t="s">
        <v>438</v>
      </c>
      <c r="I4853" s="4">
        <f t="shared" si="657"/>
        <v>3</v>
      </c>
      <c r="J4853">
        <f t="shared" si="658"/>
        <v>12</v>
      </c>
      <c r="K4853">
        <v>40</v>
      </c>
      <c r="L4853">
        <v>18</v>
      </c>
      <c r="M4853">
        <v>2.2200000000000002</v>
      </c>
      <c r="N4853">
        <v>2.83</v>
      </c>
      <c r="O4853">
        <v>0</v>
      </c>
      <c r="P4853">
        <v>3</v>
      </c>
      <c r="Q4853" s="4" t="str">
        <f t="shared" si="660"/>
        <v>2017/2018-Ganjil</v>
      </c>
      <c r="R4853" s="8" t="s">
        <v>260</v>
      </c>
      <c r="S4853" t="str">
        <f t="shared" si="656"/>
        <v>PA</v>
      </c>
    </row>
    <row r="4854" spans="1:19" x14ac:dyDescent="0.3">
      <c r="A4854" t="s">
        <v>8</v>
      </c>
      <c r="B4854">
        <v>2016210049</v>
      </c>
      <c r="C4854" t="s">
        <v>326</v>
      </c>
      <c r="E4854" t="s">
        <v>238</v>
      </c>
      <c r="F4854" t="s">
        <v>239</v>
      </c>
      <c r="G4854">
        <v>4</v>
      </c>
      <c r="H4854" t="s">
        <v>438</v>
      </c>
      <c r="I4854" s="4">
        <f t="shared" si="657"/>
        <v>3</v>
      </c>
      <c r="J4854">
        <f t="shared" si="658"/>
        <v>12</v>
      </c>
      <c r="K4854">
        <v>52</v>
      </c>
      <c r="L4854">
        <v>22</v>
      </c>
      <c r="M4854">
        <v>2.36</v>
      </c>
      <c r="N4854">
        <v>2.83</v>
      </c>
      <c r="O4854">
        <v>0</v>
      </c>
      <c r="P4854">
        <v>6</v>
      </c>
      <c r="Q4854" s="4" t="str">
        <f t="shared" si="660"/>
        <v>2018/2019-Genap</v>
      </c>
      <c r="R4854" s="8" t="s">
        <v>260</v>
      </c>
      <c r="S4854" t="str">
        <f t="shared" si="656"/>
        <v>PA</v>
      </c>
    </row>
    <row r="4855" spans="1:19" x14ac:dyDescent="0.3">
      <c r="A4855" t="s">
        <v>8</v>
      </c>
      <c r="B4855">
        <v>2016210049</v>
      </c>
      <c r="C4855" t="s">
        <v>326</v>
      </c>
      <c r="E4855" t="s">
        <v>180</v>
      </c>
      <c r="F4855" t="s">
        <v>181</v>
      </c>
      <c r="G4855">
        <v>4</v>
      </c>
      <c r="H4855" t="s">
        <v>524</v>
      </c>
      <c r="I4855" s="4">
        <f t="shared" si="657"/>
        <v>2</v>
      </c>
      <c r="J4855">
        <f t="shared" si="658"/>
        <v>8</v>
      </c>
      <c r="K4855">
        <v>60</v>
      </c>
      <c r="L4855">
        <v>22</v>
      </c>
      <c r="M4855">
        <v>2.73</v>
      </c>
      <c r="N4855">
        <v>2.83</v>
      </c>
      <c r="O4855">
        <v>0</v>
      </c>
      <c r="P4855">
        <v>4</v>
      </c>
      <c r="Q4855" s="4" t="str">
        <f t="shared" si="660"/>
        <v>2017/2018-Genap</v>
      </c>
      <c r="R4855" s="8" t="s">
        <v>260</v>
      </c>
      <c r="S4855" t="str">
        <f t="shared" si="656"/>
        <v>PA</v>
      </c>
    </row>
    <row r="4856" spans="1:19" x14ac:dyDescent="0.3">
      <c r="A4856" t="s">
        <v>8</v>
      </c>
      <c r="B4856">
        <v>2016210049</v>
      </c>
      <c r="C4856" t="s">
        <v>326</v>
      </c>
      <c r="E4856" t="s">
        <v>119</v>
      </c>
      <c r="F4856" t="s">
        <v>120</v>
      </c>
      <c r="G4856">
        <v>2</v>
      </c>
      <c r="H4856" t="s">
        <v>524</v>
      </c>
      <c r="I4856" s="4">
        <f t="shared" si="657"/>
        <v>2</v>
      </c>
      <c r="J4856">
        <f t="shared" si="658"/>
        <v>4</v>
      </c>
      <c r="K4856">
        <v>52</v>
      </c>
      <c r="L4856">
        <v>22</v>
      </c>
      <c r="M4856" s="2">
        <v>2.36</v>
      </c>
      <c r="N4856">
        <v>2.83</v>
      </c>
      <c r="O4856">
        <v>0</v>
      </c>
      <c r="P4856">
        <v>6</v>
      </c>
      <c r="Q4856" s="4" t="str">
        <f t="shared" si="660"/>
        <v>2018/2019-Genap</v>
      </c>
      <c r="R4856" s="8" t="s">
        <v>260</v>
      </c>
      <c r="S4856" t="str">
        <f t="shared" si="656"/>
        <v>PA</v>
      </c>
    </row>
    <row r="4857" spans="1:19" x14ac:dyDescent="0.3">
      <c r="A4857" t="s">
        <v>8</v>
      </c>
      <c r="B4857">
        <v>2016210049</v>
      </c>
      <c r="C4857" t="s">
        <v>326</v>
      </c>
      <c r="E4857" t="s">
        <v>393</v>
      </c>
      <c r="F4857" t="s">
        <v>492</v>
      </c>
      <c r="G4857">
        <v>2</v>
      </c>
      <c r="H4857" t="s">
        <v>524</v>
      </c>
      <c r="I4857" s="4">
        <f t="shared" si="657"/>
        <v>2</v>
      </c>
      <c r="J4857">
        <f t="shared" si="658"/>
        <v>4</v>
      </c>
      <c r="K4857">
        <v>46</v>
      </c>
      <c r="L4857">
        <v>16</v>
      </c>
      <c r="M4857">
        <v>2.88</v>
      </c>
      <c r="N4857">
        <v>2.83</v>
      </c>
      <c r="O4857">
        <v>0</v>
      </c>
      <c r="P4857">
        <v>7</v>
      </c>
      <c r="Q4857" s="4" t="str">
        <f t="shared" si="660"/>
        <v>2019/2020-Ganjil</v>
      </c>
      <c r="R4857" s="8" t="s">
        <v>260</v>
      </c>
      <c r="S4857" t="str">
        <f t="shared" si="656"/>
        <v>PA</v>
      </c>
    </row>
    <row r="4858" spans="1:19" x14ac:dyDescent="0.3">
      <c r="A4858" t="s">
        <v>8</v>
      </c>
      <c r="B4858">
        <v>2016210049</v>
      </c>
      <c r="C4858" t="s">
        <v>326</v>
      </c>
      <c r="E4858" t="s">
        <v>112</v>
      </c>
      <c r="F4858" t="s">
        <v>113</v>
      </c>
      <c r="G4858">
        <v>4</v>
      </c>
      <c r="H4858" t="s">
        <v>524</v>
      </c>
      <c r="I4858" s="4">
        <f t="shared" si="657"/>
        <v>2</v>
      </c>
      <c r="J4858">
        <f t="shared" si="658"/>
        <v>8</v>
      </c>
      <c r="K4858">
        <v>40</v>
      </c>
      <c r="L4858">
        <v>18</v>
      </c>
      <c r="M4858">
        <v>2.2200000000000002</v>
      </c>
      <c r="N4858">
        <v>2.83</v>
      </c>
      <c r="O4858">
        <v>0</v>
      </c>
      <c r="P4858">
        <v>3</v>
      </c>
      <c r="Q4858" s="4" t="str">
        <f t="shared" si="660"/>
        <v>2017/2018-Ganjil</v>
      </c>
      <c r="R4858" s="8" t="s">
        <v>260</v>
      </c>
      <c r="S4858" t="str">
        <f t="shared" si="656"/>
        <v>PA</v>
      </c>
    </row>
    <row r="4859" spans="1:19" x14ac:dyDescent="0.3">
      <c r="A4859" t="s">
        <v>8</v>
      </c>
      <c r="B4859">
        <v>2016210049</v>
      </c>
      <c r="C4859" t="s">
        <v>326</v>
      </c>
      <c r="E4859" t="s">
        <v>439</v>
      </c>
      <c r="F4859" t="s">
        <v>504</v>
      </c>
      <c r="G4859">
        <v>2</v>
      </c>
      <c r="H4859" t="s">
        <v>524</v>
      </c>
      <c r="I4859" s="4">
        <f t="shared" si="657"/>
        <v>2</v>
      </c>
      <c r="J4859">
        <f t="shared" si="658"/>
        <v>4</v>
      </c>
      <c r="K4859">
        <v>28</v>
      </c>
      <c r="L4859">
        <v>12</v>
      </c>
      <c r="M4859">
        <v>2.33</v>
      </c>
      <c r="N4859">
        <v>2.83</v>
      </c>
      <c r="O4859">
        <v>0</v>
      </c>
      <c r="P4859">
        <v>8</v>
      </c>
      <c r="Q4859" s="4" t="str">
        <f t="shared" si="660"/>
        <v>2019/2020-Genap</v>
      </c>
      <c r="R4859" t="s">
        <v>596</v>
      </c>
      <c r="S4859" t="str">
        <f t="shared" si="656"/>
        <v>PA</v>
      </c>
    </row>
    <row r="4860" spans="1:19" x14ac:dyDescent="0.3">
      <c r="A4860" t="s">
        <v>8</v>
      </c>
      <c r="B4860">
        <v>2016210049</v>
      </c>
      <c r="C4860" t="s">
        <v>326</v>
      </c>
      <c r="E4860" t="s">
        <v>449</v>
      </c>
      <c r="F4860" t="s">
        <v>460</v>
      </c>
      <c r="G4860">
        <v>4</v>
      </c>
      <c r="H4860" t="s">
        <v>524</v>
      </c>
      <c r="I4860" s="4">
        <f t="shared" si="657"/>
        <v>2</v>
      </c>
      <c r="J4860">
        <f t="shared" si="658"/>
        <v>8</v>
      </c>
      <c r="K4860">
        <v>60</v>
      </c>
      <c r="L4860">
        <v>22</v>
      </c>
      <c r="M4860">
        <v>2.73</v>
      </c>
      <c r="N4860">
        <v>2.83</v>
      </c>
      <c r="O4860">
        <v>0</v>
      </c>
      <c r="P4860">
        <v>4</v>
      </c>
      <c r="Q4860" s="4" t="str">
        <f t="shared" si="660"/>
        <v>2017/2018-Genap</v>
      </c>
      <c r="R4860" s="8" t="s">
        <v>260</v>
      </c>
      <c r="S4860" t="str">
        <f t="shared" si="656"/>
        <v>PA</v>
      </c>
    </row>
    <row r="4861" spans="1:19" x14ac:dyDescent="0.3">
      <c r="A4861" t="s">
        <v>8</v>
      </c>
      <c r="B4861">
        <v>2016210049</v>
      </c>
      <c r="C4861" t="s">
        <v>326</v>
      </c>
      <c r="E4861" t="s">
        <v>19</v>
      </c>
      <c r="F4861" t="s">
        <v>20</v>
      </c>
      <c r="G4861">
        <v>6</v>
      </c>
      <c r="H4861" t="s">
        <v>524</v>
      </c>
      <c r="I4861" s="4">
        <f t="shared" si="657"/>
        <v>2</v>
      </c>
      <c r="J4861">
        <f t="shared" si="658"/>
        <v>12</v>
      </c>
      <c r="K4861">
        <v>28</v>
      </c>
      <c r="L4861">
        <v>12</v>
      </c>
      <c r="M4861" s="2">
        <v>2.33</v>
      </c>
      <c r="N4861">
        <v>2.83</v>
      </c>
      <c r="O4861">
        <v>0</v>
      </c>
      <c r="P4861">
        <v>8</v>
      </c>
      <c r="Q4861" s="4" t="str">
        <f t="shared" si="660"/>
        <v>2019/2020-Genap</v>
      </c>
      <c r="R4861" t="s">
        <v>596</v>
      </c>
      <c r="S4861" t="str">
        <f t="shared" si="656"/>
        <v>PA</v>
      </c>
    </row>
    <row r="4862" spans="1:19" x14ac:dyDescent="0.3">
      <c r="A4862" t="s">
        <v>8</v>
      </c>
      <c r="B4862">
        <v>2016210049</v>
      </c>
      <c r="C4862" t="s">
        <v>326</v>
      </c>
      <c r="E4862" t="s">
        <v>110</v>
      </c>
      <c r="F4862" t="s">
        <v>111</v>
      </c>
      <c r="G4862">
        <v>4</v>
      </c>
      <c r="H4862" t="s">
        <v>524</v>
      </c>
      <c r="I4862" s="4">
        <f t="shared" si="657"/>
        <v>2</v>
      </c>
      <c r="J4862">
        <f t="shared" si="658"/>
        <v>8</v>
      </c>
      <c r="K4862">
        <v>60</v>
      </c>
      <c r="L4862">
        <v>20</v>
      </c>
      <c r="M4862" s="2">
        <v>3</v>
      </c>
      <c r="N4862">
        <v>2.83</v>
      </c>
      <c r="O4862">
        <v>0</v>
      </c>
      <c r="P4862">
        <v>1</v>
      </c>
      <c r="Q4862" s="4" t="str">
        <f t="shared" si="660"/>
        <v>2016/2017-Ganjil</v>
      </c>
      <c r="R4862" s="8" t="s">
        <v>260</v>
      </c>
      <c r="S4862" t="str">
        <f t="shared" si="656"/>
        <v>PA</v>
      </c>
    </row>
    <row r="4863" spans="1:19" x14ac:dyDescent="0.3">
      <c r="A4863" t="s">
        <v>8</v>
      </c>
      <c r="B4863">
        <v>2016210049</v>
      </c>
      <c r="C4863" t="s">
        <v>326</v>
      </c>
      <c r="E4863" t="s">
        <v>250</v>
      </c>
      <c r="F4863" t="s">
        <v>429</v>
      </c>
      <c r="G4863">
        <v>2</v>
      </c>
      <c r="H4863" t="s">
        <v>524</v>
      </c>
      <c r="I4863" s="4">
        <f t="shared" si="657"/>
        <v>2</v>
      </c>
      <c r="J4863">
        <f t="shared" si="658"/>
        <v>4</v>
      </c>
      <c r="K4863">
        <v>28</v>
      </c>
      <c r="L4863">
        <v>12</v>
      </c>
      <c r="M4863">
        <v>2.33</v>
      </c>
      <c r="N4863">
        <v>2.83</v>
      </c>
      <c r="O4863">
        <v>0</v>
      </c>
      <c r="P4863">
        <v>8</v>
      </c>
      <c r="Q4863" s="4" t="str">
        <f t="shared" si="660"/>
        <v>2019/2020-Genap</v>
      </c>
      <c r="R4863" t="s">
        <v>596</v>
      </c>
      <c r="S4863" t="str">
        <f t="shared" si="656"/>
        <v>PA</v>
      </c>
    </row>
    <row r="4864" spans="1:19" x14ac:dyDescent="0.3">
      <c r="A4864" t="s">
        <v>8</v>
      </c>
      <c r="B4864">
        <v>2016210049</v>
      </c>
      <c r="C4864" t="s">
        <v>326</v>
      </c>
      <c r="E4864" t="s">
        <v>395</v>
      </c>
      <c r="F4864" t="s">
        <v>396</v>
      </c>
      <c r="G4864">
        <v>2</v>
      </c>
      <c r="H4864" t="s">
        <v>524</v>
      </c>
      <c r="I4864" s="4">
        <f t="shared" si="657"/>
        <v>2</v>
      </c>
      <c r="J4864">
        <f t="shared" si="658"/>
        <v>4</v>
      </c>
      <c r="K4864">
        <v>60</v>
      </c>
      <c r="L4864">
        <v>20</v>
      </c>
      <c r="M4864" s="2">
        <v>3</v>
      </c>
      <c r="N4864">
        <v>2.83</v>
      </c>
      <c r="O4864">
        <v>0</v>
      </c>
      <c r="P4864">
        <v>1</v>
      </c>
      <c r="Q4864" s="4" t="str">
        <f t="shared" si="660"/>
        <v>2016/2017-Ganjil</v>
      </c>
      <c r="R4864" s="8" t="s">
        <v>260</v>
      </c>
      <c r="S4864" t="str">
        <f t="shared" si="656"/>
        <v>PA</v>
      </c>
    </row>
    <row r="4865" spans="1:19" x14ac:dyDescent="0.3">
      <c r="A4865" t="s">
        <v>8</v>
      </c>
      <c r="B4865">
        <v>2016210049</v>
      </c>
      <c r="C4865" t="s">
        <v>326</v>
      </c>
      <c r="E4865" t="s">
        <v>182</v>
      </c>
      <c r="F4865" t="s">
        <v>171</v>
      </c>
      <c r="G4865">
        <v>2</v>
      </c>
      <c r="H4865" t="s">
        <v>535</v>
      </c>
      <c r="I4865" s="4">
        <f t="shared" si="657"/>
        <v>1</v>
      </c>
      <c r="J4865">
        <f t="shared" si="658"/>
        <v>2</v>
      </c>
      <c r="K4865">
        <v>40</v>
      </c>
      <c r="L4865">
        <v>18</v>
      </c>
      <c r="M4865">
        <v>2.2200000000000002</v>
      </c>
      <c r="N4865">
        <v>2.83</v>
      </c>
      <c r="O4865">
        <v>0</v>
      </c>
      <c r="P4865">
        <v>3</v>
      </c>
      <c r="Q4865" s="4" t="str">
        <f t="shared" si="660"/>
        <v>2017/2018-Ganjil</v>
      </c>
      <c r="R4865" s="8" t="s">
        <v>260</v>
      </c>
      <c r="S4865" t="str">
        <f t="shared" si="656"/>
        <v>FA</v>
      </c>
    </row>
    <row r="4866" spans="1:19" x14ac:dyDescent="0.3">
      <c r="A4866" t="s">
        <v>8</v>
      </c>
      <c r="B4866">
        <v>2016210049</v>
      </c>
      <c r="C4866" t="s">
        <v>326</v>
      </c>
      <c r="E4866" t="s">
        <v>182</v>
      </c>
      <c r="F4866" t="s">
        <v>171</v>
      </c>
      <c r="G4866">
        <v>2</v>
      </c>
      <c r="H4866" t="s">
        <v>438</v>
      </c>
      <c r="I4866" s="4">
        <f t="shared" si="657"/>
        <v>3</v>
      </c>
      <c r="J4866">
        <f t="shared" si="658"/>
        <v>6</v>
      </c>
      <c r="K4866">
        <v>70</v>
      </c>
      <c r="L4866">
        <v>24</v>
      </c>
      <c r="M4866">
        <v>2.92</v>
      </c>
      <c r="N4866">
        <v>2.83</v>
      </c>
      <c r="O4866">
        <v>1</v>
      </c>
      <c r="P4866">
        <v>5</v>
      </c>
      <c r="Q4866" s="4" t="str">
        <f t="shared" si="660"/>
        <v>2018/2019-Ganjil</v>
      </c>
      <c r="R4866" s="8" t="s">
        <v>260</v>
      </c>
      <c r="S4866" t="str">
        <f t="shared" si="656"/>
        <v>PA</v>
      </c>
    </row>
    <row r="4867" spans="1:19" x14ac:dyDescent="0.3">
      <c r="A4867" t="s">
        <v>8</v>
      </c>
      <c r="B4867">
        <v>2016210049</v>
      </c>
      <c r="C4867" t="s">
        <v>326</v>
      </c>
      <c r="E4867" t="s">
        <v>44</v>
      </c>
      <c r="F4867" t="s">
        <v>45</v>
      </c>
      <c r="G4867">
        <v>2</v>
      </c>
      <c r="H4867" t="s">
        <v>535</v>
      </c>
      <c r="I4867" s="4">
        <f t="shared" si="657"/>
        <v>1</v>
      </c>
      <c r="J4867">
        <f t="shared" si="658"/>
        <v>2</v>
      </c>
      <c r="K4867">
        <v>40</v>
      </c>
      <c r="L4867">
        <v>18</v>
      </c>
      <c r="M4867">
        <v>2.2200000000000002</v>
      </c>
      <c r="N4867">
        <v>2.83</v>
      </c>
      <c r="O4867">
        <v>0</v>
      </c>
      <c r="P4867">
        <v>2</v>
      </c>
      <c r="Q4867" s="4" t="str">
        <f t="shared" ref="Q4867" si="661">IF(P4867=1,"2016/2017-Ganjil",IF(P4867=2,"2016/2017-Genap",IF(P4867=3,"2017/2018-Ganjil",IF(P4867=4,"2017/2018-Genap",IF(P4867=5,"2018/2019-Ganjil",IF(P4867=6,"2018/2019-Genap",IF(P4867=7,"2019/2020-Ganjil",IF(P4867=8,"2019/2020-Genap",IF(P4867=9,"2020/2021-Ganjil",IF(P4867=10,"2020/2021-Genap",IF(P4867=11,"2021/2022-Ganjil",IF(P4867=12,"2021/2022-Genap",IF(P4867=13,"2022/2023-Ganjil","2022/2023-Genap")))))))))))))</f>
        <v>2016/2017-Genap</v>
      </c>
      <c r="R4867" s="8" t="s">
        <v>260</v>
      </c>
      <c r="S4867" t="str">
        <f t="shared" si="656"/>
        <v>FA</v>
      </c>
    </row>
    <row r="4868" spans="1:19" x14ac:dyDescent="0.3">
      <c r="A4868" t="s">
        <v>8</v>
      </c>
      <c r="B4868">
        <v>2016210049</v>
      </c>
      <c r="C4868" t="s">
        <v>326</v>
      </c>
      <c r="E4868" t="s">
        <v>44</v>
      </c>
      <c r="F4868" t="s">
        <v>45</v>
      </c>
      <c r="G4868">
        <v>2</v>
      </c>
      <c r="H4868" t="s">
        <v>539</v>
      </c>
      <c r="I4868" s="4">
        <f t="shared" si="657"/>
        <v>0</v>
      </c>
      <c r="J4868">
        <f t="shared" si="658"/>
        <v>0</v>
      </c>
      <c r="K4868">
        <v>52</v>
      </c>
      <c r="L4868">
        <v>22</v>
      </c>
      <c r="M4868">
        <v>2.36</v>
      </c>
      <c r="N4868">
        <v>2.83</v>
      </c>
      <c r="O4868">
        <v>1</v>
      </c>
      <c r="P4868">
        <v>6</v>
      </c>
      <c r="Q4868" s="4" t="str">
        <f t="shared" si="660"/>
        <v>2018/2019-Genap</v>
      </c>
      <c r="R4868" s="8" t="s">
        <v>260</v>
      </c>
      <c r="S4868" t="str">
        <f t="shared" si="656"/>
        <v>FA</v>
      </c>
    </row>
    <row r="4869" spans="1:19" x14ac:dyDescent="0.3">
      <c r="A4869" t="s">
        <v>8</v>
      </c>
      <c r="B4869">
        <v>2016210049</v>
      </c>
      <c r="C4869" t="s">
        <v>326</v>
      </c>
      <c r="E4869" t="s">
        <v>44</v>
      </c>
      <c r="F4869" t="s">
        <v>45</v>
      </c>
      <c r="G4869">
        <v>2</v>
      </c>
      <c r="H4869" t="s">
        <v>438</v>
      </c>
      <c r="I4869" s="4">
        <f t="shared" si="657"/>
        <v>3</v>
      </c>
      <c r="J4869">
        <f t="shared" si="658"/>
        <v>6</v>
      </c>
      <c r="K4869">
        <v>32</v>
      </c>
      <c r="L4869">
        <v>12</v>
      </c>
      <c r="M4869" s="2">
        <v>2.67</v>
      </c>
      <c r="N4869">
        <v>2.83</v>
      </c>
      <c r="O4869">
        <v>2</v>
      </c>
      <c r="P4869">
        <v>6</v>
      </c>
      <c r="Q4869" s="4" t="s">
        <v>572</v>
      </c>
      <c r="R4869" s="8" t="s">
        <v>260</v>
      </c>
      <c r="S4869" t="str">
        <f t="shared" si="656"/>
        <v>PA</v>
      </c>
    </row>
    <row r="4870" spans="1:19" x14ac:dyDescent="0.3">
      <c r="A4870" t="s">
        <v>8</v>
      </c>
      <c r="B4870">
        <v>2016210049</v>
      </c>
      <c r="C4870" t="s">
        <v>326</v>
      </c>
      <c r="E4870" t="s">
        <v>401</v>
      </c>
      <c r="F4870" t="s">
        <v>258</v>
      </c>
      <c r="G4870">
        <v>4</v>
      </c>
      <c r="H4870" t="s">
        <v>535</v>
      </c>
      <c r="I4870" s="4">
        <f t="shared" si="657"/>
        <v>1</v>
      </c>
      <c r="J4870">
        <f t="shared" si="658"/>
        <v>4</v>
      </c>
      <c r="K4870">
        <v>40</v>
      </c>
      <c r="L4870">
        <v>18</v>
      </c>
      <c r="M4870">
        <v>2.2200000000000002</v>
      </c>
      <c r="N4870">
        <v>2.83</v>
      </c>
      <c r="O4870">
        <v>0</v>
      </c>
      <c r="P4870">
        <v>3</v>
      </c>
      <c r="Q4870" s="4" t="str">
        <f>IF(P4870=1,"2016/2017-Ganjil",IF(P4870=2,"2016/2017-Genap",IF(P4870=3,"2017/2018-Ganjil",IF(P4870=4,"2017/2018-Genap",IF(P4870=5,"2018/2019-Ganjil",IF(P4870=6,"2018/2019-Genap",IF(P4870=7,"2019/2020-Ganjil",IF(P4870=8,"2019/2020-Genap",IF(P4870=9,"2020/2021-Ganjil",IF(P4870=10,"2020/2021-Genap",IF(P4870=11,"2021/2022-Ganjil",IF(P4870=12,"2021/2022-Genap",IF(P4870=13,"2022/2023-Ganjil","2022/2023-Genap")))))))))))))</f>
        <v>2017/2018-Ganjil</v>
      </c>
      <c r="R4870" s="8" t="s">
        <v>260</v>
      </c>
      <c r="S4870" t="str">
        <f t="shared" si="656"/>
        <v>FA</v>
      </c>
    </row>
    <row r="4871" spans="1:19" x14ac:dyDescent="0.3">
      <c r="A4871" t="s">
        <v>8</v>
      </c>
      <c r="B4871">
        <v>2016210049</v>
      </c>
      <c r="C4871" t="s">
        <v>326</v>
      </c>
      <c r="E4871" t="s">
        <v>401</v>
      </c>
      <c r="F4871" t="s">
        <v>258</v>
      </c>
      <c r="G4871">
        <v>4</v>
      </c>
      <c r="H4871" t="s">
        <v>524</v>
      </c>
      <c r="I4871" s="4">
        <f t="shared" si="657"/>
        <v>2</v>
      </c>
      <c r="J4871">
        <f t="shared" si="658"/>
        <v>8</v>
      </c>
      <c r="K4871">
        <v>70</v>
      </c>
      <c r="L4871">
        <v>24</v>
      </c>
      <c r="M4871">
        <v>2.92</v>
      </c>
      <c r="N4871">
        <v>2.83</v>
      </c>
      <c r="O4871">
        <v>1</v>
      </c>
      <c r="P4871">
        <v>5</v>
      </c>
      <c r="Q4871" s="4" t="str">
        <f>IF(P4871=1,"2016/2017-Ganjil",IF(P4871=2,"2016/2017-Genap",IF(P4871=3,"2017/2018-Ganjil",IF(P4871=4,"2017/2018-Genap",IF(P4871=5,"2018/2019-Ganjil",IF(P4871=6,"2018/2019-Genap",IF(P4871=7,"2019/2020-Ganjil",IF(P4871=8,"2019/2020-Genap",IF(P4871=9,"2020/2021-Ganjil",IF(P4871=10,"2020/2021-Genap",IF(P4871=11,"2021/2022-Ganjil",IF(P4871=12,"2021/2022-Genap",IF(P4871=13,"2022/2023-Ganjil","2022/2023-Genap")))))))))))))</f>
        <v>2018/2019-Ganjil</v>
      </c>
      <c r="R4871" s="8" t="s">
        <v>260</v>
      </c>
      <c r="S4871" t="str">
        <f t="shared" si="656"/>
        <v>PA</v>
      </c>
    </row>
    <row r="4872" spans="1:19" x14ac:dyDescent="0.3">
      <c r="A4872" t="s">
        <v>8</v>
      </c>
      <c r="B4872">
        <v>2016210049</v>
      </c>
      <c r="C4872" t="s">
        <v>326</v>
      </c>
      <c r="E4872" t="s">
        <v>401</v>
      </c>
      <c r="F4872" t="s">
        <v>258</v>
      </c>
      <c r="G4872">
        <v>4</v>
      </c>
      <c r="H4872" t="s">
        <v>438</v>
      </c>
      <c r="I4872" s="4">
        <f t="shared" si="657"/>
        <v>3</v>
      </c>
      <c r="J4872">
        <f t="shared" si="658"/>
        <v>12</v>
      </c>
      <c r="K4872">
        <v>32</v>
      </c>
      <c r="L4872">
        <v>12</v>
      </c>
      <c r="M4872" s="2">
        <v>2.67</v>
      </c>
      <c r="N4872">
        <v>2.83</v>
      </c>
      <c r="O4872">
        <v>2</v>
      </c>
      <c r="P4872">
        <v>6</v>
      </c>
      <c r="Q4872" s="4" t="s">
        <v>572</v>
      </c>
      <c r="R4872" s="8" t="s">
        <v>260</v>
      </c>
      <c r="S4872" t="str">
        <f t="shared" si="656"/>
        <v>PA</v>
      </c>
    </row>
    <row r="4873" spans="1:19" x14ac:dyDescent="0.3">
      <c r="A4873" t="s">
        <v>8</v>
      </c>
      <c r="B4873">
        <v>2016210049</v>
      </c>
      <c r="C4873" t="s">
        <v>326</v>
      </c>
      <c r="E4873" t="s">
        <v>232</v>
      </c>
      <c r="F4873" t="s">
        <v>233</v>
      </c>
      <c r="G4873">
        <v>2</v>
      </c>
      <c r="H4873" t="s">
        <v>539</v>
      </c>
      <c r="I4873" s="4">
        <f t="shared" si="657"/>
        <v>0</v>
      </c>
      <c r="J4873">
        <f t="shared" si="658"/>
        <v>0</v>
      </c>
      <c r="K4873">
        <v>52</v>
      </c>
      <c r="L4873">
        <v>22</v>
      </c>
      <c r="M4873" s="2">
        <v>2.36</v>
      </c>
      <c r="N4873">
        <v>2.83</v>
      </c>
      <c r="O4873">
        <v>0</v>
      </c>
      <c r="P4873">
        <v>6</v>
      </c>
      <c r="Q4873" s="4" t="str">
        <f>IF(P4873=1,"2016/2017-Ganjil",IF(P4873=2,"2016/2017-Genap",IF(P4873=3,"2017/2018-Ganjil",IF(P4873=4,"2017/2018-Genap",IF(P4873=5,"2018/2019-Ganjil",IF(P4873=6,"2018/2019-Genap",IF(P4873=7,"2019/2020-Ganjil",IF(P4873=8,"2019/2020-Genap",IF(P4873=9,"2020/2021-Ganjil",IF(P4873=10,"2020/2021-Genap",IF(P4873=11,"2021/2022-Ganjil",IF(P4873=12,"2021/2022-Genap",IF(P4873=13,"2022/2023-Ganjil","2022/2023-Genap")))))))))))))</f>
        <v>2018/2019-Genap</v>
      </c>
      <c r="R4873" s="8" t="s">
        <v>260</v>
      </c>
      <c r="S4873" t="str">
        <f t="shared" si="656"/>
        <v>FA</v>
      </c>
    </row>
    <row r="4874" spans="1:19" x14ac:dyDescent="0.3">
      <c r="A4874" t="s">
        <v>8</v>
      </c>
      <c r="B4874">
        <v>2016210049</v>
      </c>
      <c r="C4874" t="s">
        <v>326</v>
      </c>
      <c r="E4874" t="s">
        <v>232</v>
      </c>
      <c r="F4874" t="s">
        <v>233</v>
      </c>
      <c r="G4874">
        <v>2</v>
      </c>
      <c r="H4874" t="s">
        <v>438</v>
      </c>
      <c r="I4874" s="4">
        <f t="shared" si="657"/>
        <v>3</v>
      </c>
      <c r="J4874">
        <f t="shared" si="658"/>
        <v>6</v>
      </c>
      <c r="K4874">
        <v>32</v>
      </c>
      <c r="L4874">
        <v>12</v>
      </c>
      <c r="M4874" s="2">
        <v>2.67</v>
      </c>
      <c r="N4874">
        <v>2.83</v>
      </c>
      <c r="O4874">
        <v>1</v>
      </c>
      <c r="P4874">
        <v>6</v>
      </c>
      <c r="Q4874" s="4" t="s">
        <v>572</v>
      </c>
      <c r="R4874" s="8" t="s">
        <v>260</v>
      </c>
      <c r="S4874" t="str">
        <f t="shared" si="656"/>
        <v>PA</v>
      </c>
    </row>
    <row r="4875" spans="1:19" x14ac:dyDescent="0.3">
      <c r="A4875" t="s">
        <v>8</v>
      </c>
      <c r="B4875">
        <v>2016210049</v>
      </c>
      <c r="C4875" t="s">
        <v>326</v>
      </c>
      <c r="E4875" t="s">
        <v>125</v>
      </c>
      <c r="F4875" t="s">
        <v>126</v>
      </c>
      <c r="G4875">
        <v>4</v>
      </c>
      <c r="H4875" t="s">
        <v>539</v>
      </c>
      <c r="I4875" s="4">
        <f t="shared" si="657"/>
        <v>0</v>
      </c>
      <c r="J4875">
        <f t="shared" si="658"/>
        <v>0</v>
      </c>
      <c r="K4875">
        <v>40</v>
      </c>
      <c r="L4875">
        <v>18</v>
      </c>
      <c r="M4875">
        <v>2.2200000000000002</v>
      </c>
      <c r="N4875">
        <v>2.83</v>
      </c>
      <c r="O4875">
        <v>0</v>
      </c>
      <c r="P4875">
        <v>2</v>
      </c>
      <c r="Q4875" s="4" t="str">
        <f>IF(P4875=1,"2016/2017-Ganjil",IF(P4875=2,"2016/2017-Genap",IF(P4875=3,"2017/2018-Ganjil",IF(P4875=4,"2017/2018-Genap",IF(P4875=5,"2018/2019-Ganjil",IF(P4875=6,"2018/2019-Genap",IF(P4875=7,"2019/2020-Ganjil",IF(P4875=8,"2019/2020-Genap",IF(P4875=9,"2020/2021-Ganjil",IF(P4875=10,"2020/2021-Genap",IF(P4875=11,"2021/2022-Ganjil",IF(P4875=12,"2021/2022-Genap",IF(P4875=13,"2022/2023-Ganjil","2022/2023-Genap")))))))))))))</f>
        <v>2016/2017-Genap</v>
      </c>
      <c r="R4875" s="8" t="s">
        <v>260</v>
      </c>
      <c r="S4875" t="str">
        <f t="shared" si="656"/>
        <v>FA</v>
      </c>
    </row>
    <row r="4876" spans="1:19" x14ac:dyDescent="0.3">
      <c r="A4876" t="s">
        <v>8</v>
      </c>
      <c r="B4876">
        <v>2016210049</v>
      </c>
      <c r="C4876" t="s">
        <v>326</v>
      </c>
      <c r="E4876" t="s">
        <v>125</v>
      </c>
      <c r="F4876" t="s">
        <v>126</v>
      </c>
      <c r="G4876">
        <v>4</v>
      </c>
      <c r="H4876" t="s">
        <v>524</v>
      </c>
      <c r="I4876" s="4">
        <f t="shared" si="657"/>
        <v>2</v>
      </c>
      <c r="J4876">
        <f t="shared" si="658"/>
        <v>8</v>
      </c>
      <c r="K4876">
        <v>32</v>
      </c>
      <c r="L4876">
        <v>12</v>
      </c>
      <c r="M4876" s="2">
        <v>2.67</v>
      </c>
      <c r="N4876">
        <v>2.83</v>
      </c>
      <c r="O4876">
        <v>1</v>
      </c>
      <c r="P4876">
        <v>6</v>
      </c>
      <c r="Q4876" s="4" t="s">
        <v>572</v>
      </c>
      <c r="R4876" s="8" t="s">
        <v>260</v>
      </c>
      <c r="S4876" t="str">
        <f t="shared" si="656"/>
        <v>PA</v>
      </c>
    </row>
    <row r="4877" spans="1:19" x14ac:dyDescent="0.3">
      <c r="A4877" t="s">
        <v>8</v>
      </c>
      <c r="B4877">
        <v>2016210052</v>
      </c>
      <c r="C4877" t="s">
        <v>340</v>
      </c>
      <c r="E4877" t="s">
        <v>163</v>
      </c>
      <c r="F4877" t="s">
        <v>164</v>
      </c>
      <c r="G4877">
        <v>2</v>
      </c>
      <c r="H4877" t="s">
        <v>260</v>
      </c>
      <c r="I4877" s="4">
        <f t="shared" si="657"/>
        <v>4</v>
      </c>
      <c r="J4877">
        <f t="shared" si="658"/>
        <v>8</v>
      </c>
      <c r="K4877">
        <v>68</v>
      </c>
      <c r="L4877">
        <v>20</v>
      </c>
      <c r="M4877" s="2">
        <v>3.4</v>
      </c>
      <c r="N4877" s="2">
        <v>3.1</v>
      </c>
      <c r="O4877">
        <v>0</v>
      </c>
      <c r="P4877">
        <v>1</v>
      </c>
      <c r="Q4877" s="4" t="str">
        <f t="shared" ref="Q4877:Q4908" si="662">IF(P4877=1,"2016/2017-Ganjil",IF(P4877=2,"2016/2017-Genap",IF(P4877=3,"2017/2018-Ganjil",IF(P4877=4,"2017/2018-Genap",IF(P4877=5,"2018/2019-Ganjil",IF(P4877=6,"2018/2019-Genap",IF(P4877=7,"2019/2020-Ganjil",IF(P4877=8,"2019/2020-Genap",IF(P4877=9,"2020/2021-Ganjil",IF(P4877=10,"2020/2021-Genap",IF(P4877=11,"2021/2022-Ganjil",IF(P4877=12,"2021/2022-Genap",IF(P4877=13,"2022/2023-Ganjil","2022/2023-Genap")))))))))))))</f>
        <v>2016/2017-Ganjil</v>
      </c>
      <c r="R4877" s="8" t="s">
        <v>260</v>
      </c>
      <c r="S4877" t="str">
        <f t="shared" si="656"/>
        <v>PA</v>
      </c>
    </row>
    <row r="4878" spans="1:19" x14ac:dyDescent="0.3">
      <c r="A4878" t="s">
        <v>8</v>
      </c>
      <c r="B4878">
        <v>2016210052</v>
      </c>
      <c r="C4878" t="s">
        <v>340</v>
      </c>
      <c r="E4878" t="s">
        <v>242</v>
      </c>
      <c r="F4878" t="s">
        <v>166</v>
      </c>
      <c r="G4878">
        <v>2</v>
      </c>
      <c r="H4878" t="s">
        <v>260</v>
      </c>
      <c r="I4878" s="4">
        <f t="shared" si="657"/>
        <v>4</v>
      </c>
      <c r="J4878">
        <f t="shared" si="658"/>
        <v>8</v>
      </c>
      <c r="K4878">
        <v>78</v>
      </c>
      <c r="L4878">
        <v>24</v>
      </c>
      <c r="M4878">
        <v>3.25</v>
      </c>
      <c r="N4878" s="2">
        <v>3.1</v>
      </c>
      <c r="O4878">
        <v>0</v>
      </c>
      <c r="P4878">
        <v>4</v>
      </c>
      <c r="Q4878" s="4" t="str">
        <f t="shared" si="662"/>
        <v>2017/2018-Genap</v>
      </c>
      <c r="R4878" s="8" t="s">
        <v>260</v>
      </c>
      <c r="S4878" t="str">
        <f t="shared" si="656"/>
        <v>PA</v>
      </c>
    </row>
    <row r="4879" spans="1:19" x14ac:dyDescent="0.3">
      <c r="A4879" t="s">
        <v>8</v>
      </c>
      <c r="B4879">
        <v>2016210052</v>
      </c>
      <c r="C4879" t="s">
        <v>340</v>
      </c>
      <c r="E4879" t="s">
        <v>180</v>
      </c>
      <c r="F4879" t="s">
        <v>181</v>
      </c>
      <c r="G4879">
        <v>4</v>
      </c>
      <c r="H4879" t="s">
        <v>260</v>
      </c>
      <c r="I4879" s="4">
        <f t="shared" si="657"/>
        <v>4</v>
      </c>
      <c r="J4879">
        <f t="shared" si="658"/>
        <v>16</v>
      </c>
      <c r="K4879">
        <v>78</v>
      </c>
      <c r="L4879">
        <v>24</v>
      </c>
      <c r="M4879">
        <v>3.25</v>
      </c>
      <c r="N4879" s="2">
        <v>3.1</v>
      </c>
      <c r="O4879">
        <v>0</v>
      </c>
      <c r="P4879">
        <v>4</v>
      </c>
      <c r="Q4879" s="4" t="str">
        <f t="shared" si="662"/>
        <v>2017/2018-Genap</v>
      </c>
      <c r="R4879" s="8" t="s">
        <v>260</v>
      </c>
      <c r="S4879" t="str">
        <f t="shared" si="656"/>
        <v>PA</v>
      </c>
    </row>
    <row r="4880" spans="1:19" x14ac:dyDescent="0.3">
      <c r="A4880" t="s">
        <v>8</v>
      </c>
      <c r="B4880">
        <v>2016210052</v>
      </c>
      <c r="C4880" t="s">
        <v>340</v>
      </c>
      <c r="E4880" t="s">
        <v>266</v>
      </c>
      <c r="F4880" t="s">
        <v>91</v>
      </c>
      <c r="G4880">
        <v>2</v>
      </c>
      <c r="H4880" t="s">
        <v>260</v>
      </c>
      <c r="I4880" s="4">
        <f t="shared" si="657"/>
        <v>4</v>
      </c>
      <c r="J4880">
        <f t="shared" si="658"/>
        <v>8</v>
      </c>
      <c r="K4880">
        <v>50</v>
      </c>
      <c r="L4880">
        <v>18</v>
      </c>
      <c r="M4880">
        <v>2.78</v>
      </c>
      <c r="N4880" s="2">
        <v>3.1</v>
      </c>
      <c r="O4880">
        <v>0</v>
      </c>
      <c r="P4880">
        <v>2</v>
      </c>
      <c r="Q4880" s="4" t="str">
        <f t="shared" si="662"/>
        <v>2016/2017-Genap</v>
      </c>
      <c r="R4880" s="8" t="s">
        <v>260</v>
      </c>
      <c r="S4880" t="str">
        <f t="shared" si="656"/>
        <v>PA</v>
      </c>
    </row>
    <row r="4881" spans="1:19" x14ac:dyDescent="0.3">
      <c r="A4881" t="s">
        <v>8</v>
      </c>
      <c r="B4881">
        <v>2016210052</v>
      </c>
      <c r="C4881" t="s">
        <v>340</v>
      </c>
      <c r="E4881" t="s">
        <v>131</v>
      </c>
      <c r="F4881" t="s">
        <v>132</v>
      </c>
      <c r="G4881">
        <v>2</v>
      </c>
      <c r="H4881" t="s">
        <v>260</v>
      </c>
      <c r="I4881" s="4">
        <f t="shared" si="657"/>
        <v>4</v>
      </c>
      <c r="J4881">
        <f t="shared" si="658"/>
        <v>8</v>
      </c>
      <c r="K4881">
        <v>68</v>
      </c>
      <c r="L4881">
        <v>20</v>
      </c>
      <c r="M4881" s="2">
        <v>3.4</v>
      </c>
      <c r="N4881" s="2">
        <v>3.1</v>
      </c>
      <c r="O4881">
        <v>0</v>
      </c>
      <c r="P4881">
        <v>1</v>
      </c>
      <c r="Q4881" s="4" t="str">
        <f t="shared" si="662"/>
        <v>2016/2017-Ganjil</v>
      </c>
      <c r="R4881" s="8" t="s">
        <v>260</v>
      </c>
      <c r="S4881" t="str">
        <f t="shared" si="656"/>
        <v>PA</v>
      </c>
    </row>
    <row r="4882" spans="1:19" x14ac:dyDescent="0.3">
      <c r="A4882" t="s">
        <v>8</v>
      </c>
      <c r="B4882">
        <v>2016210052</v>
      </c>
      <c r="C4882" t="s">
        <v>340</v>
      </c>
      <c r="E4882" t="s">
        <v>77</v>
      </c>
      <c r="F4882" t="s">
        <v>78</v>
      </c>
      <c r="G4882">
        <v>2</v>
      </c>
      <c r="H4882" t="s">
        <v>260</v>
      </c>
      <c r="I4882" s="4">
        <f t="shared" si="657"/>
        <v>4</v>
      </c>
      <c r="J4882">
        <f t="shared" si="658"/>
        <v>8</v>
      </c>
      <c r="K4882">
        <v>68</v>
      </c>
      <c r="L4882">
        <v>20</v>
      </c>
      <c r="M4882" s="2">
        <v>3.4</v>
      </c>
      <c r="N4882" s="2">
        <v>3.1</v>
      </c>
      <c r="O4882">
        <v>0</v>
      </c>
      <c r="P4882">
        <v>1</v>
      </c>
      <c r="Q4882" s="4" t="str">
        <f t="shared" si="662"/>
        <v>2016/2017-Ganjil</v>
      </c>
      <c r="R4882" s="8" t="s">
        <v>260</v>
      </c>
      <c r="S4882" t="str">
        <f t="shared" si="656"/>
        <v>PA</v>
      </c>
    </row>
    <row r="4883" spans="1:19" x14ac:dyDescent="0.3">
      <c r="A4883" t="s">
        <v>8</v>
      </c>
      <c r="B4883">
        <v>2016210052</v>
      </c>
      <c r="C4883" t="s">
        <v>340</v>
      </c>
      <c r="E4883" t="s">
        <v>202</v>
      </c>
      <c r="F4883" t="s">
        <v>203</v>
      </c>
      <c r="G4883">
        <v>4</v>
      </c>
      <c r="H4883" t="s">
        <v>260</v>
      </c>
      <c r="I4883" s="4">
        <f t="shared" si="657"/>
        <v>4</v>
      </c>
      <c r="J4883">
        <f t="shared" si="658"/>
        <v>16</v>
      </c>
      <c r="K4883">
        <v>68</v>
      </c>
      <c r="L4883">
        <v>20</v>
      </c>
      <c r="M4883" s="2">
        <v>3.4</v>
      </c>
      <c r="N4883" s="2">
        <v>3.1</v>
      </c>
      <c r="O4883">
        <v>0</v>
      </c>
      <c r="P4883">
        <v>1</v>
      </c>
      <c r="Q4883" s="4" t="str">
        <f t="shared" si="662"/>
        <v>2016/2017-Ganjil</v>
      </c>
      <c r="R4883" s="8" t="s">
        <v>260</v>
      </c>
      <c r="S4883" t="str">
        <f t="shared" si="656"/>
        <v>PA</v>
      </c>
    </row>
    <row r="4884" spans="1:19" x14ac:dyDescent="0.3">
      <c r="A4884" t="s">
        <v>8</v>
      </c>
      <c r="B4884">
        <v>2016210052</v>
      </c>
      <c r="C4884" t="s">
        <v>340</v>
      </c>
      <c r="E4884" t="s">
        <v>318</v>
      </c>
      <c r="F4884" t="s">
        <v>319</v>
      </c>
      <c r="G4884">
        <v>2</v>
      </c>
      <c r="H4884" t="s">
        <v>260</v>
      </c>
      <c r="I4884" s="4">
        <f t="shared" si="657"/>
        <v>4</v>
      </c>
      <c r="J4884">
        <f t="shared" si="658"/>
        <v>8</v>
      </c>
      <c r="K4884">
        <v>72</v>
      </c>
      <c r="L4884">
        <v>24</v>
      </c>
      <c r="M4884" s="2">
        <v>3</v>
      </c>
      <c r="N4884" s="2">
        <v>3.1</v>
      </c>
      <c r="O4884">
        <v>0</v>
      </c>
      <c r="P4884">
        <v>5</v>
      </c>
      <c r="Q4884" s="4" t="str">
        <f t="shared" si="662"/>
        <v>2018/2019-Ganjil</v>
      </c>
      <c r="R4884" s="8" t="s">
        <v>260</v>
      </c>
      <c r="S4884" t="str">
        <f t="shared" si="656"/>
        <v>PA</v>
      </c>
    </row>
    <row r="4885" spans="1:19" x14ac:dyDescent="0.3">
      <c r="A4885" t="s">
        <v>8</v>
      </c>
      <c r="B4885">
        <v>2016210052</v>
      </c>
      <c r="C4885" t="s">
        <v>340</v>
      </c>
      <c r="E4885" t="s">
        <v>147</v>
      </c>
      <c r="F4885" t="s">
        <v>148</v>
      </c>
      <c r="G4885">
        <v>4</v>
      </c>
      <c r="H4885" t="s">
        <v>260</v>
      </c>
      <c r="I4885" s="4">
        <f t="shared" si="657"/>
        <v>4</v>
      </c>
      <c r="J4885">
        <f t="shared" si="658"/>
        <v>16</v>
      </c>
      <c r="K4885">
        <v>68</v>
      </c>
      <c r="L4885">
        <v>20</v>
      </c>
      <c r="M4885" s="2">
        <v>3.4</v>
      </c>
      <c r="N4885" s="2">
        <v>3.1</v>
      </c>
      <c r="O4885">
        <v>0</v>
      </c>
      <c r="P4885">
        <v>1</v>
      </c>
      <c r="Q4885" s="4" t="str">
        <f t="shared" si="662"/>
        <v>2016/2017-Ganjil</v>
      </c>
      <c r="R4885" s="8" t="s">
        <v>260</v>
      </c>
      <c r="S4885" t="str">
        <f t="shared" si="656"/>
        <v>PA</v>
      </c>
    </row>
    <row r="4886" spans="1:19" x14ac:dyDescent="0.3">
      <c r="A4886" t="s">
        <v>8</v>
      </c>
      <c r="B4886">
        <v>2016210052</v>
      </c>
      <c r="C4886" t="s">
        <v>340</v>
      </c>
      <c r="E4886" t="s">
        <v>117</v>
      </c>
      <c r="F4886" t="s">
        <v>118</v>
      </c>
      <c r="G4886">
        <v>2</v>
      </c>
      <c r="H4886" t="s">
        <v>260</v>
      </c>
      <c r="I4886" s="4">
        <f t="shared" si="657"/>
        <v>4</v>
      </c>
      <c r="J4886">
        <f t="shared" si="658"/>
        <v>8</v>
      </c>
      <c r="K4886">
        <v>50</v>
      </c>
      <c r="L4886">
        <v>18</v>
      </c>
      <c r="M4886" s="2">
        <v>2.78</v>
      </c>
      <c r="N4886" s="2">
        <v>3.1</v>
      </c>
      <c r="O4886">
        <v>0</v>
      </c>
      <c r="P4886">
        <v>2</v>
      </c>
      <c r="Q4886" s="4" t="str">
        <f t="shared" si="662"/>
        <v>2016/2017-Genap</v>
      </c>
      <c r="R4886" s="8" t="s">
        <v>260</v>
      </c>
      <c r="S4886" t="str">
        <f t="shared" si="656"/>
        <v>PA</v>
      </c>
    </row>
    <row r="4887" spans="1:19" x14ac:dyDescent="0.3">
      <c r="A4887" t="s">
        <v>8</v>
      </c>
      <c r="B4887">
        <v>2016210052</v>
      </c>
      <c r="C4887" t="s">
        <v>340</v>
      </c>
      <c r="E4887" t="s">
        <v>597</v>
      </c>
      <c r="F4887" t="s">
        <v>275</v>
      </c>
      <c r="G4887">
        <v>2</v>
      </c>
      <c r="H4887" t="s">
        <v>260</v>
      </c>
      <c r="I4887" s="4">
        <f t="shared" si="657"/>
        <v>4</v>
      </c>
      <c r="J4887">
        <f t="shared" si="658"/>
        <v>8</v>
      </c>
      <c r="K4887">
        <v>56</v>
      </c>
      <c r="L4887">
        <v>24</v>
      </c>
      <c r="M4887" s="2">
        <v>2.33</v>
      </c>
      <c r="N4887" s="2">
        <v>3.1</v>
      </c>
      <c r="O4887">
        <v>0</v>
      </c>
      <c r="P4887">
        <v>6</v>
      </c>
      <c r="Q4887" s="4" t="str">
        <f t="shared" si="662"/>
        <v>2018/2019-Genap</v>
      </c>
      <c r="R4887" s="8" t="s">
        <v>260</v>
      </c>
      <c r="S4887" t="str">
        <f t="shared" ref="S4887:S4933" si="663">IF(OR(H4887="A",H4887="B",H4887="C"),"PA","FA")</f>
        <v>PA</v>
      </c>
    </row>
    <row r="4888" spans="1:19" x14ac:dyDescent="0.3">
      <c r="A4888" t="s">
        <v>8</v>
      </c>
      <c r="B4888">
        <v>2016210052</v>
      </c>
      <c r="C4888" t="s">
        <v>340</v>
      </c>
      <c r="E4888" t="s">
        <v>87</v>
      </c>
      <c r="F4888" t="s">
        <v>88</v>
      </c>
      <c r="G4888">
        <v>2</v>
      </c>
      <c r="H4888" t="s">
        <v>260</v>
      </c>
      <c r="I4888" s="4">
        <f t="shared" ref="I4888:I4933" si="664">IF(H4888="A",4,IF(H4888="B",3,IF(H4888="C",2,IF(H4888="D",1,0))))</f>
        <v>4</v>
      </c>
      <c r="J4888">
        <f t="shared" ref="J4888:J4933" si="665">G4888*I4888</f>
        <v>8</v>
      </c>
      <c r="K4888">
        <v>78</v>
      </c>
      <c r="L4888">
        <v>24</v>
      </c>
      <c r="M4888" s="2">
        <v>3.25</v>
      </c>
      <c r="N4888" s="2">
        <v>3.1</v>
      </c>
      <c r="O4888">
        <v>0</v>
      </c>
      <c r="P4888">
        <v>4</v>
      </c>
      <c r="Q4888" s="4" t="str">
        <f t="shared" si="662"/>
        <v>2017/2018-Genap</v>
      </c>
      <c r="R4888" s="8" t="s">
        <v>260</v>
      </c>
      <c r="S4888" t="str">
        <f t="shared" si="663"/>
        <v>PA</v>
      </c>
    </row>
    <row r="4889" spans="1:19" x14ac:dyDescent="0.3">
      <c r="A4889" t="s">
        <v>8</v>
      </c>
      <c r="B4889">
        <v>2016210052</v>
      </c>
      <c r="C4889" t="s">
        <v>340</v>
      </c>
      <c r="E4889" t="s">
        <v>295</v>
      </c>
      <c r="F4889" t="s">
        <v>296</v>
      </c>
      <c r="G4889">
        <v>2</v>
      </c>
      <c r="H4889" t="s">
        <v>260</v>
      </c>
      <c r="I4889" s="4">
        <f t="shared" si="664"/>
        <v>4</v>
      </c>
      <c r="J4889">
        <f t="shared" si="665"/>
        <v>8</v>
      </c>
      <c r="K4889">
        <v>60</v>
      </c>
      <c r="L4889">
        <v>22</v>
      </c>
      <c r="M4889">
        <v>2.73</v>
      </c>
      <c r="N4889" s="2">
        <v>3.1</v>
      </c>
      <c r="O4889">
        <v>0</v>
      </c>
      <c r="P4889">
        <v>3</v>
      </c>
      <c r="Q4889" s="4" t="str">
        <f t="shared" si="662"/>
        <v>2017/2018-Ganjil</v>
      </c>
      <c r="R4889" s="8" t="s">
        <v>260</v>
      </c>
      <c r="S4889" t="str">
        <f t="shared" si="663"/>
        <v>PA</v>
      </c>
    </row>
    <row r="4890" spans="1:19" x14ac:dyDescent="0.3">
      <c r="A4890" t="s">
        <v>8</v>
      </c>
      <c r="B4890">
        <v>2016210052</v>
      </c>
      <c r="C4890" t="s">
        <v>340</v>
      </c>
      <c r="E4890" t="s">
        <v>157</v>
      </c>
      <c r="F4890" t="s">
        <v>158</v>
      </c>
      <c r="G4890">
        <v>2</v>
      </c>
      <c r="H4890" t="s">
        <v>438</v>
      </c>
      <c r="I4890" s="4">
        <f t="shared" si="664"/>
        <v>3</v>
      </c>
      <c r="J4890">
        <f t="shared" si="665"/>
        <v>6</v>
      </c>
      <c r="K4890">
        <v>60</v>
      </c>
      <c r="L4890">
        <v>22</v>
      </c>
      <c r="M4890">
        <v>2.73</v>
      </c>
      <c r="N4890" s="2">
        <v>3.1</v>
      </c>
      <c r="O4890">
        <v>0</v>
      </c>
      <c r="P4890">
        <v>3</v>
      </c>
      <c r="Q4890" s="4" t="str">
        <f t="shared" si="662"/>
        <v>2017/2018-Ganjil</v>
      </c>
      <c r="R4890" s="8" t="s">
        <v>260</v>
      </c>
      <c r="S4890" t="str">
        <f t="shared" si="663"/>
        <v>PA</v>
      </c>
    </row>
    <row r="4891" spans="1:19" x14ac:dyDescent="0.3">
      <c r="A4891" t="s">
        <v>8</v>
      </c>
      <c r="B4891">
        <v>2016210052</v>
      </c>
      <c r="C4891" t="s">
        <v>340</v>
      </c>
      <c r="E4891" t="s">
        <v>193</v>
      </c>
      <c r="F4891" t="s">
        <v>194</v>
      </c>
      <c r="G4891">
        <v>4</v>
      </c>
      <c r="H4891" t="s">
        <v>438</v>
      </c>
      <c r="I4891" s="4">
        <f t="shared" si="664"/>
        <v>3</v>
      </c>
      <c r="J4891">
        <f t="shared" si="665"/>
        <v>12</v>
      </c>
      <c r="K4891">
        <v>36</v>
      </c>
      <c r="L4891">
        <v>14</v>
      </c>
      <c r="M4891" s="2">
        <v>2.57</v>
      </c>
      <c r="N4891" s="2">
        <v>3.1</v>
      </c>
      <c r="O4891">
        <v>0</v>
      </c>
      <c r="P4891">
        <v>7</v>
      </c>
      <c r="Q4891" s="4" t="str">
        <f t="shared" si="662"/>
        <v>2019/2020-Ganjil</v>
      </c>
      <c r="R4891" t="s">
        <v>596</v>
      </c>
      <c r="S4891" t="str">
        <f t="shared" si="663"/>
        <v>PA</v>
      </c>
    </row>
    <row r="4892" spans="1:19" x14ac:dyDescent="0.3">
      <c r="A4892" t="s">
        <v>8</v>
      </c>
      <c r="B4892">
        <v>2016210052</v>
      </c>
      <c r="C4892" t="s">
        <v>340</v>
      </c>
      <c r="E4892" t="s">
        <v>213</v>
      </c>
      <c r="F4892" t="s">
        <v>214</v>
      </c>
      <c r="G4892">
        <v>4</v>
      </c>
      <c r="H4892" t="s">
        <v>438</v>
      </c>
      <c r="I4892" s="4">
        <f t="shared" si="664"/>
        <v>3</v>
      </c>
      <c r="J4892">
        <f t="shared" si="665"/>
        <v>12</v>
      </c>
      <c r="K4892">
        <v>72</v>
      </c>
      <c r="L4892">
        <v>24</v>
      </c>
      <c r="M4892" s="2">
        <v>3</v>
      </c>
      <c r="N4892" s="2">
        <v>3.1</v>
      </c>
      <c r="O4892">
        <v>0</v>
      </c>
      <c r="P4892">
        <v>5</v>
      </c>
      <c r="Q4892" s="4" t="str">
        <f t="shared" si="662"/>
        <v>2018/2019-Ganjil</v>
      </c>
      <c r="R4892" s="8" t="s">
        <v>260</v>
      </c>
      <c r="S4892" t="str">
        <f t="shared" si="663"/>
        <v>PA</v>
      </c>
    </row>
    <row r="4893" spans="1:19" x14ac:dyDescent="0.3">
      <c r="A4893" t="s">
        <v>8</v>
      </c>
      <c r="B4893">
        <v>2016210052</v>
      </c>
      <c r="C4893" t="s">
        <v>340</v>
      </c>
      <c r="E4893" t="s">
        <v>407</v>
      </c>
      <c r="F4893" t="s">
        <v>312</v>
      </c>
      <c r="G4893">
        <v>2</v>
      </c>
      <c r="H4893" t="s">
        <v>438</v>
      </c>
      <c r="I4893" s="4">
        <f t="shared" si="664"/>
        <v>3</v>
      </c>
      <c r="J4893">
        <f t="shared" si="665"/>
        <v>6</v>
      </c>
      <c r="K4893">
        <v>72</v>
      </c>
      <c r="L4893">
        <v>24</v>
      </c>
      <c r="M4893" s="2">
        <v>3</v>
      </c>
      <c r="N4893" s="2">
        <v>3.1</v>
      </c>
      <c r="O4893">
        <v>0</v>
      </c>
      <c r="P4893">
        <v>5</v>
      </c>
      <c r="Q4893" s="4" t="str">
        <f t="shared" si="662"/>
        <v>2018/2019-Ganjil</v>
      </c>
      <c r="R4893" s="8" t="s">
        <v>260</v>
      </c>
      <c r="S4893" t="str">
        <f t="shared" si="663"/>
        <v>PA</v>
      </c>
    </row>
    <row r="4894" spans="1:19" x14ac:dyDescent="0.3">
      <c r="A4894" t="s">
        <v>8</v>
      </c>
      <c r="B4894">
        <v>2016210052</v>
      </c>
      <c r="C4894" t="s">
        <v>340</v>
      </c>
      <c r="E4894" t="s">
        <v>362</v>
      </c>
      <c r="F4894" t="s">
        <v>363</v>
      </c>
      <c r="G4894">
        <v>2</v>
      </c>
      <c r="H4894" t="s">
        <v>438</v>
      </c>
      <c r="I4894" s="4">
        <f t="shared" si="664"/>
        <v>3</v>
      </c>
      <c r="J4894">
        <f t="shared" si="665"/>
        <v>6</v>
      </c>
      <c r="K4894">
        <v>72</v>
      </c>
      <c r="L4894">
        <v>24</v>
      </c>
      <c r="M4894" s="2">
        <v>3</v>
      </c>
      <c r="N4894" s="2">
        <v>3.1</v>
      </c>
      <c r="O4894">
        <v>0</v>
      </c>
      <c r="P4894">
        <v>5</v>
      </c>
      <c r="Q4894" s="4" t="str">
        <f t="shared" si="662"/>
        <v>2018/2019-Ganjil</v>
      </c>
      <c r="R4894" s="8" t="s">
        <v>260</v>
      </c>
      <c r="S4894" t="str">
        <f t="shared" si="663"/>
        <v>PA</v>
      </c>
    </row>
    <row r="4895" spans="1:19" x14ac:dyDescent="0.3">
      <c r="A4895" t="s">
        <v>8</v>
      </c>
      <c r="B4895">
        <v>2016210052</v>
      </c>
      <c r="C4895" t="s">
        <v>340</v>
      </c>
      <c r="E4895" t="s">
        <v>22</v>
      </c>
      <c r="F4895" t="s">
        <v>23</v>
      </c>
      <c r="G4895">
        <v>2</v>
      </c>
      <c r="H4895" t="s">
        <v>438</v>
      </c>
      <c r="I4895" s="4">
        <f t="shared" si="664"/>
        <v>3</v>
      </c>
      <c r="J4895">
        <f t="shared" si="665"/>
        <v>6</v>
      </c>
      <c r="K4895">
        <v>50</v>
      </c>
      <c r="L4895">
        <v>18</v>
      </c>
      <c r="M4895">
        <v>2.78</v>
      </c>
      <c r="N4895" s="2">
        <v>3.1</v>
      </c>
      <c r="O4895">
        <v>0</v>
      </c>
      <c r="P4895">
        <v>2</v>
      </c>
      <c r="Q4895" s="4" t="str">
        <f t="shared" si="662"/>
        <v>2016/2017-Genap</v>
      </c>
      <c r="R4895" s="8" t="s">
        <v>260</v>
      </c>
      <c r="S4895" t="str">
        <f t="shared" si="663"/>
        <v>PA</v>
      </c>
    </row>
    <row r="4896" spans="1:19" x14ac:dyDescent="0.3">
      <c r="A4896" t="s">
        <v>8</v>
      </c>
      <c r="B4896">
        <v>2016210052</v>
      </c>
      <c r="C4896" t="s">
        <v>340</v>
      </c>
      <c r="E4896" t="s">
        <v>238</v>
      </c>
      <c r="F4896" t="s">
        <v>239</v>
      </c>
      <c r="G4896">
        <v>4</v>
      </c>
      <c r="H4896" t="s">
        <v>438</v>
      </c>
      <c r="I4896" s="4">
        <f t="shared" si="664"/>
        <v>3</v>
      </c>
      <c r="J4896">
        <f t="shared" si="665"/>
        <v>12</v>
      </c>
      <c r="K4896">
        <v>56</v>
      </c>
      <c r="L4896">
        <v>24</v>
      </c>
      <c r="M4896" s="2">
        <v>2.33</v>
      </c>
      <c r="N4896" s="2">
        <v>3.1</v>
      </c>
      <c r="O4896">
        <v>0</v>
      </c>
      <c r="P4896">
        <v>6</v>
      </c>
      <c r="Q4896" s="4" t="str">
        <f t="shared" si="662"/>
        <v>2018/2019-Genap</v>
      </c>
      <c r="R4896" s="8" t="s">
        <v>260</v>
      </c>
      <c r="S4896" t="str">
        <f t="shared" si="663"/>
        <v>PA</v>
      </c>
    </row>
    <row r="4897" spans="1:19" x14ac:dyDescent="0.3">
      <c r="A4897" t="s">
        <v>8</v>
      </c>
      <c r="B4897">
        <v>2016210052</v>
      </c>
      <c r="C4897" t="s">
        <v>340</v>
      </c>
      <c r="E4897" t="s">
        <v>355</v>
      </c>
      <c r="F4897" t="s">
        <v>274</v>
      </c>
      <c r="G4897">
        <v>2</v>
      </c>
      <c r="H4897" t="s">
        <v>438</v>
      </c>
      <c r="I4897" s="4">
        <f t="shared" si="664"/>
        <v>3</v>
      </c>
      <c r="J4897">
        <f t="shared" si="665"/>
        <v>6</v>
      </c>
      <c r="K4897">
        <v>78</v>
      </c>
      <c r="L4897">
        <v>24</v>
      </c>
      <c r="M4897">
        <v>3.25</v>
      </c>
      <c r="N4897" s="2">
        <v>3.1</v>
      </c>
      <c r="O4897">
        <v>0</v>
      </c>
      <c r="P4897">
        <v>4</v>
      </c>
      <c r="Q4897" s="4" t="str">
        <f t="shared" si="662"/>
        <v>2017/2018-Genap</v>
      </c>
      <c r="R4897" s="8" t="s">
        <v>260</v>
      </c>
      <c r="S4897" t="str">
        <f t="shared" si="663"/>
        <v>PA</v>
      </c>
    </row>
    <row r="4898" spans="1:19" x14ac:dyDescent="0.3">
      <c r="A4898" t="s">
        <v>8</v>
      </c>
      <c r="B4898">
        <v>2016210052</v>
      </c>
      <c r="C4898" t="s">
        <v>340</v>
      </c>
      <c r="E4898" t="s">
        <v>439</v>
      </c>
      <c r="F4898" t="s">
        <v>440</v>
      </c>
      <c r="G4898">
        <v>2</v>
      </c>
      <c r="H4898" t="s">
        <v>438</v>
      </c>
      <c r="I4898" s="4">
        <f t="shared" si="664"/>
        <v>3</v>
      </c>
      <c r="J4898">
        <f t="shared" si="665"/>
        <v>6</v>
      </c>
      <c r="K4898">
        <v>56</v>
      </c>
      <c r="L4898">
        <v>24</v>
      </c>
      <c r="M4898" s="2">
        <v>2.33</v>
      </c>
      <c r="N4898" s="2">
        <v>3.1</v>
      </c>
      <c r="O4898">
        <v>0</v>
      </c>
      <c r="P4898">
        <v>6</v>
      </c>
      <c r="Q4898" s="4" t="str">
        <f t="shared" si="662"/>
        <v>2018/2019-Genap</v>
      </c>
      <c r="R4898" s="8" t="s">
        <v>260</v>
      </c>
      <c r="S4898" t="str">
        <f t="shared" si="663"/>
        <v>PA</v>
      </c>
    </row>
    <row r="4899" spans="1:19" x14ac:dyDescent="0.3">
      <c r="A4899" t="s">
        <v>8</v>
      </c>
      <c r="B4899">
        <v>2016210052</v>
      </c>
      <c r="C4899" t="s">
        <v>340</v>
      </c>
      <c r="E4899" t="s">
        <v>369</v>
      </c>
      <c r="F4899" t="s">
        <v>307</v>
      </c>
      <c r="G4899">
        <v>2</v>
      </c>
      <c r="H4899" t="s">
        <v>438</v>
      </c>
      <c r="I4899" s="4">
        <f t="shared" si="664"/>
        <v>3</v>
      </c>
      <c r="J4899">
        <f t="shared" si="665"/>
        <v>6</v>
      </c>
      <c r="K4899">
        <v>78</v>
      </c>
      <c r="L4899">
        <v>24</v>
      </c>
      <c r="M4899">
        <v>3.25</v>
      </c>
      <c r="N4899" s="2">
        <v>3.1</v>
      </c>
      <c r="O4899">
        <v>0</v>
      </c>
      <c r="P4899">
        <v>4</v>
      </c>
      <c r="Q4899" s="4" t="str">
        <f t="shared" si="662"/>
        <v>2017/2018-Genap</v>
      </c>
      <c r="R4899" s="8" t="s">
        <v>260</v>
      </c>
      <c r="S4899" t="str">
        <f t="shared" si="663"/>
        <v>PA</v>
      </c>
    </row>
    <row r="4900" spans="1:19" x14ac:dyDescent="0.3">
      <c r="A4900" t="s">
        <v>8</v>
      </c>
      <c r="B4900">
        <v>2016210052</v>
      </c>
      <c r="C4900" t="s">
        <v>340</v>
      </c>
      <c r="E4900" t="s">
        <v>107</v>
      </c>
      <c r="F4900" t="s">
        <v>108</v>
      </c>
      <c r="G4900">
        <v>2</v>
      </c>
      <c r="H4900" t="s">
        <v>438</v>
      </c>
      <c r="I4900" s="4">
        <f t="shared" si="664"/>
        <v>3</v>
      </c>
      <c r="J4900">
        <f t="shared" si="665"/>
        <v>6</v>
      </c>
      <c r="K4900">
        <v>56</v>
      </c>
      <c r="L4900">
        <v>24</v>
      </c>
      <c r="M4900" s="2">
        <v>2.33</v>
      </c>
      <c r="N4900" s="2">
        <v>3.1</v>
      </c>
      <c r="O4900">
        <v>0</v>
      </c>
      <c r="P4900">
        <v>6</v>
      </c>
      <c r="Q4900" s="4" t="str">
        <f t="shared" si="662"/>
        <v>2018/2019-Genap</v>
      </c>
      <c r="R4900" s="8" t="s">
        <v>260</v>
      </c>
      <c r="S4900" t="str">
        <f t="shared" si="663"/>
        <v>PA</v>
      </c>
    </row>
    <row r="4901" spans="1:19" x14ac:dyDescent="0.3">
      <c r="A4901" t="s">
        <v>8</v>
      </c>
      <c r="B4901">
        <v>2016210052</v>
      </c>
      <c r="C4901" t="s">
        <v>340</v>
      </c>
      <c r="E4901" t="s">
        <v>352</v>
      </c>
      <c r="F4901" t="s">
        <v>353</v>
      </c>
      <c r="G4901">
        <v>2</v>
      </c>
      <c r="H4901" t="s">
        <v>438</v>
      </c>
      <c r="I4901" s="4">
        <f t="shared" si="664"/>
        <v>3</v>
      </c>
      <c r="J4901">
        <f t="shared" si="665"/>
        <v>6</v>
      </c>
      <c r="K4901">
        <v>72</v>
      </c>
      <c r="L4901">
        <v>24</v>
      </c>
      <c r="M4901" s="2">
        <v>3</v>
      </c>
      <c r="N4901" s="2">
        <v>3.1</v>
      </c>
      <c r="O4901">
        <v>0</v>
      </c>
      <c r="P4901">
        <v>5</v>
      </c>
      <c r="Q4901" s="4" t="str">
        <f t="shared" si="662"/>
        <v>2018/2019-Ganjil</v>
      </c>
      <c r="R4901" s="8" t="s">
        <v>260</v>
      </c>
      <c r="S4901" t="str">
        <f t="shared" si="663"/>
        <v>PA</v>
      </c>
    </row>
    <row r="4902" spans="1:19" x14ac:dyDescent="0.3">
      <c r="A4902" t="s">
        <v>8</v>
      </c>
      <c r="B4902">
        <v>2016210052</v>
      </c>
      <c r="C4902" t="s">
        <v>340</v>
      </c>
      <c r="E4902" t="s">
        <v>105</v>
      </c>
      <c r="F4902" t="s">
        <v>106</v>
      </c>
      <c r="G4902">
        <v>2</v>
      </c>
      <c r="H4902" t="s">
        <v>438</v>
      </c>
      <c r="I4902" s="4">
        <f t="shared" si="664"/>
        <v>3</v>
      </c>
      <c r="J4902">
        <f t="shared" si="665"/>
        <v>6</v>
      </c>
      <c r="K4902">
        <v>60</v>
      </c>
      <c r="L4902">
        <v>22</v>
      </c>
      <c r="M4902">
        <v>2.73</v>
      </c>
      <c r="N4902" s="2">
        <v>3.1</v>
      </c>
      <c r="O4902">
        <v>0</v>
      </c>
      <c r="P4902">
        <v>3</v>
      </c>
      <c r="Q4902" s="4" t="str">
        <f t="shared" si="662"/>
        <v>2017/2018-Ganjil</v>
      </c>
      <c r="R4902" s="8" t="s">
        <v>260</v>
      </c>
      <c r="S4902" t="str">
        <f t="shared" si="663"/>
        <v>PA</v>
      </c>
    </row>
    <row r="4903" spans="1:19" x14ac:dyDescent="0.3">
      <c r="A4903" t="s">
        <v>8</v>
      </c>
      <c r="B4903">
        <v>2016210052</v>
      </c>
      <c r="C4903" t="s">
        <v>340</v>
      </c>
      <c r="E4903" t="s">
        <v>185</v>
      </c>
      <c r="F4903" t="s">
        <v>186</v>
      </c>
      <c r="G4903">
        <v>4</v>
      </c>
      <c r="H4903" t="s">
        <v>438</v>
      </c>
      <c r="I4903" s="4">
        <f t="shared" si="664"/>
        <v>3</v>
      </c>
      <c r="J4903">
        <f t="shared" si="665"/>
        <v>12</v>
      </c>
      <c r="K4903">
        <v>36</v>
      </c>
      <c r="L4903">
        <v>14</v>
      </c>
      <c r="M4903" s="2">
        <v>2.57</v>
      </c>
      <c r="N4903" s="2">
        <v>3.1</v>
      </c>
      <c r="O4903">
        <v>0</v>
      </c>
      <c r="P4903">
        <v>7</v>
      </c>
      <c r="Q4903" s="4" t="str">
        <f t="shared" si="662"/>
        <v>2019/2020-Ganjil</v>
      </c>
      <c r="R4903" t="s">
        <v>596</v>
      </c>
      <c r="S4903" t="str">
        <f t="shared" si="663"/>
        <v>PA</v>
      </c>
    </row>
    <row r="4904" spans="1:19" x14ac:dyDescent="0.3">
      <c r="A4904" t="s">
        <v>8</v>
      </c>
      <c r="B4904">
        <v>2016210052</v>
      </c>
      <c r="C4904" t="s">
        <v>340</v>
      </c>
      <c r="E4904" t="s">
        <v>93</v>
      </c>
      <c r="F4904" t="s">
        <v>94</v>
      </c>
      <c r="G4904">
        <v>4</v>
      </c>
      <c r="H4904" t="s">
        <v>438</v>
      </c>
      <c r="I4904" s="4">
        <f t="shared" si="664"/>
        <v>3</v>
      </c>
      <c r="J4904">
        <f t="shared" si="665"/>
        <v>12</v>
      </c>
      <c r="K4904">
        <v>60</v>
      </c>
      <c r="L4904">
        <v>22</v>
      </c>
      <c r="M4904">
        <v>2.73</v>
      </c>
      <c r="N4904" s="2">
        <v>3.1</v>
      </c>
      <c r="O4904">
        <v>0</v>
      </c>
      <c r="P4904">
        <v>3</v>
      </c>
      <c r="Q4904" s="4" t="str">
        <f t="shared" si="662"/>
        <v>2017/2018-Ganjil</v>
      </c>
      <c r="R4904" s="8" t="s">
        <v>260</v>
      </c>
      <c r="S4904" t="str">
        <f t="shared" si="663"/>
        <v>PA</v>
      </c>
    </row>
    <row r="4905" spans="1:19" x14ac:dyDescent="0.3">
      <c r="A4905" t="s">
        <v>8</v>
      </c>
      <c r="B4905">
        <v>2016210052</v>
      </c>
      <c r="C4905" t="s">
        <v>340</v>
      </c>
      <c r="E4905" t="s">
        <v>227</v>
      </c>
      <c r="F4905" t="s">
        <v>228</v>
      </c>
      <c r="G4905">
        <v>2</v>
      </c>
      <c r="H4905" t="s">
        <v>438</v>
      </c>
      <c r="I4905" s="4">
        <f t="shared" si="664"/>
        <v>3</v>
      </c>
      <c r="J4905">
        <f t="shared" si="665"/>
        <v>6</v>
      </c>
      <c r="K4905">
        <v>60</v>
      </c>
      <c r="L4905">
        <v>22</v>
      </c>
      <c r="M4905">
        <v>2.73</v>
      </c>
      <c r="N4905" s="2">
        <v>3.1</v>
      </c>
      <c r="O4905">
        <v>0</v>
      </c>
      <c r="P4905">
        <v>3</v>
      </c>
      <c r="Q4905" s="4" t="str">
        <f t="shared" si="662"/>
        <v>2017/2018-Ganjil</v>
      </c>
      <c r="R4905" s="8" t="s">
        <v>260</v>
      </c>
      <c r="S4905" t="str">
        <f t="shared" si="663"/>
        <v>PA</v>
      </c>
    </row>
    <row r="4906" spans="1:19" x14ac:dyDescent="0.3">
      <c r="A4906" t="s">
        <v>8</v>
      </c>
      <c r="B4906">
        <v>2016210052</v>
      </c>
      <c r="C4906" t="s">
        <v>340</v>
      </c>
      <c r="E4906" t="s">
        <v>393</v>
      </c>
      <c r="F4906" t="s">
        <v>436</v>
      </c>
      <c r="G4906">
        <v>2</v>
      </c>
      <c r="H4906" t="s">
        <v>438</v>
      </c>
      <c r="I4906" s="4">
        <f t="shared" si="664"/>
        <v>3</v>
      </c>
      <c r="J4906">
        <f t="shared" si="665"/>
        <v>6</v>
      </c>
      <c r="K4906">
        <v>72</v>
      </c>
      <c r="L4906">
        <v>24</v>
      </c>
      <c r="M4906" s="2">
        <v>3</v>
      </c>
      <c r="N4906" s="2">
        <v>3.1</v>
      </c>
      <c r="O4906">
        <v>0</v>
      </c>
      <c r="P4906">
        <v>5</v>
      </c>
      <c r="Q4906" s="4" t="str">
        <f t="shared" si="662"/>
        <v>2018/2019-Ganjil</v>
      </c>
      <c r="R4906" s="8" t="s">
        <v>260</v>
      </c>
      <c r="S4906" t="str">
        <f t="shared" si="663"/>
        <v>PA</v>
      </c>
    </row>
    <row r="4907" spans="1:19" x14ac:dyDescent="0.3">
      <c r="A4907" t="s">
        <v>8</v>
      </c>
      <c r="B4907">
        <v>2016210052</v>
      </c>
      <c r="C4907" t="s">
        <v>340</v>
      </c>
      <c r="E4907" t="s">
        <v>253</v>
      </c>
      <c r="F4907" t="s">
        <v>254</v>
      </c>
      <c r="G4907">
        <v>2</v>
      </c>
      <c r="H4907" t="s">
        <v>438</v>
      </c>
      <c r="I4907" s="4">
        <f t="shared" si="664"/>
        <v>3</v>
      </c>
      <c r="J4907">
        <f t="shared" si="665"/>
        <v>6</v>
      </c>
      <c r="K4907">
        <v>78</v>
      </c>
      <c r="L4907">
        <v>24</v>
      </c>
      <c r="M4907">
        <v>3.25</v>
      </c>
      <c r="N4907" s="2">
        <v>3.1</v>
      </c>
      <c r="O4907">
        <v>0</v>
      </c>
      <c r="P4907">
        <v>4</v>
      </c>
      <c r="Q4907" s="4" t="str">
        <f t="shared" si="662"/>
        <v>2017/2018-Genap</v>
      </c>
      <c r="R4907" s="8" t="s">
        <v>260</v>
      </c>
      <c r="S4907" t="str">
        <f t="shared" si="663"/>
        <v>PA</v>
      </c>
    </row>
    <row r="4908" spans="1:19" x14ac:dyDescent="0.3">
      <c r="A4908" t="s">
        <v>8</v>
      </c>
      <c r="B4908">
        <v>2016210052</v>
      </c>
      <c r="C4908" t="s">
        <v>340</v>
      </c>
      <c r="E4908" t="s">
        <v>279</v>
      </c>
      <c r="F4908" t="s">
        <v>280</v>
      </c>
      <c r="G4908">
        <v>2</v>
      </c>
      <c r="H4908" t="s">
        <v>438</v>
      </c>
      <c r="I4908" s="4">
        <f t="shared" si="664"/>
        <v>3</v>
      </c>
      <c r="J4908">
        <f t="shared" si="665"/>
        <v>6</v>
      </c>
      <c r="K4908">
        <v>50</v>
      </c>
      <c r="L4908">
        <v>18</v>
      </c>
      <c r="M4908">
        <v>2.78</v>
      </c>
      <c r="N4908" s="2">
        <v>3.1</v>
      </c>
      <c r="O4908">
        <v>0</v>
      </c>
      <c r="P4908">
        <v>2</v>
      </c>
      <c r="Q4908" s="4" t="str">
        <f t="shared" si="662"/>
        <v>2016/2017-Genap</v>
      </c>
      <c r="R4908" s="8" t="s">
        <v>260</v>
      </c>
      <c r="S4908" t="str">
        <f t="shared" si="663"/>
        <v>PA</v>
      </c>
    </row>
    <row r="4909" spans="1:19" x14ac:dyDescent="0.3">
      <c r="A4909" t="s">
        <v>8</v>
      </c>
      <c r="B4909">
        <v>2016210052</v>
      </c>
      <c r="C4909" t="s">
        <v>340</v>
      </c>
      <c r="E4909" t="s">
        <v>136</v>
      </c>
      <c r="F4909" t="s">
        <v>137</v>
      </c>
      <c r="G4909">
        <v>4</v>
      </c>
      <c r="H4909" t="s">
        <v>438</v>
      </c>
      <c r="I4909" s="4">
        <f t="shared" si="664"/>
        <v>3</v>
      </c>
      <c r="J4909">
        <f t="shared" si="665"/>
        <v>12</v>
      </c>
      <c r="K4909">
        <v>56</v>
      </c>
      <c r="L4909">
        <v>24</v>
      </c>
      <c r="M4909">
        <v>2.33</v>
      </c>
      <c r="N4909" s="2">
        <v>3.1</v>
      </c>
      <c r="O4909">
        <v>0</v>
      </c>
      <c r="P4909">
        <v>6</v>
      </c>
      <c r="Q4909" s="4" t="str">
        <f t="shared" ref="Q4909:Q4928" si="666">IF(P4909=1,"2016/2017-Ganjil",IF(P4909=2,"2016/2017-Genap",IF(P4909=3,"2017/2018-Ganjil",IF(P4909=4,"2017/2018-Genap",IF(P4909=5,"2018/2019-Ganjil",IF(P4909=6,"2018/2019-Genap",IF(P4909=7,"2019/2020-Ganjil",IF(P4909=8,"2019/2020-Genap",IF(P4909=9,"2020/2021-Ganjil",IF(P4909=10,"2020/2021-Genap",IF(P4909=11,"2021/2022-Ganjil",IF(P4909=12,"2021/2022-Genap",IF(P4909=13,"2022/2023-Ganjil","2022/2023-Genap")))))))))))))</f>
        <v>2018/2019-Genap</v>
      </c>
      <c r="R4909" s="8" t="s">
        <v>260</v>
      </c>
      <c r="S4909" t="str">
        <f t="shared" si="663"/>
        <v>PA</v>
      </c>
    </row>
    <row r="4910" spans="1:19" x14ac:dyDescent="0.3">
      <c r="A4910" t="s">
        <v>8</v>
      </c>
      <c r="B4910">
        <v>2016210052</v>
      </c>
      <c r="C4910" t="s">
        <v>340</v>
      </c>
      <c r="E4910" t="s">
        <v>246</v>
      </c>
      <c r="F4910" t="s">
        <v>247</v>
      </c>
      <c r="G4910">
        <v>4</v>
      </c>
      <c r="H4910" t="s">
        <v>438</v>
      </c>
      <c r="I4910" s="4">
        <f t="shared" si="664"/>
        <v>3</v>
      </c>
      <c r="J4910">
        <f t="shared" si="665"/>
        <v>12</v>
      </c>
      <c r="K4910">
        <v>78</v>
      </c>
      <c r="L4910">
        <v>24</v>
      </c>
      <c r="M4910">
        <v>3.25</v>
      </c>
      <c r="N4910" s="2">
        <v>3.1</v>
      </c>
      <c r="O4910">
        <v>0</v>
      </c>
      <c r="P4910">
        <v>4</v>
      </c>
      <c r="Q4910" s="4" t="str">
        <f t="shared" si="666"/>
        <v>2017/2018-Genap</v>
      </c>
      <c r="R4910" s="8" t="s">
        <v>260</v>
      </c>
      <c r="S4910" t="str">
        <f t="shared" si="663"/>
        <v>PA</v>
      </c>
    </row>
    <row r="4911" spans="1:19" x14ac:dyDescent="0.3">
      <c r="A4911" t="s">
        <v>8</v>
      </c>
      <c r="B4911">
        <v>2016210052</v>
      </c>
      <c r="C4911" t="s">
        <v>340</v>
      </c>
      <c r="E4911" t="s">
        <v>449</v>
      </c>
      <c r="F4911" t="s">
        <v>460</v>
      </c>
      <c r="G4911">
        <v>4</v>
      </c>
      <c r="H4911" t="s">
        <v>438</v>
      </c>
      <c r="I4911" s="4">
        <f t="shared" si="664"/>
        <v>3</v>
      </c>
      <c r="J4911">
        <f t="shared" si="665"/>
        <v>12</v>
      </c>
      <c r="K4911">
        <v>78</v>
      </c>
      <c r="L4911">
        <v>24</v>
      </c>
      <c r="M4911">
        <v>3.25</v>
      </c>
      <c r="N4911" s="2">
        <v>3.1</v>
      </c>
      <c r="O4911">
        <v>0</v>
      </c>
      <c r="P4911">
        <v>4</v>
      </c>
      <c r="Q4911" s="4" t="str">
        <f t="shared" si="666"/>
        <v>2017/2018-Genap</v>
      </c>
      <c r="R4911" s="8" t="s">
        <v>260</v>
      </c>
      <c r="S4911" t="str">
        <f t="shared" si="663"/>
        <v>PA</v>
      </c>
    </row>
    <row r="4912" spans="1:19" x14ac:dyDescent="0.3">
      <c r="A4912" t="s">
        <v>8</v>
      </c>
      <c r="B4912">
        <v>2016210052</v>
      </c>
      <c r="C4912" t="s">
        <v>340</v>
      </c>
      <c r="E4912" t="s">
        <v>115</v>
      </c>
      <c r="F4912" t="s">
        <v>116</v>
      </c>
      <c r="G4912">
        <v>4</v>
      </c>
      <c r="H4912" t="s">
        <v>438</v>
      </c>
      <c r="I4912" s="4">
        <f t="shared" si="664"/>
        <v>3</v>
      </c>
      <c r="J4912">
        <f t="shared" si="665"/>
        <v>12</v>
      </c>
      <c r="K4912">
        <v>50</v>
      </c>
      <c r="L4912">
        <v>18</v>
      </c>
      <c r="M4912">
        <v>2.78</v>
      </c>
      <c r="N4912" s="2">
        <v>3.1</v>
      </c>
      <c r="O4912">
        <v>0</v>
      </c>
      <c r="P4912">
        <v>2</v>
      </c>
      <c r="Q4912" s="4" t="str">
        <f t="shared" si="666"/>
        <v>2016/2017-Genap</v>
      </c>
      <c r="R4912" s="8" t="s">
        <v>260</v>
      </c>
      <c r="S4912" t="str">
        <f t="shared" si="663"/>
        <v>PA</v>
      </c>
    </row>
    <row r="4913" spans="1:19" x14ac:dyDescent="0.3">
      <c r="A4913" t="s">
        <v>8</v>
      </c>
      <c r="B4913">
        <v>2016210052</v>
      </c>
      <c r="C4913" t="s">
        <v>340</v>
      </c>
      <c r="E4913" t="s">
        <v>17</v>
      </c>
      <c r="F4913" t="s">
        <v>11</v>
      </c>
      <c r="G4913">
        <v>2</v>
      </c>
      <c r="H4913" t="s">
        <v>438</v>
      </c>
      <c r="I4913" s="4">
        <f t="shared" si="664"/>
        <v>3</v>
      </c>
      <c r="J4913">
        <f t="shared" si="665"/>
        <v>6</v>
      </c>
      <c r="K4913">
        <v>56</v>
      </c>
      <c r="L4913">
        <v>24</v>
      </c>
      <c r="M4913">
        <v>2.33</v>
      </c>
      <c r="N4913" s="2">
        <v>3.1</v>
      </c>
      <c r="O4913">
        <v>0</v>
      </c>
      <c r="P4913">
        <v>6</v>
      </c>
      <c r="Q4913" s="4" t="str">
        <f t="shared" si="666"/>
        <v>2018/2019-Genap</v>
      </c>
      <c r="R4913" s="8" t="s">
        <v>260</v>
      </c>
      <c r="S4913" t="str">
        <f t="shared" si="663"/>
        <v>PA</v>
      </c>
    </row>
    <row r="4914" spans="1:19" x14ac:dyDescent="0.3">
      <c r="A4914" t="s">
        <v>8</v>
      </c>
      <c r="B4914">
        <v>2016210052</v>
      </c>
      <c r="C4914" t="s">
        <v>340</v>
      </c>
      <c r="E4914" t="s">
        <v>188</v>
      </c>
      <c r="F4914" t="s">
        <v>189</v>
      </c>
      <c r="G4914">
        <v>4</v>
      </c>
      <c r="H4914" t="s">
        <v>438</v>
      </c>
      <c r="I4914" s="4">
        <f t="shared" si="664"/>
        <v>3</v>
      </c>
      <c r="J4914">
        <f t="shared" si="665"/>
        <v>12</v>
      </c>
      <c r="K4914">
        <v>72</v>
      </c>
      <c r="L4914">
        <v>24</v>
      </c>
      <c r="M4914" s="2">
        <v>3</v>
      </c>
      <c r="N4914" s="2">
        <v>3.1</v>
      </c>
      <c r="O4914">
        <v>0</v>
      </c>
      <c r="P4914">
        <v>5</v>
      </c>
      <c r="Q4914" s="4" t="str">
        <f t="shared" si="666"/>
        <v>2018/2019-Ganjil</v>
      </c>
      <c r="R4914" s="8" t="s">
        <v>260</v>
      </c>
      <c r="S4914" t="str">
        <f t="shared" si="663"/>
        <v>PA</v>
      </c>
    </row>
    <row r="4915" spans="1:19" x14ac:dyDescent="0.3">
      <c r="A4915" t="s">
        <v>8</v>
      </c>
      <c r="B4915">
        <v>2016210052</v>
      </c>
      <c r="C4915" t="s">
        <v>340</v>
      </c>
      <c r="E4915" t="s">
        <v>112</v>
      </c>
      <c r="F4915" t="s">
        <v>113</v>
      </c>
      <c r="G4915">
        <v>4</v>
      </c>
      <c r="H4915" t="s">
        <v>438</v>
      </c>
      <c r="I4915" s="4">
        <f t="shared" si="664"/>
        <v>3</v>
      </c>
      <c r="J4915">
        <f t="shared" si="665"/>
        <v>12</v>
      </c>
      <c r="K4915">
        <v>60</v>
      </c>
      <c r="L4915">
        <v>22</v>
      </c>
      <c r="M4915">
        <v>2.73</v>
      </c>
      <c r="N4915" s="2">
        <v>3.1</v>
      </c>
      <c r="O4915">
        <v>0</v>
      </c>
      <c r="P4915">
        <v>3</v>
      </c>
      <c r="Q4915" s="4" t="str">
        <f t="shared" si="666"/>
        <v>2017/2018-Ganjil</v>
      </c>
      <c r="R4915" s="8" t="s">
        <v>260</v>
      </c>
      <c r="S4915" t="str">
        <f t="shared" si="663"/>
        <v>PA</v>
      </c>
    </row>
    <row r="4916" spans="1:19" x14ac:dyDescent="0.3">
      <c r="A4916" t="s">
        <v>8</v>
      </c>
      <c r="B4916">
        <v>2016210052</v>
      </c>
      <c r="C4916" t="s">
        <v>340</v>
      </c>
      <c r="E4916" t="s">
        <v>176</v>
      </c>
      <c r="F4916" t="s">
        <v>177</v>
      </c>
      <c r="G4916">
        <v>4</v>
      </c>
      <c r="H4916" t="s">
        <v>438</v>
      </c>
      <c r="I4916" s="4">
        <f t="shared" si="664"/>
        <v>3</v>
      </c>
      <c r="J4916">
        <f t="shared" si="665"/>
        <v>12</v>
      </c>
      <c r="K4916">
        <v>72</v>
      </c>
      <c r="L4916">
        <v>24</v>
      </c>
      <c r="M4916" s="2">
        <v>3</v>
      </c>
      <c r="N4916" s="2">
        <v>3.1</v>
      </c>
      <c r="O4916">
        <v>0</v>
      </c>
      <c r="P4916">
        <v>5</v>
      </c>
      <c r="Q4916" s="4" t="str">
        <f t="shared" si="666"/>
        <v>2018/2019-Ganjil</v>
      </c>
      <c r="R4916" s="8" t="s">
        <v>260</v>
      </c>
      <c r="S4916" t="str">
        <f t="shared" si="663"/>
        <v>PA</v>
      </c>
    </row>
    <row r="4917" spans="1:19" x14ac:dyDescent="0.3">
      <c r="A4917" t="s">
        <v>8</v>
      </c>
      <c r="B4917">
        <v>2016210052</v>
      </c>
      <c r="C4917" t="s">
        <v>340</v>
      </c>
      <c r="E4917" t="s">
        <v>395</v>
      </c>
      <c r="F4917" t="s">
        <v>396</v>
      </c>
      <c r="G4917">
        <v>2</v>
      </c>
      <c r="H4917" t="s">
        <v>524</v>
      </c>
      <c r="I4917" s="4">
        <f t="shared" si="664"/>
        <v>2</v>
      </c>
      <c r="J4917">
        <f t="shared" si="665"/>
        <v>4</v>
      </c>
      <c r="K4917">
        <v>68</v>
      </c>
      <c r="L4917">
        <v>20</v>
      </c>
      <c r="M4917" s="2">
        <v>3.4</v>
      </c>
      <c r="N4917" s="2">
        <v>3.1</v>
      </c>
      <c r="O4917">
        <v>0</v>
      </c>
      <c r="P4917">
        <v>1</v>
      </c>
      <c r="Q4917" s="4" t="str">
        <f t="shared" si="666"/>
        <v>2016/2017-Ganjil</v>
      </c>
      <c r="R4917" s="8" t="s">
        <v>260</v>
      </c>
      <c r="S4917" t="str">
        <f t="shared" si="663"/>
        <v>PA</v>
      </c>
    </row>
    <row r="4918" spans="1:19" x14ac:dyDescent="0.3">
      <c r="A4918" t="s">
        <v>8</v>
      </c>
      <c r="B4918">
        <v>2016210052</v>
      </c>
      <c r="C4918" t="s">
        <v>340</v>
      </c>
      <c r="E4918" t="s">
        <v>401</v>
      </c>
      <c r="F4918" t="s">
        <v>258</v>
      </c>
      <c r="G4918">
        <v>4</v>
      </c>
      <c r="H4918" t="s">
        <v>524</v>
      </c>
      <c r="I4918" s="4">
        <f t="shared" si="664"/>
        <v>2</v>
      </c>
      <c r="J4918">
        <f t="shared" si="665"/>
        <v>8</v>
      </c>
      <c r="K4918">
        <v>60</v>
      </c>
      <c r="L4918">
        <v>22</v>
      </c>
      <c r="M4918">
        <v>2.73</v>
      </c>
      <c r="N4918" s="2">
        <v>3.1</v>
      </c>
      <c r="O4918">
        <v>0</v>
      </c>
      <c r="P4918">
        <v>3</v>
      </c>
      <c r="Q4918" s="4" t="str">
        <f t="shared" si="666"/>
        <v>2017/2018-Ganjil</v>
      </c>
      <c r="R4918" s="8" t="s">
        <v>260</v>
      </c>
      <c r="S4918" t="str">
        <f t="shared" si="663"/>
        <v>PA</v>
      </c>
    </row>
    <row r="4919" spans="1:19" x14ac:dyDescent="0.3">
      <c r="A4919" t="s">
        <v>8</v>
      </c>
      <c r="B4919">
        <v>2016210052</v>
      </c>
      <c r="C4919" t="s">
        <v>340</v>
      </c>
      <c r="E4919" t="s">
        <v>125</v>
      </c>
      <c r="F4919" t="s">
        <v>126</v>
      </c>
      <c r="G4919">
        <v>4</v>
      </c>
      <c r="H4919" t="s">
        <v>524</v>
      </c>
      <c r="I4919" s="4">
        <f t="shared" si="664"/>
        <v>2</v>
      </c>
      <c r="J4919">
        <f t="shared" si="665"/>
        <v>8</v>
      </c>
      <c r="K4919">
        <v>50</v>
      </c>
      <c r="L4919">
        <v>18</v>
      </c>
      <c r="M4919">
        <v>2.78</v>
      </c>
      <c r="N4919" s="2">
        <v>3.1</v>
      </c>
      <c r="O4919">
        <v>0</v>
      </c>
      <c r="P4919">
        <v>2</v>
      </c>
      <c r="Q4919" s="4" t="str">
        <f t="shared" si="666"/>
        <v>2016/2017-Genap</v>
      </c>
      <c r="R4919" s="8" t="s">
        <v>260</v>
      </c>
      <c r="S4919" t="str">
        <f t="shared" si="663"/>
        <v>PA</v>
      </c>
    </row>
    <row r="4920" spans="1:19" x14ac:dyDescent="0.3">
      <c r="A4920" t="s">
        <v>8</v>
      </c>
      <c r="B4920">
        <v>2016210052</v>
      </c>
      <c r="C4920" t="s">
        <v>340</v>
      </c>
      <c r="E4920" t="s">
        <v>216</v>
      </c>
      <c r="F4920" t="s">
        <v>217</v>
      </c>
      <c r="G4920">
        <v>2</v>
      </c>
      <c r="H4920" t="s">
        <v>524</v>
      </c>
      <c r="I4920" s="4">
        <f t="shared" si="664"/>
        <v>2</v>
      </c>
      <c r="J4920">
        <f t="shared" si="665"/>
        <v>4</v>
      </c>
      <c r="K4920">
        <v>78</v>
      </c>
      <c r="L4920">
        <v>24</v>
      </c>
      <c r="M4920">
        <v>3.25</v>
      </c>
      <c r="N4920" s="2">
        <v>3.1</v>
      </c>
      <c r="O4920">
        <v>0</v>
      </c>
      <c r="P4920">
        <v>4</v>
      </c>
      <c r="Q4920" s="4" t="str">
        <f t="shared" si="666"/>
        <v>2017/2018-Genap</v>
      </c>
      <c r="R4920" s="8" t="s">
        <v>260</v>
      </c>
      <c r="S4920" t="str">
        <f t="shared" si="663"/>
        <v>PA</v>
      </c>
    </row>
    <row r="4921" spans="1:19" x14ac:dyDescent="0.3">
      <c r="A4921" t="s">
        <v>8</v>
      </c>
      <c r="B4921">
        <v>2016210052</v>
      </c>
      <c r="C4921" t="s">
        <v>340</v>
      </c>
      <c r="E4921" t="s">
        <v>391</v>
      </c>
      <c r="F4921" t="s">
        <v>392</v>
      </c>
      <c r="G4921">
        <v>2</v>
      </c>
      <c r="H4921" t="s">
        <v>524</v>
      </c>
      <c r="I4921" s="4">
        <f t="shared" si="664"/>
        <v>2</v>
      </c>
      <c r="J4921">
        <f t="shared" si="665"/>
        <v>4</v>
      </c>
      <c r="K4921">
        <v>72</v>
      </c>
      <c r="L4921">
        <v>24</v>
      </c>
      <c r="M4921" s="2">
        <v>3</v>
      </c>
      <c r="N4921" s="2">
        <v>3.1</v>
      </c>
      <c r="O4921">
        <v>0</v>
      </c>
      <c r="P4921">
        <v>5</v>
      </c>
      <c r="Q4921" s="4" t="str">
        <f t="shared" si="666"/>
        <v>2018/2019-Ganjil</v>
      </c>
      <c r="R4921" s="8" t="s">
        <v>260</v>
      </c>
      <c r="S4921" t="str">
        <f t="shared" si="663"/>
        <v>PA</v>
      </c>
    </row>
    <row r="4922" spans="1:19" x14ac:dyDescent="0.3">
      <c r="A4922" t="s">
        <v>8</v>
      </c>
      <c r="B4922">
        <v>2016210052</v>
      </c>
      <c r="C4922" t="s">
        <v>340</v>
      </c>
      <c r="E4922" t="s">
        <v>19</v>
      </c>
      <c r="F4922" t="s">
        <v>20</v>
      </c>
      <c r="G4922">
        <v>6</v>
      </c>
      <c r="H4922" t="s">
        <v>524</v>
      </c>
      <c r="I4922" s="4">
        <f t="shared" si="664"/>
        <v>2</v>
      </c>
      <c r="J4922">
        <f t="shared" si="665"/>
        <v>12</v>
      </c>
      <c r="K4922">
        <v>36</v>
      </c>
      <c r="L4922">
        <v>14</v>
      </c>
      <c r="M4922">
        <v>2.57</v>
      </c>
      <c r="N4922" s="2">
        <v>3.1</v>
      </c>
      <c r="O4922">
        <v>0</v>
      </c>
      <c r="P4922">
        <v>7</v>
      </c>
      <c r="Q4922" s="4" t="str">
        <f t="shared" si="666"/>
        <v>2019/2020-Ganjil</v>
      </c>
      <c r="R4922" t="s">
        <v>596</v>
      </c>
      <c r="S4922" t="str">
        <f t="shared" si="663"/>
        <v>PA</v>
      </c>
    </row>
    <row r="4923" spans="1:19" x14ac:dyDescent="0.3">
      <c r="A4923" t="s">
        <v>8</v>
      </c>
      <c r="B4923">
        <v>2016210052</v>
      </c>
      <c r="C4923" t="s">
        <v>340</v>
      </c>
      <c r="E4923" t="s">
        <v>110</v>
      </c>
      <c r="F4923" t="s">
        <v>111</v>
      </c>
      <c r="G4923">
        <v>4</v>
      </c>
      <c r="H4923" t="s">
        <v>524</v>
      </c>
      <c r="I4923" s="4">
        <f t="shared" si="664"/>
        <v>2</v>
      </c>
      <c r="J4923">
        <f t="shared" si="665"/>
        <v>8</v>
      </c>
      <c r="K4923">
        <v>68</v>
      </c>
      <c r="L4923">
        <v>20</v>
      </c>
      <c r="M4923" s="2">
        <v>3.4</v>
      </c>
      <c r="N4923" s="2">
        <v>3.1</v>
      </c>
      <c r="O4923">
        <v>0</v>
      </c>
      <c r="P4923">
        <v>1</v>
      </c>
      <c r="Q4923" s="4" t="str">
        <f t="shared" si="666"/>
        <v>2016/2017-Ganjil</v>
      </c>
      <c r="R4923" s="8" t="s">
        <v>260</v>
      </c>
      <c r="S4923" t="str">
        <f t="shared" si="663"/>
        <v>PA</v>
      </c>
    </row>
    <row r="4924" spans="1:19" x14ac:dyDescent="0.3">
      <c r="A4924" t="s">
        <v>8</v>
      </c>
      <c r="B4924">
        <v>2016210052</v>
      </c>
      <c r="C4924" t="s">
        <v>340</v>
      </c>
      <c r="E4924" t="s">
        <v>44</v>
      </c>
      <c r="F4924" t="s">
        <v>45</v>
      </c>
      <c r="G4924">
        <v>2</v>
      </c>
      <c r="H4924" t="s">
        <v>535</v>
      </c>
      <c r="I4924" s="4">
        <f t="shared" si="664"/>
        <v>1</v>
      </c>
      <c r="J4924">
        <f t="shared" si="665"/>
        <v>2</v>
      </c>
      <c r="K4924">
        <v>50</v>
      </c>
      <c r="L4924">
        <v>18</v>
      </c>
      <c r="M4924">
        <v>2.78</v>
      </c>
      <c r="N4924" s="2">
        <v>3.1</v>
      </c>
      <c r="O4924">
        <v>0</v>
      </c>
      <c r="P4924">
        <v>2</v>
      </c>
      <c r="Q4924" s="4" t="str">
        <f t="shared" si="666"/>
        <v>2016/2017-Genap</v>
      </c>
      <c r="R4924" s="8" t="s">
        <v>260</v>
      </c>
      <c r="S4924" t="str">
        <f t="shared" si="663"/>
        <v>FA</v>
      </c>
    </row>
    <row r="4925" spans="1:19" x14ac:dyDescent="0.3">
      <c r="A4925" t="s">
        <v>8</v>
      </c>
      <c r="B4925">
        <v>2016210052</v>
      </c>
      <c r="C4925" t="s">
        <v>340</v>
      </c>
      <c r="E4925" t="s">
        <v>182</v>
      </c>
      <c r="F4925" t="s">
        <v>171</v>
      </c>
      <c r="G4925">
        <v>2</v>
      </c>
      <c r="H4925" t="s">
        <v>535</v>
      </c>
      <c r="I4925" s="4">
        <f t="shared" si="664"/>
        <v>1</v>
      </c>
      <c r="J4925">
        <f t="shared" si="665"/>
        <v>2</v>
      </c>
      <c r="K4925">
        <v>60</v>
      </c>
      <c r="L4925">
        <v>22</v>
      </c>
      <c r="M4925">
        <v>2.73</v>
      </c>
      <c r="N4925" s="2">
        <v>3.1</v>
      </c>
      <c r="O4925">
        <v>0</v>
      </c>
      <c r="P4925">
        <v>3</v>
      </c>
      <c r="Q4925" s="4" t="str">
        <f t="shared" si="666"/>
        <v>2017/2018-Ganjil</v>
      </c>
      <c r="R4925" s="8" t="s">
        <v>260</v>
      </c>
      <c r="S4925" t="str">
        <f t="shared" si="663"/>
        <v>FA</v>
      </c>
    </row>
    <row r="4926" spans="1:19" x14ac:dyDescent="0.3">
      <c r="A4926" t="s">
        <v>8</v>
      </c>
      <c r="B4926">
        <v>2016210052</v>
      </c>
      <c r="C4926" t="s">
        <v>340</v>
      </c>
      <c r="E4926" t="s">
        <v>119</v>
      </c>
      <c r="F4926" t="s">
        <v>120</v>
      </c>
      <c r="G4926">
        <v>2</v>
      </c>
      <c r="H4926" t="s">
        <v>535</v>
      </c>
      <c r="I4926" s="4">
        <f t="shared" si="664"/>
        <v>1</v>
      </c>
      <c r="J4926">
        <f t="shared" si="665"/>
        <v>2</v>
      </c>
      <c r="K4926">
        <v>56</v>
      </c>
      <c r="L4926">
        <v>24</v>
      </c>
      <c r="M4926">
        <v>2.33</v>
      </c>
      <c r="N4926" s="2">
        <v>3.1</v>
      </c>
      <c r="O4926">
        <v>0</v>
      </c>
      <c r="P4926">
        <v>6</v>
      </c>
      <c r="Q4926" s="4" t="str">
        <f t="shared" si="666"/>
        <v>2018/2019-Genap</v>
      </c>
      <c r="R4926" s="8" t="s">
        <v>260</v>
      </c>
      <c r="S4926" t="str">
        <f t="shared" si="663"/>
        <v>FA</v>
      </c>
    </row>
    <row r="4927" spans="1:19" x14ac:dyDescent="0.3">
      <c r="A4927" t="s">
        <v>8</v>
      </c>
      <c r="B4927">
        <v>2016210052</v>
      </c>
      <c r="C4927" t="s">
        <v>340</v>
      </c>
      <c r="E4927" t="s">
        <v>80</v>
      </c>
      <c r="F4927" t="s">
        <v>81</v>
      </c>
      <c r="G4927">
        <v>4</v>
      </c>
      <c r="H4927" t="s">
        <v>535</v>
      </c>
      <c r="I4927" s="4">
        <f t="shared" si="664"/>
        <v>1</v>
      </c>
      <c r="J4927">
        <f t="shared" si="665"/>
        <v>4</v>
      </c>
      <c r="K4927">
        <v>56</v>
      </c>
      <c r="L4927">
        <v>24</v>
      </c>
      <c r="M4927">
        <v>2.33</v>
      </c>
      <c r="N4927" s="2">
        <v>3.1</v>
      </c>
      <c r="O4927">
        <v>0</v>
      </c>
      <c r="P4927">
        <v>6</v>
      </c>
      <c r="Q4927" s="4" t="str">
        <f t="shared" si="666"/>
        <v>2018/2019-Genap</v>
      </c>
      <c r="R4927" s="8" t="s">
        <v>260</v>
      </c>
      <c r="S4927" t="str">
        <f t="shared" si="663"/>
        <v>FA</v>
      </c>
    </row>
    <row r="4928" spans="1:19" x14ac:dyDescent="0.3">
      <c r="A4928" t="s">
        <v>8</v>
      </c>
      <c r="B4928">
        <v>2016210052</v>
      </c>
      <c r="C4928" t="s">
        <v>340</v>
      </c>
      <c r="E4928" t="s">
        <v>232</v>
      </c>
      <c r="F4928" t="s">
        <v>233</v>
      </c>
      <c r="G4928">
        <v>2</v>
      </c>
      <c r="H4928" t="s">
        <v>539</v>
      </c>
      <c r="I4928" s="4">
        <f t="shared" si="664"/>
        <v>0</v>
      </c>
      <c r="J4928">
        <f t="shared" si="665"/>
        <v>0</v>
      </c>
      <c r="K4928">
        <v>56</v>
      </c>
      <c r="L4928">
        <v>24</v>
      </c>
      <c r="M4928">
        <v>2.33</v>
      </c>
      <c r="N4928" s="2">
        <v>3.1</v>
      </c>
      <c r="O4928">
        <v>0</v>
      </c>
      <c r="P4928">
        <v>6</v>
      </c>
      <c r="Q4928" s="4" t="str">
        <f t="shared" si="666"/>
        <v>2018/2019-Genap</v>
      </c>
      <c r="R4928" s="8" t="s">
        <v>260</v>
      </c>
      <c r="S4928" t="str">
        <f t="shared" si="663"/>
        <v>FA</v>
      </c>
    </row>
    <row r="4929" spans="1:19" x14ac:dyDescent="0.3">
      <c r="A4929" t="s">
        <v>8</v>
      </c>
      <c r="B4929">
        <v>2016210052</v>
      </c>
      <c r="C4929" t="s">
        <v>340</v>
      </c>
      <c r="E4929" t="s">
        <v>44</v>
      </c>
      <c r="F4929" t="s">
        <v>45</v>
      </c>
      <c r="G4929">
        <v>2</v>
      </c>
      <c r="H4929" t="s">
        <v>438</v>
      </c>
      <c r="I4929" s="4">
        <f t="shared" si="664"/>
        <v>3</v>
      </c>
      <c r="J4929">
        <f t="shared" si="665"/>
        <v>6</v>
      </c>
      <c r="K4929">
        <v>42</v>
      </c>
      <c r="L4929">
        <v>12</v>
      </c>
      <c r="M4929" s="2">
        <v>3.5</v>
      </c>
      <c r="N4929" s="2">
        <v>3.1</v>
      </c>
      <c r="O4929">
        <v>1</v>
      </c>
      <c r="P4929">
        <v>6</v>
      </c>
      <c r="Q4929" s="4" t="s">
        <v>572</v>
      </c>
      <c r="R4929" s="8" t="s">
        <v>260</v>
      </c>
      <c r="S4929" t="str">
        <f t="shared" si="663"/>
        <v>PA</v>
      </c>
    </row>
    <row r="4930" spans="1:19" x14ac:dyDescent="0.3">
      <c r="A4930" t="s">
        <v>8</v>
      </c>
      <c r="B4930">
        <v>2016210052</v>
      </c>
      <c r="C4930" t="s">
        <v>340</v>
      </c>
      <c r="E4930" t="s">
        <v>182</v>
      </c>
      <c r="F4930" t="s">
        <v>171</v>
      </c>
      <c r="G4930">
        <v>2</v>
      </c>
      <c r="H4930" t="s">
        <v>260</v>
      </c>
      <c r="I4930" s="4">
        <f t="shared" si="664"/>
        <v>4</v>
      </c>
      <c r="J4930">
        <f t="shared" si="665"/>
        <v>8</v>
      </c>
      <c r="K4930">
        <v>42</v>
      </c>
      <c r="L4930">
        <v>12</v>
      </c>
      <c r="M4930" s="2">
        <v>3.5</v>
      </c>
      <c r="N4930" s="2">
        <v>3.1</v>
      </c>
      <c r="O4930">
        <v>1</v>
      </c>
      <c r="P4930">
        <v>6</v>
      </c>
      <c r="Q4930" s="4" t="s">
        <v>572</v>
      </c>
      <c r="R4930" s="8" t="s">
        <v>260</v>
      </c>
      <c r="S4930" t="str">
        <f t="shared" si="663"/>
        <v>PA</v>
      </c>
    </row>
    <row r="4931" spans="1:19" x14ac:dyDescent="0.3">
      <c r="A4931" t="s">
        <v>8</v>
      </c>
      <c r="B4931">
        <v>2016210052</v>
      </c>
      <c r="C4931" t="s">
        <v>340</v>
      </c>
      <c r="E4931" t="s">
        <v>119</v>
      </c>
      <c r="F4931" t="s">
        <v>120</v>
      </c>
      <c r="G4931">
        <v>2</v>
      </c>
      <c r="H4931" t="s">
        <v>438</v>
      </c>
      <c r="I4931" s="4">
        <f t="shared" si="664"/>
        <v>3</v>
      </c>
      <c r="J4931">
        <f t="shared" si="665"/>
        <v>6</v>
      </c>
      <c r="K4931">
        <v>42</v>
      </c>
      <c r="L4931">
        <v>12</v>
      </c>
      <c r="M4931" s="2">
        <v>3.5</v>
      </c>
      <c r="N4931" s="2">
        <v>3.1</v>
      </c>
      <c r="O4931">
        <v>1</v>
      </c>
      <c r="P4931">
        <v>6</v>
      </c>
      <c r="Q4931" s="4" t="s">
        <v>572</v>
      </c>
      <c r="R4931" s="8" t="s">
        <v>260</v>
      </c>
      <c r="S4931" t="str">
        <f t="shared" si="663"/>
        <v>PA</v>
      </c>
    </row>
    <row r="4932" spans="1:19" x14ac:dyDescent="0.3">
      <c r="A4932" t="s">
        <v>8</v>
      </c>
      <c r="B4932">
        <v>2016210052</v>
      </c>
      <c r="C4932" t="s">
        <v>340</v>
      </c>
      <c r="E4932" t="s">
        <v>80</v>
      </c>
      <c r="F4932" t="s">
        <v>81</v>
      </c>
      <c r="G4932">
        <v>4</v>
      </c>
      <c r="H4932" t="s">
        <v>260</v>
      </c>
      <c r="I4932" s="4">
        <f t="shared" si="664"/>
        <v>4</v>
      </c>
      <c r="J4932">
        <f t="shared" si="665"/>
        <v>16</v>
      </c>
      <c r="K4932">
        <v>42</v>
      </c>
      <c r="L4932">
        <v>12</v>
      </c>
      <c r="M4932" s="2">
        <v>3.5</v>
      </c>
      <c r="N4932" s="2">
        <v>3.1</v>
      </c>
      <c r="O4932">
        <v>1</v>
      </c>
      <c r="P4932">
        <v>6</v>
      </c>
      <c r="Q4932" s="4" t="s">
        <v>572</v>
      </c>
      <c r="R4932" s="8" t="s">
        <v>260</v>
      </c>
      <c r="S4932" t="str">
        <f t="shared" si="663"/>
        <v>PA</v>
      </c>
    </row>
    <row r="4933" spans="1:19" x14ac:dyDescent="0.3">
      <c r="A4933" t="s">
        <v>8</v>
      </c>
      <c r="B4933">
        <v>2016210052</v>
      </c>
      <c r="C4933" t="s">
        <v>340</v>
      </c>
      <c r="E4933" t="s">
        <v>232</v>
      </c>
      <c r="F4933" t="s">
        <v>233</v>
      </c>
      <c r="G4933">
        <v>2</v>
      </c>
      <c r="H4933" t="s">
        <v>438</v>
      </c>
      <c r="I4933" s="4">
        <f t="shared" si="664"/>
        <v>3</v>
      </c>
      <c r="J4933">
        <f t="shared" si="665"/>
        <v>6</v>
      </c>
      <c r="K4933">
        <v>42</v>
      </c>
      <c r="L4933">
        <v>12</v>
      </c>
      <c r="M4933" s="2">
        <v>3.5</v>
      </c>
      <c r="N4933" s="2">
        <v>3.1</v>
      </c>
      <c r="O4933">
        <v>1</v>
      </c>
      <c r="P4933">
        <v>6</v>
      </c>
      <c r="Q4933" s="4" t="s">
        <v>572</v>
      </c>
      <c r="R4933" s="8" t="s">
        <v>260</v>
      </c>
      <c r="S4933" t="str">
        <f t="shared" si="663"/>
        <v>PA</v>
      </c>
    </row>
    <row r="4934" spans="1:19" x14ac:dyDescent="0.3">
      <c r="A4934" t="s">
        <v>8</v>
      </c>
      <c r="B4934">
        <v>2016210053</v>
      </c>
      <c r="C4934" t="s">
        <v>130</v>
      </c>
      <c r="E4934" t="s">
        <v>131</v>
      </c>
      <c r="F4934" t="s">
        <v>132</v>
      </c>
      <c r="G4934">
        <v>2</v>
      </c>
      <c r="I4934" s="4"/>
      <c r="J4934">
        <f t="shared" ref="J4934:J4939" si="667">G4934*I4934</f>
        <v>0</v>
      </c>
      <c r="K4934">
        <v>0</v>
      </c>
      <c r="L4934">
        <v>6</v>
      </c>
      <c r="M4934" s="2">
        <v>0</v>
      </c>
      <c r="N4934" s="2">
        <v>0</v>
      </c>
      <c r="O4934">
        <v>0</v>
      </c>
      <c r="P4934">
        <v>1</v>
      </c>
      <c r="Q4934" s="4" t="str">
        <f>IF(P4934=1,"2016/2017-Ganjil",IF(P4934=2,"2016/2017-Genap",IF(P4934=3,"2017/2018-Ganjil",IF(P4934=4,"2017/2018-Genap",IF(P4934=5,"2018/2019-Ganjil",IF(P4934=6,"2018/2019-Genap",IF(P4934=7,"2019/2020-Ganjil",IF(P4934=8,"2019/2020-Genap",IF(P4934=9,"2020/2021-Ganjil",IF(P4934=10,"2020/2021-Genap",IF(P4934=11,"2021/2022-Ganjil",IF(P4934=12,"2021/2022-Genap",IF(P4934=13,"2022/2023-Ganjil","2022/2023-Genap")))))))))))))</f>
        <v>2016/2017-Ganjil</v>
      </c>
      <c r="R4934" s="8" t="s">
        <v>535</v>
      </c>
      <c r="S4934" t="s">
        <v>595</v>
      </c>
    </row>
    <row r="4935" spans="1:19" x14ac:dyDescent="0.3">
      <c r="A4935" t="s">
        <v>8</v>
      </c>
      <c r="B4935">
        <v>2016210053</v>
      </c>
      <c r="C4935" t="s">
        <v>130</v>
      </c>
      <c r="E4935" t="s">
        <v>110</v>
      </c>
      <c r="F4935" t="s">
        <v>111</v>
      </c>
      <c r="G4935">
        <v>4</v>
      </c>
      <c r="I4935" s="4"/>
      <c r="J4935">
        <f t="shared" si="667"/>
        <v>0</v>
      </c>
      <c r="K4935">
        <v>0</v>
      </c>
      <c r="L4935">
        <v>6</v>
      </c>
      <c r="M4935" s="2">
        <v>0</v>
      </c>
      <c r="N4935" s="2">
        <v>0</v>
      </c>
      <c r="O4935">
        <v>0</v>
      </c>
      <c r="P4935">
        <v>1</v>
      </c>
      <c r="Q4935" s="4" t="str">
        <f t="shared" ref="Q4935:Q4940" si="668">IF(P4935=1,"2016/2017-Ganjil",IF(P4935=2,"2016/2017-Genap",IF(P4935=3,"2017/2018-Ganjil",IF(P4935=4,"2017/2018-Genap",IF(P4935=5,"2018/2019-Ganjil",IF(P4935=6,"2018/2019-Genap",IF(P4935=7,"2019/2020-Ganjil",IF(P4935=8,"2019/2020-Genap",IF(P4935=9,"2020/2021-Ganjil",IF(P4935=10,"2020/2021-Genap",IF(P4935=11,"2021/2022-Ganjil",IF(P4935=12,"2021/2022-Genap",IF(P4935=13,"2022/2023-Ganjil","2022/2023-Genap")))))))))))))</f>
        <v>2016/2017-Ganjil</v>
      </c>
      <c r="R4935" s="8" t="s">
        <v>535</v>
      </c>
      <c r="S4935" t="s">
        <v>595</v>
      </c>
    </row>
    <row r="4936" spans="1:19" x14ac:dyDescent="0.3">
      <c r="A4936" t="s">
        <v>8</v>
      </c>
      <c r="B4936">
        <v>2016210053</v>
      </c>
      <c r="C4936" t="s">
        <v>130</v>
      </c>
      <c r="E4936" t="s">
        <v>163</v>
      </c>
      <c r="F4936" t="s">
        <v>164</v>
      </c>
      <c r="G4936">
        <v>2</v>
      </c>
      <c r="I4936" s="4"/>
      <c r="J4936">
        <f t="shared" si="667"/>
        <v>0</v>
      </c>
      <c r="K4936">
        <v>0</v>
      </c>
      <c r="L4936">
        <v>6</v>
      </c>
      <c r="M4936" s="2">
        <v>0</v>
      </c>
      <c r="N4936" s="2">
        <v>0</v>
      </c>
      <c r="O4936">
        <v>0</v>
      </c>
      <c r="P4936">
        <v>1</v>
      </c>
      <c r="Q4936" s="4" t="str">
        <f t="shared" si="668"/>
        <v>2016/2017-Ganjil</v>
      </c>
      <c r="R4936" s="8" t="s">
        <v>535</v>
      </c>
      <c r="S4936" t="s">
        <v>595</v>
      </c>
    </row>
    <row r="4937" spans="1:19" x14ac:dyDescent="0.3">
      <c r="A4937" t="s">
        <v>8</v>
      </c>
      <c r="B4937">
        <v>2016210053</v>
      </c>
      <c r="C4937" t="s">
        <v>130</v>
      </c>
      <c r="E4937" t="s">
        <v>77</v>
      </c>
      <c r="F4937" t="s">
        <v>78</v>
      </c>
      <c r="G4937">
        <v>2</v>
      </c>
      <c r="I4937" s="4"/>
      <c r="J4937">
        <f t="shared" si="667"/>
        <v>0</v>
      </c>
      <c r="K4937">
        <v>0</v>
      </c>
      <c r="L4937">
        <v>6</v>
      </c>
      <c r="M4937" s="2">
        <v>0</v>
      </c>
      <c r="N4937" s="2">
        <v>0</v>
      </c>
      <c r="O4937">
        <v>0</v>
      </c>
      <c r="P4937">
        <v>1</v>
      </c>
      <c r="Q4937" s="4" t="str">
        <f t="shared" si="668"/>
        <v>2016/2017-Ganjil</v>
      </c>
      <c r="R4937" s="8" t="s">
        <v>535</v>
      </c>
      <c r="S4937" t="s">
        <v>595</v>
      </c>
    </row>
    <row r="4938" spans="1:19" x14ac:dyDescent="0.3">
      <c r="A4938" t="s">
        <v>8</v>
      </c>
      <c r="B4938">
        <v>2016210053</v>
      </c>
      <c r="C4938" t="s">
        <v>130</v>
      </c>
      <c r="E4938" t="s">
        <v>147</v>
      </c>
      <c r="F4938" t="s">
        <v>148</v>
      </c>
      <c r="G4938">
        <v>4</v>
      </c>
      <c r="I4938" s="4"/>
      <c r="J4938">
        <f t="shared" si="667"/>
        <v>0</v>
      </c>
      <c r="K4938">
        <v>0</v>
      </c>
      <c r="L4938">
        <v>6</v>
      </c>
      <c r="M4938" s="2">
        <v>0</v>
      </c>
      <c r="N4938" s="2">
        <v>0</v>
      </c>
      <c r="O4938">
        <v>0</v>
      </c>
      <c r="P4938">
        <v>1</v>
      </c>
      <c r="Q4938" s="4" t="str">
        <f t="shared" si="668"/>
        <v>2016/2017-Ganjil</v>
      </c>
      <c r="R4938" s="8" t="s">
        <v>535</v>
      </c>
      <c r="S4938" t="s">
        <v>595</v>
      </c>
    </row>
    <row r="4939" spans="1:19" x14ac:dyDescent="0.3">
      <c r="A4939" t="s">
        <v>8</v>
      </c>
      <c r="B4939">
        <v>2016210053</v>
      </c>
      <c r="C4939" t="s">
        <v>130</v>
      </c>
      <c r="E4939" t="s">
        <v>202</v>
      </c>
      <c r="F4939" t="s">
        <v>203</v>
      </c>
      <c r="G4939">
        <v>4</v>
      </c>
      <c r="H4939" t="s">
        <v>539</v>
      </c>
      <c r="I4939" s="4">
        <f t="shared" ref="I4939" si="669">IF(H4939="A",4,IF(H4939="B",3,IF(H4939="C",2,IF(H4939="D",1,0))))</f>
        <v>0</v>
      </c>
      <c r="J4939">
        <f t="shared" si="667"/>
        <v>0</v>
      </c>
      <c r="K4939">
        <v>0</v>
      </c>
      <c r="L4939">
        <v>6</v>
      </c>
      <c r="M4939" s="2">
        <v>0</v>
      </c>
      <c r="N4939" s="2">
        <v>0</v>
      </c>
      <c r="O4939">
        <v>0</v>
      </c>
      <c r="P4939">
        <v>1</v>
      </c>
      <c r="Q4939" s="4" t="str">
        <f t="shared" si="668"/>
        <v>2016/2017-Ganjil</v>
      </c>
      <c r="R4939" s="8" t="s">
        <v>535</v>
      </c>
      <c r="S4939" t="str">
        <f t="shared" ref="S4939:S4994" si="670">IF(OR(H4939="A",H4939="B",H4939="C"),"PA","FA")</f>
        <v>FA</v>
      </c>
    </row>
    <row r="4940" spans="1:19" x14ac:dyDescent="0.3">
      <c r="A4940" t="s">
        <v>8</v>
      </c>
      <c r="B4940">
        <v>2016210053</v>
      </c>
      <c r="C4940" t="s">
        <v>130</v>
      </c>
      <c r="E4940" t="s">
        <v>395</v>
      </c>
      <c r="F4940" t="s">
        <v>396</v>
      </c>
      <c r="G4940">
        <v>2</v>
      </c>
      <c r="H4940" t="s">
        <v>539</v>
      </c>
      <c r="I4940" s="4">
        <f t="shared" ref="I4940:I4994" si="671">IF(H4940="A",4,IF(H4940="B",3,IF(H4940="C",2,IF(H4940="D",1,0))))</f>
        <v>0</v>
      </c>
      <c r="J4940">
        <f t="shared" ref="J4940:J4994" si="672">G4940*I4940</f>
        <v>0</v>
      </c>
      <c r="K4940">
        <v>0</v>
      </c>
      <c r="L4940">
        <v>6</v>
      </c>
      <c r="M4940" s="2">
        <v>0</v>
      </c>
      <c r="N4940" s="2">
        <v>0</v>
      </c>
      <c r="O4940">
        <v>0</v>
      </c>
      <c r="P4940">
        <v>1</v>
      </c>
      <c r="Q4940" s="4" t="str">
        <f t="shared" si="668"/>
        <v>2016/2017-Ganjil</v>
      </c>
      <c r="R4940" s="8" t="s">
        <v>535</v>
      </c>
      <c r="S4940" t="str">
        <f t="shared" si="670"/>
        <v>FA</v>
      </c>
    </row>
    <row r="4941" spans="1:19" x14ac:dyDescent="0.3">
      <c r="A4941" t="s">
        <v>8</v>
      </c>
      <c r="B4941">
        <v>2016210054</v>
      </c>
      <c r="C4941" t="s">
        <v>331</v>
      </c>
      <c r="E4941" t="s">
        <v>246</v>
      </c>
      <c r="F4941" t="s">
        <v>247</v>
      </c>
      <c r="G4941">
        <v>4</v>
      </c>
      <c r="H4941" t="s">
        <v>260</v>
      </c>
      <c r="I4941" s="4">
        <f t="shared" si="671"/>
        <v>4</v>
      </c>
      <c r="J4941">
        <f t="shared" si="672"/>
        <v>16</v>
      </c>
      <c r="K4941">
        <v>72</v>
      </c>
      <c r="L4941">
        <v>22</v>
      </c>
      <c r="M4941">
        <v>3.27</v>
      </c>
      <c r="N4941">
        <v>3.37</v>
      </c>
      <c r="O4941">
        <v>0</v>
      </c>
      <c r="P4941">
        <v>4</v>
      </c>
      <c r="Q4941" s="4" t="str">
        <f t="shared" ref="Q4941:Q4972" si="673">IF(P4941=1,"2016/2017-Ganjil",IF(P4941=2,"2016/2017-Genap",IF(P4941=3,"2017/2018-Ganjil",IF(P4941=4,"2017/2018-Genap",IF(P4941=5,"2018/2019-Ganjil",IF(P4941=6,"2018/2019-Genap",IF(P4941=7,"2019/2020-Ganjil",IF(P4941=8,"2019/2020-Genap",IF(P4941=9,"2020/2021-Ganjil",IF(P4941=10,"2020/2021-Genap",IF(P4941=11,"2021/2022-Ganjil",IF(P4941=12,"2021/2022-Genap",IF(P4941=13,"2022/2023-Ganjil","2022/2023-Genap")))))))))))))</f>
        <v>2017/2018-Genap</v>
      </c>
      <c r="R4941" s="8" t="s">
        <v>260</v>
      </c>
      <c r="S4941" t="str">
        <f t="shared" si="670"/>
        <v>PA</v>
      </c>
    </row>
    <row r="4942" spans="1:19" x14ac:dyDescent="0.3">
      <c r="A4942" t="s">
        <v>8</v>
      </c>
      <c r="B4942">
        <v>2016210054</v>
      </c>
      <c r="C4942" t="s">
        <v>331</v>
      </c>
      <c r="E4942" t="s">
        <v>180</v>
      </c>
      <c r="F4942" t="s">
        <v>181</v>
      </c>
      <c r="G4942">
        <v>4</v>
      </c>
      <c r="H4942" t="s">
        <v>260</v>
      </c>
      <c r="I4942" s="4">
        <f t="shared" si="671"/>
        <v>4</v>
      </c>
      <c r="J4942">
        <f t="shared" si="672"/>
        <v>16</v>
      </c>
      <c r="K4942">
        <v>72</v>
      </c>
      <c r="L4942">
        <v>22</v>
      </c>
      <c r="M4942">
        <v>3.27</v>
      </c>
      <c r="N4942">
        <v>3.37</v>
      </c>
      <c r="O4942">
        <v>0</v>
      </c>
      <c r="P4942">
        <v>4</v>
      </c>
      <c r="Q4942" s="4" t="str">
        <f t="shared" si="673"/>
        <v>2017/2018-Genap</v>
      </c>
      <c r="R4942" s="8" t="s">
        <v>260</v>
      </c>
      <c r="S4942" t="str">
        <f t="shared" si="670"/>
        <v>PA</v>
      </c>
    </row>
    <row r="4943" spans="1:19" x14ac:dyDescent="0.3">
      <c r="A4943" t="s">
        <v>8</v>
      </c>
      <c r="B4943">
        <v>2016210054</v>
      </c>
      <c r="C4943" t="s">
        <v>331</v>
      </c>
      <c r="E4943" t="s">
        <v>110</v>
      </c>
      <c r="F4943" t="s">
        <v>111</v>
      </c>
      <c r="G4943">
        <v>4</v>
      </c>
      <c r="H4943" t="s">
        <v>260</v>
      </c>
      <c r="I4943" s="4">
        <f t="shared" si="671"/>
        <v>4</v>
      </c>
      <c r="J4943">
        <f t="shared" si="672"/>
        <v>16</v>
      </c>
      <c r="K4943">
        <v>56</v>
      </c>
      <c r="L4943">
        <v>16</v>
      </c>
      <c r="M4943" s="2">
        <v>3.5</v>
      </c>
      <c r="N4943">
        <v>3.37</v>
      </c>
      <c r="O4943">
        <v>0</v>
      </c>
      <c r="P4943">
        <v>7</v>
      </c>
      <c r="Q4943" s="4" t="str">
        <f t="shared" si="673"/>
        <v>2019/2020-Ganjil</v>
      </c>
      <c r="R4943" s="8" t="s">
        <v>260</v>
      </c>
      <c r="S4943" t="str">
        <f t="shared" si="670"/>
        <v>PA</v>
      </c>
    </row>
    <row r="4944" spans="1:19" x14ac:dyDescent="0.3">
      <c r="A4944" t="s">
        <v>8</v>
      </c>
      <c r="B4944">
        <v>2016210054</v>
      </c>
      <c r="C4944" t="s">
        <v>331</v>
      </c>
      <c r="E4944" t="s">
        <v>147</v>
      </c>
      <c r="F4944" t="s">
        <v>148</v>
      </c>
      <c r="G4944">
        <v>4</v>
      </c>
      <c r="H4944" t="s">
        <v>260</v>
      </c>
      <c r="I4944" s="4">
        <f t="shared" si="671"/>
        <v>4</v>
      </c>
      <c r="J4944">
        <f t="shared" si="672"/>
        <v>16</v>
      </c>
      <c r="K4944">
        <v>70</v>
      </c>
      <c r="L4944">
        <v>20</v>
      </c>
      <c r="M4944" s="2">
        <v>3.5</v>
      </c>
      <c r="N4944">
        <v>3.37</v>
      </c>
      <c r="O4944">
        <v>0</v>
      </c>
      <c r="P4944">
        <v>5</v>
      </c>
      <c r="Q4944" s="4" t="str">
        <f t="shared" si="673"/>
        <v>2018/2019-Ganjil</v>
      </c>
      <c r="R4944" s="8" t="s">
        <v>260</v>
      </c>
      <c r="S4944" t="str">
        <f t="shared" si="670"/>
        <v>PA</v>
      </c>
    </row>
    <row r="4945" spans="1:19" x14ac:dyDescent="0.3">
      <c r="A4945" t="s">
        <v>8</v>
      </c>
      <c r="B4945">
        <v>2016210054</v>
      </c>
      <c r="C4945" t="s">
        <v>331</v>
      </c>
      <c r="E4945" t="s">
        <v>112</v>
      </c>
      <c r="F4945" t="s">
        <v>113</v>
      </c>
      <c r="G4945">
        <v>4</v>
      </c>
      <c r="H4945" t="s">
        <v>260</v>
      </c>
      <c r="I4945" s="4">
        <f t="shared" si="671"/>
        <v>4</v>
      </c>
      <c r="J4945">
        <f t="shared" si="672"/>
        <v>16</v>
      </c>
      <c r="K4945">
        <v>76</v>
      </c>
      <c r="L4945">
        <v>22</v>
      </c>
      <c r="M4945">
        <v>3.45</v>
      </c>
      <c r="N4945">
        <v>3.37</v>
      </c>
      <c r="O4945">
        <v>0</v>
      </c>
      <c r="P4945">
        <v>3</v>
      </c>
      <c r="Q4945" s="4" t="str">
        <f t="shared" si="673"/>
        <v>2017/2018-Ganjil</v>
      </c>
      <c r="R4945" s="8" t="s">
        <v>260</v>
      </c>
      <c r="S4945" t="str">
        <f t="shared" si="670"/>
        <v>PA</v>
      </c>
    </row>
    <row r="4946" spans="1:19" x14ac:dyDescent="0.3">
      <c r="A4946" t="s">
        <v>8</v>
      </c>
      <c r="B4946">
        <v>2016210054</v>
      </c>
      <c r="C4946" t="s">
        <v>331</v>
      </c>
      <c r="E4946" t="s">
        <v>295</v>
      </c>
      <c r="F4946" t="s">
        <v>296</v>
      </c>
      <c r="G4946">
        <v>2</v>
      </c>
      <c r="H4946" t="s">
        <v>260</v>
      </c>
      <c r="I4946" s="4">
        <f t="shared" si="671"/>
        <v>4</v>
      </c>
      <c r="J4946">
        <f t="shared" si="672"/>
        <v>8</v>
      </c>
      <c r="K4946">
        <v>56</v>
      </c>
      <c r="L4946">
        <v>16</v>
      </c>
      <c r="M4946" s="2">
        <v>3.5</v>
      </c>
      <c r="N4946">
        <v>3.37</v>
      </c>
      <c r="O4946">
        <v>0</v>
      </c>
      <c r="P4946">
        <v>7</v>
      </c>
      <c r="Q4946" s="4" t="str">
        <f t="shared" si="673"/>
        <v>2019/2020-Ganjil</v>
      </c>
      <c r="R4946" s="8" t="s">
        <v>260</v>
      </c>
      <c r="S4946" t="str">
        <f t="shared" si="670"/>
        <v>PA</v>
      </c>
    </row>
    <row r="4947" spans="1:19" x14ac:dyDescent="0.3">
      <c r="A4947" t="s">
        <v>8</v>
      </c>
      <c r="B4947">
        <v>2016210054</v>
      </c>
      <c r="C4947" t="s">
        <v>331</v>
      </c>
      <c r="E4947" t="s">
        <v>395</v>
      </c>
      <c r="F4947" t="s">
        <v>396</v>
      </c>
      <c r="G4947">
        <v>2</v>
      </c>
      <c r="H4947" t="s">
        <v>260</v>
      </c>
      <c r="I4947" s="4">
        <f t="shared" si="671"/>
        <v>4</v>
      </c>
      <c r="J4947">
        <f t="shared" si="672"/>
        <v>8</v>
      </c>
      <c r="K4947">
        <v>62</v>
      </c>
      <c r="L4947">
        <v>18</v>
      </c>
      <c r="M4947">
        <v>3.44</v>
      </c>
      <c r="N4947">
        <v>3.37</v>
      </c>
      <c r="O4947">
        <v>0</v>
      </c>
      <c r="P4947">
        <v>1</v>
      </c>
      <c r="Q4947" s="4" t="str">
        <f t="shared" si="673"/>
        <v>2016/2017-Ganjil</v>
      </c>
      <c r="R4947" s="8" t="s">
        <v>260</v>
      </c>
      <c r="S4947" t="str">
        <f t="shared" si="670"/>
        <v>PA</v>
      </c>
    </row>
    <row r="4948" spans="1:19" x14ac:dyDescent="0.3">
      <c r="A4948" t="s">
        <v>8</v>
      </c>
      <c r="B4948">
        <v>2016210054</v>
      </c>
      <c r="C4948" t="s">
        <v>331</v>
      </c>
      <c r="E4948" t="s">
        <v>163</v>
      </c>
      <c r="F4948" t="s">
        <v>164</v>
      </c>
      <c r="G4948">
        <v>2</v>
      </c>
      <c r="H4948" t="s">
        <v>260</v>
      </c>
      <c r="I4948" s="4">
        <f t="shared" si="671"/>
        <v>4</v>
      </c>
      <c r="J4948">
        <f t="shared" si="672"/>
        <v>8</v>
      </c>
      <c r="K4948">
        <v>62</v>
      </c>
      <c r="L4948">
        <v>18</v>
      </c>
      <c r="M4948">
        <v>3.44</v>
      </c>
      <c r="N4948">
        <v>3.37</v>
      </c>
      <c r="O4948">
        <v>0</v>
      </c>
      <c r="P4948">
        <v>1</v>
      </c>
      <c r="Q4948" s="4" t="str">
        <f t="shared" si="673"/>
        <v>2016/2017-Ganjil</v>
      </c>
      <c r="R4948" s="8" t="s">
        <v>260</v>
      </c>
      <c r="S4948" t="str">
        <f t="shared" si="670"/>
        <v>PA</v>
      </c>
    </row>
    <row r="4949" spans="1:19" x14ac:dyDescent="0.3">
      <c r="A4949" t="s">
        <v>8</v>
      </c>
      <c r="B4949">
        <v>2016210054</v>
      </c>
      <c r="C4949" t="s">
        <v>331</v>
      </c>
      <c r="E4949" t="s">
        <v>362</v>
      </c>
      <c r="F4949" t="s">
        <v>363</v>
      </c>
      <c r="G4949">
        <v>2</v>
      </c>
      <c r="H4949" t="s">
        <v>260</v>
      </c>
      <c r="I4949" s="4">
        <f t="shared" si="671"/>
        <v>4</v>
      </c>
      <c r="J4949">
        <f t="shared" si="672"/>
        <v>8</v>
      </c>
      <c r="K4949">
        <v>70</v>
      </c>
      <c r="L4949">
        <v>20</v>
      </c>
      <c r="M4949" s="2">
        <v>3.5</v>
      </c>
      <c r="N4949">
        <v>3.37</v>
      </c>
      <c r="O4949">
        <v>0</v>
      </c>
      <c r="P4949">
        <v>5</v>
      </c>
      <c r="Q4949" s="4" t="str">
        <f t="shared" si="673"/>
        <v>2018/2019-Ganjil</v>
      </c>
      <c r="R4949" s="8" t="s">
        <v>260</v>
      </c>
      <c r="S4949" t="str">
        <f t="shared" si="670"/>
        <v>PA</v>
      </c>
    </row>
    <row r="4950" spans="1:19" x14ac:dyDescent="0.3">
      <c r="A4950" t="s">
        <v>8</v>
      </c>
      <c r="B4950">
        <v>2016210054</v>
      </c>
      <c r="C4950" t="s">
        <v>331</v>
      </c>
      <c r="E4950" t="s">
        <v>107</v>
      </c>
      <c r="F4950" t="s">
        <v>108</v>
      </c>
      <c r="G4950">
        <v>2</v>
      </c>
      <c r="H4950" t="s">
        <v>260</v>
      </c>
      <c r="I4950" s="4">
        <f t="shared" si="671"/>
        <v>4</v>
      </c>
      <c r="J4950">
        <f t="shared" si="672"/>
        <v>8</v>
      </c>
      <c r="K4950">
        <v>76</v>
      </c>
      <c r="L4950">
        <v>24</v>
      </c>
      <c r="M4950">
        <v>3.17</v>
      </c>
      <c r="N4950">
        <v>3.37</v>
      </c>
      <c r="O4950">
        <v>0</v>
      </c>
      <c r="P4950">
        <v>6</v>
      </c>
      <c r="Q4950" s="4" t="str">
        <f t="shared" si="673"/>
        <v>2018/2019-Genap</v>
      </c>
      <c r="R4950" s="8" t="s">
        <v>260</v>
      </c>
      <c r="S4950" t="str">
        <f t="shared" si="670"/>
        <v>PA</v>
      </c>
    </row>
    <row r="4951" spans="1:19" x14ac:dyDescent="0.3">
      <c r="A4951" t="s">
        <v>8</v>
      </c>
      <c r="B4951">
        <v>2016210054</v>
      </c>
      <c r="C4951" t="s">
        <v>331</v>
      </c>
      <c r="E4951" t="s">
        <v>87</v>
      </c>
      <c r="F4951" t="s">
        <v>88</v>
      </c>
      <c r="G4951">
        <v>2</v>
      </c>
      <c r="H4951" t="s">
        <v>260</v>
      </c>
      <c r="I4951" s="4">
        <f t="shared" si="671"/>
        <v>4</v>
      </c>
      <c r="J4951">
        <f t="shared" si="672"/>
        <v>8</v>
      </c>
      <c r="K4951">
        <v>76</v>
      </c>
      <c r="L4951">
        <v>24</v>
      </c>
      <c r="M4951">
        <v>3.17</v>
      </c>
      <c r="N4951">
        <v>3.37</v>
      </c>
      <c r="O4951">
        <v>0</v>
      </c>
      <c r="P4951">
        <v>6</v>
      </c>
      <c r="Q4951" s="4" t="str">
        <f t="shared" si="673"/>
        <v>2018/2019-Genap</v>
      </c>
      <c r="R4951" s="8" t="s">
        <v>260</v>
      </c>
      <c r="S4951" t="str">
        <f t="shared" si="670"/>
        <v>PA</v>
      </c>
    </row>
    <row r="4952" spans="1:19" x14ac:dyDescent="0.3">
      <c r="A4952" t="s">
        <v>8</v>
      </c>
      <c r="B4952">
        <v>2016210054</v>
      </c>
      <c r="C4952" t="s">
        <v>331</v>
      </c>
      <c r="E4952" t="s">
        <v>597</v>
      </c>
      <c r="F4952" t="s">
        <v>275</v>
      </c>
      <c r="G4952">
        <v>2</v>
      </c>
      <c r="H4952" t="s">
        <v>260</v>
      </c>
      <c r="I4952" s="4">
        <f t="shared" si="671"/>
        <v>4</v>
      </c>
      <c r="J4952">
        <f t="shared" si="672"/>
        <v>8</v>
      </c>
      <c r="K4952">
        <v>72</v>
      </c>
      <c r="L4952">
        <v>22</v>
      </c>
      <c r="M4952">
        <v>3.27</v>
      </c>
      <c r="N4952">
        <v>3.37</v>
      </c>
      <c r="O4952">
        <v>0</v>
      </c>
      <c r="P4952">
        <v>4</v>
      </c>
      <c r="Q4952" s="4" t="str">
        <f t="shared" si="673"/>
        <v>2017/2018-Genap</v>
      </c>
      <c r="R4952" s="8" t="s">
        <v>260</v>
      </c>
      <c r="S4952" t="str">
        <f t="shared" si="670"/>
        <v>PA</v>
      </c>
    </row>
    <row r="4953" spans="1:19" x14ac:dyDescent="0.3">
      <c r="A4953" t="s">
        <v>8</v>
      </c>
      <c r="B4953">
        <v>2016210054</v>
      </c>
      <c r="C4953" t="s">
        <v>331</v>
      </c>
      <c r="E4953" t="s">
        <v>22</v>
      </c>
      <c r="F4953" t="s">
        <v>23</v>
      </c>
      <c r="G4953">
        <v>2</v>
      </c>
      <c r="H4953" t="s">
        <v>260</v>
      </c>
      <c r="I4953" s="4">
        <f t="shared" si="671"/>
        <v>4</v>
      </c>
      <c r="J4953">
        <f t="shared" si="672"/>
        <v>8</v>
      </c>
      <c r="K4953">
        <v>56</v>
      </c>
      <c r="L4953">
        <v>18</v>
      </c>
      <c r="M4953">
        <v>3.11</v>
      </c>
      <c r="N4953">
        <v>3.37</v>
      </c>
      <c r="O4953">
        <v>0</v>
      </c>
      <c r="P4953">
        <v>2</v>
      </c>
      <c r="Q4953" s="4" t="str">
        <f t="shared" si="673"/>
        <v>2016/2017-Genap</v>
      </c>
      <c r="R4953" s="8" t="s">
        <v>260</v>
      </c>
      <c r="S4953" t="str">
        <f t="shared" si="670"/>
        <v>PA</v>
      </c>
    </row>
    <row r="4954" spans="1:19" x14ac:dyDescent="0.3">
      <c r="A4954" t="s">
        <v>8</v>
      </c>
      <c r="B4954">
        <v>2016210054</v>
      </c>
      <c r="C4954" t="s">
        <v>331</v>
      </c>
      <c r="E4954" t="s">
        <v>369</v>
      </c>
      <c r="F4954" t="s">
        <v>307</v>
      </c>
      <c r="G4954">
        <v>2</v>
      </c>
      <c r="H4954" t="s">
        <v>260</v>
      </c>
      <c r="I4954" s="4">
        <f t="shared" si="671"/>
        <v>4</v>
      </c>
      <c r="J4954">
        <f t="shared" si="672"/>
        <v>8</v>
      </c>
      <c r="K4954">
        <v>76</v>
      </c>
      <c r="L4954">
        <v>24</v>
      </c>
      <c r="M4954">
        <v>3.17</v>
      </c>
      <c r="N4954">
        <v>3.37</v>
      </c>
      <c r="O4954">
        <v>0</v>
      </c>
      <c r="P4954">
        <v>6</v>
      </c>
      <c r="Q4954" s="4" t="str">
        <f t="shared" si="673"/>
        <v>2018/2019-Genap</v>
      </c>
      <c r="R4954" s="8" t="s">
        <v>260</v>
      </c>
      <c r="S4954" t="str">
        <f t="shared" si="670"/>
        <v>PA</v>
      </c>
    </row>
    <row r="4955" spans="1:19" x14ac:dyDescent="0.3">
      <c r="A4955" t="s">
        <v>8</v>
      </c>
      <c r="B4955">
        <v>2016210054</v>
      </c>
      <c r="C4955" t="s">
        <v>331</v>
      </c>
      <c r="E4955" t="s">
        <v>253</v>
      </c>
      <c r="F4955" t="s">
        <v>254</v>
      </c>
      <c r="G4955">
        <v>2</v>
      </c>
      <c r="H4955" t="s">
        <v>260</v>
      </c>
      <c r="I4955" s="4">
        <f t="shared" si="671"/>
        <v>4</v>
      </c>
      <c r="J4955">
        <f t="shared" si="672"/>
        <v>8</v>
      </c>
      <c r="K4955">
        <v>72</v>
      </c>
      <c r="L4955">
        <v>22</v>
      </c>
      <c r="M4955">
        <v>3.27</v>
      </c>
      <c r="N4955">
        <v>3.37</v>
      </c>
      <c r="O4955">
        <v>0</v>
      </c>
      <c r="P4955">
        <v>4</v>
      </c>
      <c r="Q4955" s="4" t="str">
        <f t="shared" si="673"/>
        <v>2017/2018-Genap</v>
      </c>
      <c r="R4955" s="8" t="s">
        <v>260</v>
      </c>
      <c r="S4955" t="str">
        <f t="shared" si="670"/>
        <v>PA</v>
      </c>
    </row>
    <row r="4956" spans="1:19" x14ac:dyDescent="0.3">
      <c r="A4956" t="s">
        <v>8</v>
      </c>
      <c r="B4956">
        <v>2016210054</v>
      </c>
      <c r="C4956" t="s">
        <v>331</v>
      </c>
      <c r="E4956" t="s">
        <v>182</v>
      </c>
      <c r="F4956" t="s">
        <v>171</v>
      </c>
      <c r="G4956">
        <v>2</v>
      </c>
      <c r="H4956" t="s">
        <v>260</v>
      </c>
      <c r="I4956" s="4">
        <f t="shared" si="671"/>
        <v>4</v>
      </c>
      <c r="J4956">
        <f t="shared" si="672"/>
        <v>8</v>
      </c>
      <c r="K4956">
        <v>70</v>
      </c>
      <c r="L4956">
        <v>20</v>
      </c>
      <c r="M4956" s="2">
        <v>3.5</v>
      </c>
      <c r="N4956">
        <v>3.37</v>
      </c>
      <c r="O4956">
        <v>0</v>
      </c>
      <c r="P4956">
        <v>5</v>
      </c>
      <c r="Q4956" s="4" t="str">
        <f t="shared" si="673"/>
        <v>2018/2019-Ganjil</v>
      </c>
      <c r="R4956" s="8" t="s">
        <v>260</v>
      </c>
      <c r="S4956" t="str">
        <f t="shared" si="670"/>
        <v>PA</v>
      </c>
    </row>
    <row r="4957" spans="1:19" x14ac:dyDescent="0.3">
      <c r="A4957" t="s">
        <v>8</v>
      </c>
      <c r="B4957">
        <v>2016210054</v>
      </c>
      <c r="C4957" t="s">
        <v>331</v>
      </c>
      <c r="E4957" t="s">
        <v>157</v>
      </c>
      <c r="F4957" t="s">
        <v>158</v>
      </c>
      <c r="G4957">
        <v>2</v>
      </c>
      <c r="H4957" t="s">
        <v>260</v>
      </c>
      <c r="I4957" s="4">
        <f t="shared" si="671"/>
        <v>4</v>
      </c>
      <c r="J4957">
        <f t="shared" si="672"/>
        <v>8</v>
      </c>
      <c r="K4957">
        <v>76</v>
      </c>
      <c r="L4957">
        <v>22</v>
      </c>
      <c r="M4957">
        <v>3.45</v>
      </c>
      <c r="N4957">
        <v>3.37</v>
      </c>
      <c r="O4957">
        <v>0</v>
      </c>
      <c r="P4957">
        <v>3</v>
      </c>
      <c r="Q4957" s="4" t="str">
        <f t="shared" si="673"/>
        <v>2017/2018-Ganjil</v>
      </c>
      <c r="R4957" s="8" t="s">
        <v>260</v>
      </c>
      <c r="S4957" t="str">
        <f t="shared" si="670"/>
        <v>PA</v>
      </c>
    </row>
    <row r="4958" spans="1:19" x14ac:dyDescent="0.3">
      <c r="A4958" t="s">
        <v>8</v>
      </c>
      <c r="B4958">
        <v>2016210054</v>
      </c>
      <c r="C4958" t="s">
        <v>331</v>
      </c>
      <c r="E4958" t="s">
        <v>352</v>
      </c>
      <c r="F4958" t="s">
        <v>353</v>
      </c>
      <c r="G4958">
        <v>2</v>
      </c>
      <c r="H4958" t="s">
        <v>260</v>
      </c>
      <c r="I4958" s="4">
        <f t="shared" si="671"/>
        <v>4</v>
      </c>
      <c r="J4958">
        <f t="shared" si="672"/>
        <v>8</v>
      </c>
      <c r="K4958">
        <v>56</v>
      </c>
      <c r="L4958">
        <v>16</v>
      </c>
      <c r="M4958" s="2">
        <v>3.5</v>
      </c>
      <c r="N4958">
        <v>3.37</v>
      </c>
      <c r="O4958">
        <v>0</v>
      </c>
      <c r="P4958">
        <v>7</v>
      </c>
      <c r="Q4958" s="4" t="str">
        <f t="shared" si="673"/>
        <v>2019/2020-Ganjil</v>
      </c>
      <c r="R4958" s="8" t="s">
        <v>260</v>
      </c>
      <c r="S4958" t="str">
        <f t="shared" si="670"/>
        <v>PA</v>
      </c>
    </row>
    <row r="4959" spans="1:19" x14ac:dyDescent="0.3">
      <c r="A4959" t="s">
        <v>8</v>
      </c>
      <c r="B4959">
        <v>2016210054</v>
      </c>
      <c r="C4959" t="s">
        <v>331</v>
      </c>
      <c r="E4959" t="s">
        <v>77</v>
      </c>
      <c r="F4959" t="s">
        <v>78</v>
      </c>
      <c r="G4959">
        <v>2</v>
      </c>
      <c r="H4959" t="s">
        <v>260</v>
      </c>
      <c r="I4959" s="4">
        <f t="shared" si="671"/>
        <v>4</v>
      </c>
      <c r="J4959">
        <f t="shared" si="672"/>
        <v>8</v>
      </c>
      <c r="K4959">
        <v>62</v>
      </c>
      <c r="L4959">
        <v>18</v>
      </c>
      <c r="M4959">
        <v>3.44</v>
      </c>
      <c r="N4959">
        <v>3.37</v>
      </c>
      <c r="O4959">
        <v>0</v>
      </c>
      <c r="P4959">
        <v>1</v>
      </c>
      <c r="Q4959" s="4" t="str">
        <f t="shared" si="673"/>
        <v>2016/2017-Ganjil</v>
      </c>
      <c r="R4959" s="8" t="s">
        <v>260</v>
      </c>
      <c r="S4959" t="str">
        <f t="shared" si="670"/>
        <v>PA</v>
      </c>
    </row>
    <row r="4960" spans="1:19" x14ac:dyDescent="0.3">
      <c r="A4960" t="s">
        <v>8</v>
      </c>
      <c r="B4960">
        <v>2016210054</v>
      </c>
      <c r="C4960" t="s">
        <v>331</v>
      </c>
      <c r="E4960" t="s">
        <v>391</v>
      </c>
      <c r="F4960" t="s">
        <v>392</v>
      </c>
      <c r="G4960">
        <v>2</v>
      </c>
      <c r="H4960" t="s">
        <v>260</v>
      </c>
      <c r="I4960" s="4">
        <f t="shared" si="671"/>
        <v>4</v>
      </c>
      <c r="J4960">
        <f t="shared" si="672"/>
        <v>8</v>
      </c>
      <c r="K4960">
        <v>70</v>
      </c>
      <c r="L4960">
        <v>20</v>
      </c>
      <c r="M4960" s="2">
        <v>3.5</v>
      </c>
      <c r="N4960">
        <v>3.37</v>
      </c>
      <c r="O4960">
        <v>0</v>
      </c>
      <c r="P4960">
        <v>5</v>
      </c>
      <c r="Q4960" s="4" t="str">
        <f t="shared" si="673"/>
        <v>2018/2019-Ganjil</v>
      </c>
      <c r="R4960" s="8" t="s">
        <v>260</v>
      </c>
      <c r="S4960" t="str">
        <f t="shared" si="670"/>
        <v>PA</v>
      </c>
    </row>
    <row r="4961" spans="1:19" x14ac:dyDescent="0.3">
      <c r="A4961" t="s">
        <v>8</v>
      </c>
      <c r="B4961">
        <v>2016210054</v>
      </c>
      <c r="C4961" t="s">
        <v>331</v>
      </c>
      <c r="E4961" t="s">
        <v>176</v>
      </c>
      <c r="F4961" t="s">
        <v>177</v>
      </c>
      <c r="G4961">
        <v>4</v>
      </c>
      <c r="H4961" t="s">
        <v>260</v>
      </c>
      <c r="I4961" s="4">
        <f t="shared" si="671"/>
        <v>4</v>
      </c>
      <c r="J4961">
        <f t="shared" si="672"/>
        <v>16</v>
      </c>
      <c r="K4961">
        <v>76</v>
      </c>
      <c r="L4961">
        <v>22</v>
      </c>
      <c r="M4961">
        <v>3.45</v>
      </c>
      <c r="N4961">
        <v>3.37</v>
      </c>
      <c r="O4961">
        <v>0</v>
      </c>
      <c r="P4961">
        <v>3</v>
      </c>
      <c r="Q4961" s="4" t="str">
        <f t="shared" si="673"/>
        <v>2017/2018-Ganjil</v>
      </c>
      <c r="R4961" s="8" t="s">
        <v>260</v>
      </c>
      <c r="S4961" t="str">
        <f t="shared" si="670"/>
        <v>PA</v>
      </c>
    </row>
    <row r="4962" spans="1:19" x14ac:dyDescent="0.3">
      <c r="A4962" t="s">
        <v>8</v>
      </c>
      <c r="B4962">
        <v>2016210054</v>
      </c>
      <c r="C4962" t="s">
        <v>331</v>
      </c>
      <c r="E4962" t="s">
        <v>250</v>
      </c>
      <c r="F4962" t="s">
        <v>429</v>
      </c>
      <c r="G4962">
        <v>2</v>
      </c>
      <c r="H4962" t="s">
        <v>260</v>
      </c>
      <c r="I4962" s="4">
        <f t="shared" si="671"/>
        <v>4</v>
      </c>
      <c r="J4962">
        <f t="shared" si="672"/>
        <v>8</v>
      </c>
      <c r="K4962">
        <v>26</v>
      </c>
      <c r="L4962">
        <v>10</v>
      </c>
      <c r="M4962" s="2">
        <v>2.6</v>
      </c>
      <c r="N4962">
        <v>3.37</v>
      </c>
      <c r="O4962">
        <v>0</v>
      </c>
      <c r="P4962">
        <v>8</v>
      </c>
      <c r="Q4962" s="4" t="str">
        <f t="shared" si="673"/>
        <v>2019/2020-Genap</v>
      </c>
      <c r="R4962" t="s">
        <v>596</v>
      </c>
      <c r="S4962" t="str">
        <f t="shared" si="670"/>
        <v>PA</v>
      </c>
    </row>
    <row r="4963" spans="1:19" x14ac:dyDescent="0.3">
      <c r="A4963" t="s">
        <v>8</v>
      </c>
      <c r="B4963">
        <v>2016210054</v>
      </c>
      <c r="C4963" t="s">
        <v>331</v>
      </c>
      <c r="E4963" t="s">
        <v>93</v>
      </c>
      <c r="F4963" t="s">
        <v>94</v>
      </c>
      <c r="G4963">
        <v>4</v>
      </c>
      <c r="H4963" t="s">
        <v>260</v>
      </c>
      <c r="I4963" s="4">
        <f t="shared" si="671"/>
        <v>4</v>
      </c>
      <c r="J4963">
        <f t="shared" si="672"/>
        <v>16</v>
      </c>
      <c r="K4963">
        <v>62</v>
      </c>
      <c r="L4963">
        <v>18</v>
      </c>
      <c r="M4963">
        <v>3.44</v>
      </c>
      <c r="N4963">
        <v>3.37</v>
      </c>
      <c r="O4963">
        <v>0</v>
      </c>
      <c r="P4963">
        <v>1</v>
      </c>
      <c r="Q4963" s="4" t="str">
        <f t="shared" si="673"/>
        <v>2016/2017-Ganjil</v>
      </c>
      <c r="R4963" s="8" t="s">
        <v>260</v>
      </c>
      <c r="S4963" t="str">
        <f t="shared" si="670"/>
        <v>PA</v>
      </c>
    </row>
    <row r="4964" spans="1:19" x14ac:dyDescent="0.3">
      <c r="A4964" t="s">
        <v>8</v>
      </c>
      <c r="B4964">
        <v>2016210054</v>
      </c>
      <c r="C4964" t="s">
        <v>331</v>
      </c>
      <c r="E4964" t="s">
        <v>119</v>
      </c>
      <c r="F4964" t="s">
        <v>120</v>
      </c>
      <c r="G4964">
        <v>2</v>
      </c>
      <c r="H4964" t="s">
        <v>260</v>
      </c>
      <c r="I4964" s="4">
        <f t="shared" si="671"/>
        <v>4</v>
      </c>
      <c r="J4964">
        <f t="shared" si="672"/>
        <v>8</v>
      </c>
      <c r="K4964">
        <v>76</v>
      </c>
      <c r="L4964">
        <v>24</v>
      </c>
      <c r="M4964">
        <v>3.17</v>
      </c>
      <c r="N4964">
        <v>3.37</v>
      </c>
      <c r="O4964">
        <v>0</v>
      </c>
      <c r="P4964">
        <v>6</v>
      </c>
      <c r="Q4964" s="4" t="str">
        <f t="shared" si="673"/>
        <v>2018/2019-Genap</v>
      </c>
      <c r="R4964" s="8" t="s">
        <v>260</v>
      </c>
      <c r="S4964" t="str">
        <f t="shared" si="670"/>
        <v>PA</v>
      </c>
    </row>
    <row r="4965" spans="1:19" x14ac:dyDescent="0.3">
      <c r="A4965" t="s">
        <v>8</v>
      </c>
      <c r="B4965">
        <v>2016210054</v>
      </c>
      <c r="C4965" t="s">
        <v>331</v>
      </c>
      <c r="E4965" t="s">
        <v>238</v>
      </c>
      <c r="F4965" t="s">
        <v>239</v>
      </c>
      <c r="G4965">
        <v>4</v>
      </c>
      <c r="H4965" t="s">
        <v>438</v>
      </c>
      <c r="I4965" s="4">
        <f t="shared" si="671"/>
        <v>3</v>
      </c>
      <c r="J4965">
        <f t="shared" si="672"/>
        <v>12</v>
      </c>
      <c r="K4965">
        <v>72</v>
      </c>
      <c r="L4965">
        <v>22</v>
      </c>
      <c r="M4965">
        <v>3.27</v>
      </c>
      <c r="N4965">
        <v>3.37</v>
      </c>
      <c r="O4965">
        <v>0</v>
      </c>
      <c r="P4965">
        <v>4</v>
      </c>
      <c r="Q4965" s="4" t="str">
        <f t="shared" si="673"/>
        <v>2017/2018-Genap</v>
      </c>
      <c r="R4965" s="8" t="s">
        <v>260</v>
      </c>
      <c r="S4965" t="str">
        <f t="shared" si="670"/>
        <v>PA</v>
      </c>
    </row>
    <row r="4966" spans="1:19" x14ac:dyDescent="0.3">
      <c r="A4966" t="s">
        <v>8</v>
      </c>
      <c r="B4966">
        <v>2016210054</v>
      </c>
      <c r="C4966" t="s">
        <v>331</v>
      </c>
      <c r="E4966" t="s">
        <v>125</v>
      </c>
      <c r="F4966" t="s">
        <v>126</v>
      </c>
      <c r="G4966">
        <v>4</v>
      </c>
      <c r="H4966" t="s">
        <v>438</v>
      </c>
      <c r="I4966" s="4">
        <f t="shared" si="671"/>
        <v>3</v>
      </c>
      <c r="J4966">
        <f t="shared" si="672"/>
        <v>12</v>
      </c>
      <c r="K4966">
        <v>56</v>
      </c>
      <c r="L4966">
        <v>18</v>
      </c>
      <c r="M4966">
        <v>3.11</v>
      </c>
      <c r="N4966">
        <v>3.37</v>
      </c>
      <c r="O4966">
        <v>0</v>
      </c>
      <c r="P4966">
        <v>2</v>
      </c>
      <c r="Q4966" s="4" t="str">
        <f t="shared" si="673"/>
        <v>2016/2017-Genap</v>
      </c>
      <c r="R4966" s="8" t="s">
        <v>260</v>
      </c>
      <c r="S4966" t="str">
        <f t="shared" si="670"/>
        <v>PA</v>
      </c>
    </row>
    <row r="4967" spans="1:19" x14ac:dyDescent="0.3">
      <c r="A4967" t="s">
        <v>8</v>
      </c>
      <c r="B4967">
        <v>2016210054</v>
      </c>
      <c r="C4967" t="s">
        <v>331</v>
      </c>
      <c r="E4967" t="s">
        <v>136</v>
      </c>
      <c r="F4967" t="s">
        <v>137</v>
      </c>
      <c r="G4967">
        <v>4</v>
      </c>
      <c r="H4967" t="s">
        <v>438</v>
      </c>
      <c r="I4967" s="4">
        <f t="shared" si="671"/>
        <v>3</v>
      </c>
      <c r="J4967">
        <f t="shared" si="672"/>
        <v>12</v>
      </c>
      <c r="K4967">
        <v>76</v>
      </c>
      <c r="L4967">
        <v>24</v>
      </c>
      <c r="M4967">
        <v>3.17</v>
      </c>
      <c r="N4967">
        <v>3.37</v>
      </c>
      <c r="O4967">
        <v>0</v>
      </c>
      <c r="P4967">
        <v>6</v>
      </c>
      <c r="Q4967" s="4" t="str">
        <f t="shared" si="673"/>
        <v>2018/2019-Genap</v>
      </c>
      <c r="R4967" s="8" t="s">
        <v>260</v>
      </c>
      <c r="S4967" t="str">
        <f t="shared" si="670"/>
        <v>PA</v>
      </c>
    </row>
    <row r="4968" spans="1:19" x14ac:dyDescent="0.3">
      <c r="A4968" t="s">
        <v>8</v>
      </c>
      <c r="B4968">
        <v>2016210054</v>
      </c>
      <c r="C4968" t="s">
        <v>331</v>
      </c>
      <c r="E4968" t="s">
        <v>232</v>
      </c>
      <c r="F4968" t="s">
        <v>245</v>
      </c>
      <c r="G4968">
        <v>2</v>
      </c>
      <c r="H4968" t="s">
        <v>438</v>
      </c>
      <c r="I4968" s="4">
        <f t="shared" si="671"/>
        <v>3</v>
      </c>
      <c r="J4968">
        <f t="shared" si="672"/>
        <v>6</v>
      </c>
      <c r="K4968">
        <v>56</v>
      </c>
      <c r="L4968">
        <v>18</v>
      </c>
      <c r="M4968">
        <v>3.11</v>
      </c>
      <c r="N4968">
        <v>3.37</v>
      </c>
      <c r="O4968">
        <v>0</v>
      </c>
      <c r="P4968">
        <v>2</v>
      </c>
      <c r="Q4968" s="4" t="str">
        <f t="shared" si="673"/>
        <v>2016/2017-Genap</v>
      </c>
      <c r="R4968" s="8" t="s">
        <v>260</v>
      </c>
      <c r="S4968" t="str">
        <f t="shared" si="670"/>
        <v>PA</v>
      </c>
    </row>
    <row r="4969" spans="1:19" x14ac:dyDescent="0.3">
      <c r="A4969" t="s">
        <v>8</v>
      </c>
      <c r="B4969">
        <v>2016210054</v>
      </c>
      <c r="C4969" t="s">
        <v>331</v>
      </c>
      <c r="E4969" t="s">
        <v>355</v>
      </c>
      <c r="F4969" t="s">
        <v>274</v>
      </c>
      <c r="G4969">
        <v>2</v>
      </c>
      <c r="H4969" t="s">
        <v>438</v>
      </c>
      <c r="I4969" s="4">
        <f t="shared" si="671"/>
        <v>3</v>
      </c>
      <c r="J4969">
        <f t="shared" si="672"/>
        <v>6</v>
      </c>
      <c r="K4969">
        <v>76</v>
      </c>
      <c r="L4969">
        <v>24</v>
      </c>
      <c r="M4969">
        <v>3.17</v>
      </c>
      <c r="N4969">
        <v>3.37</v>
      </c>
      <c r="O4969">
        <v>0</v>
      </c>
      <c r="P4969">
        <v>6</v>
      </c>
      <c r="Q4969" s="4" t="str">
        <f t="shared" si="673"/>
        <v>2018/2019-Genap</v>
      </c>
      <c r="R4969" s="8" t="s">
        <v>260</v>
      </c>
      <c r="S4969" t="str">
        <f t="shared" si="670"/>
        <v>PA</v>
      </c>
    </row>
    <row r="4970" spans="1:19" x14ac:dyDescent="0.3">
      <c r="A4970" t="s">
        <v>8</v>
      </c>
      <c r="B4970">
        <v>2016210054</v>
      </c>
      <c r="C4970" t="s">
        <v>331</v>
      </c>
      <c r="E4970" t="s">
        <v>279</v>
      </c>
      <c r="F4970" t="s">
        <v>280</v>
      </c>
      <c r="G4970">
        <v>2</v>
      </c>
      <c r="H4970" t="s">
        <v>438</v>
      </c>
      <c r="I4970" s="4">
        <f t="shared" si="671"/>
        <v>3</v>
      </c>
      <c r="J4970">
        <f t="shared" si="672"/>
        <v>6</v>
      </c>
      <c r="K4970">
        <v>56</v>
      </c>
      <c r="L4970">
        <v>18</v>
      </c>
      <c r="M4970">
        <v>3.11</v>
      </c>
      <c r="N4970">
        <v>3.37</v>
      </c>
      <c r="O4970">
        <v>0</v>
      </c>
      <c r="P4970">
        <v>2</v>
      </c>
      <c r="Q4970" s="4" t="str">
        <f t="shared" si="673"/>
        <v>2016/2017-Genap</v>
      </c>
      <c r="R4970" s="8" t="s">
        <v>260</v>
      </c>
      <c r="S4970" t="str">
        <f t="shared" si="670"/>
        <v>PA</v>
      </c>
    </row>
    <row r="4971" spans="1:19" x14ac:dyDescent="0.3">
      <c r="A4971" t="s">
        <v>8</v>
      </c>
      <c r="B4971">
        <v>2016210054</v>
      </c>
      <c r="C4971" t="s">
        <v>331</v>
      </c>
      <c r="E4971" t="s">
        <v>193</v>
      </c>
      <c r="F4971" t="s">
        <v>194</v>
      </c>
      <c r="G4971">
        <v>4</v>
      </c>
      <c r="H4971" t="s">
        <v>438</v>
      </c>
      <c r="I4971" s="4">
        <f t="shared" si="671"/>
        <v>3</v>
      </c>
      <c r="J4971">
        <f t="shared" si="672"/>
        <v>12</v>
      </c>
      <c r="K4971">
        <v>56</v>
      </c>
      <c r="L4971">
        <v>16</v>
      </c>
      <c r="M4971" s="2">
        <v>3.5</v>
      </c>
      <c r="N4971">
        <v>3.37</v>
      </c>
      <c r="O4971">
        <v>0</v>
      </c>
      <c r="P4971">
        <v>7</v>
      </c>
      <c r="Q4971" s="4" t="str">
        <f t="shared" si="673"/>
        <v>2019/2020-Ganjil</v>
      </c>
      <c r="R4971" s="8" t="s">
        <v>260</v>
      </c>
      <c r="S4971" t="str">
        <f t="shared" si="670"/>
        <v>PA</v>
      </c>
    </row>
    <row r="4972" spans="1:19" x14ac:dyDescent="0.3">
      <c r="A4972" t="s">
        <v>8</v>
      </c>
      <c r="B4972">
        <v>2016210054</v>
      </c>
      <c r="C4972" t="s">
        <v>331</v>
      </c>
      <c r="E4972" t="s">
        <v>185</v>
      </c>
      <c r="F4972" t="s">
        <v>186</v>
      </c>
      <c r="G4972">
        <v>4</v>
      </c>
      <c r="H4972" t="s">
        <v>438</v>
      </c>
      <c r="I4972" s="4">
        <f t="shared" si="671"/>
        <v>3</v>
      </c>
      <c r="J4972">
        <f t="shared" si="672"/>
        <v>12</v>
      </c>
      <c r="K4972">
        <v>70</v>
      </c>
      <c r="L4972">
        <v>20</v>
      </c>
      <c r="M4972" s="2">
        <v>3.5</v>
      </c>
      <c r="N4972">
        <v>3.37</v>
      </c>
      <c r="O4972">
        <v>0</v>
      </c>
      <c r="P4972">
        <v>5</v>
      </c>
      <c r="Q4972" s="4" t="str">
        <f t="shared" si="673"/>
        <v>2018/2019-Ganjil</v>
      </c>
      <c r="R4972" s="8" t="s">
        <v>260</v>
      </c>
      <c r="S4972" t="str">
        <f t="shared" si="670"/>
        <v>PA</v>
      </c>
    </row>
    <row r="4973" spans="1:19" x14ac:dyDescent="0.3">
      <c r="A4973" t="s">
        <v>8</v>
      </c>
      <c r="B4973">
        <v>2016210054</v>
      </c>
      <c r="C4973" t="s">
        <v>331</v>
      </c>
      <c r="E4973" t="s">
        <v>401</v>
      </c>
      <c r="F4973" t="s">
        <v>258</v>
      </c>
      <c r="G4973">
        <v>4</v>
      </c>
      <c r="H4973" t="s">
        <v>438</v>
      </c>
      <c r="I4973" s="4">
        <f t="shared" si="671"/>
        <v>3</v>
      </c>
      <c r="J4973">
        <f t="shared" si="672"/>
        <v>12</v>
      </c>
      <c r="K4973">
        <v>76</v>
      </c>
      <c r="L4973">
        <v>22</v>
      </c>
      <c r="M4973">
        <v>3.45</v>
      </c>
      <c r="N4973">
        <v>3.37</v>
      </c>
      <c r="O4973">
        <v>0</v>
      </c>
      <c r="P4973">
        <v>3</v>
      </c>
      <c r="Q4973" s="4" t="str">
        <f t="shared" ref="Q4973:Q4995" si="674">IF(P4973=1,"2016/2017-Ganjil",IF(P4973=2,"2016/2017-Genap",IF(P4973=3,"2017/2018-Ganjil",IF(P4973=4,"2017/2018-Genap",IF(P4973=5,"2018/2019-Ganjil",IF(P4973=6,"2018/2019-Genap",IF(P4973=7,"2019/2020-Ganjil",IF(P4973=8,"2019/2020-Genap",IF(P4973=9,"2020/2021-Ganjil",IF(P4973=10,"2020/2021-Genap",IF(P4973=11,"2021/2022-Ganjil",IF(P4973=12,"2021/2022-Genap",IF(P4973=13,"2022/2023-Ganjil","2022/2023-Genap")))))))))))))</f>
        <v>2017/2018-Ganjil</v>
      </c>
      <c r="R4973" s="8" t="s">
        <v>260</v>
      </c>
      <c r="S4973" t="str">
        <f t="shared" si="670"/>
        <v>PA</v>
      </c>
    </row>
    <row r="4974" spans="1:19" x14ac:dyDescent="0.3">
      <c r="A4974" t="s">
        <v>8</v>
      </c>
      <c r="B4974">
        <v>2016210054</v>
      </c>
      <c r="C4974" t="s">
        <v>331</v>
      </c>
      <c r="E4974" t="s">
        <v>407</v>
      </c>
      <c r="F4974" t="s">
        <v>312</v>
      </c>
      <c r="G4974">
        <v>2</v>
      </c>
      <c r="H4974" t="s">
        <v>438</v>
      </c>
      <c r="I4974" s="4">
        <f t="shared" si="671"/>
        <v>3</v>
      </c>
      <c r="J4974">
        <f t="shared" si="672"/>
        <v>6</v>
      </c>
      <c r="K4974">
        <v>70</v>
      </c>
      <c r="L4974">
        <v>20</v>
      </c>
      <c r="M4974" s="2">
        <v>3.5</v>
      </c>
      <c r="N4974">
        <v>3.37</v>
      </c>
      <c r="O4974">
        <v>0</v>
      </c>
      <c r="P4974">
        <v>5</v>
      </c>
      <c r="Q4974" s="4" t="str">
        <f t="shared" si="674"/>
        <v>2018/2019-Ganjil</v>
      </c>
      <c r="R4974" s="8" t="s">
        <v>260</v>
      </c>
      <c r="S4974" t="str">
        <f t="shared" si="670"/>
        <v>PA</v>
      </c>
    </row>
    <row r="4975" spans="1:19" x14ac:dyDescent="0.3">
      <c r="A4975" t="s">
        <v>8</v>
      </c>
      <c r="B4975">
        <v>2016210054</v>
      </c>
      <c r="C4975" t="s">
        <v>331</v>
      </c>
      <c r="E4975" t="s">
        <v>131</v>
      </c>
      <c r="F4975" t="s">
        <v>132</v>
      </c>
      <c r="G4975">
        <v>2</v>
      </c>
      <c r="H4975" t="s">
        <v>438</v>
      </c>
      <c r="I4975" s="4">
        <f t="shared" si="671"/>
        <v>3</v>
      </c>
      <c r="J4975">
        <f t="shared" si="672"/>
        <v>6</v>
      </c>
      <c r="K4975">
        <v>76</v>
      </c>
      <c r="L4975">
        <v>22</v>
      </c>
      <c r="M4975">
        <v>3.45</v>
      </c>
      <c r="N4975">
        <v>3.37</v>
      </c>
      <c r="O4975">
        <v>0</v>
      </c>
      <c r="P4975">
        <v>3</v>
      </c>
      <c r="Q4975" s="4" t="str">
        <f t="shared" si="674"/>
        <v>2017/2018-Ganjil</v>
      </c>
      <c r="R4975" s="8" t="s">
        <v>260</v>
      </c>
      <c r="S4975" t="str">
        <f t="shared" si="670"/>
        <v>PA</v>
      </c>
    </row>
    <row r="4976" spans="1:19" x14ac:dyDescent="0.3">
      <c r="A4976" t="s">
        <v>8</v>
      </c>
      <c r="B4976">
        <v>2016210054</v>
      </c>
      <c r="C4976" t="s">
        <v>331</v>
      </c>
      <c r="E4976" t="s">
        <v>105</v>
      </c>
      <c r="F4976" t="s">
        <v>106</v>
      </c>
      <c r="G4976">
        <v>2</v>
      </c>
      <c r="H4976" t="s">
        <v>438</v>
      </c>
      <c r="I4976" s="4">
        <f t="shared" si="671"/>
        <v>3</v>
      </c>
      <c r="J4976">
        <f t="shared" si="672"/>
        <v>6</v>
      </c>
      <c r="K4976">
        <v>76</v>
      </c>
      <c r="L4976">
        <v>22</v>
      </c>
      <c r="M4976">
        <v>3.45</v>
      </c>
      <c r="N4976">
        <v>3.37</v>
      </c>
      <c r="O4976">
        <v>0</v>
      </c>
      <c r="P4976">
        <v>3</v>
      </c>
      <c r="Q4976" s="4" t="str">
        <f t="shared" si="674"/>
        <v>2017/2018-Ganjil</v>
      </c>
      <c r="R4976" s="8" t="s">
        <v>260</v>
      </c>
      <c r="S4976" t="str">
        <f t="shared" si="670"/>
        <v>PA</v>
      </c>
    </row>
    <row r="4977" spans="1:19" x14ac:dyDescent="0.3">
      <c r="A4977" t="s">
        <v>8</v>
      </c>
      <c r="B4977">
        <v>2016210054</v>
      </c>
      <c r="C4977" t="s">
        <v>331</v>
      </c>
      <c r="E4977" t="s">
        <v>242</v>
      </c>
      <c r="F4977" t="s">
        <v>166</v>
      </c>
      <c r="G4977">
        <v>2</v>
      </c>
      <c r="H4977" t="s">
        <v>438</v>
      </c>
      <c r="I4977" s="4">
        <f t="shared" si="671"/>
        <v>3</v>
      </c>
      <c r="J4977">
        <f t="shared" si="672"/>
        <v>6</v>
      </c>
      <c r="K4977">
        <v>72</v>
      </c>
      <c r="L4977">
        <v>22</v>
      </c>
      <c r="M4977">
        <v>3.27</v>
      </c>
      <c r="N4977">
        <v>3.37</v>
      </c>
      <c r="O4977">
        <v>0</v>
      </c>
      <c r="P4977">
        <v>4</v>
      </c>
      <c r="Q4977" s="4" t="str">
        <f t="shared" si="674"/>
        <v>2017/2018-Genap</v>
      </c>
      <c r="R4977" s="8" t="s">
        <v>260</v>
      </c>
      <c r="S4977" t="str">
        <f t="shared" si="670"/>
        <v>PA</v>
      </c>
    </row>
    <row r="4978" spans="1:19" x14ac:dyDescent="0.3">
      <c r="A4978" t="s">
        <v>8</v>
      </c>
      <c r="B4978">
        <v>2016210054</v>
      </c>
      <c r="C4978" t="s">
        <v>331</v>
      </c>
      <c r="E4978" t="s">
        <v>115</v>
      </c>
      <c r="F4978" t="s">
        <v>116</v>
      </c>
      <c r="G4978">
        <v>4</v>
      </c>
      <c r="H4978" t="s">
        <v>438</v>
      </c>
      <c r="I4978" s="4">
        <f t="shared" si="671"/>
        <v>3</v>
      </c>
      <c r="J4978">
        <f t="shared" si="672"/>
        <v>12</v>
      </c>
      <c r="K4978">
        <v>56</v>
      </c>
      <c r="L4978">
        <v>18</v>
      </c>
      <c r="M4978">
        <v>3.11</v>
      </c>
      <c r="N4978">
        <v>3.37</v>
      </c>
      <c r="O4978">
        <v>0</v>
      </c>
      <c r="P4978">
        <v>2</v>
      </c>
      <c r="Q4978" s="4" t="str">
        <f t="shared" si="674"/>
        <v>2016/2017-Genap</v>
      </c>
      <c r="R4978" s="8" t="s">
        <v>260</v>
      </c>
      <c r="S4978" t="str">
        <f t="shared" si="670"/>
        <v>PA</v>
      </c>
    </row>
    <row r="4979" spans="1:19" x14ac:dyDescent="0.3">
      <c r="A4979" t="s">
        <v>8</v>
      </c>
      <c r="B4979">
        <v>2016210054</v>
      </c>
      <c r="C4979" t="s">
        <v>331</v>
      </c>
      <c r="E4979" t="s">
        <v>216</v>
      </c>
      <c r="F4979" t="s">
        <v>217</v>
      </c>
      <c r="G4979">
        <v>2</v>
      </c>
      <c r="H4979" t="s">
        <v>438</v>
      </c>
      <c r="I4979" s="4">
        <f t="shared" si="671"/>
        <v>3</v>
      </c>
      <c r="J4979">
        <f t="shared" si="672"/>
        <v>6</v>
      </c>
      <c r="K4979">
        <v>72</v>
      </c>
      <c r="L4979">
        <v>22</v>
      </c>
      <c r="M4979">
        <v>3.27</v>
      </c>
      <c r="N4979">
        <v>3.37</v>
      </c>
      <c r="O4979">
        <v>0</v>
      </c>
      <c r="P4979">
        <v>4</v>
      </c>
      <c r="Q4979" s="4" t="str">
        <f t="shared" si="674"/>
        <v>2017/2018-Genap</v>
      </c>
      <c r="R4979" s="8" t="s">
        <v>260</v>
      </c>
      <c r="S4979" t="str">
        <f t="shared" si="670"/>
        <v>PA</v>
      </c>
    </row>
    <row r="4980" spans="1:19" x14ac:dyDescent="0.3">
      <c r="A4980" t="s">
        <v>8</v>
      </c>
      <c r="B4980">
        <v>2016210054</v>
      </c>
      <c r="C4980" t="s">
        <v>331</v>
      </c>
      <c r="E4980" t="s">
        <v>266</v>
      </c>
      <c r="F4980" t="s">
        <v>91</v>
      </c>
      <c r="G4980">
        <v>2</v>
      </c>
      <c r="H4980" t="s">
        <v>438</v>
      </c>
      <c r="I4980" s="4">
        <f t="shared" si="671"/>
        <v>3</v>
      </c>
      <c r="J4980">
        <f t="shared" si="672"/>
        <v>6</v>
      </c>
      <c r="K4980">
        <v>56</v>
      </c>
      <c r="L4980">
        <v>18</v>
      </c>
      <c r="M4980">
        <v>3.11</v>
      </c>
      <c r="N4980">
        <v>3.37</v>
      </c>
      <c r="O4980">
        <v>0</v>
      </c>
      <c r="P4980">
        <v>2</v>
      </c>
      <c r="Q4980" s="4" t="str">
        <f t="shared" si="674"/>
        <v>2016/2017-Genap</v>
      </c>
      <c r="R4980" s="8" t="s">
        <v>260</v>
      </c>
      <c r="S4980" t="str">
        <f t="shared" si="670"/>
        <v>PA</v>
      </c>
    </row>
    <row r="4981" spans="1:19" x14ac:dyDescent="0.3">
      <c r="A4981" t="s">
        <v>8</v>
      </c>
      <c r="B4981">
        <v>2016210054</v>
      </c>
      <c r="C4981" t="s">
        <v>331</v>
      </c>
      <c r="E4981" t="s">
        <v>449</v>
      </c>
      <c r="F4981" t="s">
        <v>460</v>
      </c>
      <c r="G4981">
        <v>4</v>
      </c>
      <c r="H4981" t="s">
        <v>438</v>
      </c>
      <c r="I4981" s="4">
        <f t="shared" si="671"/>
        <v>3</v>
      </c>
      <c r="J4981">
        <f t="shared" si="672"/>
        <v>12</v>
      </c>
      <c r="K4981">
        <v>76</v>
      </c>
      <c r="L4981">
        <v>24</v>
      </c>
      <c r="M4981">
        <v>3.17</v>
      </c>
      <c r="N4981">
        <v>3.37</v>
      </c>
      <c r="O4981">
        <v>0</v>
      </c>
      <c r="P4981">
        <v>6</v>
      </c>
      <c r="Q4981" s="4" t="str">
        <f t="shared" si="674"/>
        <v>2018/2019-Genap</v>
      </c>
      <c r="R4981" s="8" t="s">
        <v>260</v>
      </c>
      <c r="S4981" t="str">
        <f t="shared" si="670"/>
        <v>PA</v>
      </c>
    </row>
    <row r="4982" spans="1:19" x14ac:dyDescent="0.3">
      <c r="A4982" t="s">
        <v>8</v>
      </c>
      <c r="B4982">
        <v>2016210054</v>
      </c>
      <c r="C4982" t="s">
        <v>331</v>
      </c>
      <c r="E4982" t="s">
        <v>117</v>
      </c>
      <c r="F4982" t="s">
        <v>118</v>
      </c>
      <c r="G4982">
        <v>2</v>
      </c>
      <c r="H4982" t="s">
        <v>438</v>
      </c>
      <c r="I4982" s="4">
        <f t="shared" si="671"/>
        <v>3</v>
      </c>
      <c r="J4982">
        <f t="shared" si="672"/>
        <v>6</v>
      </c>
      <c r="K4982">
        <v>56</v>
      </c>
      <c r="L4982">
        <v>18</v>
      </c>
      <c r="M4982">
        <v>3.11</v>
      </c>
      <c r="N4982">
        <v>3.37</v>
      </c>
      <c r="O4982">
        <v>0</v>
      </c>
      <c r="P4982">
        <v>2</v>
      </c>
      <c r="Q4982" s="4" t="str">
        <f t="shared" si="674"/>
        <v>2016/2017-Genap</v>
      </c>
      <c r="R4982" s="8" t="s">
        <v>260</v>
      </c>
      <c r="S4982" t="str">
        <f t="shared" si="670"/>
        <v>PA</v>
      </c>
    </row>
    <row r="4983" spans="1:19" x14ac:dyDescent="0.3">
      <c r="A4983" t="s">
        <v>8</v>
      </c>
      <c r="B4983">
        <v>2016210054</v>
      </c>
      <c r="C4983" t="s">
        <v>331</v>
      </c>
      <c r="E4983" t="s">
        <v>10</v>
      </c>
      <c r="F4983" t="s">
        <v>11</v>
      </c>
      <c r="G4983">
        <v>2</v>
      </c>
      <c r="H4983" t="s">
        <v>438</v>
      </c>
      <c r="I4983" s="4">
        <f t="shared" si="671"/>
        <v>3</v>
      </c>
      <c r="J4983">
        <f t="shared" si="672"/>
        <v>6</v>
      </c>
      <c r="K4983">
        <v>56</v>
      </c>
      <c r="L4983">
        <v>16</v>
      </c>
      <c r="M4983" s="2">
        <v>3.5</v>
      </c>
      <c r="N4983">
        <v>3.37</v>
      </c>
      <c r="O4983">
        <v>0</v>
      </c>
      <c r="P4983">
        <v>7</v>
      </c>
      <c r="Q4983" s="4" t="str">
        <f t="shared" si="674"/>
        <v>2019/2020-Ganjil</v>
      </c>
      <c r="R4983" s="8" t="s">
        <v>260</v>
      </c>
      <c r="S4983" t="str">
        <f t="shared" si="670"/>
        <v>PA</v>
      </c>
    </row>
    <row r="4984" spans="1:19" x14ac:dyDescent="0.3">
      <c r="A4984" t="s">
        <v>8</v>
      </c>
      <c r="B4984">
        <v>2016210054</v>
      </c>
      <c r="C4984" t="s">
        <v>331</v>
      </c>
      <c r="E4984" t="s">
        <v>188</v>
      </c>
      <c r="F4984" t="s">
        <v>189</v>
      </c>
      <c r="G4984">
        <v>4</v>
      </c>
      <c r="H4984" t="s">
        <v>438</v>
      </c>
      <c r="I4984" s="4">
        <f t="shared" si="671"/>
        <v>3</v>
      </c>
      <c r="J4984">
        <f t="shared" si="672"/>
        <v>12</v>
      </c>
      <c r="K4984">
        <v>70</v>
      </c>
      <c r="L4984">
        <v>20</v>
      </c>
      <c r="M4984" s="2">
        <v>3.5</v>
      </c>
      <c r="N4984">
        <v>3.37</v>
      </c>
      <c r="O4984">
        <v>0</v>
      </c>
      <c r="P4984">
        <v>5</v>
      </c>
      <c r="Q4984" s="4" t="str">
        <f t="shared" si="674"/>
        <v>2018/2019-Ganjil</v>
      </c>
      <c r="R4984" s="8" t="s">
        <v>260</v>
      </c>
      <c r="S4984" t="str">
        <f t="shared" si="670"/>
        <v>PA</v>
      </c>
    </row>
    <row r="4985" spans="1:19" x14ac:dyDescent="0.3">
      <c r="A4985" t="s">
        <v>8</v>
      </c>
      <c r="B4985">
        <v>2016210054</v>
      </c>
      <c r="C4985" t="s">
        <v>331</v>
      </c>
      <c r="E4985" t="s">
        <v>213</v>
      </c>
      <c r="F4985" t="s">
        <v>214</v>
      </c>
      <c r="G4985">
        <v>4</v>
      </c>
      <c r="H4985" t="s">
        <v>438</v>
      </c>
      <c r="I4985" s="4">
        <f t="shared" si="671"/>
        <v>3</v>
      </c>
      <c r="J4985">
        <f t="shared" si="672"/>
        <v>12</v>
      </c>
      <c r="K4985">
        <v>76</v>
      </c>
      <c r="L4985">
        <v>22</v>
      </c>
      <c r="M4985">
        <v>3.45</v>
      </c>
      <c r="N4985">
        <v>3.37</v>
      </c>
      <c r="O4985">
        <v>0</v>
      </c>
      <c r="P4985">
        <v>3</v>
      </c>
      <c r="Q4985" s="4" t="str">
        <f t="shared" si="674"/>
        <v>2017/2018-Ganjil</v>
      </c>
      <c r="R4985" s="8" t="s">
        <v>260</v>
      </c>
      <c r="S4985" t="str">
        <f t="shared" si="670"/>
        <v>PA</v>
      </c>
    </row>
    <row r="4986" spans="1:19" x14ac:dyDescent="0.3">
      <c r="A4986" t="s">
        <v>8</v>
      </c>
      <c r="B4986">
        <v>2016210054</v>
      </c>
      <c r="C4986" t="s">
        <v>331</v>
      </c>
      <c r="E4986" t="s">
        <v>219</v>
      </c>
      <c r="F4986" t="s">
        <v>473</v>
      </c>
      <c r="G4986">
        <v>2</v>
      </c>
      <c r="H4986" t="s">
        <v>438</v>
      </c>
      <c r="I4986" s="4">
        <f t="shared" si="671"/>
        <v>3</v>
      </c>
      <c r="J4986">
        <f t="shared" si="672"/>
        <v>6</v>
      </c>
      <c r="K4986">
        <v>56</v>
      </c>
      <c r="L4986">
        <v>16</v>
      </c>
      <c r="M4986" s="2">
        <v>3.5</v>
      </c>
      <c r="N4986">
        <v>3.37</v>
      </c>
      <c r="O4986">
        <v>0</v>
      </c>
      <c r="P4986">
        <v>7</v>
      </c>
      <c r="Q4986" s="4" t="str">
        <f t="shared" si="674"/>
        <v>2019/2020-Ganjil</v>
      </c>
      <c r="R4986" s="8" t="s">
        <v>260</v>
      </c>
      <c r="S4986" t="str">
        <f t="shared" si="670"/>
        <v>PA</v>
      </c>
    </row>
    <row r="4987" spans="1:19" x14ac:dyDescent="0.3">
      <c r="A4987" t="s">
        <v>8</v>
      </c>
      <c r="B4987">
        <v>2016210054</v>
      </c>
      <c r="C4987" t="s">
        <v>331</v>
      </c>
      <c r="E4987" t="s">
        <v>202</v>
      </c>
      <c r="F4987" t="s">
        <v>203</v>
      </c>
      <c r="G4987">
        <v>4</v>
      </c>
      <c r="H4987" t="s">
        <v>438</v>
      </c>
      <c r="I4987" s="4">
        <f t="shared" si="671"/>
        <v>3</v>
      </c>
      <c r="J4987">
        <f t="shared" si="672"/>
        <v>12</v>
      </c>
      <c r="K4987">
        <v>62</v>
      </c>
      <c r="L4987">
        <v>18</v>
      </c>
      <c r="M4987">
        <v>3.44</v>
      </c>
      <c r="N4987">
        <v>3.37</v>
      </c>
      <c r="O4987">
        <v>0</v>
      </c>
      <c r="P4987">
        <v>1</v>
      </c>
      <c r="Q4987" s="4" t="str">
        <f t="shared" si="674"/>
        <v>2016/2017-Ganjil</v>
      </c>
      <c r="R4987" s="8" t="s">
        <v>260</v>
      </c>
      <c r="S4987" t="str">
        <f t="shared" si="670"/>
        <v>PA</v>
      </c>
    </row>
    <row r="4988" spans="1:19" x14ac:dyDescent="0.3">
      <c r="A4988" t="s">
        <v>8</v>
      </c>
      <c r="B4988">
        <v>2016210054</v>
      </c>
      <c r="C4988" t="s">
        <v>331</v>
      </c>
      <c r="E4988" t="s">
        <v>80</v>
      </c>
      <c r="F4988" t="s">
        <v>81</v>
      </c>
      <c r="G4988">
        <v>4</v>
      </c>
      <c r="H4988" t="s">
        <v>438</v>
      </c>
      <c r="I4988" s="4">
        <f t="shared" si="671"/>
        <v>3</v>
      </c>
      <c r="J4988">
        <f t="shared" si="672"/>
        <v>12</v>
      </c>
      <c r="K4988">
        <v>76</v>
      </c>
      <c r="L4988">
        <v>24</v>
      </c>
      <c r="M4988">
        <v>3.17</v>
      </c>
      <c r="N4988">
        <v>3.37</v>
      </c>
      <c r="O4988">
        <v>0</v>
      </c>
      <c r="P4988">
        <v>6</v>
      </c>
      <c r="Q4988" s="4" t="str">
        <f t="shared" si="674"/>
        <v>2018/2019-Genap</v>
      </c>
      <c r="R4988" s="8" t="s">
        <v>260</v>
      </c>
      <c r="S4988" t="str">
        <f t="shared" si="670"/>
        <v>PA</v>
      </c>
    </row>
    <row r="4989" spans="1:19" x14ac:dyDescent="0.3">
      <c r="A4989" t="s">
        <v>8</v>
      </c>
      <c r="B4989">
        <v>2016210054</v>
      </c>
      <c r="C4989" t="s">
        <v>331</v>
      </c>
      <c r="E4989" t="s">
        <v>318</v>
      </c>
      <c r="F4989" t="s">
        <v>394</v>
      </c>
      <c r="G4989">
        <v>2</v>
      </c>
      <c r="H4989" t="s">
        <v>438</v>
      </c>
      <c r="I4989" s="4">
        <f t="shared" si="671"/>
        <v>3</v>
      </c>
      <c r="J4989">
        <f t="shared" si="672"/>
        <v>6</v>
      </c>
      <c r="K4989">
        <v>62</v>
      </c>
      <c r="L4989">
        <v>18</v>
      </c>
      <c r="M4989">
        <v>3.44</v>
      </c>
      <c r="N4989">
        <v>3.37</v>
      </c>
      <c r="O4989">
        <v>0</v>
      </c>
      <c r="P4989">
        <v>1</v>
      </c>
      <c r="Q4989" s="4" t="str">
        <f t="shared" si="674"/>
        <v>2016/2017-Ganjil</v>
      </c>
      <c r="R4989" s="8" t="s">
        <v>260</v>
      </c>
      <c r="S4989" t="str">
        <f t="shared" si="670"/>
        <v>PA</v>
      </c>
    </row>
    <row r="4990" spans="1:19" x14ac:dyDescent="0.3">
      <c r="A4990" t="s">
        <v>8</v>
      </c>
      <c r="B4990">
        <v>2016210054</v>
      </c>
      <c r="C4990" t="s">
        <v>331</v>
      </c>
      <c r="E4990" t="s">
        <v>19</v>
      </c>
      <c r="F4990" t="s">
        <v>20</v>
      </c>
      <c r="G4990">
        <v>6</v>
      </c>
      <c r="H4990" t="s">
        <v>524</v>
      </c>
      <c r="I4990" s="4">
        <f t="shared" si="671"/>
        <v>2</v>
      </c>
      <c r="J4990">
        <f t="shared" si="672"/>
        <v>12</v>
      </c>
      <c r="K4990">
        <v>26</v>
      </c>
      <c r="L4990">
        <v>10</v>
      </c>
      <c r="M4990" s="2">
        <v>2.6</v>
      </c>
      <c r="N4990">
        <v>3.37</v>
      </c>
      <c r="O4990">
        <v>0</v>
      </c>
      <c r="P4990">
        <v>8</v>
      </c>
      <c r="Q4990" s="4" t="str">
        <f t="shared" si="674"/>
        <v>2019/2020-Genap</v>
      </c>
      <c r="R4990" t="s">
        <v>596</v>
      </c>
      <c r="S4990" t="str">
        <f t="shared" si="670"/>
        <v>PA</v>
      </c>
    </row>
    <row r="4991" spans="1:19" x14ac:dyDescent="0.3">
      <c r="A4991" t="s">
        <v>8</v>
      </c>
      <c r="B4991">
        <v>2016210054</v>
      </c>
      <c r="C4991" t="s">
        <v>331</v>
      </c>
      <c r="E4991" t="s">
        <v>227</v>
      </c>
      <c r="F4991" t="s">
        <v>228</v>
      </c>
      <c r="G4991">
        <v>2</v>
      </c>
      <c r="H4991" t="s">
        <v>524</v>
      </c>
      <c r="I4991" s="4">
        <f t="shared" si="671"/>
        <v>2</v>
      </c>
      <c r="J4991">
        <f t="shared" si="672"/>
        <v>4</v>
      </c>
      <c r="K4991">
        <v>62</v>
      </c>
      <c r="L4991">
        <v>18</v>
      </c>
      <c r="M4991">
        <v>3.44</v>
      </c>
      <c r="N4991">
        <v>3.37</v>
      </c>
      <c r="O4991">
        <v>0</v>
      </c>
      <c r="P4991">
        <v>1</v>
      </c>
      <c r="Q4991" s="4" t="str">
        <f t="shared" si="674"/>
        <v>2016/2017-Ganjil</v>
      </c>
      <c r="R4991" s="8" t="s">
        <v>260</v>
      </c>
      <c r="S4991" t="str">
        <f t="shared" si="670"/>
        <v>PA</v>
      </c>
    </row>
    <row r="4992" spans="1:19" x14ac:dyDescent="0.3">
      <c r="A4992" t="s">
        <v>8</v>
      </c>
      <c r="B4992">
        <v>2016210054</v>
      </c>
      <c r="C4992" t="s">
        <v>331</v>
      </c>
      <c r="E4992" t="s">
        <v>44</v>
      </c>
      <c r="F4992" t="s">
        <v>45</v>
      </c>
      <c r="G4992">
        <v>2</v>
      </c>
      <c r="H4992" t="s">
        <v>438</v>
      </c>
      <c r="I4992" s="4">
        <f t="shared" si="671"/>
        <v>3</v>
      </c>
      <c r="J4992">
        <f t="shared" si="672"/>
        <v>6</v>
      </c>
      <c r="K4992">
        <v>26</v>
      </c>
      <c r="L4992">
        <v>10</v>
      </c>
      <c r="M4992" s="2">
        <v>2.6</v>
      </c>
      <c r="N4992">
        <v>3.37</v>
      </c>
      <c r="O4992">
        <v>2</v>
      </c>
      <c r="P4992">
        <v>8</v>
      </c>
      <c r="Q4992" s="4" t="str">
        <f t="shared" si="674"/>
        <v>2019/2020-Genap</v>
      </c>
      <c r="R4992" t="s">
        <v>596</v>
      </c>
      <c r="S4992" t="str">
        <f t="shared" si="670"/>
        <v>PA</v>
      </c>
    </row>
    <row r="4993" spans="1:19" x14ac:dyDescent="0.3">
      <c r="A4993" t="s">
        <v>8</v>
      </c>
      <c r="B4993">
        <v>2016210054</v>
      </c>
      <c r="C4993" t="s">
        <v>331</v>
      </c>
      <c r="E4993" t="s">
        <v>44</v>
      </c>
      <c r="F4993" t="s">
        <v>45</v>
      </c>
      <c r="G4993">
        <v>2</v>
      </c>
      <c r="H4993" t="s">
        <v>539</v>
      </c>
      <c r="I4993" s="4">
        <f t="shared" si="671"/>
        <v>0</v>
      </c>
      <c r="J4993">
        <f t="shared" si="672"/>
        <v>0</v>
      </c>
      <c r="K4993">
        <v>72</v>
      </c>
      <c r="L4993">
        <v>22</v>
      </c>
      <c r="M4993" s="2">
        <v>3.27</v>
      </c>
      <c r="N4993">
        <v>3.37</v>
      </c>
      <c r="O4993">
        <v>0</v>
      </c>
      <c r="P4993">
        <v>4</v>
      </c>
      <c r="Q4993" s="4" t="str">
        <f t="shared" si="674"/>
        <v>2017/2018-Genap</v>
      </c>
      <c r="R4993" s="8" t="s">
        <v>260</v>
      </c>
      <c r="S4993" t="str">
        <f t="shared" si="670"/>
        <v>FA</v>
      </c>
    </row>
    <row r="4994" spans="1:19" x14ac:dyDescent="0.3">
      <c r="A4994" t="s">
        <v>8</v>
      </c>
      <c r="B4994">
        <v>2016210054</v>
      </c>
      <c r="C4994" t="s">
        <v>331</v>
      </c>
      <c r="E4994" t="s">
        <v>44</v>
      </c>
      <c r="F4994" t="s">
        <v>45</v>
      </c>
      <c r="G4994">
        <v>2</v>
      </c>
      <c r="H4994" t="s">
        <v>535</v>
      </c>
      <c r="I4994" s="4">
        <f t="shared" si="671"/>
        <v>1</v>
      </c>
      <c r="J4994">
        <f t="shared" si="672"/>
        <v>2</v>
      </c>
      <c r="K4994">
        <v>76</v>
      </c>
      <c r="L4994">
        <v>24</v>
      </c>
      <c r="M4994" s="2">
        <v>3.17</v>
      </c>
      <c r="N4994">
        <v>3.37</v>
      </c>
      <c r="O4994">
        <v>1</v>
      </c>
      <c r="P4994">
        <v>6</v>
      </c>
      <c r="Q4994" s="4" t="str">
        <f t="shared" si="674"/>
        <v>2018/2019-Genap</v>
      </c>
      <c r="R4994" s="8" t="s">
        <v>260</v>
      </c>
      <c r="S4994" t="str">
        <f t="shared" si="670"/>
        <v>FA</v>
      </c>
    </row>
    <row r="4995" spans="1:19" x14ac:dyDescent="0.3">
      <c r="A4995" t="s">
        <v>8</v>
      </c>
      <c r="B4995">
        <v>2016210055</v>
      </c>
      <c r="C4995" t="s">
        <v>226</v>
      </c>
      <c r="E4995" t="s">
        <v>202</v>
      </c>
      <c r="F4995" t="s">
        <v>203</v>
      </c>
      <c r="G4995">
        <v>4</v>
      </c>
      <c r="I4995" s="4"/>
      <c r="J4995">
        <f t="shared" ref="J4995:J4997" si="675">G4995*I4995</f>
        <v>0</v>
      </c>
      <c r="K4995">
        <v>20</v>
      </c>
      <c r="L4995">
        <v>14</v>
      </c>
      <c r="M4995">
        <v>1.43</v>
      </c>
      <c r="N4995">
        <v>1.43</v>
      </c>
      <c r="O4995">
        <v>0</v>
      </c>
      <c r="P4995">
        <v>1</v>
      </c>
      <c r="Q4995" s="4" t="str">
        <f t="shared" si="674"/>
        <v>2016/2017-Ganjil</v>
      </c>
      <c r="R4995" s="8" t="s">
        <v>535</v>
      </c>
      <c r="S4995" t="s">
        <v>595</v>
      </c>
    </row>
    <row r="4996" spans="1:19" x14ac:dyDescent="0.3">
      <c r="A4996" t="s">
        <v>8</v>
      </c>
      <c r="B4996">
        <v>2016210055</v>
      </c>
      <c r="C4996" t="s">
        <v>226</v>
      </c>
      <c r="E4996" t="s">
        <v>163</v>
      </c>
      <c r="F4996" t="s">
        <v>164</v>
      </c>
      <c r="G4996">
        <v>2</v>
      </c>
      <c r="I4996" s="4"/>
      <c r="J4996">
        <f t="shared" si="675"/>
        <v>0</v>
      </c>
      <c r="K4996">
        <v>20</v>
      </c>
      <c r="L4996">
        <v>14</v>
      </c>
      <c r="M4996">
        <v>1.43</v>
      </c>
      <c r="N4996">
        <v>1.43</v>
      </c>
      <c r="O4996">
        <v>0</v>
      </c>
      <c r="P4996">
        <v>1</v>
      </c>
      <c r="Q4996" s="4" t="str">
        <f t="shared" ref="Q4996:Q5001" si="676">IF(P4996=1,"2016/2017-Ganjil",IF(P4996=2,"2016/2017-Genap",IF(P4996=3,"2017/2018-Ganjil",IF(P4996=4,"2017/2018-Genap",IF(P4996=5,"2018/2019-Ganjil",IF(P4996=6,"2018/2019-Genap",IF(P4996=7,"2019/2020-Ganjil",IF(P4996=8,"2019/2020-Genap",IF(P4996=9,"2020/2021-Ganjil",IF(P4996=10,"2020/2021-Genap",IF(P4996=11,"2021/2022-Ganjil",IF(P4996=12,"2021/2022-Genap",IF(P4996=13,"2022/2023-Ganjil","2022/2023-Genap")))))))))))))</f>
        <v>2016/2017-Ganjil</v>
      </c>
      <c r="R4996" s="8" t="s">
        <v>535</v>
      </c>
      <c r="S4996" t="s">
        <v>595</v>
      </c>
    </row>
    <row r="4997" spans="1:19" x14ac:dyDescent="0.3">
      <c r="A4997" t="s">
        <v>8</v>
      </c>
      <c r="B4997">
        <v>2016210055</v>
      </c>
      <c r="C4997" t="s">
        <v>226</v>
      </c>
      <c r="E4997" t="s">
        <v>147</v>
      </c>
      <c r="F4997" t="s">
        <v>148</v>
      </c>
      <c r="G4997">
        <v>4</v>
      </c>
      <c r="H4997" t="s">
        <v>438</v>
      </c>
      <c r="I4997" s="4">
        <f t="shared" ref="I4997" si="677">IF(H4997="A",4,IF(H4997="B",3,IF(H4997="C",2,IF(H4997="D",1,0))))</f>
        <v>3</v>
      </c>
      <c r="J4997">
        <f t="shared" si="675"/>
        <v>12</v>
      </c>
      <c r="K4997">
        <v>20</v>
      </c>
      <c r="L4997">
        <v>14</v>
      </c>
      <c r="M4997">
        <v>1.43</v>
      </c>
      <c r="N4997">
        <v>1.43</v>
      </c>
      <c r="O4997">
        <v>0</v>
      </c>
      <c r="P4997">
        <v>1</v>
      </c>
      <c r="Q4997" s="4" t="str">
        <f t="shared" si="676"/>
        <v>2016/2017-Ganjil</v>
      </c>
      <c r="R4997" s="8" t="s">
        <v>535</v>
      </c>
      <c r="S4997" t="str">
        <f t="shared" ref="S4997:S5057" si="678">IF(OR(H4997="A",H4997="B",H4997="C"),"PA","FA")</f>
        <v>PA</v>
      </c>
    </row>
    <row r="4998" spans="1:19" x14ac:dyDescent="0.3">
      <c r="A4998" t="s">
        <v>8</v>
      </c>
      <c r="B4998">
        <v>2016210055</v>
      </c>
      <c r="C4998" t="s">
        <v>226</v>
      </c>
      <c r="E4998" t="s">
        <v>110</v>
      </c>
      <c r="F4998" t="s">
        <v>111</v>
      </c>
      <c r="G4998">
        <v>4</v>
      </c>
      <c r="H4998" t="s">
        <v>524</v>
      </c>
      <c r="I4998" s="4">
        <f t="shared" ref="I4998:I5057" si="679">IF(H4998="A",4,IF(H4998="B",3,IF(H4998="C",2,IF(H4998="D",1,0))))</f>
        <v>2</v>
      </c>
      <c r="J4998">
        <f t="shared" ref="J4998:J5057" si="680">G4998*I4998</f>
        <v>8</v>
      </c>
      <c r="K4998">
        <v>20</v>
      </c>
      <c r="L4998">
        <v>14</v>
      </c>
      <c r="M4998">
        <v>1.43</v>
      </c>
      <c r="N4998">
        <v>1.43</v>
      </c>
      <c r="O4998">
        <v>0</v>
      </c>
      <c r="P4998">
        <v>1</v>
      </c>
      <c r="Q4998" s="4" t="str">
        <f t="shared" si="676"/>
        <v>2016/2017-Ganjil</v>
      </c>
      <c r="R4998" s="8" t="s">
        <v>535</v>
      </c>
      <c r="S4998" t="str">
        <f t="shared" si="678"/>
        <v>PA</v>
      </c>
    </row>
    <row r="4999" spans="1:19" x14ac:dyDescent="0.3">
      <c r="A4999" t="s">
        <v>8</v>
      </c>
      <c r="B4999">
        <v>2016210055</v>
      </c>
      <c r="C4999" t="s">
        <v>226</v>
      </c>
      <c r="E4999" t="s">
        <v>395</v>
      </c>
      <c r="F4999" t="s">
        <v>396</v>
      </c>
      <c r="G4999">
        <v>2</v>
      </c>
      <c r="H4999" t="s">
        <v>539</v>
      </c>
      <c r="I4999" s="4">
        <f t="shared" si="679"/>
        <v>0</v>
      </c>
      <c r="J4999">
        <f t="shared" si="680"/>
        <v>0</v>
      </c>
      <c r="K4999">
        <v>20</v>
      </c>
      <c r="L4999">
        <v>14</v>
      </c>
      <c r="M4999">
        <v>1.43</v>
      </c>
      <c r="N4999">
        <v>1.43</v>
      </c>
      <c r="O4999">
        <v>0</v>
      </c>
      <c r="P4999">
        <v>1</v>
      </c>
      <c r="Q4999" s="4" t="str">
        <f t="shared" si="676"/>
        <v>2016/2017-Ganjil</v>
      </c>
      <c r="R4999" s="8" t="s">
        <v>535</v>
      </c>
      <c r="S4999" t="str">
        <f t="shared" si="678"/>
        <v>FA</v>
      </c>
    </row>
    <row r="5000" spans="1:19" x14ac:dyDescent="0.3">
      <c r="A5000" t="s">
        <v>8</v>
      </c>
      <c r="B5000">
        <v>2016210055</v>
      </c>
      <c r="C5000" t="s">
        <v>226</v>
      </c>
      <c r="E5000" t="s">
        <v>131</v>
      </c>
      <c r="F5000" t="s">
        <v>132</v>
      </c>
      <c r="G5000">
        <v>2</v>
      </c>
      <c r="H5000" t="s">
        <v>539</v>
      </c>
      <c r="I5000" s="4">
        <f t="shared" si="679"/>
        <v>0</v>
      </c>
      <c r="J5000">
        <f t="shared" si="680"/>
        <v>0</v>
      </c>
      <c r="K5000">
        <v>20</v>
      </c>
      <c r="L5000">
        <v>14</v>
      </c>
      <c r="M5000">
        <v>1.43</v>
      </c>
      <c r="N5000">
        <v>1.43</v>
      </c>
      <c r="O5000">
        <v>0</v>
      </c>
      <c r="P5000">
        <v>1</v>
      </c>
      <c r="Q5000" s="4" t="str">
        <f t="shared" si="676"/>
        <v>2016/2017-Ganjil</v>
      </c>
      <c r="R5000" s="8" t="s">
        <v>535</v>
      </c>
      <c r="S5000" t="str">
        <f t="shared" si="678"/>
        <v>FA</v>
      </c>
    </row>
    <row r="5001" spans="1:19" x14ac:dyDescent="0.3">
      <c r="A5001" t="s">
        <v>8</v>
      </c>
      <c r="B5001">
        <v>2016210055</v>
      </c>
      <c r="C5001" t="s">
        <v>226</v>
      </c>
      <c r="E5001" t="s">
        <v>77</v>
      </c>
      <c r="F5001" t="s">
        <v>78</v>
      </c>
      <c r="G5001">
        <v>2</v>
      </c>
      <c r="H5001" t="s">
        <v>539</v>
      </c>
      <c r="I5001" s="4">
        <f t="shared" si="679"/>
        <v>0</v>
      </c>
      <c r="J5001">
        <f t="shared" si="680"/>
        <v>0</v>
      </c>
      <c r="K5001">
        <v>20</v>
      </c>
      <c r="L5001">
        <v>14</v>
      </c>
      <c r="M5001">
        <v>1.43</v>
      </c>
      <c r="N5001">
        <v>1.43</v>
      </c>
      <c r="O5001">
        <v>0</v>
      </c>
      <c r="P5001">
        <v>1</v>
      </c>
      <c r="Q5001" s="4" t="str">
        <f t="shared" si="676"/>
        <v>2016/2017-Ganjil</v>
      </c>
      <c r="R5001" s="8" t="s">
        <v>535</v>
      </c>
      <c r="S5001" t="str">
        <f t="shared" si="678"/>
        <v>FA</v>
      </c>
    </row>
    <row r="5002" spans="1:19" x14ac:dyDescent="0.3">
      <c r="A5002" t="s">
        <v>8</v>
      </c>
      <c r="B5002">
        <v>2016210056</v>
      </c>
      <c r="C5002" t="s">
        <v>304</v>
      </c>
      <c r="E5002" t="s">
        <v>22</v>
      </c>
      <c r="F5002" t="s">
        <v>23</v>
      </c>
      <c r="G5002">
        <v>2</v>
      </c>
      <c r="H5002" t="s">
        <v>260</v>
      </c>
      <c r="I5002" s="4">
        <f t="shared" si="679"/>
        <v>4</v>
      </c>
      <c r="J5002">
        <f t="shared" si="680"/>
        <v>8</v>
      </c>
      <c r="K5002">
        <v>50</v>
      </c>
      <c r="L5002">
        <v>18</v>
      </c>
      <c r="M5002">
        <v>2.78</v>
      </c>
      <c r="N5002">
        <v>2.97</v>
      </c>
      <c r="O5002">
        <v>0</v>
      </c>
      <c r="P5002">
        <v>2</v>
      </c>
      <c r="Q5002" s="4" t="str">
        <f t="shared" ref="Q5002:Q5033" si="681">IF(P5002=1,"2016/2017-Ganjil",IF(P5002=2,"2016/2017-Genap",IF(P5002=3,"2017/2018-Ganjil",IF(P5002=4,"2017/2018-Genap",IF(P5002=5,"2018/2019-Ganjil",IF(P5002=6,"2018/2019-Genap",IF(P5002=7,"2019/2020-Ganjil",IF(P5002=8,"2019/2020-Genap",IF(P5002=9,"2020/2021-Ganjil",IF(P5002=10,"2020/2021-Genap",IF(P5002=11,"2021/2022-Ganjil",IF(P5002=12,"2021/2022-Genap",IF(P5002=13,"2022/2023-Ganjil","2022/2023-Genap")))))))))))))</f>
        <v>2016/2017-Genap</v>
      </c>
      <c r="R5002" s="8" t="s">
        <v>260</v>
      </c>
      <c r="S5002" t="str">
        <f t="shared" si="678"/>
        <v>PA</v>
      </c>
    </row>
    <row r="5003" spans="1:19" x14ac:dyDescent="0.3">
      <c r="A5003" t="s">
        <v>8</v>
      </c>
      <c r="B5003">
        <v>2016210056</v>
      </c>
      <c r="C5003" t="s">
        <v>304</v>
      </c>
      <c r="E5003" t="s">
        <v>295</v>
      </c>
      <c r="F5003" t="s">
        <v>296</v>
      </c>
      <c r="G5003">
        <v>2</v>
      </c>
      <c r="H5003" t="s">
        <v>260</v>
      </c>
      <c r="I5003" s="4">
        <f t="shared" si="679"/>
        <v>4</v>
      </c>
      <c r="J5003">
        <f t="shared" si="680"/>
        <v>8</v>
      </c>
      <c r="K5003">
        <v>52</v>
      </c>
      <c r="L5003">
        <v>20</v>
      </c>
      <c r="M5003" s="2">
        <v>2.6</v>
      </c>
      <c r="N5003">
        <v>2.97</v>
      </c>
      <c r="O5003">
        <v>0</v>
      </c>
      <c r="P5003">
        <v>3</v>
      </c>
      <c r="Q5003" s="4" t="str">
        <f t="shared" si="681"/>
        <v>2017/2018-Ganjil</v>
      </c>
      <c r="R5003" s="8" t="s">
        <v>260</v>
      </c>
      <c r="S5003" t="str">
        <f t="shared" si="678"/>
        <v>PA</v>
      </c>
    </row>
    <row r="5004" spans="1:19" x14ac:dyDescent="0.3">
      <c r="A5004" t="s">
        <v>8</v>
      </c>
      <c r="B5004">
        <v>2016210056</v>
      </c>
      <c r="C5004" t="s">
        <v>304</v>
      </c>
      <c r="E5004" t="s">
        <v>87</v>
      </c>
      <c r="F5004" t="s">
        <v>88</v>
      </c>
      <c r="G5004">
        <v>2</v>
      </c>
      <c r="H5004" t="s">
        <v>260</v>
      </c>
      <c r="I5004" s="4">
        <f t="shared" si="679"/>
        <v>4</v>
      </c>
      <c r="J5004">
        <f t="shared" si="680"/>
        <v>8</v>
      </c>
      <c r="K5004">
        <v>30</v>
      </c>
      <c r="L5004">
        <v>12</v>
      </c>
      <c r="M5004" s="2">
        <v>2.5</v>
      </c>
      <c r="N5004">
        <v>2.97</v>
      </c>
      <c r="O5004">
        <v>0</v>
      </c>
      <c r="P5004">
        <v>8</v>
      </c>
      <c r="Q5004" s="4" t="str">
        <f t="shared" si="681"/>
        <v>2019/2020-Genap</v>
      </c>
      <c r="R5004" t="s">
        <v>596</v>
      </c>
      <c r="S5004" t="str">
        <f t="shared" si="678"/>
        <v>PA</v>
      </c>
    </row>
    <row r="5005" spans="1:19" x14ac:dyDescent="0.3">
      <c r="A5005" t="s">
        <v>8</v>
      </c>
      <c r="B5005">
        <v>2016210056</v>
      </c>
      <c r="C5005" t="s">
        <v>304</v>
      </c>
      <c r="E5005" t="s">
        <v>242</v>
      </c>
      <c r="F5005" t="s">
        <v>166</v>
      </c>
      <c r="G5005">
        <v>2</v>
      </c>
      <c r="H5005" t="s">
        <v>260</v>
      </c>
      <c r="I5005" s="4">
        <f t="shared" si="679"/>
        <v>4</v>
      </c>
      <c r="J5005">
        <f t="shared" si="680"/>
        <v>8</v>
      </c>
      <c r="K5005">
        <v>64</v>
      </c>
      <c r="L5005">
        <v>20</v>
      </c>
      <c r="M5005" s="2">
        <v>3.2</v>
      </c>
      <c r="N5005">
        <v>2.97</v>
      </c>
      <c r="O5005">
        <v>0</v>
      </c>
      <c r="P5005">
        <v>4</v>
      </c>
      <c r="Q5005" s="4" t="str">
        <f t="shared" si="681"/>
        <v>2017/2018-Genap</v>
      </c>
      <c r="R5005" s="8" t="s">
        <v>260</v>
      </c>
      <c r="S5005" t="str">
        <f t="shared" si="678"/>
        <v>PA</v>
      </c>
    </row>
    <row r="5006" spans="1:19" x14ac:dyDescent="0.3">
      <c r="A5006" t="s">
        <v>8</v>
      </c>
      <c r="B5006">
        <v>2016210056</v>
      </c>
      <c r="C5006" t="s">
        <v>304</v>
      </c>
      <c r="E5006" t="s">
        <v>93</v>
      </c>
      <c r="F5006" t="s">
        <v>94</v>
      </c>
      <c r="G5006">
        <v>4</v>
      </c>
      <c r="H5006" t="s">
        <v>260</v>
      </c>
      <c r="I5006" s="4">
        <f t="shared" si="679"/>
        <v>4</v>
      </c>
      <c r="J5006">
        <f t="shared" si="680"/>
        <v>16</v>
      </c>
      <c r="K5006">
        <v>52</v>
      </c>
      <c r="L5006">
        <v>20</v>
      </c>
      <c r="M5006" s="2">
        <v>2.6</v>
      </c>
      <c r="N5006">
        <v>2.97</v>
      </c>
      <c r="O5006">
        <v>0</v>
      </c>
      <c r="P5006">
        <v>3</v>
      </c>
      <c r="Q5006" s="4" t="str">
        <f t="shared" si="681"/>
        <v>2017/2018-Ganjil</v>
      </c>
      <c r="R5006" s="8" t="s">
        <v>260</v>
      </c>
      <c r="S5006" t="str">
        <f t="shared" si="678"/>
        <v>PA</v>
      </c>
    </row>
    <row r="5007" spans="1:19" x14ac:dyDescent="0.3">
      <c r="A5007" t="s">
        <v>8</v>
      </c>
      <c r="B5007">
        <v>2016210056</v>
      </c>
      <c r="C5007" t="s">
        <v>304</v>
      </c>
      <c r="E5007" t="s">
        <v>202</v>
      </c>
      <c r="F5007" t="s">
        <v>203</v>
      </c>
      <c r="G5007">
        <v>4</v>
      </c>
      <c r="H5007" t="s">
        <v>260</v>
      </c>
      <c r="I5007" s="4">
        <f t="shared" si="679"/>
        <v>4</v>
      </c>
      <c r="J5007">
        <f t="shared" si="680"/>
        <v>16</v>
      </c>
      <c r="K5007">
        <v>58</v>
      </c>
      <c r="L5007">
        <v>20</v>
      </c>
      <c r="M5007" s="2">
        <v>2.9</v>
      </c>
      <c r="N5007">
        <v>2.97</v>
      </c>
      <c r="O5007">
        <v>0</v>
      </c>
      <c r="P5007">
        <v>1</v>
      </c>
      <c r="Q5007" s="4" t="str">
        <f t="shared" si="681"/>
        <v>2016/2017-Ganjil</v>
      </c>
      <c r="R5007" s="8" t="s">
        <v>260</v>
      </c>
      <c r="S5007" t="str">
        <f t="shared" si="678"/>
        <v>PA</v>
      </c>
    </row>
    <row r="5008" spans="1:19" x14ac:dyDescent="0.3">
      <c r="A5008" t="s">
        <v>8</v>
      </c>
      <c r="B5008">
        <v>2016210056</v>
      </c>
      <c r="C5008" t="s">
        <v>304</v>
      </c>
      <c r="E5008" t="s">
        <v>77</v>
      </c>
      <c r="F5008" t="s">
        <v>78</v>
      </c>
      <c r="G5008">
        <v>2</v>
      </c>
      <c r="H5008" t="s">
        <v>260</v>
      </c>
      <c r="I5008" s="4">
        <f t="shared" si="679"/>
        <v>4</v>
      </c>
      <c r="J5008">
        <f t="shared" si="680"/>
        <v>8</v>
      </c>
      <c r="K5008">
        <v>58</v>
      </c>
      <c r="L5008">
        <v>20</v>
      </c>
      <c r="M5008" s="2">
        <v>2.9</v>
      </c>
      <c r="N5008">
        <v>2.97</v>
      </c>
      <c r="O5008">
        <v>0</v>
      </c>
      <c r="P5008">
        <v>1</v>
      </c>
      <c r="Q5008" s="4" t="str">
        <f t="shared" si="681"/>
        <v>2016/2017-Ganjil</v>
      </c>
      <c r="R5008" s="8" t="s">
        <v>260</v>
      </c>
      <c r="S5008" t="str">
        <f t="shared" si="678"/>
        <v>PA</v>
      </c>
    </row>
    <row r="5009" spans="1:19" x14ac:dyDescent="0.3">
      <c r="A5009" t="s">
        <v>8</v>
      </c>
      <c r="B5009">
        <v>2016210056</v>
      </c>
      <c r="C5009" t="s">
        <v>304</v>
      </c>
      <c r="E5009" t="s">
        <v>180</v>
      </c>
      <c r="F5009" t="s">
        <v>181</v>
      </c>
      <c r="G5009">
        <v>4</v>
      </c>
      <c r="H5009" t="s">
        <v>260</v>
      </c>
      <c r="I5009" s="4">
        <f t="shared" si="679"/>
        <v>4</v>
      </c>
      <c r="J5009">
        <f t="shared" si="680"/>
        <v>16</v>
      </c>
      <c r="K5009">
        <v>64</v>
      </c>
      <c r="L5009">
        <v>20</v>
      </c>
      <c r="M5009" s="2">
        <v>3.2</v>
      </c>
      <c r="N5009">
        <v>2.97</v>
      </c>
      <c r="O5009">
        <v>0</v>
      </c>
      <c r="P5009">
        <v>4</v>
      </c>
      <c r="Q5009" s="4" t="str">
        <f t="shared" si="681"/>
        <v>2017/2018-Genap</v>
      </c>
      <c r="R5009" s="8" t="s">
        <v>260</v>
      </c>
      <c r="S5009" t="str">
        <f t="shared" si="678"/>
        <v>PA</v>
      </c>
    </row>
    <row r="5010" spans="1:19" x14ac:dyDescent="0.3">
      <c r="A5010" t="s">
        <v>8</v>
      </c>
      <c r="B5010">
        <v>2016210056</v>
      </c>
      <c r="C5010" t="s">
        <v>304</v>
      </c>
      <c r="E5010" t="s">
        <v>266</v>
      </c>
      <c r="F5010" t="s">
        <v>91</v>
      </c>
      <c r="G5010">
        <v>2</v>
      </c>
      <c r="H5010" t="s">
        <v>260</v>
      </c>
      <c r="I5010" s="4">
        <f t="shared" si="679"/>
        <v>4</v>
      </c>
      <c r="J5010">
        <f t="shared" si="680"/>
        <v>8</v>
      </c>
      <c r="K5010">
        <v>50</v>
      </c>
      <c r="L5010">
        <v>18</v>
      </c>
      <c r="M5010">
        <v>2.78</v>
      </c>
      <c r="N5010">
        <v>2.97</v>
      </c>
      <c r="O5010">
        <v>0</v>
      </c>
      <c r="P5010">
        <v>2</v>
      </c>
      <c r="Q5010" s="4" t="str">
        <f t="shared" si="681"/>
        <v>2016/2017-Genap</v>
      </c>
      <c r="R5010" s="8" t="s">
        <v>260</v>
      </c>
      <c r="S5010" t="str">
        <f t="shared" si="678"/>
        <v>PA</v>
      </c>
    </row>
    <row r="5011" spans="1:19" x14ac:dyDescent="0.3">
      <c r="A5011" t="s">
        <v>8</v>
      </c>
      <c r="B5011">
        <v>2016210056</v>
      </c>
      <c r="C5011" t="s">
        <v>304</v>
      </c>
      <c r="E5011" t="s">
        <v>213</v>
      </c>
      <c r="F5011" t="s">
        <v>214</v>
      </c>
      <c r="G5011">
        <v>4</v>
      </c>
      <c r="H5011" t="s">
        <v>438</v>
      </c>
      <c r="I5011" s="4">
        <f t="shared" si="679"/>
        <v>3</v>
      </c>
      <c r="J5011">
        <f t="shared" si="680"/>
        <v>12</v>
      </c>
      <c r="K5011">
        <v>64</v>
      </c>
      <c r="L5011">
        <v>22</v>
      </c>
      <c r="M5011" s="2">
        <v>2.91</v>
      </c>
      <c r="N5011">
        <v>2.97</v>
      </c>
      <c r="O5011">
        <v>0</v>
      </c>
      <c r="P5011">
        <v>5</v>
      </c>
      <c r="Q5011" s="4" t="str">
        <f t="shared" si="681"/>
        <v>2018/2019-Ganjil</v>
      </c>
      <c r="R5011" s="8" t="s">
        <v>260</v>
      </c>
      <c r="S5011" t="str">
        <f t="shared" si="678"/>
        <v>PA</v>
      </c>
    </row>
    <row r="5012" spans="1:19" x14ac:dyDescent="0.3">
      <c r="A5012" t="s">
        <v>8</v>
      </c>
      <c r="B5012">
        <v>2016210056</v>
      </c>
      <c r="C5012" t="s">
        <v>304</v>
      </c>
      <c r="E5012" t="s">
        <v>193</v>
      </c>
      <c r="F5012" t="s">
        <v>194</v>
      </c>
      <c r="G5012">
        <v>4</v>
      </c>
      <c r="H5012" t="s">
        <v>438</v>
      </c>
      <c r="I5012" s="4">
        <f t="shared" si="679"/>
        <v>3</v>
      </c>
      <c r="J5012">
        <f t="shared" si="680"/>
        <v>12</v>
      </c>
      <c r="K5012">
        <v>36</v>
      </c>
      <c r="L5012">
        <v>12</v>
      </c>
      <c r="M5012" s="2">
        <v>3</v>
      </c>
      <c r="N5012">
        <v>2.97</v>
      </c>
      <c r="O5012">
        <v>0</v>
      </c>
      <c r="P5012">
        <v>7</v>
      </c>
      <c r="Q5012" s="4" t="str">
        <f t="shared" si="681"/>
        <v>2019/2020-Ganjil</v>
      </c>
      <c r="R5012" s="8" t="s">
        <v>260</v>
      </c>
      <c r="S5012" t="str">
        <f t="shared" si="678"/>
        <v>PA</v>
      </c>
    </row>
    <row r="5013" spans="1:19" x14ac:dyDescent="0.3">
      <c r="A5013" t="s">
        <v>8</v>
      </c>
      <c r="B5013">
        <v>2016210056</v>
      </c>
      <c r="C5013" t="s">
        <v>304</v>
      </c>
      <c r="E5013" t="s">
        <v>176</v>
      </c>
      <c r="F5013" t="s">
        <v>177</v>
      </c>
      <c r="G5013">
        <v>4</v>
      </c>
      <c r="H5013" t="s">
        <v>438</v>
      </c>
      <c r="I5013" s="4">
        <f t="shared" si="679"/>
        <v>3</v>
      </c>
      <c r="J5013">
        <f t="shared" si="680"/>
        <v>12</v>
      </c>
      <c r="K5013">
        <v>64</v>
      </c>
      <c r="L5013">
        <v>22</v>
      </c>
      <c r="M5013" s="2">
        <v>2.91</v>
      </c>
      <c r="N5013">
        <v>2.97</v>
      </c>
      <c r="O5013">
        <v>0</v>
      </c>
      <c r="P5013">
        <v>5</v>
      </c>
      <c r="Q5013" s="4" t="str">
        <f t="shared" si="681"/>
        <v>2018/2019-Ganjil</v>
      </c>
      <c r="R5013" s="8" t="s">
        <v>260</v>
      </c>
      <c r="S5013" t="str">
        <f t="shared" si="678"/>
        <v>PA</v>
      </c>
    </row>
    <row r="5014" spans="1:19" x14ac:dyDescent="0.3">
      <c r="A5014" t="s">
        <v>8</v>
      </c>
      <c r="B5014">
        <v>2016210056</v>
      </c>
      <c r="C5014" t="s">
        <v>304</v>
      </c>
      <c r="E5014" t="s">
        <v>182</v>
      </c>
      <c r="F5014" t="s">
        <v>171</v>
      </c>
      <c r="G5014">
        <v>2</v>
      </c>
      <c r="H5014" t="s">
        <v>438</v>
      </c>
      <c r="I5014" s="4">
        <f t="shared" si="679"/>
        <v>3</v>
      </c>
      <c r="J5014">
        <f t="shared" si="680"/>
        <v>6</v>
      </c>
      <c r="K5014">
        <v>64</v>
      </c>
      <c r="L5014">
        <v>22</v>
      </c>
      <c r="M5014">
        <v>2.91</v>
      </c>
      <c r="N5014">
        <v>2.97</v>
      </c>
      <c r="O5014">
        <v>0</v>
      </c>
      <c r="P5014">
        <v>5</v>
      </c>
      <c r="Q5014" s="4" t="str">
        <f t="shared" si="681"/>
        <v>2018/2019-Ganjil</v>
      </c>
      <c r="R5014" s="8" t="s">
        <v>260</v>
      </c>
      <c r="S5014" t="str">
        <f t="shared" si="678"/>
        <v>PA</v>
      </c>
    </row>
    <row r="5015" spans="1:19" x14ac:dyDescent="0.3">
      <c r="A5015" t="s">
        <v>8</v>
      </c>
      <c r="B5015">
        <v>2016210056</v>
      </c>
      <c r="C5015" t="s">
        <v>304</v>
      </c>
      <c r="E5015" t="s">
        <v>105</v>
      </c>
      <c r="F5015" t="s">
        <v>106</v>
      </c>
      <c r="G5015">
        <v>2</v>
      </c>
      <c r="H5015" t="s">
        <v>438</v>
      </c>
      <c r="I5015" s="4">
        <f t="shared" si="679"/>
        <v>3</v>
      </c>
      <c r="J5015">
        <f t="shared" si="680"/>
        <v>6</v>
      </c>
      <c r="K5015">
        <v>52</v>
      </c>
      <c r="L5015">
        <v>20</v>
      </c>
      <c r="M5015" s="2">
        <v>2.6</v>
      </c>
      <c r="N5015">
        <v>2.97</v>
      </c>
      <c r="O5015">
        <v>0</v>
      </c>
      <c r="P5015">
        <v>3</v>
      </c>
      <c r="Q5015" s="4" t="str">
        <f t="shared" si="681"/>
        <v>2017/2018-Ganjil</v>
      </c>
      <c r="R5015" s="8" t="s">
        <v>260</v>
      </c>
      <c r="S5015" t="str">
        <f t="shared" si="678"/>
        <v>PA</v>
      </c>
    </row>
    <row r="5016" spans="1:19" x14ac:dyDescent="0.3">
      <c r="A5016" t="s">
        <v>8</v>
      </c>
      <c r="B5016">
        <v>2016210056</v>
      </c>
      <c r="C5016" t="s">
        <v>304</v>
      </c>
      <c r="E5016" t="s">
        <v>131</v>
      </c>
      <c r="F5016" t="s">
        <v>132</v>
      </c>
      <c r="G5016">
        <v>2</v>
      </c>
      <c r="H5016" t="s">
        <v>438</v>
      </c>
      <c r="I5016" s="4">
        <f t="shared" si="679"/>
        <v>3</v>
      </c>
      <c r="J5016">
        <f t="shared" si="680"/>
        <v>6</v>
      </c>
      <c r="K5016">
        <v>58</v>
      </c>
      <c r="L5016">
        <v>20</v>
      </c>
      <c r="M5016" s="2">
        <v>2.9</v>
      </c>
      <c r="N5016">
        <v>2.97</v>
      </c>
      <c r="O5016">
        <v>0</v>
      </c>
      <c r="P5016">
        <v>1</v>
      </c>
      <c r="Q5016" s="4" t="str">
        <f t="shared" si="681"/>
        <v>2016/2017-Ganjil</v>
      </c>
      <c r="R5016" s="8" t="s">
        <v>260</v>
      </c>
      <c r="S5016" t="str">
        <f t="shared" si="678"/>
        <v>PA</v>
      </c>
    </row>
    <row r="5017" spans="1:19" x14ac:dyDescent="0.3">
      <c r="A5017" t="s">
        <v>8</v>
      </c>
      <c r="B5017">
        <v>2016210056</v>
      </c>
      <c r="C5017" t="s">
        <v>304</v>
      </c>
      <c r="E5017" t="s">
        <v>352</v>
      </c>
      <c r="F5017" t="s">
        <v>353</v>
      </c>
      <c r="G5017">
        <v>2</v>
      </c>
      <c r="H5017" t="s">
        <v>438</v>
      </c>
      <c r="I5017" s="4">
        <f t="shared" si="679"/>
        <v>3</v>
      </c>
      <c r="J5017">
        <f t="shared" si="680"/>
        <v>6</v>
      </c>
      <c r="K5017">
        <v>64</v>
      </c>
      <c r="L5017">
        <v>22</v>
      </c>
      <c r="M5017" s="2">
        <v>2.91</v>
      </c>
      <c r="N5017">
        <v>2.97</v>
      </c>
      <c r="O5017">
        <v>0</v>
      </c>
      <c r="P5017">
        <v>5</v>
      </c>
      <c r="Q5017" s="4" t="str">
        <f t="shared" si="681"/>
        <v>2018/2019-Ganjil</v>
      </c>
      <c r="R5017" s="8" t="s">
        <v>260</v>
      </c>
      <c r="S5017" t="str">
        <f t="shared" si="678"/>
        <v>PA</v>
      </c>
    </row>
    <row r="5018" spans="1:19" x14ac:dyDescent="0.3">
      <c r="A5018" t="s">
        <v>8</v>
      </c>
      <c r="B5018">
        <v>2016210056</v>
      </c>
      <c r="C5018" t="s">
        <v>304</v>
      </c>
      <c r="E5018" t="s">
        <v>157</v>
      </c>
      <c r="F5018" t="s">
        <v>158</v>
      </c>
      <c r="G5018">
        <v>2</v>
      </c>
      <c r="H5018" t="s">
        <v>438</v>
      </c>
      <c r="I5018" s="4">
        <f t="shared" si="679"/>
        <v>3</v>
      </c>
      <c r="J5018">
        <f t="shared" si="680"/>
        <v>6</v>
      </c>
      <c r="K5018">
        <v>52</v>
      </c>
      <c r="L5018">
        <v>20</v>
      </c>
      <c r="M5018" s="2">
        <v>2.6</v>
      </c>
      <c r="N5018">
        <v>2.97</v>
      </c>
      <c r="O5018">
        <v>0</v>
      </c>
      <c r="P5018">
        <v>3</v>
      </c>
      <c r="Q5018" s="4" t="str">
        <f t="shared" si="681"/>
        <v>2017/2018-Ganjil</v>
      </c>
      <c r="R5018" s="8" t="s">
        <v>260</v>
      </c>
      <c r="S5018" t="str">
        <f t="shared" si="678"/>
        <v>PA</v>
      </c>
    </row>
    <row r="5019" spans="1:19" x14ac:dyDescent="0.3">
      <c r="A5019" t="s">
        <v>8</v>
      </c>
      <c r="B5019">
        <v>2016210056</v>
      </c>
      <c r="C5019" t="s">
        <v>304</v>
      </c>
      <c r="E5019" t="s">
        <v>163</v>
      </c>
      <c r="F5019" t="s">
        <v>164</v>
      </c>
      <c r="G5019">
        <v>2</v>
      </c>
      <c r="H5019" t="s">
        <v>438</v>
      </c>
      <c r="I5019" s="4">
        <f t="shared" si="679"/>
        <v>3</v>
      </c>
      <c r="J5019">
        <f t="shared" si="680"/>
        <v>6</v>
      </c>
      <c r="K5019">
        <v>58</v>
      </c>
      <c r="L5019">
        <v>20</v>
      </c>
      <c r="M5019" s="2">
        <v>2.9</v>
      </c>
      <c r="N5019">
        <v>2.97</v>
      </c>
      <c r="O5019">
        <v>0</v>
      </c>
      <c r="P5019">
        <v>1</v>
      </c>
      <c r="Q5019" s="4" t="str">
        <f t="shared" si="681"/>
        <v>2016/2017-Ganjil</v>
      </c>
      <c r="R5019" s="8" t="s">
        <v>260</v>
      </c>
      <c r="S5019" t="str">
        <f t="shared" si="678"/>
        <v>PA</v>
      </c>
    </row>
    <row r="5020" spans="1:19" x14ac:dyDescent="0.3">
      <c r="A5020" t="s">
        <v>8</v>
      </c>
      <c r="B5020">
        <v>2016210056</v>
      </c>
      <c r="C5020" t="s">
        <v>304</v>
      </c>
      <c r="E5020" t="s">
        <v>80</v>
      </c>
      <c r="F5020" t="s">
        <v>81</v>
      </c>
      <c r="G5020">
        <v>4</v>
      </c>
      <c r="H5020" t="s">
        <v>438</v>
      </c>
      <c r="I5020" s="4">
        <f t="shared" si="679"/>
        <v>3</v>
      </c>
      <c r="J5020">
        <f t="shared" si="680"/>
        <v>12</v>
      </c>
      <c r="K5020">
        <v>44</v>
      </c>
      <c r="L5020">
        <v>20</v>
      </c>
      <c r="M5020" s="2">
        <v>2.2000000000000002</v>
      </c>
      <c r="N5020">
        <v>2.97</v>
      </c>
      <c r="O5020">
        <v>0</v>
      </c>
      <c r="P5020">
        <v>6</v>
      </c>
      <c r="Q5020" s="4" t="str">
        <f t="shared" si="681"/>
        <v>2018/2019-Genap</v>
      </c>
      <c r="R5020" s="8" t="s">
        <v>260</v>
      </c>
      <c r="S5020" t="str">
        <f t="shared" si="678"/>
        <v>PA</v>
      </c>
    </row>
    <row r="5021" spans="1:19" x14ac:dyDescent="0.3">
      <c r="A5021" t="s">
        <v>8</v>
      </c>
      <c r="B5021">
        <v>2016210056</v>
      </c>
      <c r="C5021" t="s">
        <v>304</v>
      </c>
      <c r="E5021" t="s">
        <v>253</v>
      </c>
      <c r="F5021" t="s">
        <v>254</v>
      </c>
      <c r="G5021">
        <v>2</v>
      </c>
      <c r="H5021" t="s">
        <v>438</v>
      </c>
      <c r="I5021" s="4">
        <f t="shared" si="679"/>
        <v>3</v>
      </c>
      <c r="J5021">
        <f t="shared" si="680"/>
        <v>6</v>
      </c>
      <c r="K5021">
        <v>64</v>
      </c>
      <c r="L5021">
        <v>20</v>
      </c>
      <c r="M5021" s="2">
        <v>3.2</v>
      </c>
      <c r="N5021">
        <v>2.97</v>
      </c>
      <c r="O5021">
        <v>0</v>
      </c>
      <c r="P5021">
        <v>4</v>
      </c>
      <c r="Q5021" s="4" t="str">
        <f t="shared" si="681"/>
        <v>2017/2018-Genap</v>
      </c>
      <c r="R5021" s="8" t="s">
        <v>260</v>
      </c>
      <c r="S5021" t="str">
        <f t="shared" si="678"/>
        <v>PA</v>
      </c>
    </row>
    <row r="5022" spans="1:19" x14ac:dyDescent="0.3">
      <c r="A5022" t="s">
        <v>8</v>
      </c>
      <c r="B5022">
        <v>2016210056</v>
      </c>
      <c r="C5022" t="s">
        <v>304</v>
      </c>
      <c r="E5022" t="s">
        <v>117</v>
      </c>
      <c r="F5022" t="s">
        <v>118</v>
      </c>
      <c r="G5022">
        <v>2</v>
      </c>
      <c r="H5022" t="s">
        <v>438</v>
      </c>
      <c r="I5022" s="4">
        <f t="shared" si="679"/>
        <v>3</v>
      </c>
      <c r="J5022">
        <f t="shared" si="680"/>
        <v>6</v>
      </c>
      <c r="K5022">
        <v>50</v>
      </c>
      <c r="L5022">
        <v>18</v>
      </c>
      <c r="M5022">
        <v>2.78</v>
      </c>
      <c r="N5022">
        <v>2.97</v>
      </c>
      <c r="O5022">
        <v>0</v>
      </c>
      <c r="P5022">
        <v>2</v>
      </c>
      <c r="Q5022" s="4" t="str">
        <f t="shared" si="681"/>
        <v>2016/2017-Genap</v>
      </c>
      <c r="R5022" s="8" t="s">
        <v>260</v>
      </c>
      <c r="S5022" t="str">
        <f t="shared" si="678"/>
        <v>PA</v>
      </c>
    </row>
    <row r="5023" spans="1:19" x14ac:dyDescent="0.3">
      <c r="A5023" t="s">
        <v>8</v>
      </c>
      <c r="B5023">
        <v>2016210056</v>
      </c>
      <c r="C5023" t="s">
        <v>304</v>
      </c>
      <c r="E5023" t="s">
        <v>246</v>
      </c>
      <c r="F5023" t="s">
        <v>247</v>
      </c>
      <c r="G5023">
        <v>4</v>
      </c>
      <c r="H5023" t="s">
        <v>438</v>
      </c>
      <c r="I5023" s="4">
        <f t="shared" si="679"/>
        <v>3</v>
      </c>
      <c r="J5023">
        <f t="shared" si="680"/>
        <v>12</v>
      </c>
      <c r="K5023">
        <v>64</v>
      </c>
      <c r="L5023">
        <v>20</v>
      </c>
      <c r="M5023" s="2">
        <v>3.2</v>
      </c>
      <c r="N5023">
        <v>2.97</v>
      </c>
      <c r="O5023">
        <v>0</v>
      </c>
      <c r="P5023">
        <v>4</v>
      </c>
      <c r="Q5023" s="4" t="str">
        <f t="shared" si="681"/>
        <v>2017/2018-Genap</v>
      </c>
      <c r="R5023" s="8" t="s">
        <v>260</v>
      </c>
      <c r="S5023" t="str">
        <f t="shared" si="678"/>
        <v>PA</v>
      </c>
    </row>
    <row r="5024" spans="1:19" x14ac:dyDescent="0.3">
      <c r="A5024" t="s">
        <v>8</v>
      </c>
      <c r="B5024">
        <v>2016210056</v>
      </c>
      <c r="C5024" t="s">
        <v>304</v>
      </c>
      <c r="E5024" t="s">
        <v>232</v>
      </c>
      <c r="F5024" t="s">
        <v>245</v>
      </c>
      <c r="G5024">
        <v>2</v>
      </c>
      <c r="H5024" t="s">
        <v>438</v>
      </c>
      <c r="I5024" s="4">
        <f t="shared" si="679"/>
        <v>3</v>
      </c>
      <c r="J5024">
        <f t="shared" si="680"/>
        <v>6</v>
      </c>
      <c r="K5024">
        <v>50</v>
      </c>
      <c r="L5024">
        <v>18</v>
      </c>
      <c r="M5024">
        <v>2.78</v>
      </c>
      <c r="N5024">
        <v>2.97</v>
      </c>
      <c r="O5024">
        <v>0</v>
      </c>
      <c r="P5024">
        <v>2</v>
      </c>
      <c r="Q5024" s="4" t="str">
        <f t="shared" si="681"/>
        <v>2016/2017-Genap</v>
      </c>
      <c r="R5024" s="8" t="s">
        <v>260</v>
      </c>
      <c r="S5024" t="str">
        <f t="shared" si="678"/>
        <v>PA</v>
      </c>
    </row>
    <row r="5025" spans="1:19" x14ac:dyDescent="0.3">
      <c r="A5025" t="s">
        <v>8</v>
      </c>
      <c r="B5025">
        <v>2016210056</v>
      </c>
      <c r="C5025" t="s">
        <v>304</v>
      </c>
      <c r="E5025" t="s">
        <v>10</v>
      </c>
      <c r="F5025" t="s">
        <v>11</v>
      </c>
      <c r="G5025">
        <v>2</v>
      </c>
      <c r="H5025" t="s">
        <v>438</v>
      </c>
      <c r="I5025" s="4">
        <f t="shared" si="679"/>
        <v>3</v>
      </c>
      <c r="J5025">
        <f t="shared" si="680"/>
        <v>6</v>
      </c>
      <c r="K5025">
        <v>36</v>
      </c>
      <c r="L5025">
        <v>12</v>
      </c>
      <c r="M5025" s="2">
        <v>3</v>
      </c>
      <c r="N5025">
        <v>2.97</v>
      </c>
      <c r="O5025">
        <v>0</v>
      </c>
      <c r="P5025">
        <v>7</v>
      </c>
      <c r="Q5025" s="4" t="str">
        <f t="shared" si="681"/>
        <v>2019/2020-Ganjil</v>
      </c>
      <c r="R5025" s="8" t="s">
        <v>260</v>
      </c>
      <c r="S5025" t="str">
        <f t="shared" si="678"/>
        <v>PA</v>
      </c>
    </row>
    <row r="5026" spans="1:19" x14ac:dyDescent="0.3">
      <c r="A5026" t="s">
        <v>8</v>
      </c>
      <c r="B5026">
        <v>2016210056</v>
      </c>
      <c r="C5026" t="s">
        <v>304</v>
      </c>
      <c r="E5026" t="s">
        <v>391</v>
      </c>
      <c r="F5026" t="s">
        <v>392</v>
      </c>
      <c r="G5026">
        <v>2</v>
      </c>
      <c r="H5026" t="s">
        <v>438</v>
      </c>
      <c r="I5026" s="4">
        <f t="shared" si="679"/>
        <v>3</v>
      </c>
      <c r="J5026">
        <f t="shared" si="680"/>
        <v>6</v>
      </c>
      <c r="K5026">
        <v>64</v>
      </c>
      <c r="L5026">
        <v>22</v>
      </c>
      <c r="M5026">
        <v>2.91</v>
      </c>
      <c r="N5026">
        <v>2.97</v>
      </c>
      <c r="O5026">
        <v>0</v>
      </c>
      <c r="P5026">
        <v>5</v>
      </c>
      <c r="Q5026" s="4" t="str">
        <f t="shared" si="681"/>
        <v>2018/2019-Ganjil</v>
      </c>
      <c r="R5026" s="8" t="s">
        <v>260</v>
      </c>
      <c r="S5026" t="str">
        <f t="shared" si="678"/>
        <v>PA</v>
      </c>
    </row>
    <row r="5027" spans="1:19" x14ac:dyDescent="0.3">
      <c r="A5027" t="s">
        <v>8</v>
      </c>
      <c r="B5027">
        <v>2016210056</v>
      </c>
      <c r="C5027" t="s">
        <v>304</v>
      </c>
      <c r="E5027" t="s">
        <v>219</v>
      </c>
      <c r="F5027" t="s">
        <v>473</v>
      </c>
      <c r="G5027">
        <v>2</v>
      </c>
      <c r="H5027" t="s">
        <v>438</v>
      </c>
      <c r="I5027" s="4">
        <f t="shared" si="679"/>
        <v>3</v>
      </c>
      <c r="J5027">
        <f t="shared" si="680"/>
        <v>6</v>
      </c>
      <c r="K5027">
        <v>36</v>
      </c>
      <c r="L5027">
        <v>12</v>
      </c>
      <c r="M5027" s="2">
        <v>3</v>
      </c>
      <c r="N5027">
        <v>2.97</v>
      </c>
      <c r="O5027">
        <v>0</v>
      </c>
      <c r="P5027">
        <v>7</v>
      </c>
      <c r="Q5027" s="4" t="str">
        <f t="shared" si="681"/>
        <v>2019/2020-Ganjil</v>
      </c>
      <c r="R5027" s="8" t="s">
        <v>260</v>
      </c>
      <c r="S5027" t="str">
        <f t="shared" si="678"/>
        <v>PA</v>
      </c>
    </row>
    <row r="5028" spans="1:19" x14ac:dyDescent="0.3">
      <c r="A5028" t="s">
        <v>8</v>
      </c>
      <c r="B5028">
        <v>2016210056</v>
      </c>
      <c r="C5028" t="s">
        <v>304</v>
      </c>
      <c r="E5028" t="s">
        <v>362</v>
      </c>
      <c r="F5028" t="s">
        <v>363</v>
      </c>
      <c r="G5028">
        <v>2</v>
      </c>
      <c r="H5028" t="s">
        <v>438</v>
      </c>
      <c r="I5028" s="4">
        <f t="shared" si="679"/>
        <v>3</v>
      </c>
      <c r="J5028">
        <f t="shared" si="680"/>
        <v>6</v>
      </c>
      <c r="K5028">
        <v>64</v>
      </c>
      <c r="L5028">
        <v>22</v>
      </c>
      <c r="M5028">
        <v>2.91</v>
      </c>
      <c r="N5028">
        <v>2.97</v>
      </c>
      <c r="O5028">
        <v>0</v>
      </c>
      <c r="P5028">
        <v>5</v>
      </c>
      <c r="Q5028" s="4" t="str">
        <f t="shared" si="681"/>
        <v>2018/2019-Ganjil</v>
      </c>
      <c r="R5028" s="8" t="s">
        <v>260</v>
      </c>
      <c r="S5028" t="str">
        <f t="shared" si="678"/>
        <v>PA</v>
      </c>
    </row>
    <row r="5029" spans="1:19" x14ac:dyDescent="0.3">
      <c r="A5029" t="s">
        <v>8</v>
      </c>
      <c r="B5029">
        <v>2016210056</v>
      </c>
      <c r="C5029" t="s">
        <v>304</v>
      </c>
      <c r="E5029" t="s">
        <v>107</v>
      </c>
      <c r="F5029" t="s">
        <v>108</v>
      </c>
      <c r="G5029">
        <v>2</v>
      </c>
      <c r="H5029" t="s">
        <v>438</v>
      </c>
      <c r="I5029" s="4">
        <f t="shared" si="679"/>
        <v>3</v>
      </c>
      <c r="J5029">
        <f t="shared" si="680"/>
        <v>6</v>
      </c>
      <c r="K5029">
        <v>30</v>
      </c>
      <c r="L5029">
        <v>12</v>
      </c>
      <c r="M5029" s="2">
        <v>2.5</v>
      </c>
      <c r="N5029">
        <v>2.97</v>
      </c>
      <c r="O5029">
        <v>0</v>
      </c>
      <c r="P5029">
        <v>8</v>
      </c>
      <c r="Q5029" s="4" t="str">
        <f t="shared" si="681"/>
        <v>2019/2020-Genap</v>
      </c>
      <c r="R5029" t="s">
        <v>596</v>
      </c>
      <c r="S5029" t="str">
        <f t="shared" si="678"/>
        <v>PA</v>
      </c>
    </row>
    <row r="5030" spans="1:19" x14ac:dyDescent="0.3">
      <c r="A5030" t="s">
        <v>8</v>
      </c>
      <c r="B5030">
        <v>2016210056</v>
      </c>
      <c r="C5030" t="s">
        <v>304</v>
      </c>
      <c r="E5030" t="s">
        <v>147</v>
      </c>
      <c r="F5030" t="s">
        <v>148</v>
      </c>
      <c r="G5030">
        <v>4</v>
      </c>
      <c r="H5030" t="s">
        <v>438</v>
      </c>
      <c r="I5030" s="4">
        <f t="shared" si="679"/>
        <v>3</v>
      </c>
      <c r="J5030">
        <f t="shared" si="680"/>
        <v>12</v>
      </c>
      <c r="K5030">
        <v>58</v>
      </c>
      <c r="L5030">
        <v>20</v>
      </c>
      <c r="M5030" s="2">
        <v>2.9</v>
      </c>
      <c r="N5030">
        <v>2.97</v>
      </c>
      <c r="O5030">
        <v>0</v>
      </c>
      <c r="P5030">
        <v>1</v>
      </c>
      <c r="Q5030" s="4" t="str">
        <f t="shared" si="681"/>
        <v>2016/2017-Ganjil</v>
      </c>
      <c r="R5030" s="8" t="s">
        <v>260</v>
      </c>
      <c r="S5030" t="str">
        <f t="shared" si="678"/>
        <v>PA</v>
      </c>
    </row>
    <row r="5031" spans="1:19" x14ac:dyDescent="0.3">
      <c r="A5031" t="s">
        <v>8</v>
      </c>
      <c r="B5031">
        <v>2016210056</v>
      </c>
      <c r="C5031" t="s">
        <v>304</v>
      </c>
      <c r="E5031" t="s">
        <v>188</v>
      </c>
      <c r="F5031" t="s">
        <v>189</v>
      </c>
      <c r="G5031">
        <v>4</v>
      </c>
      <c r="H5031" t="s">
        <v>438</v>
      </c>
      <c r="I5031" s="4">
        <f t="shared" si="679"/>
        <v>3</v>
      </c>
      <c r="J5031">
        <f t="shared" si="680"/>
        <v>12</v>
      </c>
      <c r="K5031">
        <v>64</v>
      </c>
      <c r="L5031">
        <v>22</v>
      </c>
      <c r="M5031">
        <v>2.91</v>
      </c>
      <c r="N5031">
        <v>2.97</v>
      </c>
      <c r="O5031">
        <v>0</v>
      </c>
      <c r="P5031">
        <v>5</v>
      </c>
      <c r="Q5031" s="4" t="str">
        <f t="shared" si="681"/>
        <v>2018/2019-Ganjil</v>
      </c>
      <c r="R5031" s="8" t="s">
        <v>260</v>
      </c>
      <c r="S5031" t="str">
        <f t="shared" si="678"/>
        <v>PA</v>
      </c>
    </row>
    <row r="5032" spans="1:19" x14ac:dyDescent="0.3">
      <c r="A5032" t="s">
        <v>8</v>
      </c>
      <c r="B5032">
        <v>2016210056</v>
      </c>
      <c r="C5032" t="s">
        <v>304</v>
      </c>
      <c r="E5032" t="s">
        <v>238</v>
      </c>
      <c r="F5032" t="s">
        <v>239</v>
      </c>
      <c r="G5032">
        <v>4</v>
      </c>
      <c r="H5032" t="s">
        <v>438</v>
      </c>
      <c r="I5032" s="4">
        <f t="shared" si="679"/>
        <v>3</v>
      </c>
      <c r="J5032">
        <f t="shared" si="680"/>
        <v>12</v>
      </c>
      <c r="K5032">
        <v>44</v>
      </c>
      <c r="L5032">
        <v>20</v>
      </c>
      <c r="M5032" s="2">
        <v>2.2000000000000002</v>
      </c>
      <c r="N5032">
        <v>2.97</v>
      </c>
      <c r="O5032">
        <v>0</v>
      </c>
      <c r="P5032">
        <v>6</v>
      </c>
      <c r="Q5032" s="4" t="str">
        <f t="shared" si="681"/>
        <v>2018/2019-Genap</v>
      </c>
      <c r="R5032" s="8" t="s">
        <v>260</v>
      </c>
      <c r="S5032" t="str">
        <f t="shared" si="678"/>
        <v>PA</v>
      </c>
    </row>
    <row r="5033" spans="1:19" x14ac:dyDescent="0.3">
      <c r="A5033" t="s">
        <v>8</v>
      </c>
      <c r="B5033">
        <v>2016210056</v>
      </c>
      <c r="C5033" t="s">
        <v>304</v>
      </c>
      <c r="E5033" t="s">
        <v>449</v>
      </c>
      <c r="F5033" t="s">
        <v>460</v>
      </c>
      <c r="G5033">
        <v>4</v>
      </c>
      <c r="H5033" t="s">
        <v>438</v>
      </c>
      <c r="I5033" s="4">
        <f t="shared" si="679"/>
        <v>3</v>
      </c>
      <c r="J5033">
        <f t="shared" si="680"/>
        <v>12</v>
      </c>
      <c r="K5033">
        <v>64</v>
      </c>
      <c r="L5033">
        <v>20</v>
      </c>
      <c r="M5033" s="2">
        <v>3.2</v>
      </c>
      <c r="N5033">
        <v>2.97</v>
      </c>
      <c r="O5033">
        <v>0</v>
      </c>
      <c r="P5033">
        <v>4</v>
      </c>
      <c r="Q5033" s="4" t="str">
        <f t="shared" si="681"/>
        <v>2017/2018-Genap</v>
      </c>
      <c r="R5033" s="8" t="s">
        <v>260</v>
      </c>
      <c r="S5033" t="str">
        <f t="shared" si="678"/>
        <v>PA</v>
      </c>
    </row>
    <row r="5034" spans="1:19" x14ac:dyDescent="0.3">
      <c r="A5034" t="s">
        <v>8</v>
      </c>
      <c r="B5034">
        <v>2016210056</v>
      </c>
      <c r="C5034" t="s">
        <v>304</v>
      </c>
      <c r="E5034" t="s">
        <v>115</v>
      </c>
      <c r="F5034" t="s">
        <v>116</v>
      </c>
      <c r="G5034">
        <v>4</v>
      </c>
      <c r="H5034" t="s">
        <v>438</v>
      </c>
      <c r="I5034" s="4">
        <f t="shared" si="679"/>
        <v>3</v>
      </c>
      <c r="J5034">
        <f t="shared" si="680"/>
        <v>12</v>
      </c>
      <c r="K5034">
        <v>50</v>
      </c>
      <c r="L5034">
        <v>18</v>
      </c>
      <c r="M5034">
        <v>2.78</v>
      </c>
      <c r="N5034">
        <v>2.97</v>
      </c>
      <c r="O5034">
        <v>0</v>
      </c>
      <c r="P5034">
        <v>2</v>
      </c>
      <c r="Q5034" s="4" t="str">
        <f t="shared" ref="Q5034:Q5052" si="682">IF(P5034=1,"2016/2017-Ganjil",IF(P5034=2,"2016/2017-Genap",IF(P5034=3,"2017/2018-Ganjil",IF(P5034=4,"2017/2018-Genap",IF(P5034=5,"2018/2019-Ganjil",IF(P5034=6,"2018/2019-Genap",IF(P5034=7,"2019/2020-Ganjil",IF(P5034=8,"2019/2020-Genap",IF(P5034=9,"2020/2021-Ganjil",IF(P5034=10,"2020/2021-Genap",IF(P5034=11,"2021/2022-Ganjil",IF(P5034=12,"2021/2022-Genap",IF(P5034=13,"2022/2023-Ganjil","2022/2023-Genap")))))))))))))</f>
        <v>2016/2017-Genap</v>
      </c>
      <c r="R5034" s="8" t="s">
        <v>260</v>
      </c>
      <c r="S5034" t="str">
        <f t="shared" si="678"/>
        <v>PA</v>
      </c>
    </row>
    <row r="5035" spans="1:19" x14ac:dyDescent="0.3">
      <c r="A5035" t="s">
        <v>8</v>
      </c>
      <c r="B5035">
        <v>2016210056</v>
      </c>
      <c r="C5035" t="s">
        <v>304</v>
      </c>
      <c r="E5035" t="s">
        <v>597</v>
      </c>
      <c r="F5035" t="s">
        <v>275</v>
      </c>
      <c r="G5035">
        <v>2</v>
      </c>
      <c r="H5035" t="s">
        <v>438</v>
      </c>
      <c r="I5035" s="4">
        <f t="shared" si="679"/>
        <v>3</v>
      </c>
      <c r="J5035">
        <f t="shared" si="680"/>
        <v>6</v>
      </c>
      <c r="K5035">
        <v>44</v>
      </c>
      <c r="L5035">
        <v>20</v>
      </c>
      <c r="M5035" s="2">
        <v>2.2000000000000002</v>
      </c>
      <c r="N5035">
        <v>2.97</v>
      </c>
      <c r="O5035">
        <v>0</v>
      </c>
      <c r="P5035">
        <v>6</v>
      </c>
      <c r="Q5035" s="4" t="str">
        <f t="shared" si="682"/>
        <v>2018/2019-Genap</v>
      </c>
      <c r="R5035" s="8" t="s">
        <v>260</v>
      </c>
      <c r="S5035" t="str">
        <f t="shared" si="678"/>
        <v>PA</v>
      </c>
    </row>
    <row r="5036" spans="1:19" x14ac:dyDescent="0.3">
      <c r="A5036" t="s">
        <v>8</v>
      </c>
      <c r="B5036">
        <v>2016210056</v>
      </c>
      <c r="C5036" t="s">
        <v>304</v>
      </c>
      <c r="E5036" t="s">
        <v>216</v>
      </c>
      <c r="F5036" t="s">
        <v>217</v>
      </c>
      <c r="G5036">
        <v>2</v>
      </c>
      <c r="H5036" t="s">
        <v>438</v>
      </c>
      <c r="I5036" s="4">
        <f t="shared" si="679"/>
        <v>3</v>
      </c>
      <c r="J5036">
        <f t="shared" si="680"/>
        <v>6</v>
      </c>
      <c r="K5036">
        <v>64</v>
      </c>
      <c r="L5036">
        <v>20</v>
      </c>
      <c r="M5036" s="2">
        <v>3.2</v>
      </c>
      <c r="N5036">
        <v>2.97</v>
      </c>
      <c r="O5036">
        <v>0</v>
      </c>
      <c r="P5036">
        <v>4</v>
      </c>
      <c r="Q5036" s="4" t="str">
        <f t="shared" si="682"/>
        <v>2017/2018-Genap</v>
      </c>
      <c r="R5036" s="8" t="s">
        <v>260</v>
      </c>
      <c r="S5036" t="str">
        <f t="shared" si="678"/>
        <v>PA</v>
      </c>
    </row>
    <row r="5037" spans="1:19" x14ac:dyDescent="0.3">
      <c r="A5037" t="s">
        <v>8</v>
      </c>
      <c r="B5037">
        <v>2016210056</v>
      </c>
      <c r="C5037" t="s">
        <v>304</v>
      </c>
      <c r="E5037" t="s">
        <v>279</v>
      </c>
      <c r="F5037" t="s">
        <v>280</v>
      </c>
      <c r="G5037">
        <v>2</v>
      </c>
      <c r="H5037" t="s">
        <v>438</v>
      </c>
      <c r="I5037" s="4">
        <f t="shared" si="679"/>
        <v>3</v>
      </c>
      <c r="J5037">
        <f t="shared" si="680"/>
        <v>6</v>
      </c>
      <c r="K5037">
        <v>50</v>
      </c>
      <c r="L5037">
        <v>18</v>
      </c>
      <c r="M5037">
        <v>2.78</v>
      </c>
      <c r="N5037">
        <v>2.97</v>
      </c>
      <c r="O5037">
        <v>0</v>
      </c>
      <c r="P5037">
        <v>2</v>
      </c>
      <c r="Q5037" s="4" t="str">
        <f t="shared" si="682"/>
        <v>2016/2017-Genap</v>
      </c>
      <c r="R5037" s="8" t="s">
        <v>260</v>
      </c>
      <c r="S5037" t="str">
        <f t="shared" si="678"/>
        <v>PA</v>
      </c>
    </row>
    <row r="5038" spans="1:19" x14ac:dyDescent="0.3">
      <c r="A5038" t="s">
        <v>8</v>
      </c>
      <c r="B5038">
        <v>2016210056</v>
      </c>
      <c r="C5038" t="s">
        <v>304</v>
      </c>
      <c r="E5038" t="s">
        <v>185</v>
      </c>
      <c r="F5038" t="s">
        <v>186</v>
      </c>
      <c r="G5038">
        <v>4</v>
      </c>
      <c r="H5038" t="s">
        <v>438</v>
      </c>
      <c r="I5038" s="4">
        <f t="shared" si="679"/>
        <v>3</v>
      </c>
      <c r="J5038">
        <f t="shared" si="680"/>
        <v>12</v>
      </c>
      <c r="K5038">
        <v>36</v>
      </c>
      <c r="L5038">
        <v>12</v>
      </c>
      <c r="M5038" s="2">
        <v>3</v>
      </c>
      <c r="N5038">
        <v>2.97</v>
      </c>
      <c r="O5038">
        <v>0</v>
      </c>
      <c r="P5038">
        <v>7</v>
      </c>
      <c r="Q5038" s="4" t="str">
        <f t="shared" si="682"/>
        <v>2019/2020-Ganjil</v>
      </c>
      <c r="R5038" s="8" t="s">
        <v>260</v>
      </c>
      <c r="S5038" t="str">
        <f t="shared" si="678"/>
        <v>PA</v>
      </c>
    </row>
    <row r="5039" spans="1:19" x14ac:dyDescent="0.3">
      <c r="A5039" t="s">
        <v>8</v>
      </c>
      <c r="B5039">
        <v>2016210056</v>
      </c>
      <c r="C5039" t="s">
        <v>304</v>
      </c>
      <c r="E5039" t="s">
        <v>19</v>
      </c>
      <c r="F5039" t="s">
        <v>20</v>
      </c>
      <c r="G5039">
        <v>6</v>
      </c>
      <c r="H5039" t="s">
        <v>524</v>
      </c>
      <c r="I5039" s="4">
        <f t="shared" si="679"/>
        <v>2</v>
      </c>
      <c r="J5039">
        <f t="shared" si="680"/>
        <v>12</v>
      </c>
      <c r="K5039">
        <v>30</v>
      </c>
      <c r="L5039">
        <v>12</v>
      </c>
      <c r="M5039" s="2">
        <v>2.5</v>
      </c>
      <c r="N5039">
        <v>2.97</v>
      </c>
      <c r="O5039">
        <v>0</v>
      </c>
      <c r="P5039">
        <v>8</v>
      </c>
      <c r="Q5039" s="4" t="str">
        <f t="shared" si="682"/>
        <v>2019/2020-Genap</v>
      </c>
      <c r="R5039" t="s">
        <v>596</v>
      </c>
      <c r="S5039" t="str">
        <f t="shared" si="678"/>
        <v>PA</v>
      </c>
    </row>
    <row r="5040" spans="1:19" x14ac:dyDescent="0.3">
      <c r="A5040" t="s">
        <v>8</v>
      </c>
      <c r="B5040">
        <v>2016210056</v>
      </c>
      <c r="C5040" t="s">
        <v>304</v>
      </c>
      <c r="E5040" t="s">
        <v>110</v>
      </c>
      <c r="F5040" t="s">
        <v>111</v>
      </c>
      <c r="G5040">
        <v>4</v>
      </c>
      <c r="H5040" t="s">
        <v>524</v>
      </c>
      <c r="I5040" s="4">
        <f t="shared" si="679"/>
        <v>2</v>
      </c>
      <c r="J5040">
        <f t="shared" si="680"/>
        <v>8</v>
      </c>
      <c r="K5040">
        <v>58</v>
      </c>
      <c r="L5040">
        <v>20</v>
      </c>
      <c r="M5040" s="2">
        <v>2.9</v>
      </c>
      <c r="N5040">
        <v>2.97</v>
      </c>
      <c r="O5040">
        <v>0</v>
      </c>
      <c r="P5040">
        <v>1</v>
      </c>
      <c r="Q5040" s="4" t="str">
        <f t="shared" si="682"/>
        <v>2016/2017-Ganjil</v>
      </c>
      <c r="R5040" s="8" t="s">
        <v>260</v>
      </c>
      <c r="S5040" t="str">
        <f t="shared" si="678"/>
        <v>PA</v>
      </c>
    </row>
    <row r="5041" spans="1:19" x14ac:dyDescent="0.3">
      <c r="A5041" t="s">
        <v>8</v>
      </c>
      <c r="B5041">
        <v>2016210056</v>
      </c>
      <c r="C5041" t="s">
        <v>304</v>
      </c>
      <c r="E5041" t="s">
        <v>119</v>
      </c>
      <c r="F5041" t="s">
        <v>120</v>
      </c>
      <c r="G5041">
        <v>2</v>
      </c>
      <c r="H5041" t="s">
        <v>524</v>
      </c>
      <c r="I5041" s="4">
        <f t="shared" si="679"/>
        <v>2</v>
      </c>
      <c r="J5041">
        <f t="shared" si="680"/>
        <v>4</v>
      </c>
      <c r="K5041">
        <v>44</v>
      </c>
      <c r="L5041">
        <v>20</v>
      </c>
      <c r="M5041" s="2">
        <v>2.2000000000000002</v>
      </c>
      <c r="N5041">
        <v>2.97</v>
      </c>
      <c r="O5041">
        <v>0</v>
      </c>
      <c r="P5041">
        <v>6</v>
      </c>
      <c r="Q5041" s="4" t="str">
        <f t="shared" si="682"/>
        <v>2018/2019-Genap</v>
      </c>
      <c r="R5041" s="8" t="s">
        <v>260</v>
      </c>
      <c r="S5041" t="str">
        <f t="shared" si="678"/>
        <v>PA</v>
      </c>
    </row>
    <row r="5042" spans="1:19" x14ac:dyDescent="0.3">
      <c r="A5042" t="s">
        <v>8</v>
      </c>
      <c r="B5042">
        <v>2016210056</v>
      </c>
      <c r="C5042" t="s">
        <v>304</v>
      </c>
      <c r="E5042" t="s">
        <v>369</v>
      </c>
      <c r="F5042" t="s">
        <v>307</v>
      </c>
      <c r="G5042">
        <v>2</v>
      </c>
      <c r="H5042" t="s">
        <v>524</v>
      </c>
      <c r="I5042" s="4">
        <f t="shared" si="679"/>
        <v>2</v>
      </c>
      <c r="J5042">
        <f t="shared" si="680"/>
        <v>4</v>
      </c>
      <c r="K5042">
        <v>64</v>
      </c>
      <c r="L5042">
        <v>20</v>
      </c>
      <c r="M5042" s="2">
        <v>3.2</v>
      </c>
      <c r="N5042">
        <v>2.97</v>
      </c>
      <c r="O5042">
        <v>0</v>
      </c>
      <c r="P5042">
        <v>4</v>
      </c>
      <c r="Q5042" s="4" t="str">
        <f t="shared" si="682"/>
        <v>2017/2018-Genap</v>
      </c>
      <c r="R5042" s="8" t="s">
        <v>260</v>
      </c>
      <c r="S5042" t="str">
        <f t="shared" si="678"/>
        <v>PA</v>
      </c>
    </row>
    <row r="5043" spans="1:19" x14ac:dyDescent="0.3">
      <c r="A5043" t="s">
        <v>8</v>
      </c>
      <c r="B5043">
        <v>2016210056</v>
      </c>
      <c r="C5043" t="s">
        <v>304</v>
      </c>
      <c r="E5043" t="s">
        <v>227</v>
      </c>
      <c r="F5043" t="s">
        <v>228</v>
      </c>
      <c r="G5043">
        <v>2</v>
      </c>
      <c r="H5043" t="s">
        <v>524</v>
      </c>
      <c r="I5043" s="4">
        <f t="shared" si="679"/>
        <v>2</v>
      </c>
      <c r="J5043">
        <f t="shared" si="680"/>
        <v>4</v>
      </c>
      <c r="K5043">
        <v>52</v>
      </c>
      <c r="L5043">
        <v>20</v>
      </c>
      <c r="M5043" s="2">
        <v>2.6</v>
      </c>
      <c r="N5043">
        <v>2.97</v>
      </c>
      <c r="O5043">
        <v>0</v>
      </c>
      <c r="P5043">
        <v>3</v>
      </c>
      <c r="Q5043" s="4" t="str">
        <f t="shared" si="682"/>
        <v>2017/2018-Ganjil</v>
      </c>
      <c r="R5043" s="8" t="s">
        <v>260</v>
      </c>
      <c r="S5043" t="str">
        <f t="shared" si="678"/>
        <v>PA</v>
      </c>
    </row>
    <row r="5044" spans="1:19" x14ac:dyDescent="0.3">
      <c r="A5044" t="s">
        <v>8</v>
      </c>
      <c r="B5044">
        <v>2016210056</v>
      </c>
      <c r="C5044" t="s">
        <v>304</v>
      </c>
      <c r="E5044" t="s">
        <v>250</v>
      </c>
      <c r="F5044" t="s">
        <v>429</v>
      </c>
      <c r="G5044">
        <v>2</v>
      </c>
      <c r="H5044" t="s">
        <v>524</v>
      </c>
      <c r="I5044" s="4">
        <f t="shared" si="679"/>
        <v>2</v>
      </c>
      <c r="J5044">
        <f t="shared" si="680"/>
        <v>4</v>
      </c>
      <c r="K5044">
        <v>30</v>
      </c>
      <c r="L5044">
        <v>12</v>
      </c>
      <c r="M5044" s="2">
        <v>2.5</v>
      </c>
      <c r="N5044">
        <v>2.97</v>
      </c>
      <c r="O5044">
        <v>0</v>
      </c>
      <c r="P5044">
        <v>8</v>
      </c>
      <c r="Q5044" s="4" t="str">
        <f t="shared" si="682"/>
        <v>2019/2020-Genap</v>
      </c>
      <c r="R5044" t="s">
        <v>596</v>
      </c>
      <c r="S5044" t="str">
        <f t="shared" si="678"/>
        <v>PA</v>
      </c>
    </row>
    <row r="5045" spans="1:19" x14ac:dyDescent="0.3">
      <c r="A5045" t="s">
        <v>8</v>
      </c>
      <c r="B5045">
        <v>2016210056</v>
      </c>
      <c r="C5045" t="s">
        <v>304</v>
      </c>
      <c r="E5045" t="s">
        <v>407</v>
      </c>
      <c r="F5045" t="s">
        <v>312</v>
      </c>
      <c r="G5045">
        <v>2</v>
      </c>
      <c r="H5045" t="s">
        <v>524</v>
      </c>
      <c r="I5045" s="4">
        <f t="shared" si="679"/>
        <v>2</v>
      </c>
      <c r="J5045">
        <f t="shared" si="680"/>
        <v>4</v>
      </c>
      <c r="K5045">
        <v>64</v>
      </c>
      <c r="L5045">
        <v>22</v>
      </c>
      <c r="M5045" s="2">
        <v>2.91</v>
      </c>
      <c r="N5045">
        <v>2.97</v>
      </c>
      <c r="O5045">
        <v>0</v>
      </c>
      <c r="P5045">
        <v>5</v>
      </c>
      <c r="Q5045" s="4" t="str">
        <f t="shared" si="682"/>
        <v>2018/2019-Ganjil</v>
      </c>
      <c r="R5045" s="8" t="s">
        <v>260</v>
      </c>
      <c r="S5045" t="str">
        <f t="shared" si="678"/>
        <v>PA</v>
      </c>
    </row>
    <row r="5046" spans="1:19" x14ac:dyDescent="0.3">
      <c r="A5046" t="s">
        <v>8</v>
      </c>
      <c r="B5046">
        <v>2016210056</v>
      </c>
      <c r="C5046" t="s">
        <v>304</v>
      </c>
      <c r="E5046" t="s">
        <v>112</v>
      </c>
      <c r="F5046" t="s">
        <v>113</v>
      </c>
      <c r="G5046">
        <v>4</v>
      </c>
      <c r="H5046" t="s">
        <v>524</v>
      </c>
      <c r="I5046" s="4">
        <f t="shared" si="679"/>
        <v>2</v>
      </c>
      <c r="J5046">
        <f t="shared" si="680"/>
        <v>8</v>
      </c>
      <c r="K5046">
        <v>52</v>
      </c>
      <c r="L5046">
        <v>20</v>
      </c>
      <c r="M5046" s="2">
        <v>2.6</v>
      </c>
      <c r="N5046">
        <v>2.97</v>
      </c>
      <c r="O5046">
        <v>0</v>
      </c>
      <c r="P5046">
        <v>3</v>
      </c>
      <c r="Q5046" s="4" t="str">
        <f t="shared" si="682"/>
        <v>2017/2018-Ganjil</v>
      </c>
      <c r="R5046" s="8" t="s">
        <v>260</v>
      </c>
      <c r="S5046" t="str">
        <f t="shared" si="678"/>
        <v>PA</v>
      </c>
    </row>
    <row r="5047" spans="1:19" x14ac:dyDescent="0.3">
      <c r="A5047" t="s">
        <v>8</v>
      </c>
      <c r="B5047">
        <v>2016210056</v>
      </c>
      <c r="C5047" t="s">
        <v>304</v>
      </c>
      <c r="E5047" t="s">
        <v>136</v>
      </c>
      <c r="F5047" t="s">
        <v>137</v>
      </c>
      <c r="G5047">
        <v>4</v>
      </c>
      <c r="H5047" t="s">
        <v>524</v>
      </c>
      <c r="I5047" s="4">
        <f t="shared" si="679"/>
        <v>2</v>
      </c>
      <c r="J5047">
        <f t="shared" si="680"/>
        <v>8</v>
      </c>
      <c r="K5047">
        <v>44</v>
      </c>
      <c r="L5047">
        <v>20</v>
      </c>
      <c r="M5047" s="2">
        <v>2.2000000000000002</v>
      </c>
      <c r="N5047">
        <v>2.97</v>
      </c>
      <c r="O5047">
        <v>0</v>
      </c>
      <c r="P5047">
        <v>6</v>
      </c>
      <c r="Q5047" s="4" t="str">
        <f t="shared" si="682"/>
        <v>2018/2019-Genap</v>
      </c>
      <c r="R5047" s="8" t="s">
        <v>260</v>
      </c>
      <c r="S5047" t="str">
        <f t="shared" si="678"/>
        <v>PA</v>
      </c>
    </row>
    <row r="5048" spans="1:19" x14ac:dyDescent="0.3">
      <c r="A5048" t="s">
        <v>8</v>
      </c>
      <c r="B5048">
        <v>2016210056</v>
      </c>
      <c r="C5048" t="s">
        <v>304</v>
      </c>
      <c r="E5048" t="s">
        <v>395</v>
      </c>
      <c r="F5048" t="s">
        <v>396</v>
      </c>
      <c r="G5048">
        <v>2</v>
      </c>
      <c r="H5048" t="s">
        <v>535</v>
      </c>
      <c r="I5048" s="4">
        <f t="shared" si="679"/>
        <v>1</v>
      </c>
      <c r="J5048">
        <f t="shared" si="680"/>
        <v>2</v>
      </c>
      <c r="K5048">
        <v>58</v>
      </c>
      <c r="L5048">
        <v>20</v>
      </c>
      <c r="M5048" s="2">
        <v>2.9</v>
      </c>
      <c r="N5048">
        <v>2.97</v>
      </c>
      <c r="O5048">
        <v>0</v>
      </c>
      <c r="P5048">
        <v>1</v>
      </c>
      <c r="Q5048" s="4" t="str">
        <f t="shared" si="682"/>
        <v>2016/2017-Ganjil</v>
      </c>
      <c r="R5048" s="8" t="s">
        <v>260</v>
      </c>
      <c r="S5048" t="str">
        <f t="shared" si="678"/>
        <v>FA</v>
      </c>
    </row>
    <row r="5049" spans="1:19" x14ac:dyDescent="0.3">
      <c r="A5049" t="s">
        <v>8</v>
      </c>
      <c r="B5049">
        <v>2016210056</v>
      </c>
      <c r="C5049" t="s">
        <v>304</v>
      </c>
      <c r="E5049" t="s">
        <v>355</v>
      </c>
      <c r="F5049" t="s">
        <v>274</v>
      </c>
      <c r="G5049">
        <v>2</v>
      </c>
      <c r="H5049" t="s">
        <v>535</v>
      </c>
      <c r="I5049" s="4">
        <f t="shared" si="679"/>
        <v>1</v>
      </c>
      <c r="J5049">
        <f t="shared" si="680"/>
        <v>2</v>
      </c>
      <c r="K5049">
        <v>44</v>
      </c>
      <c r="L5049">
        <v>20</v>
      </c>
      <c r="M5049" s="2">
        <v>2.2000000000000002</v>
      </c>
      <c r="N5049">
        <v>2.97</v>
      </c>
      <c r="O5049">
        <v>0</v>
      </c>
      <c r="P5049">
        <v>6</v>
      </c>
      <c r="Q5049" s="4" t="str">
        <f t="shared" si="682"/>
        <v>2018/2019-Genap</v>
      </c>
      <c r="R5049" s="8" t="s">
        <v>260</v>
      </c>
      <c r="S5049" t="str">
        <f t="shared" si="678"/>
        <v>FA</v>
      </c>
    </row>
    <row r="5050" spans="1:19" x14ac:dyDescent="0.3">
      <c r="A5050" t="s">
        <v>8</v>
      </c>
      <c r="B5050">
        <v>2016210056</v>
      </c>
      <c r="C5050" t="s">
        <v>304</v>
      </c>
      <c r="E5050" t="s">
        <v>125</v>
      </c>
      <c r="F5050" t="s">
        <v>126</v>
      </c>
      <c r="G5050">
        <v>4</v>
      </c>
      <c r="H5050" t="s">
        <v>535</v>
      </c>
      <c r="I5050" s="4">
        <f t="shared" si="679"/>
        <v>1</v>
      </c>
      <c r="J5050">
        <f t="shared" si="680"/>
        <v>4</v>
      </c>
      <c r="K5050">
        <v>50</v>
      </c>
      <c r="L5050">
        <v>18</v>
      </c>
      <c r="M5050" s="2">
        <v>2.78</v>
      </c>
      <c r="N5050">
        <v>2.97</v>
      </c>
      <c r="O5050">
        <v>0</v>
      </c>
      <c r="P5050">
        <v>2</v>
      </c>
      <c r="Q5050" s="4" t="str">
        <f t="shared" si="682"/>
        <v>2016/2017-Genap</v>
      </c>
      <c r="R5050" s="8" t="s">
        <v>260</v>
      </c>
      <c r="S5050" t="str">
        <f t="shared" si="678"/>
        <v>FA</v>
      </c>
    </row>
    <row r="5051" spans="1:19" x14ac:dyDescent="0.3">
      <c r="A5051" t="s">
        <v>8</v>
      </c>
      <c r="B5051">
        <v>2016210056</v>
      </c>
      <c r="C5051" t="s">
        <v>304</v>
      </c>
      <c r="E5051" t="s">
        <v>401</v>
      </c>
      <c r="F5051" t="s">
        <v>258</v>
      </c>
      <c r="G5051">
        <v>4</v>
      </c>
      <c r="H5051" t="s">
        <v>535</v>
      </c>
      <c r="I5051" s="4">
        <f t="shared" si="679"/>
        <v>1</v>
      </c>
      <c r="J5051">
        <f t="shared" si="680"/>
        <v>4</v>
      </c>
      <c r="K5051">
        <v>52</v>
      </c>
      <c r="L5051">
        <v>20</v>
      </c>
      <c r="M5051" s="2">
        <v>2.6</v>
      </c>
      <c r="N5051">
        <v>2.97</v>
      </c>
      <c r="O5051">
        <v>0</v>
      </c>
      <c r="P5051">
        <v>3</v>
      </c>
      <c r="Q5051" s="4" t="str">
        <f t="shared" si="682"/>
        <v>2017/2018-Ganjil</v>
      </c>
      <c r="R5051" s="8" t="s">
        <v>260</v>
      </c>
      <c r="S5051" t="str">
        <f t="shared" si="678"/>
        <v>FA</v>
      </c>
    </row>
    <row r="5052" spans="1:19" x14ac:dyDescent="0.3">
      <c r="A5052" t="s">
        <v>8</v>
      </c>
      <c r="B5052">
        <v>2016210056</v>
      </c>
      <c r="C5052" t="s">
        <v>304</v>
      </c>
      <c r="E5052" t="s">
        <v>44</v>
      </c>
      <c r="F5052" t="s">
        <v>45</v>
      </c>
      <c r="G5052">
        <v>2</v>
      </c>
      <c r="H5052" t="s">
        <v>539</v>
      </c>
      <c r="I5052" s="4">
        <f t="shared" si="679"/>
        <v>0</v>
      </c>
      <c r="J5052">
        <f t="shared" si="680"/>
        <v>0</v>
      </c>
      <c r="K5052">
        <v>44</v>
      </c>
      <c r="L5052">
        <v>20</v>
      </c>
      <c r="M5052" s="2">
        <v>2.2000000000000002</v>
      </c>
      <c r="N5052">
        <v>2.97</v>
      </c>
      <c r="O5052">
        <v>0</v>
      </c>
      <c r="P5052">
        <v>6</v>
      </c>
      <c r="Q5052" s="4" t="str">
        <f t="shared" si="682"/>
        <v>2018/2019-Genap</v>
      </c>
      <c r="R5052" s="8" t="s">
        <v>260</v>
      </c>
      <c r="S5052" t="str">
        <f t="shared" si="678"/>
        <v>FA</v>
      </c>
    </row>
    <row r="5053" spans="1:19" x14ac:dyDescent="0.3">
      <c r="A5053" t="s">
        <v>8</v>
      </c>
      <c r="B5053">
        <v>2016210056</v>
      </c>
      <c r="C5053" t="s">
        <v>304</v>
      </c>
      <c r="E5053" t="s">
        <v>395</v>
      </c>
      <c r="F5053" t="s">
        <v>396</v>
      </c>
      <c r="G5053">
        <v>2</v>
      </c>
      <c r="H5053" t="s">
        <v>438</v>
      </c>
      <c r="I5053" s="4">
        <f t="shared" si="679"/>
        <v>3</v>
      </c>
      <c r="J5053">
        <f t="shared" si="680"/>
        <v>6</v>
      </c>
      <c r="K5053">
        <v>42</v>
      </c>
      <c r="L5053">
        <v>14</v>
      </c>
      <c r="M5053" s="2">
        <v>3</v>
      </c>
      <c r="N5053">
        <v>2.97</v>
      </c>
      <c r="O5053">
        <v>1</v>
      </c>
      <c r="P5053">
        <v>6</v>
      </c>
      <c r="Q5053" s="4" t="s">
        <v>572</v>
      </c>
      <c r="R5053" s="8" t="s">
        <v>260</v>
      </c>
      <c r="S5053" t="str">
        <f t="shared" si="678"/>
        <v>PA</v>
      </c>
    </row>
    <row r="5054" spans="1:19" x14ac:dyDescent="0.3">
      <c r="A5054" t="s">
        <v>8</v>
      </c>
      <c r="B5054">
        <v>2016210056</v>
      </c>
      <c r="C5054" t="s">
        <v>304</v>
      </c>
      <c r="E5054" t="s">
        <v>355</v>
      </c>
      <c r="F5054" t="s">
        <v>274</v>
      </c>
      <c r="G5054">
        <v>2</v>
      </c>
      <c r="H5054" t="s">
        <v>438</v>
      </c>
      <c r="I5054" s="4">
        <f t="shared" si="679"/>
        <v>3</v>
      </c>
      <c r="J5054">
        <f t="shared" si="680"/>
        <v>6</v>
      </c>
      <c r="K5054">
        <v>42</v>
      </c>
      <c r="L5054">
        <v>14</v>
      </c>
      <c r="M5054" s="2">
        <v>3</v>
      </c>
      <c r="N5054">
        <v>2.97</v>
      </c>
      <c r="O5054">
        <v>1</v>
      </c>
      <c r="P5054">
        <v>6</v>
      </c>
      <c r="Q5054" s="4" t="s">
        <v>572</v>
      </c>
      <c r="R5054" s="8" t="s">
        <v>260</v>
      </c>
      <c r="S5054" t="str">
        <f t="shared" si="678"/>
        <v>PA</v>
      </c>
    </row>
    <row r="5055" spans="1:19" x14ac:dyDescent="0.3">
      <c r="A5055" t="s">
        <v>8</v>
      </c>
      <c r="B5055">
        <v>2016210056</v>
      </c>
      <c r="C5055" t="s">
        <v>304</v>
      </c>
      <c r="E5055" t="s">
        <v>125</v>
      </c>
      <c r="F5055" t="s">
        <v>126</v>
      </c>
      <c r="G5055">
        <v>4</v>
      </c>
      <c r="H5055" t="s">
        <v>438</v>
      </c>
      <c r="I5055" s="4">
        <f t="shared" si="679"/>
        <v>3</v>
      </c>
      <c r="J5055">
        <f t="shared" si="680"/>
        <v>12</v>
      </c>
      <c r="K5055">
        <v>42</v>
      </c>
      <c r="L5055">
        <v>14</v>
      </c>
      <c r="M5055" s="2">
        <v>3</v>
      </c>
      <c r="N5055">
        <v>2.97</v>
      </c>
      <c r="O5055">
        <v>1</v>
      </c>
      <c r="P5055">
        <v>6</v>
      </c>
      <c r="Q5055" s="4" t="s">
        <v>572</v>
      </c>
      <c r="R5055" s="8" t="s">
        <v>260</v>
      </c>
      <c r="S5055" t="str">
        <f t="shared" si="678"/>
        <v>PA</v>
      </c>
    </row>
    <row r="5056" spans="1:19" x14ac:dyDescent="0.3">
      <c r="A5056" t="s">
        <v>8</v>
      </c>
      <c r="B5056">
        <v>2016210056</v>
      </c>
      <c r="C5056" t="s">
        <v>304</v>
      </c>
      <c r="E5056" t="s">
        <v>401</v>
      </c>
      <c r="F5056" t="s">
        <v>258</v>
      </c>
      <c r="G5056">
        <v>4</v>
      </c>
      <c r="H5056" t="s">
        <v>438</v>
      </c>
      <c r="I5056" s="4">
        <f t="shared" si="679"/>
        <v>3</v>
      </c>
      <c r="J5056">
        <f t="shared" si="680"/>
        <v>12</v>
      </c>
      <c r="K5056">
        <v>42</v>
      </c>
      <c r="L5056">
        <v>14</v>
      </c>
      <c r="M5056" s="2">
        <v>3</v>
      </c>
      <c r="N5056">
        <v>2.97</v>
      </c>
      <c r="O5056">
        <v>1</v>
      </c>
      <c r="P5056">
        <v>6</v>
      </c>
      <c r="Q5056" s="4" t="s">
        <v>572</v>
      </c>
      <c r="R5056" s="8" t="s">
        <v>260</v>
      </c>
      <c r="S5056" t="str">
        <f t="shared" si="678"/>
        <v>PA</v>
      </c>
    </row>
    <row r="5057" spans="1:19" x14ac:dyDescent="0.3">
      <c r="A5057" t="s">
        <v>8</v>
      </c>
      <c r="B5057">
        <v>2016210056</v>
      </c>
      <c r="C5057" t="s">
        <v>304</v>
      </c>
      <c r="E5057" t="s">
        <v>44</v>
      </c>
      <c r="F5057" t="s">
        <v>45</v>
      </c>
      <c r="G5057">
        <v>2</v>
      </c>
      <c r="H5057" t="s">
        <v>438</v>
      </c>
      <c r="I5057" s="4">
        <f t="shared" si="679"/>
        <v>3</v>
      </c>
      <c r="J5057">
        <f t="shared" si="680"/>
        <v>6</v>
      </c>
      <c r="K5057">
        <v>42</v>
      </c>
      <c r="L5057">
        <v>14</v>
      </c>
      <c r="M5057" s="2">
        <v>3</v>
      </c>
      <c r="N5057">
        <v>2.97</v>
      </c>
      <c r="O5057">
        <v>1</v>
      </c>
      <c r="P5057">
        <v>6</v>
      </c>
      <c r="Q5057" s="4" t="s">
        <v>572</v>
      </c>
      <c r="R5057" s="8" t="s">
        <v>260</v>
      </c>
      <c r="S5057" t="str">
        <f t="shared" si="678"/>
        <v>PA</v>
      </c>
    </row>
    <row r="5058" spans="1:19" x14ac:dyDescent="0.3">
      <c r="A5058" t="s">
        <v>8</v>
      </c>
      <c r="B5058">
        <v>2016210057</v>
      </c>
      <c r="C5058" t="s">
        <v>21</v>
      </c>
      <c r="E5058" t="s">
        <v>22</v>
      </c>
      <c r="F5058" t="s">
        <v>23</v>
      </c>
      <c r="G5058">
        <v>2</v>
      </c>
      <c r="I5058" s="4"/>
      <c r="J5058">
        <f t="shared" ref="J5058:J5069" si="683">G5058*I5058</f>
        <v>0</v>
      </c>
      <c r="K5058">
        <v>4</v>
      </c>
      <c r="L5058">
        <v>8</v>
      </c>
      <c r="M5058" s="2">
        <v>0.5</v>
      </c>
      <c r="N5058">
        <v>0.67</v>
      </c>
      <c r="O5058">
        <v>0</v>
      </c>
      <c r="P5058">
        <v>2</v>
      </c>
      <c r="Q5058" s="4" t="str">
        <f t="shared" ref="Q5058:Q5090" si="684">IF(P5058=1,"2016/2017-Ganjil",IF(P5058=2,"2016/2017-Genap",IF(P5058=3,"2017/2018-Ganjil",IF(P5058=4,"2017/2018-Genap",IF(P5058=5,"2018/2019-Ganjil",IF(P5058=6,"2018/2019-Genap",IF(P5058=7,"2019/2020-Ganjil",IF(P5058=8,"2019/2020-Genap",IF(P5058=9,"2020/2021-Ganjil",IF(P5058=10,"2020/2021-Genap",IF(P5058=11,"2021/2022-Ganjil",IF(P5058=12,"2021/2022-Genap",IF(P5058=13,"2022/2023-Ganjil","2022/2023-Genap")))))))))))))</f>
        <v>2016/2017-Genap</v>
      </c>
      <c r="R5058" s="8" t="s">
        <v>260</v>
      </c>
      <c r="S5058" t="s">
        <v>595</v>
      </c>
    </row>
    <row r="5059" spans="1:19" x14ac:dyDescent="0.3">
      <c r="A5059" t="s">
        <v>8</v>
      </c>
      <c r="B5059">
        <v>2016210057</v>
      </c>
      <c r="C5059" t="s">
        <v>21</v>
      </c>
      <c r="E5059" t="s">
        <v>110</v>
      </c>
      <c r="F5059" t="s">
        <v>111</v>
      </c>
      <c r="G5059">
        <v>4</v>
      </c>
      <c r="I5059" s="4"/>
      <c r="J5059">
        <v>0</v>
      </c>
      <c r="K5059">
        <v>0</v>
      </c>
      <c r="L5059">
        <v>4</v>
      </c>
      <c r="M5059" s="2">
        <v>0</v>
      </c>
      <c r="N5059">
        <v>0.67</v>
      </c>
      <c r="O5059">
        <v>0</v>
      </c>
      <c r="P5059">
        <v>1</v>
      </c>
      <c r="Q5059" s="4" t="str">
        <f t="shared" si="684"/>
        <v>2016/2017-Ganjil</v>
      </c>
      <c r="R5059" s="8" t="s">
        <v>260</v>
      </c>
      <c r="S5059" t="s">
        <v>595</v>
      </c>
    </row>
    <row r="5060" spans="1:19" x14ac:dyDescent="0.3">
      <c r="A5060" t="s">
        <v>8</v>
      </c>
      <c r="B5060">
        <v>2016210057</v>
      </c>
      <c r="C5060" t="s">
        <v>21</v>
      </c>
      <c r="E5060" t="s">
        <v>110</v>
      </c>
      <c r="F5060" t="s">
        <v>111</v>
      </c>
      <c r="G5060">
        <v>4</v>
      </c>
      <c r="I5060" s="4"/>
      <c r="J5060">
        <v>0</v>
      </c>
      <c r="K5060">
        <v>8</v>
      </c>
      <c r="L5060">
        <v>6</v>
      </c>
      <c r="M5060" s="2">
        <v>1.33</v>
      </c>
      <c r="N5060">
        <v>0.67</v>
      </c>
      <c r="O5060">
        <v>1</v>
      </c>
      <c r="P5060">
        <v>3</v>
      </c>
      <c r="Q5060" s="4" t="str">
        <f t="shared" si="684"/>
        <v>2017/2018-Ganjil</v>
      </c>
      <c r="R5060" s="8" t="s">
        <v>535</v>
      </c>
      <c r="S5060" t="s">
        <v>595</v>
      </c>
    </row>
    <row r="5061" spans="1:19" x14ac:dyDescent="0.3">
      <c r="A5061" t="s">
        <v>8</v>
      </c>
      <c r="B5061">
        <v>2016210057</v>
      </c>
      <c r="C5061" t="s">
        <v>21</v>
      </c>
      <c r="E5061" t="s">
        <v>147</v>
      </c>
      <c r="F5061" t="s">
        <v>148</v>
      </c>
      <c r="G5061">
        <v>4</v>
      </c>
      <c r="I5061" s="4"/>
      <c r="J5061">
        <f t="shared" si="683"/>
        <v>0</v>
      </c>
      <c r="K5061">
        <v>0</v>
      </c>
      <c r="L5061">
        <v>4</v>
      </c>
      <c r="M5061" s="2">
        <v>0</v>
      </c>
      <c r="N5061">
        <v>0.67</v>
      </c>
      <c r="O5061">
        <v>0</v>
      </c>
      <c r="P5061">
        <v>1</v>
      </c>
      <c r="Q5061" s="4" t="str">
        <f t="shared" si="684"/>
        <v>2016/2017-Ganjil</v>
      </c>
      <c r="R5061" s="8" t="s">
        <v>260</v>
      </c>
      <c r="S5061" t="s">
        <v>595</v>
      </c>
    </row>
    <row r="5062" spans="1:19" x14ac:dyDescent="0.3">
      <c r="A5062" t="s">
        <v>8</v>
      </c>
      <c r="B5062">
        <v>2016210057</v>
      </c>
      <c r="C5062" t="s">
        <v>21</v>
      </c>
      <c r="E5062" t="s">
        <v>202</v>
      </c>
      <c r="F5062" t="s">
        <v>203</v>
      </c>
      <c r="G5062">
        <v>4</v>
      </c>
      <c r="I5062" s="4"/>
      <c r="J5062">
        <v>0</v>
      </c>
      <c r="K5062">
        <v>0</v>
      </c>
      <c r="L5062">
        <v>4</v>
      </c>
      <c r="M5062" s="2">
        <v>0</v>
      </c>
      <c r="N5062">
        <v>0.67</v>
      </c>
      <c r="O5062">
        <v>0</v>
      </c>
      <c r="P5062">
        <v>1</v>
      </c>
      <c r="Q5062" s="4" t="str">
        <f t="shared" si="684"/>
        <v>2016/2017-Ganjil</v>
      </c>
      <c r="R5062" s="8" t="s">
        <v>260</v>
      </c>
      <c r="S5062" t="s">
        <v>595</v>
      </c>
    </row>
    <row r="5063" spans="1:19" x14ac:dyDescent="0.3">
      <c r="A5063" t="s">
        <v>8</v>
      </c>
      <c r="B5063">
        <v>2016210057</v>
      </c>
      <c r="C5063" t="s">
        <v>21</v>
      </c>
      <c r="E5063" t="s">
        <v>202</v>
      </c>
      <c r="F5063" t="s">
        <v>203</v>
      </c>
      <c r="G5063">
        <v>4</v>
      </c>
      <c r="I5063" s="4"/>
      <c r="J5063">
        <v>0</v>
      </c>
      <c r="K5063">
        <v>8</v>
      </c>
      <c r="L5063">
        <v>6</v>
      </c>
      <c r="M5063" s="2">
        <v>1.33</v>
      </c>
      <c r="N5063">
        <v>0.67</v>
      </c>
      <c r="O5063">
        <v>1</v>
      </c>
      <c r="P5063">
        <v>3</v>
      </c>
      <c r="Q5063" s="4" t="str">
        <f t="shared" si="684"/>
        <v>2017/2018-Ganjil</v>
      </c>
      <c r="R5063" s="8" t="s">
        <v>535</v>
      </c>
      <c r="S5063" t="s">
        <v>595</v>
      </c>
    </row>
    <row r="5064" spans="1:19" x14ac:dyDescent="0.3">
      <c r="A5064" t="s">
        <v>8</v>
      </c>
      <c r="B5064">
        <v>2016210057</v>
      </c>
      <c r="C5064" t="s">
        <v>21</v>
      </c>
      <c r="E5064" t="s">
        <v>163</v>
      </c>
      <c r="F5064" t="s">
        <v>164</v>
      </c>
      <c r="G5064">
        <v>2</v>
      </c>
      <c r="I5064" s="4"/>
      <c r="J5064">
        <v>0</v>
      </c>
      <c r="K5064">
        <v>0</v>
      </c>
      <c r="L5064">
        <v>4</v>
      </c>
      <c r="M5064" s="2">
        <v>0</v>
      </c>
      <c r="N5064">
        <v>0.67</v>
      </c>
      <c r="O5064">
        <v>0</v>
      </c>
      <c r="P5064">
        <v>1</v>
      </c>
      <c r="Q5064" s="4" t="str">
        <f t="shared" si="684"/>
        <v>2016/2017-Ganjil</v>
      </c>
      <c r="R5064" s="8" t="s">
        <v>260</v>
      </c>
      <c r="S5064" t="s">
        <v>595</v>
      </c>
    </row>
    <row r="5065" spans="1:19" x14ac:dyDescent="0.3">
      <c r="A5065" t="s">
        <v>8</v>
      </c>
      <c r="B5065">
        <v>2016210057</v>
      </c>
      <c r="C5065" t="s">
        <v>21</v>
      </c>
      <c r="E5065" t="s">
        <v>163</v>
      </c>
      <c r="F5065" t="s">
        <v>164</v>
      </c>
      <c r="G5065">
        <v>2</v>
      </c>
      <c r="H5065" t="s">
        <v>539</v>
      </c>
      <c r="I5065" s="4">
        <v>0</v>
      </c>
      <c r="J5065">
        <v>0</v>
      </c>
      <c r="K5065">
        <v>8</v>
      </c>
      <c r="L5065">
        <v>6</v>
      </c>
      <c r="M5065" s="2">
        <v>1.33</v>
      </c>
      <c r="N5065">
        <v>0.67</v>
      </c>
      <c r="O5065">
        <v>1</v>
      </c>
      <c r="P5065">
        <v>3</v>
      </c>
      <c r="Q5065" s="4" t="str">
        <f t="shared" si="684"/>
        <v>2017/2018-Ganjil</v>
      </c>
      <c r="R5065" s="8" t="s">
        <v>535</v>
      </c>
      <c r="S5065" t="str">
        <f>IF(OR(H5065="A",H5065="B",H5065="C"),"PA","FA")</f>
        <v>FA</v>
      </c>
    </row>
    <row r="5066" spans="1:19" x14ac:dyDescent="0.3">
      <c r="A5066" t="s">
        <v>8</v>
      </c>
      <c r="B5066">
        <v>2016210057</v>
      </c>
      <c r="C5066" t="s">
        <v>21</v>
      </c>
      <c r="E5066" t="s">
        <v>115</v>
      </c>
      <c r="F5066" t="s">
        <v>116</v>
      </c>
      <c r="G5066">
        <v>4</v>
      </c>
      <c r="I5066" s="4"/>
      <c r="J5066">
        <f t="shared" si="683"/>
        <v>0</v>
      </c>
      <c r="K5066">
        <v>4</v>
      </c>
      <c r="L5066">
        <v>8</v>
      </c>
      <c r="M5066" s="2">
        <v>0.5</v>
      </c>
      <c r="N5066">
        <v>0.67</v>
      </c>
      <c r="O5066">
        <v>0</v>
      </c>
      <c r="P5066">
        <v>2</v>
      </c>
      <c r="Q5066" s="4" t="str">
        <f t="shared" si="684"/>
        <v>2016/2017-Genap</v>
      </c>
      <c r="R5066" s="8" t="s">
        <v>260</v>
      </c>
      <c r="S5066" t="s">
        <v>595</v>
      </c>
    </row>
    <row r="5067" spans="1:19" x14ac:dyDescent="0.3">
      <c r="A5067" t="s">
        <v>8</v>
      </c>
      <c r="B5067">
        <v>2016210057</v>
      </c>
      <c r="C5067" t="s">
        <v>21</v>
      </c>
      <c r="E5067" t="s">
        <v>125</v>
      </c>
      <c r="F5067" t="s">
        <v>126</v>
      </c>
      <c r="G5067">
        <v>4</v>
      </c>
      <c r="I5067" s="4"/>
      <c r="J5067">
        <f t="shared" si="683"/>
        <v>0</v>
      </c>
      <c r="K5067">
        <v>4</v>
      </c>
      <c r="L5067">
        <v>8</v>
      </c>
      <c r="M5067" s="2">
        <v>0.5</v>
      </c>
      <c r="N5067">
        <v>0.67</v>
      </c>
      <c r="O5067">
        <v>0</v>
      </c>
      <c r="P5067">
        <v>2</v>
      </c>
      <c r="Q5067" s="4" t="str">
        <f t="shared" si="684"/>
        <v>2016/2017-Genap</v>
      </c>
      <c r="R5067" s="8" t="s">
        <v>260</v>
      </c>
      <c r="S5067" t="s">
        <v>595</v>
      </c>
    </row>
    <row r="5068" spans="1:19" x14ac:dyDescent="0.3">
      <c r="A5068" t="s">
        <v>8</v>
      </c>
      <c r="B5068">
        <v>2016210057</v>
      </c>
      <c r="C5068" t="s">
        <v>21</v>
      </c>
      <c r="E5068" t="s">
        <v>77</v>
      </c>
      <c r="F5068" t="s">
        <v>78</v>
      </c>
      <c r="G5068">
        <v>2</v>
      </c>
      <c r="I5068" s="4"/>
      <c r="J5068">
        <f t="shared" si="683"/>
        <v>0</v>
      </c>
      <c r="K5068">
        <v>0</v>
      </c>
      <c r="L5068">
        <v>4</v>
      </c>
      <c r="M5068" s="2">
        <v>0</v>
      </c>
      <c r="N5068">
        <v>0.67</v>
      </c>
      <c r="O5068">
        <v>0</v>
      </c>
      <c r="P5068">
        <v>1</v>
      </c>
      <c r="Q5068" s="4" t="str">
        <f t="shared" si="684"/>
        <v>2016/2017-Ganjil</v>
      </c>
      <c r="R5068" s="8" t="s">
        <v>260</v>
      </c>
      <c r="S5068" t="s">
        <v>595</v>
      </c>
    </row>
    <row r="5069" spans="1:19" x14ac:dyDescent="0.3">
      <c r="A5069" t="s">
        <v>8</v>
      </c>
      <c r="B5069">
        <v>2016210057</v>
      </c>
      <c r="C5069" t="s">
        <v>21</v>
      </c>
      <c r="E5069" t="s">
        <v>352</v>
      </c>
      <c r="F5069" t="s">
        <v>353</v>
      </c>
      <c r="G5069">
        <v>2</v>
      </c>
      <c r="H5069" t="s">
        <v>260</v>
      </c>
      <c r="I5069" s="4">
        <f t="shared" ref="I5069" si="685">IF(H5069="A",4,IF(H5069="B",3,IF(H5069="C",2,IF(H5069="D",1,0))))</f>
        <v>4</v>
      </c>
      <c r="J5069">
        <f t="shared" si="683"/>
        <v>8</v>
      </c>
      <c r="K5069">
        <v>8</v>
      </c>
      <c r="L5069">
        <v>6</v>
      </c>
      <c r="M5069" s="2">
        <v>1.33</v>
      </c>
      <c r="N5069">
        <v>0.67</v>
      </c>
      <c r="O5069">
        <v>0</v>
      </c>
      <c r="P5069">
        <v>3</v>
      </c>
      <c r="Q5069" s="4" t="str">
        <f t="shared" si="684"/>
        <v>2017/2018-Ganjil</v>
      </c>
      <c r="R5069" s="8" t="s">
        <v>535</v>
      </c>
      <c r="S5069" t="str">
        <f t="shared" ref="S5069:S5090" si="686">IF(OR(H5069="A",H5069="B",H5069="C"),"PA","FA")</f>
        <v>PA</v>
      </c>
    </row>
    <row r="5070" spans="1:19" x14ac:dyDescent="0.3">
      <c r="A5070" t="s">
        <v>8</v>
      </c>
      <c r="B5070">
        <v>2016210057</v>
      </c>
      <c r="C5070" t="s">
        <v>21</v>
      </c>
      <c r="E5070" t="s">
        <v>266</v>
      </c>
      <c r="F5070" t="s">
        <v>91</v>
      </c>
      <c r="G5070">
        <v>2</v>
      </c>
      <c r="H5070" t="s">
        <v>535</v>
      </c>
      <c r="I5070" s="4">
        <f t="shared" ref="I5070:I5090" si="687">IF(H5070="A",4,IF(H5070="B",3,IF(H5070="C",2,IF(H5070="D",1,0))))</f>
        <v>1</v>
      </c>
      <c r="J5070">
        <f t="shared" ref="J5070:J5090" si="688">G5070*I5070</f>
        <v>2</v>
      </c>
      <c r="K5070">
        <v>4</v>
      </c>
      <c r="L5070">
        <v>8</v>
      </c>
      <c r="M5070" s="2">
        <v>0.5</v>
      </c>
      <c r="N5070">
        <v>0.67</v>
      </c>
      <c r="O5070">
        <v>0</v>
      </c>
      <c r="P5070">
        <v>2</v>
      </c>
      <c r="Q5070" s="4" t="str">
        <f t="shared" si="684"/>
        <v>2016/2017-Genap</v>
      </c>
      <c r="R5070" s="8" t="s">
        <v>260</v>
      </c>
      <c r="S5070" t="str">
        <f t="shared" si="686"/>
        <v>FA</v>
      </c>
    </row>
    <row r="5071" spans="1:19" x14ac:dyDescent="0.3">
      <c r="A5071" t="s">
        <v>8</v>
      </c>
      <c r="B5071">
        <v>2016210057</v>
      </c>
      <c r="C5071" t="s">
        <v>21</v>
      </c>
      <c r="E5071" t="s">
        <v>44</v>
      </c>
      <c r="F5071" t="s">
        <v>45</v>
      </c>
      <c r="G5071">
        <v>2</v>
      </c>
      <c r="H5071" t="s">
        <v>535</v>
      </c>
      <c r="I5071" s="4">
        <f t="shared" si="687"/>
        <v>1</v>
      </c>
      <c r="J5071">
        <f t="shared" si="688"/>
        <v>2</v>
      </c>
      <c r="K5071">
        <v>4</v>
      </c>
      <c r="L5071">
        <v>8</v>
      </c>
      <c r="M5071" s="2">
        <v>0.5</v>
      </c>
      <c r="N5071">
        <v>0.67</v>
      </c>
      <c r="O5071">
        <v>0</v>
      </c>
      <c r="P5071">
        <v>2</v>
      </c>
      <c r="Q5071" s="4" t="str">
        <f t="shared" si="684"/>
        <v>2016/2017-Genap</v>
      </c>
      <c r="R5071" s="8" t="s">
        <v>260</v>
      </c>
      <c r="S5071" t="str">
        <f>IF(OR(H5071="A",H5071="B",H5071="C"),"PA","FA")</f>
        <v>FA</v>
      </c>
    </row>
    <row r="5072" spans="1:19" x14ac:dyDescent="0.3">
      <c r="A5072" t="s">
        <v>8</v>
      </c>
      <c r="B5072">
        <v>2016210057</v>
      </c>
      <c r="C5072" t="s">
        <v>21</v>
      </c>
      <c r="E5072" t="s">
        <v>279</v>
      </c>
      <c r="F5072" t="s">
        <v>280</v>
      </c>
      <c r="G5072">
        <v>2</v>
      </c>
      <c r="H5072" t="s">
        <v>539</v>
      </c>
      <c r="I5072" s="4">
        <f t="shared" si="687"/>
        <v>0</v>
      </c>
      <c r="J5072">
        <f t="shared" si="688"/>
        <v>0</v>
      </c>
      <c r="K5072">
        <v>4</v>
      </c>
      <c r="L5072">
        <v>8</v>
      </c>
      <c r="M5072" s="2">
        <v>0.5</v>
      </c>
      <c r="N5072">
        <v>0.67</v>
      </c>
      <c r="O5072">
        <v>0</v>
      </c>
      <c r="P5072">
        <v>2</v>
      </c>
      <c r="Q5072" s="4" t="str">
        <f t="shared" si="684"/>
        <v>2016/2017-Genap</v>
      </c>
      <c r="R5072" s="8" t="s">
        <v>260</v>
      </c>
      <c r="S5072" t="str">
        <f t="shared" si="686"/>
        <v>FA</v>
      </c>
    </row>
    <row r="5073" spans="1:19" x14ac:dyDescent="0.3">
      <c r="A5073" t="s">
        <v>8</v>
      </c>
      <c r="B5073">
        <v>2016210057</v>
      </c>
      <c r="C5073" t="s">
        <v>21</v>
      </c>
      <c r="E5073" t="s">
        <v>157</v>
      </c>
      <c r="F5073" t="s">
        <v>158</v>
      </c>
      <c r="G5073">
        <v>2</v>
      </c>
      <c r="H5073" t="s">
        <v>539</v>
      </c>
      <c r="I5073" s="4">
        <f t="shared" si="687"/>
        <v>0</v>
      </c>
      <c r="J5073">
        <f t="shared" si="688"/>
        <v>0</v>
      </c>
      <c r="K5073">
        <v>8</v>
      </c>
      <c r="L5073">
        <v>6</v>
      </c>
      <c r="M5073" s="2">
        <v>1.33</v>
      </c>
      <c r="N5073">
        <v>0.67</v>
      </c>
      <c r="O5073">
        <v>0</v>
      </c>
      <c r="P5073">
        <v>3</v>
      </c>
      <c r="Q5073" s="4" t="str">
        <f t="shared" si="684"/>
        <v>2017/2018-Ganjil</v>
      </c>
      <c r="R5073" s="8" t="s">
        <v>535</v>
      </c>
      <c r="S5073" t="str">
        <f t="shared" si="686"/>
        <v>FA</v>
      </c>
    </row>
    <row r="5074" spans="1:19" x14ac:dyDescent="0.3">
      <c r="A5074" t="s">
        <v>8</v>
      </c>
      <c r="B5074">
        <v>2016210057</v>
      </c>
      <c r="C5074" t="s">
        <v>21</v>
      </c>
      <c r="E5074" t="s">
        <v>131</v>
      </c>
      <c r="F5074" t="s">
        <v>132</v>
      </c>
      <c r="G5074">
        <v>2</v>
      </c>
      <c r="H5074" t="s">
        <v>539</v>
      </c>
      <c r="I5074" s="4">
        <f t="shared" si="687"/>
        <v>0</v>
      </c>
      <c r="J5074">
        <f t="shared" si="688"/>
        <v>0</v>
      </c>
      <c r="K5074">
        <v>0</v>
      </c>
      <c r="L5074">
        <v>4</v>
      </c>
      <c r="M5074" s="2">
        <v>0</v>
      </c>
      <c r="N5074">
        <v>0.67</v>
      </c>
      <c r="O5074">
        <v>0</v>
      </c>
      <c r="P5074">
        <v>1</v>
      </c>
      <c r="Q5074" s="4" t="str">
        <f t="shared" si="684"/>
        <v>2016/2017-Ganjil</v>
      </c>
      <c r="R5074" s="8" t="s">
        <v>260</v>
      </c>
      <c r="S5074" t="str">
        <f t="shared" si="686"/>
        <v>FA</v>
      </c>
    </row>
    <row r="5075" spans="1:19" x14ac:dyDescent="0.3">
      <c r="A5075" t="s">
        <v>8</v>
      </c>
      <c r="B5075">
        <v>2016210057</v>
      </c>
      <c r="C5075" t="s">
        <v>21</v>
      </c>
      <c r="E5075" t="s">
        <v>395</v>
      </c>
      <c r="F5075" t="s">
        <v>396</v>
      </c>
      <c r="G5075">
        <v>2</v>
      </c>
      <c r="H5075" t="s">
        <v>539</v>
      </c>
      <c r="I5075" s="4">
        <f t="shared" si="687"/>
        <v>0</v>
      </c>
      <c r="J5075">
        <f t="shared" si="688"/>
        <v>0</v>
      </c>
      <c r="K5075">
        <v>0</v>
      </c>
      <c r="L5075">
        <v>4</v>
      </c>
      <c r="M5075" s="2">
        <v>0</v>
      </c>
      <c r="N5075">
        <v>0.67</v>
      </c>
      <c r="O5075">
        <v>0</v>
      </c>
      <c r="P5075">
        <v>1</v>
      </c>
      <c r="Q5075" s="4" t="str">
        <f t="shared" si="684"/>
        <v>2016/2017-Ganjil</v>
      </c>
      <c r="R5075" s="8" t="s">
        <v>260</v>
      </c>
      <c r="S5075" t="str">
        <f t="shared" si="686"/>
        <v>FA</v>
      </c>
    </row>
    <row r="5076" spans="1:19" x14ac:dyDescent="0.3">
      <c r="A5076" t="s">
        <v>8</v>
      </c>
      <c r="B5076">
        <v>2016210057</v>
      </c>
      <c r="C5076" t="s">
        <v>21</v>
      </c>
      <c r="E5076" t="s">
        <v>117</v>
      </c>
      <c r="F5076" t="s">
        <v>118</v>
      </c>
      <c r="G5076">
        <v>2</v>
      </c>
      <c r="H5076" t="s">
        <v>539</v>
      </c>
      <c r="I5076" s="4">
        <f t="shared" si="687"/>
        <v>0</v>
      </c>
      <c r="J5076">
        <f t="shared" si="688"/>
        <v>0</v>
      </c>
      <c r="K5076">
        <v>4</v>
      </c>
      <c r="L5076">
        <v>8</v>
      </c>
      <c r="M5076" s="2">
        <v>0.5</v>
      </c>
      <c r="N5076">
        <v>0.67</v>
      </c>
      <c r="O5076">
        <v>0</v>
      </c>
      <c r="P5076">
        <v>2</v>
      </c>
      <c r="Q5076" s="4" t="str">
        <f t="shared" si="684"/>
        <v>2016/2017-Genap</v>
      </c>
      <c r="R5076" s="8" t="s">
        <v>260</v>
      </c>
      <c r="S5076" t="str">
        <f t="shared" si="686"/>
        <v>FA</v>
      </c>
    </row>
    <row r="5077" spans="1:19" x14ac:dyDescent="0.3">
      <c r="A5077" t="s">
        <v>8</v>
      </c>
      <c r="B5077">
        <v>2016210058</v>
      </c>
      <c r="C5077" t="s">
        <v>313</v>
      </c>
      <c r="E5077" t="s">
        <v>202</v>
      </c>
      <c r="F5077" t="s">
        <v>203</v>
      </c>
      <c r="G5077">
        <v>4</v>
      </c>
      <c r="H5077" t="s">
        <v>260</v>
      </c>
      <c r="I5077" s="4">
        <f t="shared" si="687"/>
        <v>4</v>
      </c>
      <c r="J5077">
        <f t="shared" si="688"/>
        <v>16</v>
      </c>
      <c r="K5077">
        <v>60</v>
      </c>
      <c r="L5077">
        <v>20</v>
      </c>
      <c r="M5077" s="2">
        <v>3</v>
      </c>
      <c r="N5077">
        <v>2.3199999999999998</v>
      </c>
      <c r="O5077">
        <v>0</v>
      </c>
      <c r="P5077">
        <v>1</v>
      </c>
      <c r="Q5077" s="4" t="str">
        <f t="shared" si="684"/>
        <v>2016/2017-Ganjil</v>
      </c>
      <c r="R5077" s="8" t="s">
        <v>260</v>
      </c>
      <c r="S5077" t="str">
        <f t="shared" si="686"/>
        <v>PA</v>
      </c>
    </row>
    <row r="5078" spans="1:19" x14ac:dyDescent="0.3">
      <c r="A5078" t="s">
        <v>8</v>
      </c>
      <c r="B5078">
        <v>2016210058</v>
      </c>
      <c r="C5078" t="s">
        <v>313</v>
      </c>
      <c r="E5078" t="s">
        <v>77</v>
      </c>
      <c r="F5078" t="s">
        <v>78</v>
      </c>
      <c r="G5078">
        <v>2</v>
      </c>
      <c r="H5078" t="s">
        <v>260</v>
      </c>
      <c r="I5078" s="4">
        <f t="shared" si="687"/>
        <v>4</v>
      </c>
      <c r="J5078">
        <f t="shared" si="688"/>
        <v>8</v>
      </c>
      <c r="K5078">
        <v>60</v>
      </c>
      <c r="L5078">
        <v>20</v>
      </c>
      <c r="M5078" s="2">
        <v>3</v>
      </c>
      <c r="N5078">
        <v>2.3199999999999998</v>
      </c>
      <c r="O5078">
        <v>0</v>
      </c>
      <c r="P5078">
        <v>1</v>
      </c>
      <c r="Q5078" s="4" t="str">
        <f t="shared" si="684"/>
        <v>2016/2017-Ganjil</v>
      </c>
      <c r="R5078" s="8" t="s">
        <v>260</v>
      </c>
      <c r="S5078" t="str">
        <f t="shared" si="686"/>
        <v>PA</v>
      </c>
    </row>
    <row r="5079" spans="1:19" x14ac:dyDescent="0.3">
      <c r="A5079" t="s">
        <v>8</v>
      </c>
      <c r="B5079">
        <v>2016210058</v>
      </c>
      <c r="C5079" t="s">
        <v>313</v>
      </c>
      <c r="E5079" t="s">
        <v>117</v>
      </c>
      <c r="F5079" t="s">
        <v>118</v>
      </c>
      <c r="G5079">
        <v>2</v>
      </c>
      <c r="H5079" t="s">
        <v>438</v>
      </c>
      <c r="I5079" s="4">
        <f t="shared" si="687"/>
        <v>3</v>
      </c>
      <c r="J5079">
        <f t="shared" si="688"/>
        <v>6</v>
      </c>
      <c r="K5079">
        <v>28</v>
      </c>
      <c r="L5079">
        <v>18</v>
      </c>
      <c r="M5079">
        <v>1.56</v>
      </c>
      <c r="N5079">
        <v>2.3199999999999998</v>
      </c>
      <c r="O5079">
        <v>0</v>
      </c>
      <c r="P5079">
        <v>2</v>
      </c>
      <c r="Q5079" s="4" t="str">
        <f t="shared" si="684"/>
        <v>2016/2017-Genap</v>
      </c>
      <c r="R5079" s="8" t="s">
        <v>535</v>
      </c>
      <c r="S5079" t="str">
        <f t="shared" si="686"/>
        <v>PA</v>
      </c>
    </row>
    <row r="5080" spans="1:19" x14ac:dyDescent="0.3">
      <c r="A5080" t="s">
        <v>8</v>
      </c>
      <c r="B5080">
        <v>2016210058</v>
      </c>
      <c r="C5080" t="s">
        <v>313</v>
      </c>
      <c r="E5080" t="s">
        <v>131</v>
      </c>
      <c r="F5080" t="s">
        <v>132</v>
      </c>
      <c r="G5080">
        <v>2</v>
      </c>
      <c r="H5080" t="s">
        <v>438</v>
      </c>
      <c r="I5080" s="4">
        <f t="shared" si="687"/>
        <v>3</v>
      </c>
      <c r="J5080">
        <f t="shared" si="688"/>
        <v>6</v>
      </c>
      <c r="K5080">
        <v>60</v>
      </c>
      <c r="L5080">
        <v>20</v>
      </c>
      <c r="M5080" s="2">
        <v>3</v>
      </c>
      <c r="N5080">
        <v>2.3199999999999998</v>
      </c>
      <c r="O5080">
        <v>0</v>
      </c>
      <c r="P5080">
        <v>1</v>
      </c>
      <c r="Q5080" s="4" t="str">
        <f t="shared" si="684"/>
        <v>2016/2017-Ganjil</v>
      </c>
      <c r="R5080" s="8" t="s">
        <v>260</v>
      </c>
      <c r="S5080" t="str">
        <f t="shared" si="686"/>
        <v>PA</v>
      </c>
    </row>
    <row r="5081" spans="1:19" x14ac:dyDescent="0.3">
      <c r="A5081" t="s">
        <v>8</v>
      </c>
      <c r="B5081">
        <v>2016210058</v>
      </c>
      <c r="C5081" t="s">
        <v>313</v>
      </c>
      <c r="E5081" t="s">
        <v>279</v>
      </c>
      <c r="F5081" t="s">
        <v>280</v>
      </c>
      <c r="G5081">
        <v>2</v>
      </c>
      <c r="H5081" t="s">
        <v>438</v>
      </c>
      <c r="I5081" s="4">
        <f t="shared" si="687"/>
        <v>3</v>
      </c>
      <c r="J5081">
        <f t="shared" si="688"/>
        <v>6</v>
      </c>
      <c r="K5081">
        <v>28</v>
      </c>
      <c r="L5081">
        <v>18</v>
      </c>
      <c r="M5081" s="2">
        <v>1.56</v>
      </c>
      <c r="N5081">
        <v>2.3199999999999998</v>
      </c>
      <c r="O5081">
        <v>0</v>
      </c>
      <c r="P5081">
        <v>2</v>
      </c>
      <c r="Q5081" s="4" t="str">
        <f t="shared" si="684"/>
        <v>2016/2017-Genap</v>
      </c>
      <c r="R5081" s="8" t="s">
        <v>535</v>
      </c>
      <c r="S5081" t="str">
        <f t="shared" si="686"/>
        <v>PA</v>
      </c>
    </row>
    <row r="5082" spans="1:19" x14ac:dyDescent="0.3">
      <c r="A5082" t="s">
        <v>8</v>
      </c>
      <c r="B5082">
        <v>2016210058</v>
      </c>
      <c r="C5082" t="s">
        <v>313</v>
      </c>
      <c r="E5082" t="s">
        <v>163</v>
      </c>
      <c r="F5082" t="s">
        <v>164</v>
      </c>
      <c r="G5082">
        <v>2</v>
      </c>
      <c r="H5082" t="s">
        <v>438</v>
      </c>
      <c r="I5082" s="4">
        <f t="shared" si="687"/>
        <v>3</v>
      </c>
      <c r="J5082">
        <f t="shared" si="688"/>
        <v>6</v>
      </c>
      <c r="K5082">
        <v>60</v>
      </c>
      <c r="L5082">
        <v>20</v>
      </c>
      <c r="M5082" s="2">
        <v>3</v>
      </c>
      <c r="N5082">
        <v>2.3199999999999998</v>
      </c>
      <c r="O5082">
        <v>0</v>
      </c>
      <c r="P5082">
        <v>1</v>
      </c>
      <c r="Q5082" s="4" t="str">
        <f t="shared" si="684"/>
        <v>2016/2017-Ganjil</v>
      </c>
      <c r="R5082" s="8" t="s">
        <v>260</v>
      </c>
      <c r="S5082" t="str">
        <f t="shared" si="686"/>
        <v>PA</v>
      </c>
    </row>
    <row r="5083" spans="1:19" x14ac:dyDescent="0.3">
      <c r="A5083" t="s">
        <v>8</v>
      </c>
      <c r="B5083">
        <v>2016210058</v>
      </c>
      <c r="C5083" t="s">
        <v>313</v>
      </c>
      <c r="E5083" t="s">
        <v>22</v>
      </c>
      <c r="F5083" t="s">
        <v>23</v>
      </c>
      <c r="G5083">
        <v>2</v>
      </c>
      <c r="H5083" t="s">
        <v>438</v>
      </c>
      <c r="I5083" s="4">
        <f t="shared" si="687"/>
        <v>3</v>
      </c>
      <c r="J5083">
        <f t="shared" si="688"/>
        <v>6</v>
      </c>
      <c r="K5083">
        <v>28</v>
      </c>
      <c r="L5083">
        <v>18</v>
      </c>
      <c r="M5083" s="2">
        <v>1.56</v>
      </c>
      <c r="N5083">
        <v>2.3199999999999998</v>
      </c>
      <c r="O5083">
        <v>0</v>
      </c>
      <c r="P5083">
        <v>2</v>
      </c>
      <c r="Q5083" s="4" t="str">
        <f t="shared" si="684"/>
        <v>2016/2017-Genap</v>
      </c>
      <c r="R5083" s="8" t="s">
        <v>535</v>
      </c>
      <c r="S5083" t="str">
        <f t="shared" si="686"/>
        <v>PA</v>
      </c>
    </row>
    <row r="5084" spans="1:19" x14ac:dyDescent="0.3">
      <c r="A5084" t="s">
        <v>8</v>
      </c>
      <c r="B5084">
        <v>2016210058</v>
      </c>
      <c r="C5084" t="s">
        <v>313</v>
      </c>
      <c r="E5084" t="s">
        <v>147</v>
      </c>
      <c r="F5084" t="s">
        <v>148</v>
      </c>
      <c r="G5084">
        <v>4</v>
      </c>
      <c r="H5084" t="s">
        <v>438</v>
      </c>
      <c r="I5084" s="4">
        <f t="shared" si="687"/>
        <v>3</v>
      </c>
      <c r="J5084">
        <f t="shared" si="688"/>
        <v>12</v>
      </c>
      <c r="K5084">
        <v>60</v>
      </c>
      <c r="L5084">
        <v>20</v>
      </c>
      <c r="M5084" s="2">
        <v>3</v>
      </c>
      <c r="N5084">
        <v>2.3199999999999998</v>
      </c>
      <c r="O5084">
        <v>0</v>
      </c>
      <c r="P5084">
        <v>1</v>
      </c>
      <c r="Q5084" s="4" t="str">
        <f t="shared" si="684"/>
        <v>2016/2017-Ganjil</v>
      </c>
      <c r="R5084" s="8" t="s">
        <v>260</v>
      </c>
      <c r="S5084" t="str">
        <f t="shared" si="686"/>
        <v>PA</v>
      </c>
    </row>
    <row r="5085" spans="1:19" x14ac:dyDescent="0.3">
      <c r="A5085" t="s">
        <v>8</v>
      </c>
      <c r="B5085">
        <v>2016210058</v>
      </c>
      <c r="C5085" t="s">
        <v>313</v>
      </c>
      <c r="E5085" t="s">
        <v>395</v>
      </c>
      <c r="F5085" t="s">
        <v>396</v>
      </c>
      <c r="G5085">
        <v>2</v>
      </c>
      <c r="H5085" t="s">
        <v>524</v>
      </c>
      <c r="I5085" s="4">
        <f t="shared" si="687"/>
        <v>2</v>
      </c>
      <c r="J5085">
        <f t="shared" si="688"/>
        <v>4</v>
      </c>
      <c r="K5085">
        <v>60</v>
      </c>
      <c r="L5085">
        <v>20</v>
      </c>
      <c r="M5085" s="2">
        <v>3</v>
      </c>
      <c r="N5085">
        <v>2.3199999999999998</v>
      </c>
      <c r="O5085">
        <v>0</v>
      </c>
      <c r="P5085">
        <v>1</v>
      </c>
      <c r="Q5085" s="4" t="str">
        <f t="shared" si="684"/>
        <v>2016/2017-Ganjil</v>
      </c>
      <c r="R5085" s="8" t="s">
        <v>260</v>
      </c>
      <c r="S5085" t="str">
        <f t="shared" si="686"/>
        <v>PA</v>
      </c>
    </row>
    <row r="5086" spans="1:19" x14ac:dyDescent="0.3">
      <c r="A5086" t="s">
        <v>8</v>
      </c>
      <c r="B5086">
        <v>2016210058</v>
      </c>
      <c r="C5086" t="s">
        <v>313</v>
      </c>
      <c r="E5086" t="s">
        <v>110</v>
      </c>
      <c r="F5086" t="s">
        <v>111</v>
      </c>
      <c r="G5086">
        <v>4</v>
      </c>
      <c r="H5086" t="s">
        <v>524</v>
      </c>
      <c r="I5086" s="4">
        <f t="shared" si="687"/>
        <v>2</v>
      </c>
      <c r="J5086">
        <f t="shared" si="688"/>
        <v>8</v>
      </c>
      <c r="K5086">
        <v>60</v>
      </c>
      <c r="L5086">
        <v>20</v>
      </c>
      <c r="M5086" s="2">
        <v>3</v>
      </c>
      <c r="N5086">
        <v>2.3199999999999998</v>
      </c>
      <c r="O5086">
        <v>0</v>
      </c>
      <c r="P5086">
        <v>1</v>
      </c>
      <c r="Q5086" s="4" t="str">
        <f t="shared" si="684"/>
        <v>2016/2017-Ganjil</v>
      </c>
      <c r="R5086" s="8" t="s">
        <v>260</v>
      </c>
      <c r="S5086" t="str">
        <f t="shared" si="686"/>
        <v>PA</v>
      </c>
    </row>
    <row r="5087" spans="1:19" x14ac:dyDescent="0.3">
      <c r="A5087" t="s">
        <v>8</v>
      </c>
      <c r="B5087">
        <v>2016210058</v>
      </c>
      <c r="C5087" t="s">
        <v>313</v>
      </c>
      <c r="E5087" t="s">
        <v>125</v>
      </c>
      <c r="F5087" t="s">
        <v>126</v>
      </c>
      <c r="G5087">
        <v>4</v>
      </c>
      <c r="H5087" t="s">
        <v>535</v>
      </c>
      <c r="I5087" s="4">
        <f t="shared" si="687"/>
        <v>1</v>
      </c>
      <c r="J5087">
        <f t="shared" si="688"/>
        <v>4</v>
      </c>
      <c r="K5087">
        <v>28</v>
      </c>
      <c r="L5087">
        <v>18</v>
      </c>
      <c r="M5087" s="2">
        <v>1.56</v>
      </c>
      <c r="N5087">
        <v>2.3199999999999998</v>
      </c>
      <c r="O5087">
        <v>0</v>
      </c>
      <c r="P5087">
        <v>2</v>
      </c>
      <c r="Q5087" s="4" t="str">
        <f t="shared" si="684"/>
        <v>2016/2017-Genap</v>
      </c>
      <c r="R5087" s="8" t="s">
        <v>535</v>
      </c>
      <c r="S5087" t="str">
        <f t="shared" si="686"/>
        <v>FA</v>
      </c>
    </row>
    <row r="5088" spans="1:19" x14ac:dyDescent="0.3">
      <c r="A5088" t="s">
        <v>8</v>
      </c>
      <c r="B5088">
        <v>2016210058</v>
      </c>
      <c r="C5088" t="s">
        <v>313</v>
      </c>
      <c r="E5088" t="s">
        <v>266</v>
      </c>
      <c r="F5088" t="s">
        <v>91</v>
      </c>
      <c r="G5088">
        <v>2</v>
      </c>
      <c r="H5088" t="s">
        <v>535</v>
      </c>
      <c r="I5088" s="4">
        <f t="shared" si="687"/>
        <v>1</v>
      </c>
      <c r="J5088">
        <f t="shared" si="688"/>
        <v>2</v>
      </c>
      <c r="K5088">
        <v>28</v>
      </c>
      <c r="L5088">
        <v>18</v>
      </c>
      <c r="M5088" s="2">
        <v>1.56</v>
      </c>
      <c r="N5088">
        <v>2.3199999999999998</v>
      </c>
      <c r="O5088">
        <v>0</v>
      </c>
      <c r="P5088">
        <v>2</v>
      </c>
      <c r="Q5088" s="4" t="str">
        <f t="shared" si="684"/>
        <v>2016/2017-Genap</v>
      </c>
      <c r="R5088" s="8" t="s">
        <v>535</v>
      </c>
      <c r="S5088" t="str">
        <f t="shared" si="686"/>
        <v>FA</v>
      </c>
    </row>
    <row r="5089" spans="1:19" x14ac:dyDescent="0.3">
      <c r="A5089" t="s">
        <v>8</v>
      </c>
      <c r="B5089">
        <v>2016210058</v>
      </c>
      <c r="C5089" t="s">
        <v>313</v>
      </c>
      <c r="E5089" t="s">
        <v>115</v>
      </c>
      <c r="F5089" t="s">
        <v>116</v>
      </c>
      <c r="G5089">
        <v>4</v>
      </c>
      <c r="H5089" t="s">
        <v>535</v>
      </c>
      <c r="I5089" s="4">
        <f t="shared" si="687"/>
        <v>1</v>
      </c>
      <c r="J5089">
        <f t="shared" si="688"/>
        <v>4</v>
      </c>
      <c r="K5089">
        <v>28</v>
      </c>
      <c r="L5089">
        <v>18</v>
      </c>
      <c r="M5089" s="2">
        <v>1.56</v>
      </c>
      <c r="N5089">
        <v>2.3199999999999998</v>
      </c>
      <c r="O5089">
        <v>0</v>
      </c>
      <c r="P5089">
        <v>2</v>
      </c>
      <c r="Q5089" s="4" t="str">
        <f t="shared" si="684"/>
        <v>2016/2017-Genap</v>
      </c>
      <c r="R5089" s="8" t="s">
        <v>535</v>
      </c>
      <c r="S5089" t="str">
        <f t="shared" si="686"/>
        <v>FA</v>
      </c>
    </row>
    <row r="5090" spans="1:19" x14ac:dyDescent="0.3">
      <c r="A5090" t="s">
        <v>8</v>
      </c>
      <c r="B5090">
        <v>2016210058</v>
      </c>
      <c r="C5090" t="s">
        <v>313</v>
      </c>
      <c r="E5090" t="s">
        <v>44</v>
      </c>
      <c r="F5090" t="s">
        <v>45</v>
      </c>
      <c r="G5090">
        <v>2</v>
      </c>
      <c r="H5090" t="s">
        <v>539</v>
      </c>
      <c r="I5090" s="4">
        <f t="shared" si="687"/>
        <v>0</v>
      </c>
      <c r="J5090">
        <f t="shared" si="688"/>
        <v>0</v>
      </c>
      <c r="K5090">
        <v>28</v>
      </c>
      <c r="L5090">
        <v>18</v>
      </c>
      <c r="M5090" s="2">
        <v>1.56</v>
      </c>
      <c r="N5090">
        <v>2.3199999999999998</v>
      </c>
      <c r="O5090">
        <v>0</v>
      </c>
      <c r="P5090">
        <v>2</v>
      </c>
      <c r="Q5090" s="4" t="str">
        <f t="shared" si="684"/>
        <v>2016/2017-Genap</v>
      </c>
      <c r="R5090" s="8" t="s">
        <v>535</v>
      </c>
      <c r="S5090" t="str">
        <f t="shared" si="686"/>
        <v>FA</v>
      </c>
    </row>
    <row r="5091" spans="1:19" x14ac:dyDescent="0.3">
      <c r="A5091" t="s">
        <v>8</v>
      </c>
      <c r="B5091">
        <v>2016210061</v>
      </c>
      <c r="C5091" t="s">
        <v>32</v>
      </c>
      <c r="E5091" t="s">
        <v>22</v>
      </c>
      <c r="F5091" t="s">
        <v>23</v>
      </c>
      <c r="G5091">
        <v>2</v>
      </c>
      <c r="I5091" s="4"/>
      <c r="J5091">
        <v>0</v>
      </c>
      <c r="K5091">
        <v>8</v>
      </c>
      <c r="L5091">
        <v>6</v>
      </c>
      <c r="M5091">
        <v>1.33</v>
      </c>
      <c r="N5091">
        <v>3.01</v>
      </c>
      <c r="O5091">
        <v>0</v>
      </c>
      <c r="P5091">
        <v>2</v>
      </c>
      <c r="Q5091" s="4" t="str">
        <f>IF(P5091=1,"2016/2017-Ganjil",IF(P5091=2,"2016/2017-Genap",IF(P5091=3,"2017/2018-Ganjil",IF(P5091=4,"2017/2018-Genap",IF(P5091=5,"2018/2019-Ganjil",IF(P5091=6,"2018/2019-Genap",IF(P5091=7,"2019/2020-Ganjil",IF(P5091=8,"2019/2020-Genap",IF(P5091=9,"2020/2021-Ganjil",IF(P5091=10,"2020/2021-Genap",IF(P5091=11,"2021/2022-Ganjil",IF(P5091=12,"2021/2022-Genap",IF(P5091=13,"2022/2023-Ganjil","2022/2023-Genap")))))))))))))</f>
        <v>2016/2017-Genap</v>
      </c>
      <c r="R5091" s="8" t="s">
        <v>260</v>
      </c>
      <c r="S5091" t="s">
        <v>595</v>
      </c>
    </row>
    <row r="5092" spans="1:19" x14ac:dyDescent="0.3">
      <c r="A5092" t="s">
        <v>8</v>
      </c>
      <c r="B5092">
        <v>2016210061</v>
      </c>
      <c r="C5092" t="s">
        <v>32</v>
      </c>
      <c r="E5092" t="s">
        <v>22</v>
      </c>
      <c r="F5092" t="s">
        <v>23</v>
      </c>
      <c r="G5092">
        <v>2</v>
      </c>
      <c r="H5092" t="s">
        <v>438</v>
      </c>
      <c r="I5092" s="4">
        <f t="shared" ref="I5092" si="689">IF(H5092="A",4,IF(H5092="B",3,IF(H5092="C",2,IF(H5092="D",1,0))))</f>
        <v>3</v>
      </c>
      <c r="J5092">
        <f t="shared" ref="J5092" si="690">G5092*I5092</f>
        <v>6</v>
      </c>
      <c r="K5092">
        <v>44</v>
      </c>
      <c r="L5092">
        <v>18</v>
      </c>
      <c r="M5092">
        <v>2.44</v>
      </c>
      <c r="N5092">
        <v>3.01</v>
      </c>
      <c r="O5092">
        <v>1</v>
      </c>
      <c r="P5092">
        <v>4</v>
      </c>
      <c r="Q5092" s="4" t="str">
        <f>IF(P5092=1,"2016/2017-Ganjil",IF(P5092=2,"2016/2017-Genap",IF(P5092=3,"2017/2018-Ganjil",IF(P5092=4,"2017/2018-Genap",IF(P5092=5,"2018/2019-Ganjil",IF(P5092=6,"2018/2019-Genap",IF(P5092=7,"2019/2020-Ganjil",IF(P5092=8,"2019/2020-Genap",IF(P5092=9,"2020/2021-Ganjil",IF(P5092=10,"2020/2021-Genap",IF(P5092=11,"2021/2022-Ganjil",IF(P5092=12,"2021/2022-Genap",IF(P5092=13,"2022/2023-Ganjil","2022/2023-Genap")))))))))))))</f>
        <v>2017/2018-Genap</v>
      </c>
      <c r="R5092" s="8" t="s">
        <v>260</v>
      </c>
      <c r="S5092" t="str">
        <f>IF(OR(H5092="A",H5092="B",H5092="C"),"PA","FA")</f>
        <v>PA</v>
      </c>
    </row>
    <row r="5093" spans="1:19" x14ac:dyDescent="0.3">
      <c r="A5093" t="s">
        <v>8</v>
      </c>
      <c r="B5093">
        <v>2016210061</v>
      </c>
      <c r="C5093" t="s">
        <v>32</v>
      </c>
      <c r="E5093" t="s">
        <v>44</v>
      </c>
      <c r="F5093" t="s">
        <v>45</v>
      </c>
      <c r="G5093">
        <v>2</v>
      </c>
      <c r="I5093" s="4"/>
      <c r="J5093">
        <v>0</v>
      </c>
      <c r="K5093">
        <v>8</v>
      </c>
      <c r="L5093">
        <v>6</v>
      </c>
      <c r="M5093">
        <v>1.33</v>
      </c>
      <c r="N5093">
        <v>3.01</v>
      </c>
      <c r="O5093">
        <v>0</v>
      </c>
      <c r="P5093">
        <v>2</v>
      </c>
      <c r="Q5093" s="4" t="str">
        <f>IF(P5093=1,"2016/2017-Ganjil",IF(P5093=2,"2016/2017-Genap",IF(P5093=3,"2017/2018-Ganjil",IF(P5093=4,"2017/2018-Genap",IF(P5093=5,"2018/2019-Ganjil",IF(P5093=6,"2018/2019-Genap",IF(P5093=7,"2019/2020-Ganjil",IF(P5093=8,"2019/2020-Genap",IF(P5093=9,"2020/2021-Ganjil",IF(P5093=10,"2020/2021-Genap",IF(P5093=11,"2021/2022-Ganjil",IF(P5093=12,"2021/2022-Genap",IF(P5093=13,"2022/2023-Ganjil","2022/2023-Genap")))))))))))))</f>
        <v>2016/2017-Genap</v>
      </c>
      <c r="R5093" s="8" t="s">
        <v>260</v>
      </c>
      <c r="S5093" t="s">
        <v>595</v>
      </c>
    </row>
    <row r="5094" spans="1:19" x14ac:dyDescent="0.3">
      <c r="A5094" t="s">
        <v>8</v>
      </c>
      <c r="B5094">
        <v>2016210061</v>
      </c>
      <c r="C5094" t="s">
        <v>32</v>
      </c>
      <c r="E5094" t="s">
        <v>44</v>
      </c>
      <c r="F5094" t="s">
        <v>45</v>
      </c>
      <c r="G5094">
        <v>2</v>
      </c>
      <c r="H5094" t="s">
        <v>539</v>
      </c>
      <c r="I5094" s="4">
        <v>0</v>
      </c>
      <c r="J5094">
        <v>0</v>
      </c>
      <c r="K5094">
        <v>44</v>
      </c>
      <c r="L5094">
        <v>18</v>
      </c>
      <c r="M5094">
        <v>2.44</v>
      </c>
      <c r="N5094">
        <v>3.01</v>
      </c>
      <c r="O5094">
        <v>1</v>
      </c>
      <c r="P5094">
        <v>4</v>
      </c>
      <c r="Q5094" s="4" t="str">
        <f>IF(P5094=1,"2016/2017-Ganjil",IF(P5094=2,"2016/2017-Genap",IF(P5094=3,"2017/2018-Ganjil",IF(P5094=4,"2017/2018-Genap",IF(P5094=5,"2018/2019-Ganjil",IF(P5094=6,"2018/2019-Genap",IF(P5094=7,"2019/2020-Ganjil",IF(P5094=8,"2019/2020-Genap",IF(P5094=9,"2020/2021-Ganjil",IF(P5094=10,"2020/2021-Genap",IF(P5094=11,"2021/2022-Ganjil",IF(P5094=12,"2021/2022-Genap",IF(P5094=13,"2022/2023-Ganjil","2022/2023-Genap")))))))))))))</f>
        <v>2017/2018-Genap</v>
      </c>
      <c r="R5094" s="8" t="s">
        <v>260</v>
      </c>
      <c r="S5094" t="str">
        <f t="shared" ref="S5094:S5095" si="691">IF(OR(H5094="A",H5094="B",H5094="C"),"PA","FA")</f>
        <v>FA</v>
      </c>
    </row>
    <row r="5095" spans="1:19" x14ac:dyDescent="0.3">
      <c r="A5095" t="s">
        <v>8</v>
      </c>
      <c r="B5095">
        <v>2016210061</v>
      </c>
      <c r="C5095" t="s">
        <v>32</v>
      </c>
      <c r="E5095" t="s">
        <v>44</v>
      </c>
      <c r="F5095" t="s">
        <v>45</v>
      </c>
      <c r="G5095">
        <v>2</v>
      </c>
      <c r="H5095" t="s">
        <v>438</v>
      </c>
      <c r="I5095" s="4">
        <f t="shared" ref="I5095" si="692">IF(H5095="A",4,IF(H5095="B",3,IF(H5095="C",2,IF(H5095="D",1,0))))</f>
        <v>3</v>
      </c>
      <c r="J5095">
        <f t="shared" ref="J5095" si="693">G5095*I5095</f>
        <v>6</v>
      </c>
      <c r="K5095">
        <v>38</v>
      </c>
      <c r="L5095">
        <v>14</v>
      </c>
      <c r="M5095">
        <v>2.71</v>
      </c>
      <c r="N5095">
        <v>3.01</v>
      </c>
      <c r="O5095">
        <v>2</v>
      </c>
      <c r="P5095">
        <v>8</v>
      </c>
      <c r="Q5095" s="4" t="s">
        <v>571</v>
      </c>
      <c r="R5095" s="8" t="s">
        <v>260</v>
      </c>
      <c r="S5095" t="str">
        <f t="shared" si="691"/>
        <v>PA</v>
      </c>
    </row>
    <row r="5096" spans="1:19" x14ac:dyDescent="0.3">
      <c r="A5096" t="s">
        <v>8</v>
      </c>
      <c r="B5096">
        <v>2016210061</v>
      </c>
      <c r="C5096" t="s">
        <v>32</v>
      </c>
      <c r="E5096" t="s">
        <v>117</v>
      </c>
      <c r="F5096" t="s">
        <v>118</v>
      </c>
      <c r="G5096">
        <v>2</v>
      </c>
      <c r="I5096" s="4"/>
      <c r="J5096">
        <v>0</v>
      </c>
      <c r="K5096">
        <v>8</v>
      </c>
      <c r="L5096">
        <v>6</v>
      </c>
      <c r="M5096">
        <v>1.33</v>
      </c>
      <c r="N5096">
        <v>3.01</v>
      </c>
      <c r="O5096">
        <v>0</v>
      </c>
      <c r="P5096">
        <v>2</v>
      </c>
      <c r="Q5096" s="4" t="str">
        <f t="shared" ref="Q5096:Q5116" si="694">IF(P5096=1,"2016/2017-Ganjil",IF(P5096=2,"2016/2017-Genap",IF(P5096=3,"2017/2018-Ganjil",IF(P5096=4,"2017/2018-Genap",IF(P5096=5,"2018/2019-Ganjil",IF(P5096=6,"2018/2019-Genap",IF(P5096=7,"2019/2020-Ganjil",IF(P5096=8,"2019/2020-Genap",IF(P5096=9,"2020/2021-Ganjil",IF(P5096=10,"2020/2021-Genap",IF(P5096=11,"2021/2022-Ganjil",IF(P5096=12,"2021/2022-Genap",IF(P5096=13,"2022/2023-Ganjil","2022/2023-Genap")))))))))))))</f>
        <v>2016/2017-Genap</v>
      </c>
      <c r="R5096" s="8" t="s">
        <v>260</v>
      </c>
      <c r="S5096" t="s">
        <v>595</v>
      </c>
    </row>
    <row r="5097" spans="1:19" x14ac:dyDescent="0.3">
      <c r="A5097" t="s">
        <v>8</v>
      </c>
      <c r="B5097">
        <v>2016210061</v>
      </c>
      <c r="C5097" t="s">
        <v>32</v>
      </c>
      <c r="E5097" t="s">
        <v>117</v>
      </c>
      <c r="F5097" t="s">
        <v>118</v>
      </c>
      <c r="G5097">
        <v>2</v>
      </c>
      <c r="H5097" t="s">
        <v>438</v>
      </c>
      <c r="I5097" s="4">
        <f t="shared" ref="I5097" si="695">IF(H5097="A",4,IF(H5097="B",3,IF(H5097="C",2,IF(H5097="D",1,0))))</f>
        <v>3</v>
      </c>
      <c r="J5097">
        <f t="shared" ref="J5097" si="696">G5097*I5097</f>
        <v>6</v>
      </c>
      <c r="K5097">
        <v>44</v>
      </c>
      <c r="L5097">
        <v>18</v>
      </c>
      <c r="M5097">
        <v>2.44</v>
      </c>
      <c r="N5097">
        <v>3.01</v>
      </c>
      <c r="O5097">
        <v>1</v>
      </c>
      <c r="P5097">
        <v>4</v>
      </c>
      <c r="Q5097" s="4" t="str">
        <f t="shared" si="694"/>
        <v>2017/2018-Genap</v>
      </c>
      <c r="R5097" s="8" t="s">
        <v>260</v>
      </c>
      <c r="S5097" t="str">
        <f>IF(OR(H5097="A",H5097="B",H5097="C"),"PA","FA")</f>
        <v>PA</v>
      </c>
    </row>
    <row r="5098" spans="1:19" x14ac:dyDescent="0.3">
      <c r="A5098" t="s">
        <v>8</v>
      </c>
      <c r="B5098">
        <v>2016210061</v>
      </c>
      <c r="C5098" t="s">
        <v>32</v>
      </c>
      <c r="E5098" t="s">
        <v>115</v>
      </c>
      <c r="F5098" t="s">
        <v>116</v>
      </c>
      <c r="G5098">
        <v>4</v>
      </c>
      <c r="I5098" s="4"/>
      <c r="J5098">
        <v>0</v>
      </c>
      <c r="K5098">
        <v>8</v>
      </c>
      <c r="L5098">
        <v>6</v>
      </c>
      <c r="M5098">
        <v>1.33</v>
      </c>
      <c r="N5098">
        <v>3.01</v>
      </c>
      <c r="O5098">
        <v>0</v>
      </c>
      <c r="P5098">
        <v>2</v>
      </c>
      <c r="Q5098" s="4" t="str">
        <f t="shared" si="694"/>
        <v>2016/2017-Genap</v>
      </c>
      <c r="R5098" s="8" t="s">
        <v>260</v>
      </c>
      <c r="S5098" t="s">
        <v>595</v>
      </c>
    </row>
    <row r="5099" spans="1:19" x14ac:dyDescent="0.3">
      <c r="A5099" t="s">
        <v>8</v>
      </c>
      <c r="B5099">
        <v>2016210061</v>
      </c>
      <c r="C5099" t="s">
        <v>32</v>
      </c>
      <c r="E5099" t="s">
        <v>115</v>
      </c>
      <c r="F5099" t="s">
        <v>116</v>
      </c>
      <c r="G5099">
        <v>4</v>
      </c>
      <c r="H5099" t="s">
        <v>524</v>
      </c>
      <c r="I5099" s="4">
        <f t="shared" ref="I5099" si="697">IF(H5099="A",4,IF(H5099="B",3,IF(H5099="C",2,IF(H5099="D",1,0))))</f>
        <v>2</v>
      </c>
      <c r="J5099">
        <f t="shared" ref="J5099" si="698">G5099*I5099</f>
        <v>8</v>
      </c>
      <c r="K5099">
        <v>44</v>
      </c>
      <c r="L5099">
        <v>18</v>
      </c>
      <c r="M5099">
        <v>2.44</v>
      </c>
      <c r="N5099">
        <v>3.01</v>
      </c>
      <c r="O5099">
        <v>1</v>
      </c>
      <c r="P5099">
        <v>4</v>
      </c>
      <c r="Q5099" s="4" t="str">
        <f t="shared" si="694"/>
        <v>2017/2018-Genap</v>
      </c>
      <c r="R5099" s="8" t="s">
        <v>260</v>
      </c>
      <c r="S5099" t="str">
        <f>IF(OR(H5099="A",H5099="B",H5099="C"),"PA","FA")</f>
        <v>PA</v>
      </c>
    </row>
    <row r="5100" spans="1:19" x14ac:dyDescent="0.3">
      <c r="A5100" t="s">
        <v>8</v>
      </c>
      <c r="B5100">
        <v>2016210061</v>
      </c>
      <c r="C5100" t="s">
        <v>32</v>
      </c>
      <c r="E5100" t="s">
        <v>230</v>
      </c>
      <c r="F5100" t="s">
        <v>231</v>
      </c>
      <c r="G5100">
        <v>0</v>
      </c>
      <c r="I5100" s="4"/>
      <c r="J5100">
        <f t="shared" ref="J5100:J5157" si="699">G5100*I5100</f>
        <v>0</v>
      </c>
      <c r="K5100">
        <v>60</v>
      </c>
      <c r="L5100">
        <v>20</v>
      </c>
      <c r="M5100" s="2">
        <v>3</v>
      </c>
      <c r="N5100">
        <v>3.01</v>
      </c>
      <c r="O5100">
        <v>0</v>
      </c>
      <c r="P5100">
        <v>7</v>
      </c>
      <c r="Q5100" s="4" t="str">
        <f t="shared" si="694"/>
        <v>2019/2020-Ganjil</v>
      </c>
      <c r="R5100" s="8" t="s">
        <v>260</v>
      </c>
      <c r="S5100" t="s">
        <v>595</v>
      </c>
    </row>
    <row r="5101" spans="1:19" x14ac:dyDescent="0.3">
      <c r="A5101" t="s">
        <v>8</v>
      </c>
      <c r="B5101">
        <v>2016210061</v>
      </c>
      <c r="C5101" t="s">
        <v>32</v>
      </c>
      <c r="E5101" t="s">
        <v>266</v>
      </c>
      <c r="F5101" t="s">
        <v>91</v>
      </c>
      <c r="G5101">
        <v>2</v>
      </c>
      <c r="H5101" t="s">
        <v>260</v>
      </c>
      <c r="I5101" s="4">
        <f t="shared" ref="I5101" si="700">IF(H5101="A",4,IF(H5101="B",3,IF(H5101="C",2,IF(H5101="D",1,0))))</f>
        <v>4</v>
      </c>
      <c r="J5101">
        <f t="shared" ref="J5101" si="701">G5101*I5101</f>
        <v>8</v>
      </c>
      <c r="K5101">
        <v>16</v>
      </c>
      <c r="L5101">
        <v>8</v>
      </c>
      <c r="M5101" s="2">
        <v>2</v>
      </c>
      <c r="N5101">
        <v>3.01</v>
      </c>
      <c r="O5101">
        <v>0</v>
      </c>
      <c r="P5101">
        <v>1</v>
      </c>
      <c r="Q5101" s="4" t="str">
        <f t="shared" si="694"/>
        <v>2016/2017-Ganjil</v>
      </c>
      <c r="R5101" s="8" t="s">
        <v>260</v>
      </c>
      <c r="S5101" t="str">
        <f t="shared" ref="S5101:S5164" si="702">IF(OR(H5101="A",H5101="B",H5101="C"),"PA","FA")</f>
        <v>PA</v>
      </c>
    </row>
    <row r="5102" spans="1:19" x14ac:dyDescent="0.3">
      <c r="A5102" t="s">
        <v>8</v>
      </c>
      <c r="B5102">
        <v>2016210061</v>
      </c>
      <c r="C5102" t="s">
        <v>32</v>
      </c>
      <c r="E5102" t="s">
        <v>266</v>
      </c>
      <c r="F5102" t="s">
        <v>91</v>
      </c>
      <c r="G5102">
        <v>2</v>
      </c>
      <c r="H5102" t="s">
        <v>535</v>
      </c>
      <c r="I5102" s="4">
        <f t="shared" ref="I5102:I5116" si="703">IF(H5102="A",4,IF(H5102="B",3,IF(H5102="C",2,IF(H5102="D",1,0))))</f>
        <v>1</v>
      </c>
      <c r="J5102">
        <f t="shared" ref="J5102:J5116" si="704">G5102*I5102</f>
        <v>2</v>
      </c>
      <c r="K5102">
        <v>8</v>
      </c>
      <c r="L5102">
        <v>6</v>
      </c>
      <c r="M5102" s="2">
        <v>1.33</v>
      </c>
      <c r="N5102">
        <v>3.01</v>
      </c>
      <c r="O5102">
        <v>1</v>
      </c>
      <c r="P5102">
        <v>2</v>
      </c>
      <c r="Q5102" s="4" t="str">
        <f t="shared" si="694"/>
        <v>2016/2017-Genap</v>
      </c>
      <c r="R5102" s="8" t="s">
        <v>260</v>
      </c>
      <c r="S5102" t="str">
        <f t="shared" si="702"/>
        <v>FA</v>
      </c>
    </row>
    <row r="5103" spans="1:19" x14ac:dyDescent="0.3">
      <c r="A5103" t="s">
        <v>8</v>
      </c>
      <c r="B5103">
        <v>2016210061</v>
      </c>
      <c r="C5103" t="s">
        <v>32</v>
      </c>
      <c r="E5103" t="s">
        <v>266</v>
      </c>
      <c r="F5103" t="s">
        <v>91</v>
      </c>
      <c r="G5103">
        <v>2</v>
      </c>
      <c r="H5103" t="s">
        <v>260</v>
      </c>
      <c r="I5103" s="4">
        <f t="shared" si="703"/>
        <v>4</v>
      </c>
      <c r="J5103">
        <f t="shared" si="704"/>
        <v>8</v>
      </c>
      <c r="K5103">
        <v>44</v>
      </c>
      <c r="L5103">
        <v>18</v>
      </c>
      <c r="M5103" s="2">
        <v>2.44</v>
      </c>
      <c r="N5103">
        <v>3.01</v>
      </c>
      <c r="O5103">
        <v>2</v>
      </c>
      <c r="P5103">
        <v>4</v>
      </c>
      <c r="Q5103" s="4" t="str">
        <f t="shared" si="694"/>
        <v>2017/2018-Genap</v>
      </c>
      <c r="R5103" s="8" t="s">
        <v>260</v>
      </c>
      <c r="S5103" t="str">
        <f t="shared" si="702"/>
        <v>PA</v>
      </c>
    </row>
    <row r="5104" spans="1:19" x14ac:dyDescent="0.3">
      <c r="A5104" t="s">
        <v>8</v>
      </c>
      <c r="B5104">
        <v>2016210061</v>
      </c>
      <c r="C5104" t="s">
        <v>32</v>
      </c>
      <c r="E5104" t="s">
        <v>311</v>
      </c>
      <c r="F5104" t="s">
        <v>312</v>
      </c>
      <c r="G5104">
        <v>2</v>
      </c>
      <c r="H5104" t="s">
        <v>260</v>
      </c>
      <c r="I5104" s="4">
        <f t="shared" si="703"/>
        <v>4</v>
      </c>
      <c r="J5104">
        <f t="shared" si="704"/>
        <v>8</v>
      </c>
      <c r="K5104">
        <v>50</v>
      </c>
      <c r="L5104">
        <v>16</v>
      </c>
      <c r="M5104" s="2">
        <v>3.13</v>
      </c>
      <c r="N5104">
        <v>3.01</v>
      </c>
      <c r="O5104">
        <v>0</v>
      </c>
      <c r="P5104">
        <v>9</v>
      </c>
      <c r="Q5104" s="4" t="str">
        <f t="shared" si="694"/>
        <v>2020/2021-Ganjil</v>
      </c>
      <c r="R5104" s="8" t="s">
        <v>260</v>
      </c>
      <c r="S5104" t="str">
        <f t="shared" si="702"/>
        <v>PA</v>
      </c>
    </row>
    <row r="5105" spans="1:19" x14ac:dyDescent="0.3">
      <c r="A5105" t="s">
        <v>8</v>
      </c>
      <c r="B5105">
        <v>2016210061</v>
      </c>
      <c r="C5105" t="s">
        <v>32</v>
      </c>
      <c r="E5105" t="s">
        <v>147</v>
      </c>
      <c r="F5105" t="s">
        <v>148</v>
      </c>
      <c r="G5105">
        <v>4</v>
      </c>
      <c r="H5105" t="s">
        <v>260</v>
      </c>
      <c r="I5105" s="4">
        <f t="shared" si="703"/>
        <v>4</v>
      </c>
      <c r="J5105">
        <f t="shared" si="704"/>
        <v>16</v>
      </c>
      <c r="K5105">
        <v>60</v>
      </c>
      <c r="L5105">
        <v>20</v>
      </c>
      <c r="M5105" s="2">
        <v>3</v>
      </c>
      <c r="N5105">
        <v>3.01</v>
      </c>
      <c r="O5105">
        <v>0</v>
      </c>
      <c r="P5105">
        <v>7</v>
      </c>
      <c r="Q5105" s="4" t="str">
        <f t="shared" si="694"/>
        <v>2019/2020-Ganjil</v>
      </c>
      <c r="R5105" s="8" t="s">
        <v>260</v>
      </c>
      <c r="S5105" t="str">
        <f t="shared" si="702"/>
        <v>PA</v>
      </c>
    </row>
    <row r="5106" spans="1:19" x14ac:dyDescent="0.3">
      <c r="A5106" t="s">
        <v>8</v>
      </c>
      <c r="B5106">
        <v>2016210061</v>
      </c>
      <c r="C5106" t="s">
        <v>32</v>
      </c>
      <c r="E5106" t="s">
        <v>352</v>
      </c>
      <c r="F5106" t="s">
        <v>353</v>
      </c>
      <c r="G5106">
        <v>2</v>
      </c>
      <c r="H5106" t="s">
        <v>260</v>
      </c>
      <c r="I5106" s="4">
        <f t="shared" si="703"/>
        <v>4</v>
      </c>
      <c r="J5106">
        <f t="shared" si="704"/>
        <v>8</v>
      </c>
      <c r="K5106">
        <v>60</v>
      </c>
      <c r="L5106">
        <v>20</v>
      </c>
      <c r="M5106" s="2">
        <v>3</v>
      </c>
      <c r="N5106">
        <v>3.01</v>
      </c>
      <c r="O5106">
        <v>0</v>
      </c>
      <c r="P5106">
        <v>7</v>
      </c>
      <c r="Q5106" s="4" t="str">
        <f t="shared" si="694"/>
        <v>2019/2020-Ganjil</v>
      </c>
      <c r="R5106" s="8" t="s">
        <v>260</v>
      </c>
      <c r="S5106" t="str">
        <f t="shared" si="702"/>
        <v>PA</v>
      </c>
    </row>
    <row r="5107" spans="1:19" x14ac:dyDescent="0.3">
      <c r="A5107" t="s">
        <v>8</v>
      </c>
      <c r="B5107">
        <v>2016210061</v>
      </c>
      <c r="C5107" t="s">
        <v>32</v>
      </c>
      <c r="E5107" t="s">
        <v>107</v>
      </c>
      <c r="F5107" t="s">
        <v>108</v>
      </c>
      <c r="G5107">
        <v>2</v>
      </c>
      <c r="H5107" t="s">
        <v>260</v>
      </c>
      <c r="I5107" s="4">
        <f t="shared" si="703"/>
        <v>4</v>
      </c>
      <c r="J5107">
        <f t="shared" si="704"/>
        <v>8</v>
      </c>
      <c r="K5107">
        <v>78</v>
      </c>
      <c r="L5107">
        <v>24</v>
      </c>
      <c r="M5107" s="2">
        <v>3.25</v>
      </c>
      <c r="N5107">
        <v>3.01</v>
      </c>
      <c r="O5107">
        <v>0</v>
      </c>
      <c r="P5107">
        <v>8</v>
      </c>
      <c r="Q5107" s="4" t="str">
        <f t="shared" si="694"/>
        <v>2019/2020-Genap</v>
      </c>
      <c r="R5107" s="8" t="s">
        <v>260</v>
      </c>
      <c r="S5107" t="str">
        <f t="shared" si="702"/>
        <v>PA</v>
      </c>
    </row>
    <row r="5108" spans="1:19" x14ac:dyDescent="0.3">
      <c r="A5108" t="s">
        <v>8</v>
      </c>
      <c r="B5108">
        <v>2016210061</v>
      </c>
      <c r="C5108" t="s">
        <v>32</v>
      </c>
      <c r="E5108" t="s">
        <v>93</v>
      </c>
      <c r="F5108" t="s">
        <v>94</v>
      </c>
      <c r="G5108">
        <v>4</v>
      </c>
      <c r="H5108" t="s">
        <v>260</v>
      </c>
      <c r="I5108" s="4">
        <f t="shared" si="703"/>
        <v>4</v>
      </c>
      <c r="J5108">
        <f t="shared" si="704"/>
        <v>16</v>
      </c>
      <c r="K5108">
        <v>54</v>
      </c>
      <c r="L5108">
        <v>22</v>
      </c>
      <c r="M5108">
        <v>2.4500000000000002</v>
      </c>
      <c r="N5108">
        <v>3.01</v>
      </c>
      <c r="O5108">
        <v>0</v>
      </c>
      <c r="P5108">
        <v>5</v>
      </c>
      <c r="Q5108" s="4" t="str">
        <f t="shared" si="694"/>
        <v>2018/2019-Ganjil</v>
      </c>
      <c r="R5108" s="8" t="s">
        <v>260</v>
      </c>
      <c r="S5108" t="str">
        <f t="shared" si="702"/>
        <v>PA</v>
      </c>
    </row>
    <row r="5109" spans="1:19" x14ac:dyDescent="0.3">
      <c r="A5109" t="s">
        <v>8</v>
      </c>
      <c r="B5109">
        <v>2016210061</v>
      </c>
      <c r="C5109" t="s">
        <v>32</v>
      </c>
      <c r="E5109" t="s">
        <v>408</v>
      </c>
      <c r="F5109" t="s">
        <v>409</v>
      </c>
      <c r="G5109">
        <v>0</v>
      </c>
      <c r="H5109" t="s">
        <v>260</v>
      </c>
      <c r="I5109" s="4">
        <f t="shared" si="703"/>
        <v>4</v>
      </c>
      <c r="J5109">
        <f t="shared" si="704"/>
        <v>0</v>
      </c>
      <c r="K5109">
        <v>78</v>
      </c>
      <c r="L5109">
        <v>24</v>
      </c>
      <c r="M5109" s="2">
        <v>3.25</v>
      </c>
      <c r="N5109">
        <v>3.01</v>
      </c>
      <c r="O5109">
        <v>0</v>
      </c>
      <c r="P5109">
        <v>8</v>
      </c>
      <c r="Q5109" s="4" t="str">
        <f t="shared" si="694"/>
        <v>2019/2020-Genap</v>
      </c>
      <c r="R5109" s="8" t="s">
        <v>260</v>
      </c>
      <c r="S5109" t="str">
        <f t="shared" si="702"/>
        <v>PA</v>
      </c>
    </row>
    <row r="5110" spans="1:19" x14ac:dyDescent="0.3">
      <c r="A5110" t="s">
        <v>8</v>
      </c>
      <c r="B5110">
        <v>2016210061</v>
      </c>
      <c r="C5110" t="s">
        <v>32</v>
      </c>
      <c r="E5110" t="s">
        <v>295</v>
      </c>
      <c r="F5110" t="s">
        <v>296</v>
      </c>
      <c r="G5110">
        <v>2</v>
      </c>
      <c r="H5110" t="s">
        <v>260</v>
      </c>
      <c r="I5110" s="4">
        <f t="shared" si="703"/>
        <v>4</v>
      </c>
      <c r="J5110">
        <f t="shared" si="704"/>
        <v>8</v>
      </c>
      <c r="K5110">
        <v>54</v>
      </c>
      <c r="L5110">
        <v>22</v>
      </c>
      <c r="M5110">
        <v>2.4500000000000002</v>
      </c>
      <c r="N5110">
        <v>3.01</v>
      </c>
      <c r="O5110">
        <v>0</v>
      </c>
      <c r="P5110">
        <v>5</v>
      </c>
      <c r="Q5110" s="4" t="str">
        <f t="shared" si="694"/>
        <v>2018/2019-Ganjil</v>
      </c>
      <c r="R5110" s="8" t="s">
        <v>260</v>
      </c>
      <c r="S5110" t="str">
        <f t="shared" si="702"/>
        <v>PA</v>
      </c>
    </row>
    <row r="5111" spans="1:19" x14ac:dyDescent="0.3">
      <c r="A5111" t="s">
        <v>8</v>
      </c>
      <c r="B5111">
        <v>2016210061</v>
      </c>
      <c r="C5111" t="s">
        <v>32</v>
      </c>
      <c r="E5111" t="s">
        <v>216</v>
      </c>
      <c r="F5111" t="s">
        <v>217</v>
      </c>
      <c r="G5111">
        <v>2</v>
      </c>
      <c r="H5111" t="s">
        <v>260</v>
      </c>
      <c r="I5111" s="4">
        <f t="shared" si="703"/>
        <v>4</v>
      </c>
      <c r="J5111">
        <f t="shared" si="704"/>
        <v>8</v>
      </c>
      <c r="K5111">
        <v>58</v>
      </c>
      <c r="L5111">
        <v>22</v>
      </c>
      <c r="M5111">
        <v>2.64</v>
      </c>
      <c r="N5111">
        <v>3.01</v>
      </c>
      <c r="O5111">
        <v>0</v>
      </c>
      <c r="P5111">
        <v>6</v>
      </c>
      <c r="Q5111" s="4" t="str">
        <f t="shared" si="694"/>
        <v>2018/2019-Genap</v>
      </c>
      <c r="R5111" s="8" t="s">
        <v>260</v>
      </c>
      <c r="S5111" t="str">
        <f t="shared" si="702"/>
        <v>PA</v>
      </c>
    </row>
    <row r="5112" spans="1:19" x14ac:dyDescent="0.3">
      <c r="A5112" t="s">
        <v>8</v>
      </c>
      <c r="B5112">
        <v>2016210061</v>
      </c>
      <c r="C5112" t="s">
        <v>32</v>
      </c>
      <c r="E5112" t="s">
        <v>242</v>
      </c>
      <c r="F5112" t="s">
        <v>166</v>
      </c>
      <c r="G5112">
        <v>2</v>
      </c>
      <c r="H5112" t="s">
        <v>260</v>
      </c>
      <c r="I5112" s="4">
        <f t="shared" si="703"/>
        <v>4</v>
      </c>
      <c r="J5112">
        <f t="shared" si="704"/>
        <v>8</v>
      </c>
      <c r="K5112">
        <v>58</v>
      </c>
      <c r="L5112">
        <v>22</v>
      </c>
      <c r="M5112">
        <v>2.64</v>
      </c>
      <c r="N5112">
        <v>3.01</v>
      </c>
      <c r="O5112">
        <v>0</v>
      </c>
      <c r="P5112">
        <v>6</v>
      </c>
      <c r="Q5112" s="4" t="str">
        <f t="shared" si="694"/>
        <v>2018/2019-Genap</v>
      </c>
      <c r="R5112" s="8" t="s">
        <v>260</v>
      </c>
      <c r="S5112" t="str">
        <f t="shared" si="702"/>
        <v>PA</v>
      </c>
    </row>
    <row r="5113" spans="1:19" x14ac:dyDescent="0.3">
      <c r="A5113" t="s">
        <v>8</v>
      </c>
      <c r="B5113">
        <v>2016210061</v>
      </c>
      <c r="C5113" t="s">
        <v>32</v>
      </c>
      <c r="E5113" t="s">
        <v>136</v>
      </c>
      <c r="F5113" t="s">
        <v>137</v>
      </c>
      <c r="G5113">
        <v>4</v>
      </c>
      <c r="H5113" t="s">
        <v>260</v>
      </c>
      <c r="I5113" s="4">
        <f t="shared" si="703"/>
        <v>4</v>
      </c>
      <c r="J5113">
        <f t="shared" si="704"/>
        <v>16</v>
      </c>
      <c r="K5113">
        <v>78</v>
      </c>
      <c r="L5113">
        <v>24</v>
      </c>
      <c r="M5113">
        <v>3.25</v>
      </c>
      <c r="N5113">
        <v>3.01</v>
      </c>
      <c r="O5113">
        <v>0</v>
      </c>
      <c r="P5113">
        <v>8</v>
      </c>
      <c r="Q5113" s="4" t="str">
        <f t="shared" si="694"/>
        <v>2019/2020-Genap</v>
      </c>
      <c r="R5113" s="8" t="s">
        <v>260</v>
      </c>
      <c r="S5113" t="str">
        <f t="shared" si="702"/>
        <v>PA</v>
      </c>
    </row>
    <row r="5114" spans="1:19" x14ac:dyDescent="0.3">
      <c r="A5114" t="s">
        <v>8</v>
      </c>
      <c r="B5114">
        <v>2016210061</v>
      </c>
      <c r="C5114" t="s">
        <v>32</v>
      </c>
      <c r="E5114" t="s">
        <v>238</v>
      </c>
      <c r="F5114" t="s">
        <v>239</v>
      </c>
      <c r="G5114">
        <v>4</v>
      </c>
      <c r="H5114" t="s">
        <v>260</v>
      </c>
      <c r="I5114" s="4">
        <f t="shared" si="703"/>
        <v>4</v>
      </c>
      <c r="J5114">
        <f t="shared" si="704"/>
        <v>16</v>
      </c>
      <c r="K5114">
        <v>78</v>
      </c>
      <c r="L5114">
        <v>24</v>
      </c>
      <c r="M5114">
        <v>3.25</v>
      </c>
      <c r="N5114">
        <v>3.01</v>
      </c>
      <c r="O5114">
        <v>0</v>
      </c>
      <c r="P5114">
        <v>8</v>
      </c>
      <c r="Q5114" s="4" t="str">
        <f t="shared" si="694"/>
        <v>2019/2020-Genap</v>
      </c>
      <c r="R5114" s="8" t="s">
        <v>260</v>
      </c>
      <c r="S5114" t="str">
        <f t="shared" si="702"/>
        <v>PA</v>
      </c>
    </row>
    <row r="5115" spans="1:19" x14ac:dyDescent="0.3">
      <c r="A5115" t="s">
        <v>8</v>
      </c>
      <c r="B5115">
        <v>2016210061</v>
      </c>
      <c r="C5115" t="s">
        <v>32</v>
      </c>
      <c r="E5115" t="s">
        <v>232</v>
      </c>
      <c r="F5115" t="s">
        <v>245</v>
      </c>
      <c r="G5115">
        <v>2</v>
      </c>
      <c r="H5115" t="s">
        <v>438</v>
      </c>
      <c r="I5115" s="4">
        <f t="shared" si="703"/>
        <v>3</v>
      </c>
      <c r="J5115">
        <f t="shared" si="704"/>
        <v>6</v>
      </c>
      <c r="K5115">
        <v>8</v>
      </c>
      <c r="L5115">
        <v>6</v>
      </c>
      <c r="M5115">
        <v>1.33</v>
      </c>
      <c r="N5115">
        <v>3.01</v>
      </c>
      <c r="O5115">
        <v>0</v>
      </c>
      <c r="P5115">
        <v>2</v>
      </c>
      <c r="Q5115" s="4" t="str">
        <f t="shared" si="694"/>
        <v>2016/2017-Genap</v>
      </c>
      <c r="R5115" s="8" t="s">
        <v>260</v>
      </c>
      <c r="S5115" t="str">
        <f t="shared" si="702"/>
        <v>PA</v>
      </c>
    </row>
    <row r="5116" spans="1:19" x14ac:dyDescent="0.3">
      <c r="A5116" t="s">
        <v>8</v>
      </c>
      <c r="B5116">
        <v>2016210061</v>
      </c>
      <c r="C5116" t="s">
        <v>32</v>
      </c>
      <c r="E5116" t="s">
        <v>232</v>
      </c>
      <c r="F5116" t="s">
        <v>245</v>
      </c>
      <c r="G5116">
        <v>2</v>
      </c>
      <c r="H5116" t="s">
        <v>524</v>
      </c>
      <c r="I5116" s="4">
        <f t="shared" si="703"/>
        <v>2</v>
      </c>
      <c r="J5116">
        <f t="shared" si="704"/>
        <v>4</v>
      </c>
      <c r="K5116">
        <v>44</v>
      </c>
      <c r="L5116">
        <v>18</v>
      </c>
      <c r="M5116">
        <v>2.44</v>
      </c>
      <c r="N5116">
        <v>3.01</v>
      </c>
      <c r="O5116">
        <v>1</v>
      </c>
      <c r="P5116">
        <v>4</v>
      </c>
      <c r="Q5116" s="4" t="str">
        <f t="shared" si="694"/>
        <v>2017/2018-Genap</v>
      </c>
      <c r="R5116" s="8" t="s">
        <v>260</v>
      </c>
      <c r="S5116" t="str">
        <f t="shared" si="702"/>
        <v>PA</v>
      </c>
    </row>
    <row r="5117" spans="1:19" x14ac:dyDescent="0.3">
      <c r="A5117" t="s">
        <v>8</v>
      </c>
      <c r="B5117">
        <v>2016210061</v>
      </c>
      <c r="C5117" t="s">
        <v>32</v>
      </c>
      <c r="E5117" t="s">
        <v>465</v>
      </c>
      <c r="F5117" s="1" t="s">
        <v>198</v>
      </c>
      <c r="G5117">
        <v>2</v>
      </c>
      <c r="H5117" s="1" t="s">
        <v>438</v>
      </c>
      <c r="I5117" s="5">
        <f t="shared" ref="I5117" si="705">IF(H5117="A",4,IF(H5117="B",3,IF(H5117="C",2,IF(H5117="D",1,0))))</f>
        <v>3</v>
      </c>
      <c r="J5117" s="1">
        <f t="shared" ref="J5117" si="706">G5117*I5117</f>
        <v>6</v>
      </c>
      <c r="K5117" s="1">
        <v>44</v>
      </c>
      <c r="L5117" s="1">
        <v>18</v>
      </c>
      <c r="M5117" s="1">
        <v>2.44</v>
      </c>
      <c r="N5117" s="1">
        <v>3.01</v>
      </c>
      <c r="O5117" s="1">
        <v>1</v>
      </c>
      <c r="P5117" s="1">
        <v>4</v>
      </c>
      <c r="Q5117" s="5" t="str">
        <f t="shared" ref="Q5117" si="707">IF(P5117=1,"2016/2017-Ganjil",IF(P5117=2,"2016/2017-Genap",IF(P5117=3,"2017/2018-Ganjil",IF(P5117=4,"2017/2018-Genap",IF(P5117=5,"2018/2019-Ganjil",IF(P5117=6,"2018/2019-Genap",IF(P5117=7,"2019/2020-Ganjil",IF(P5117=8,"2019/2020-Genap",IF(P5117=9,"2020/2021-Ganjil",IF(P5117=10,"2020/2021-Genap",IF(P5117=11,"2021/2022-Ganjil",IF(P5117=12,"2021/2022-Genap",IF(P5117=13,"2022/2023-Ganjil","2022/2023-Genap")))))))))))))</f>
        <v>2017/2018-Genap</v>
      </c>
      <c r="R5117" s="8" t="s">
        <v>260</v>
      </c>
      <c r="S5117" t="str">
        <f t="shared" si="702"/>
        <v>PA</v>
      </c>
    </row>
    <row r="5118" spans="1:19" x14ac:dyDescent="0.3">
      <c r="A5118" t="s">
        <v>8</v>
      </c>
      <c r="B5118">
        <v>2016210061</v>
      </c>
      <c r="C5118" t="s">
        <v>32</v>
      </c>
      <c r="E5118" t="s">
        <v>355</v>
      </c>
      <c r="F5118" t="s">
        <v>274</v>
      </c>
      <c r="G5118">
        <v>2</v>
      </c>
      <c r="H5118" t="s">
        <v>438</v>
      </c>
      <c r="I5118" s="4">
        <f t="shared" ref="I5118:I5157" si="708">IF(H5118="A",4,IF(H5118="B",3,IF(H5118="C",2,IF(H5118="D",1,0))))</f>
        <v>3</v>
      </c>
      <c r="J5118">
        <f t="shared" si="699"/>
        <v>6</v>
      </c>
      <c r="K5118">
        <v>78</v>
      </c>
      <c r="L5118">
        <v>24</v>
      </c>
      <c r="M5118">
        <v>3.25</v>
      </c>
      <c r="N5118">
        <v>3.01</v>
      </c>
      <c r="O5118">
        <v>0</v>
      </c>
      <c r="P5118">
        <v>8</v>
      </c>
      <c r="Q5118" s="4" t="str">
        <f t="shared" ref="Q5118:Q5147" si="709">IF(P5118=1,"2016/2017-Ganjil",IF(P5118=2,"2016/2017-Genap",IF(P5118=3,"2017/2018-Ganjil",IF(P5118=4,"2017/2018-Genap",IF(P5118=5,"2018/2019-Ganjil",IF(P5118=6,"2018/2019-Genap",IF(P5118=7,"2019/2020-Ganjil",IF(P5118=8,"2019/2020-Genap",IF(P5118=9,"2020/2021-Ganjil",IF(P5118=10,"2020/2021-Genap",IF(P5118=11,"2021/2022-Ganjil",IF(P5118=12,"2021/2022-Genap",IF(P5118=13,"2022/2023-Ganjil","2022/2023-Genap")))))))))))))</f>
        <v>2019/2020-Genap</v>
      </c>
      <c r="R5118" s="8" t="s">
        <v>260</v>
      </c>
      <c r="S5118" t="str">
        <f t="shared" si="702"/>
        <v>PA</v>
      </c>
    </row>
    <row r="5119" spans="1:19" x14ac:dyDescent="0.3">
      <c r="A5119" t="s">
        <v>8</v>
      </c>
      <c r="B5119">
        <v>2016210061</v>
      </c>
      <c r="C5119" t="s">
        <v>32</v>
      </c>
      <c r="E5119" t="s">
        <v>163</v>
      </c>
      <c r="F5119" t="s">
        <v>164</v>
      </c>
      <c r="G5119">
        <v>2</v>
      </c>
      <c r="H5119" t="s">
        <v>438</v>
      </c>
      <c r="I5119" s="4">
        <f t="shared" ref="I5119:I5155" si="710">IF(H5119="A",4,IF(H5119="B",3,IF(H5119="C",2,IF(H5119="D",1,0))))</f>
        <v>3</v>
      </c>
      <c r="J5119">
        <f t="shared" ref="J5119:J5155" si="711">G5119*I5119</f>
        <v>6</v>
      </c>
      <c r="K5119">
        <v>34</v>
      </c>
      <c r="L5119">
        <v>14</v>
      </c>
      <c r="M5119">
        <v>2.4300000000000002</v>
      </c>
      <c r="N5119">
        <v>3.01</v>
      </c>
      <c r="O5119">
        <v>0</v>
      </c>
      <c r="P5119">
        <v>3</v>
      </c>
      <c r="Q5119" s="4" t="str">
        <f t="shared" si="709"/>
        <v>2017/2018-Ganjil</v>
      </c>
      <c r="R5119" s="8" t="s">
        <v>260</v>
      </c>
      <c r="S5119" t="str">
        <f t="shared" si="702"/>
        <v>PA</v>
      </c>
    </row>
    <row r="5120" spans="1:19" x14ac:dyDescent="0.3">
      <c r="A5120" t="s">
        <v>8</v>
      </c>
      <c r="B5120">
        <v>2016210061</v>
      </c>
      <c r="C5120" t="s">
        <v>32</v>
      </c>
      <c r="E5120" t="s">
        <v>87</v>
      </c>
      <c r="F5120" t="s">
        <v>88</v>
      </c>
      <c r="G5120">
        <v>2</v>
      </c>
      <c r="H5120" t="s">
        <v>438</v>
      </c>
      <c r="I5120" s="4">
        <f t="shared" si="710"/>
        <v>3</v>
      </c>
      <c r="J5120">
        <f t="shared" si="711"/>
        <v>6</v>
      </c>
      <c r="K5120">
        <v>58</v>
      </c>
      <c r="L5120">
        <v>22</v>
      </c>
      <c r="M5120">
        <v>2.64</v>
      </c>
      <c r="N5120">
        <v>3.01</v>
      </c>
      <c r="O5120">
        <v>0</v>
      </c>
      <c r="P5120">
        <v>6</v>
      </c>
      <c r="Q5120" s="4" t="str">
        <f t="shared" si="709"/>
        <v>2018/2019-Genap</v>
      </c>
      <c r="R5120" s="8" t="s">
        <v>260</v>
      </c>
      <c r="S5120" t="str">
        <f t="shared" si="702"/>
        <v>PA</v>
      </c>
    </row>
    <row r="5121" spans="1:19" x14ac:dyDescent="0.3">
      <c r="A5121" t="s">
        <v>8</v>
      </c>
      <c r="B5121">
        <v>2016210061</v>
      </c>
      <c r="C5121" t="s">
        <v>32</v>
      </c>
      <c r="E5121" t="s">
        <v>125</v>
      </c>
      <c r="F5121" t="s">
        <v>488</v>
      </c>
      <c r="G5121">
        <v>4</v>
      </c>
      <c r="H5121" t="s">
        <v>438</v>
      </c>
      <c r="I5121" s="4">
        <f t="shared" si="710"/>
        <v>3</v>
      </c>
      <c r="J5121">
        <f t="shared" si="711"/>
        <v>12</v>
      </c>
      <c r="K5121">
        <v>44</v>
      </c>
      <c r="L5121">
        <v>18</v>
      </c>
      <c r="M5121">
        <v>2.44</v>
      </c>
      <c r="N5121">
        <v>3.01</v>
      </c>
      <c r="O5121">
        <v>0</v>
      </c>
      <c r="P5121">
        <v>4</v>
      </c>
      <c r="Q5121" s="4" t="str">
        <f t="shared" si="709"/>
        <v>2017/2018-Genap</v>
      </c>
      <c r="R5121" s="8" t="s">
        <v>260</v>
      </c>
      <c r="S5121" t="str">
        <f t="shared" si="702"/>
        <v>PA</v>
      </c>
    </row>
    <row r="5122" spans="1:19" x14ac:dyDescent="0.3">
      <c r="A5122" t="s">
        <v>8</v>
      </c>
      <c r="B5122">
        <v>2016210061</v>
      </c>
      <c r="C5122" t="s">
        <v>32</v>
      </c>
      <c r="E5122" t="s">
        <v>597</v>
      </c>
      <c r="F5122" t="s">
        <v>275</v>
      </c>
      <c r="G5122">
        <v>2</v>
      </c>
      <c r="H5122" t="s">
        <v>438</v>
      </c>
      <c r="I5122" s="4">
        <f t="shared" si="710"/>
        <v>3</v>
      </c>
      <c r="J5122">
        <f t="shared" si="711"/>
        <v>6</v>
      </c>
      <c r="K5122">
        <v>58</v>
      </c>
      <c r="L5122">
        <v>22</v>
      </c>
      <c r="M5122">
        <v>2.64</v>
      </c>
      <c r="N5122">
        <v>3.01</v>
      </c>
      <c r="O5122">
        <v>0</v>
      </c>
      <c r="P5122">
        <v>6</v>
      </c>
      <c r="Q5122" s="4" t="str">
        <f t="shared" si="709"/>
        <v>2018/2019-Genap</v>
      </c>
      <c r="R5122" s="8" t="s">
        <v>260</v>
      </c>
      <c r="S5122" t="str">
        <f t="shared" si="702"/>
        <v>PA</v>
      </c>
    </row>
    <row r="5123" spans="1:19" x14ac:dyDescent="0.3">
      <c r="A5123" t="s">
        <v>8</v>
      </c>
      <c r="B5123">
        <v>2016210061</v>
      </c>
      <c r="C5123" t="s">
        <v>32</v>
      </c>
      <c r="E5123" t="s">
        <v>449</v>
      </c>
      <c r="F5123" t="s">
        <v>460</v>
      </c>
      <c r="G5123">
        <v>4</v>
      </c>
      <c r="H5123" t="s">
        <v>438</v>
      </c>
      <c r="I5123" s="4">
        <f t="shared" si="710"/>
        <v>3</v>
      </c>
      <c r="J5123">
        <f t="shared" si="711"/>
        <v>12</v>
      </c>
      <c r="K5123">
        <v>58</v>
      </c>
      <c r="L5123">
        <v>22</v>
      </c>
      <c r="M5123">
        <v>2.64</v>
      </c>
      <c r="N5123">
        <v>3.01</v>
      </c>
      <c r="O5123">
        <v>0</v>
      </c>
      <c r="P5123">
        <v>6</v>
      </c>
      <c r="Q5123" s="4" t="str">
        <f t="shared" si="709"/>
        <v>2018/2019-Genap</v>
      </c>
      <c r="R5123" s="8" t="s">
        <v>260</v>
      </c>
      <c r="S5123" t="str">
        <f t="shared" si="702"/>
        <v>PA</v>
      </c>
    </row>
    <row r="5124" spans="1:19" x14ac:dyDescent="0.3">
      <c r="A5124" t="s">
        <v>8</v>
      </c>
      <c r="B5124">
        <v>2016210061</v>
      </c>
      <c r="C5124" t="s">
        <v>32</v>
      </c>
      <c r="E5124" t="s">
        <v>10</v>
      </c>
      <c r="F5124" t="s">
        <v>11</v>
      </c>
      <c r="G5124">
        <v>2</v>
      </c>
      <c r="H5124" t="s">
        <v>438</v>
      </c>
      <c r="I5124" s="4">
        <f t="shared" si="710"/>
        <v>3</v>
      </c>
      <c r="J5124">
        <f t="shared" si="711"/>
        <v>6</v>
      </c>
      <c r="K5124">
        <v>50</v>
      </c>
      <c r="L5124">
        <v>16</v>
      </c>
      <c r="M5124">
        <v>3.13</v>
      </c>
      <c r="N5124">
        <v>3.01</v>
      </c>
      <c r="O5124">
        <v>0</v>
      </c>
      <c r="P5124">
        <v>9</v>
      </c>
      <c r="Q5124" s="4" t="str">
        <f t="shared" si="709"/>
        <v>2020/2021-Ganjil</v>
      </c>
      <c r="R5124" s="8" t="s">
        <v>260</v>
      </c>
      <c r="S5124" t="str">
        <f t="shared" si="702"/>
        <v>PA</v>
      </c>
    </row>
    <row r="5125" spans="1:19" x14ac:dyDescent="0.3">
      <c r="A5125" t="s">
        <v>8</v>
      </c>
      <c r="B5125">
        <v>2016210061</v>
      </c>
      <c r="C5125" t="s">
        <v>32</v>
      </c>
      <c r="E5125" t="s">
        <v>213</v>
      </c>
      <c r="F5125" t="s">
        <v>214</v>
      </c>
      <c r="G5125">
        <v>4</v>
      </c>
      <c r="H5125" t="s">
        <v>438</v>
      </c>
      <c r="I5125" s="4">
        <f t="shared" si="710"/>
        <v>3</v>
      </c>
      <c r="J5125">
        <f t="shared" si="711"/>
        <v>12</v>
      </c>
      <c r="K5125">
        <v>60</v>
      </c>
      <c r="L5125">
        <v>20</v>
      </c>
      <c r="M5125" s="2">
        <v>3</v>
      </c>
      <c r="N5125">
        <v>3.01</v>
      </c>
      <c r="O5125">
        <v>0</v>
      </c>
      <c r="P5125">
        <v>7</v>
      </c>
      <c r="Q5125" s="4" t="str">
        <f t="shared" si="709"/>
        <v>2019/2020-Ganjil</v>
      </c>
      <c r="R5125" s="8" t="s">
        <v>260</v>
      </c>
      <c r="S5125" t="str">
        <f t="shared" si="702"/>
        <v>PA</v>
      </c>
    </row>
    <row r="5126" spans="1:19" x14ac:dyDescent="0.3">
      <c r="A5126" t="s">
        <v>8</v>
      </c>
      <c r="B5126">
        <v>2016210061</v>
      </c>
      <c r="C5126" t="s">
        <v>32</v>
      </c>
      <c r="E5126" t="s">
        <v>188</v>
      </c>
      <c r="F5126" t="s">
        <v>189</v>
      </c>
      <c r="G5126">
        <v>4</v>
      </c>
      <c r="H5126" t="s">
        <v>438</v>
      </c>
      <c r="I5126" s="4">
        <f t="shared" si="710"/>
        <v>3</v>
      </c>
      <c r="J5126">
        <f t="shared" si="711"/>
        <v>12</v>
      </c>
      <c r="K5126">
        <v>50</v>
      </c>
      <c r="L5126">
        <v>16</v>
      </c>
      <c r="M5126">
        <v>3.13</v>
      </c>
      <c r="N5126">
        <v>3.01</v>
      </c>
      <c r="O5126">
        <v>0</v>
      </c>
      <c r="P5126">
        <v>9</v>
      </c>
      <c r="Q5126" s="4" t="str">
        <f t="shared" si="709"/>
        <v>2020/2021-Ganjil</v>
      </c>
      <c r="R5126" s="8" t="s">
        <v>260</v>
      </c>
      <c r="S5126" t="str">
        <f t="shared" si="702"/>
        <v>PA</v>
      </c>
    </row>
    <row r="5127" spans="1:19" x14ac:dyDescent="0.3">
      <c r="A5127" t="s">
        <v>8</v>
      </c>
      <c r="B5127">
        <v>2016210061</v>
      </c>
      <c r="C5127" t="s">
        <v>32</v>
      </c>
      <c r="E5127" t="s">
        <v>362</v>
      </c>
      <c r="F5127" t="s">
        <v>501</v>
      </c>
      <c r="G5127">
        <v>2</v>
      </c>
      <c r="H5127" t="s">
        <v>438</v>
      </c>
      <c r="I5127" s="4">
        <f t="shared" si="710"/>
        <v>3</v>
      </c>
      <c r="J5127">
        <f t="shared" si="711"/>
        <v>6</v>
      </c>
      <c r="K5127">
        <v>60</v>
      </c>
      <c r="L5127">
        <v>20</v>
      </c>
      <c r="M5127" s="2">
        <v>3</v>
      </c>
      <c r="N5127">
        <v>3.01</v>
      </c>
      <c r="O5127">
        <v>0</v>
      </c>
      <c r="P5127">
        <v>7</v>
      </c>
      <c r="Q5127" s="4" t="str">
        <f t="shared" si="709"/>
        <v>2019/2020-Ganjil</v>
      </c>
      <c r="R5127" s="8" t="s">
        <v>260</v>
      </c>
      <c r="S5127" t="str">
        <f t="shared" si="702"/>
        <v>PA</v>
      </c>
    </row>
    <row r="5128" spans="1:19" x14ac:dyDescent="0.3">
      <c r="A5128" t="s">
        <v>8</v>
      </c>
      <c r="B5128">
        <v>2016210061</v>
      </c>
      <c r="C5128" t="s">
        <v>32</v>
      </c>
      <c r="E5128" t="s">
        <v>391</v>
      </c>
      <c r="F5128" t="s">
        <v>392</v>
      </c>
      <c r="G5128">
        <v>2</v>
      </c>
      <c r="H5128" t="s">
        <v>438</v>
      </c>
      <c r="I5128" s="4">
        <f t="shared" si="710"/>
        <v>3</v>
      </c>
      <c r="J5128">
        <f t="shared" si="711"/>
        <v>6</v>
      </c>
      <c r="K5128">
        <v>54</v>
      </c>
      <c r="L5128">
        <v>22</v>
      </c>
      <c r="M5128">
        <v>2.4500000000000002</v>
      </c>
      <c r="N5128">
        <v>3.01</v>
      </c>
      <c r="O5128">
        <v>0</v>
      </c>
      <c r="P5128">
        <v>5</v>
      </c>
      <c r="Q5128" s="4" t="str">
        <f t="shared" si="709"/>
        <v>2018/2019-Ganjil</v>
      </c>
      <c r="R5128" s="8" t="s">
        <v>260</v>
      </c>
      <c r="S5128" t="str">
        <f t="shared" si="702"/>
        <v>PA</v>
      </c>
    </row>
    <row r="5129" spans="1:19" x14ac:dyDescent="0.3">
      <c r="A5129" t="s">
        <v>8</v>
      </c>
      <c r="B5129">
        <v>2016210061</v>
      </c>
      <c r="C5129" t="s">
        <v>32</v>
      </c>
      <c r="E5129" t="s">
        <v>463</v>
      </c>
      <c r="F5129" t="s">
        <v>186</v>
      </c>
      <c r="G5129">
        <v>4</v>
      </c>
      <c r="H5129" t="s">
        <v>438</v>
      </c>
      <c r="I5129" s="4">
        <f t="shared" si="710"/>
        <v>3</v>
      </c>
      <c r="J5129">
        <f t="shared" si="711"/>
        <v>12</v>
      </c>
      <c r="K5129">
        <v>50</v>
      </c>
      <c r="L5129">
        <v>16</v>
      </c>
      <c r="M5129" s="2">
        <v>3.13</v>
      </c>
      <c r="N5129">
        <v>3.01</v>
      </c>
      <c r="O5129">
        <v>0</v>
      </c>
      <c r="P5129">
        <v>9</v>
      </c>
      <c r="Q5129" s="4" t="str">
        <f t="shared" si="709"/>
        <v>2020/2021-Ganjil</v>
      </c>
      <c r="R5129" s="8" t="s">
        <v>260</v>
      </c>
      <c r="S5129" t="str">
        <f t="shared" si="702"/>
        <v>PA</v>
      </c>
    </row>
    <row r="5130" spans="1:19" x14ac:dyDescent="0.3">
      <c r="A5130" t="s">
        <v>8</v>
      </c>
      <c r="B5130">
        <v>2016210061</v>
      </c>
      <c r="C5130" t="s">
        <v>32</v>
      </c>
      <c r="E5130" t="s">
        <v>182</v>
      </c>
      <c r="F5130" t="s">
        <v>171</v>
      </c>
      <c r="G5130">
        <v>2</v>
      </c>
      <c r="H5130" t="s">
        <v>438</v>
      </c>
      <c r="I5130" s="4">
        <f t="shared" si="710"/>
        <v>3</v>
      </c>
      <c r="J5130">
        <f t="shared" si="711"/>
        <v>6</v>
      </c>
      <c r="K5130">
        <v>60</v>
      </c>
      <c r="L5130">
        <v>20</v>
      </c>
      <c r="M5130" s="2">
        <v>3</v>
      </c>
      <c r="N5130">
        <v>3.01</v>
      </c>
      <c r="O5130">
        <v>0</v>
      </c>
      <c r="P5130">
        <v>7</v>
      </c>
      <c r="Q5130" s="4" t="str">
        <f t="shared" si="709"/>
        <v>2019/2020-Ganjil</v>
      </c>
      <c r="R5130" s="8" t="s">
        <v>260</v>
      </c>
      <c r="S5130" t="str">
        <f t="shared" si="702"/>
        <v>PA</v>
      </c>
    </row>
    <row r="5131" spans="1:19" x14ac:dyDescent="0.3">
      <c r="A5131" t="s">
        <v>8</v>
      </c>
      <c r="B5131">
        <v>2016210061</v>
      </c>
      <c r="C5131" t="s">
        <v>32</v>
      </c>
      <c r="E5131" t="s">
        <v>202</v>
      </c>
      <c r="F5131" t="s">
        <v>203</v>
      </c>
      <c r="G5131">
        <v>4</v>
      </c>
      <c r="H5131" t="s">
        <v>438</v>
      </c>
      <c r="I5131" s="4">
        <f t="shared" si="710"/>
        <v>3</v>
      </c>
      <c r="J5131">
        <f t="shared" si="711"/>
        <v>12</v>
      </c>
      <c r="K5131">
        <v>34</v>
      </c>
      <c r="L5131">
        <v>14</v>
      </c>
      <c r="M5131">
        <v>2.4300000000000002</v>
      </c>
      <c r="N5131">
        <v>3.01</v>
      </c>
      <c r="O5131">
        <v>0</v>
      </c>
      <c r="P5131">
        <v>3</v>
      </c>
      <c r="Q5131" s="4" t="str">
        <f t="shared" si="709"/>
        <v>2017/2018-Ganjil</v>
      </c>
      <c r="R5131" s="8" t="s">
        <v>260</v>
      </c>
      <c r="S5131" t="str">
        <f t="shared" si="702"/>
        <v>PA</v>
      </c>
    </row>
    <row r="5132" spans="1:19" x14ac:dyDescent="0.3">
      <c r="A5132" t="s">
        <v>8</v>
      </c>
      <c r="B5132">
        <v>2016210061</v>
      </c>
      <c r="C5132" t="s">
        <v>32</v>
      </c>
      <c r="E5132" t="s">
        <v>246</v>
      </c>
      <c r="F5132" t="s">
        <v>247</v>
      </c>
      <c r="G5132">
        <v>4</v>
      </c>
      <c r="H5132" t="s">
        <v>438</v>
      </c>
      <c r="I5132" s="4">
        <f t="shared" si="710"/>
        <v>3</v>
      </c>
      <c r="J5132">
        <f t="shared" si="711"/>
        <v>12</v>
      </c>
      <c r="K5132">
        <v>78</v>
      </c>
      <c r="L5132">
        <v>24</v>
      </c>
      <c r="M5132">
        <v>3.25</v>
      </c>
      <c r="N5132">
        <v>3.01</v>
      </c>
      <c r="O5132">
        <v>0</v>
      </c>
      <c r="P5132">
        <v>8</v>
      </c>
      <c r="Q5132" s="4" t="str">
        <f t="shared" si="709"/>
        <v>2019/2020-Genap</v>
      </c>
      <c r="R5132" s="8" t="s">
        <v>260</v>
      </c>
      <c r="S5132" t="str">
        <f t="shared" si="702"/>
        <v>PA</v>
      </c>
    </row>
    <row r="5133" spans="1:19" x14ac:dyDescent="0.3">
      <c r="A5133" t="s">
        <v>8</v>
      </c>
      <c r="B5133">
        <v>2016210061</v>
      </c>
      <c r="C5133" t="s">
        <v>32</v>
      </c>
      <c r="E5133" t="s">
        <v>369</v>
      </c>
      <c r="F5133" t="s">
        <v>307</v>
      </c>
      <c r="G5133">
        <v>2</v>
      </c>
      <c r="H5133" t="s">
        <v>438</v>
      </c>
      <c r="I5133" s="4">
        <f t="shared" si="710"/>
        <v>3</v>
      </c>
      <c r="J5133">
        <f t="shared" si="711"/>
        <v>6</v>
      </c>
      <c r="K5133">
        <v>58</v>
      </c>
      <c r="L5133">
        <v>22</v>
      </c>
      <c r="M5133">
        <v>2.64</v>
      </c>
      <c r="N5133">
        <v>3.01</v>
      </c>
      <c r="O5133">
        <v>0</v>
      </c>
      <c r="P5133">
        <v>6</v>
      </c>
      <c r="Q5133" s="4" t="str">
        <f t="shared" si="709"/>
        <v>2018/2019-Genap</v>
      </c>
      <c r="R5133" s="8" t="s">
        <v>260</v>
      </c>
      <c r="S5133" t="str">
        <f t="shared" si="702"/>
        <v>PA</v>
      </c>
    </row>
    <row r="5134" spans="1:19" x14ac:dyDescent="0.3">
      <c r="A5134" t="s">
        <v>8</v>
      </c>
      <c r="B5134">
        <v>2016210061</v>
      </c>
      <c r="C5134" t="s">
        <v>32</v>
      </c>
      <c r="E5134" t="s">
        <v>105</v>
      </c>
      <c r="F5134" t="s">
        <v>106</v>
      </c>
      <c r="G5134">
        <v>2</v>
      </c>
      <c r="H5134" t="s">
        <v>438</v>
      </c>
      <c r="I5134" s="4">
        <f t="shared" si="710"/>
        <v>3</v>
      </c>
      <c r="J5134">
        <f t="shared" si="711"/>
        <v>6</v>
      </c>
      <c r="K5134">
        <v>54</v>
      </c>
      <c r="L5134">
        <v>22</v>
      </c>
      <c r="M5134">
        <v>2.4500000000000002</v>
      </c>
      <c r="N5134">
        <v>3.01</v>
      </c>
      <c r="O5134">
        <v>0</v>
      </c>
      <c r="P5134">
        <v>5</v>
      </c>
      <c r="Q5134" s="4" t="str">
        <f t="shared" si="709"/>
        <v>2018/2019-Ganjil</v>
      </c>
      <c r="R5134" s="8" t="s">
        <v>260</v>
      </c>
      <c r="S5134" t="str">
        <f t="shared" si="702"/>
        <v>PA</v>
      </c>
    </row>
    <row r="5135" spans="1:19" x14ac:dyDescent="0.3">
      <c r="A5135" t="s">
        <v>8</v>
      </c>
      <c r="B5135">
        <v>2016210061</v>
      </c>
      <c r="C5135" t="s">
        <v>32</v>
      </c>
      <c r="E5135" t="s">
        <v>157</v>
      </c>
      <c r="F5135" t="s">
        <v>158</v>
      </c>
      <c r="G5135">
        <v>2</v>
      </c>
      <c r="H5135" t="s">
        <v>438</v>
      </c>
      <c r="I5135" s="4">
        <f t="shared" si="710"/>
        <v>3</v>
      </c>
      <c r="J5135">
        <f t="shared" si="711"/>
        <v>6</v>
      </c>
      <c r="K5135">
        <v>54</v>
      </c>
      <c r="L5135">
        <v>22</v>
      </c>
      <c r="M5135">
        <v>2.4500000000000002</v>
      </c>
      <c r="N5135">
        <v>3.01</v>
      </c>
      <c r="O5135">
        <v>0</v>
      </c>
      <c r="P5135">
        <v>5</v>
      </c>
      <c r="Q5135" s="4" t="str">
        <f t="shared" si="709"/>
        <v>2018/2019-Ganjil</v>
      </c>
      <c r="R5135" s="8" t="s">
        <v>260</v>
      </c>
      <c r="S5135" t="str">
        <f t="shared" si="702"/>
        <v>PA</v>
      </c>
    </row>
    <row r="5136" spans="1:19" x14ac:dyDescent="0.3">
      <c r="A5136" t="s">
        <v>8</v>
      </c>
      <c r="B5136">
        <v>2016210061</v>
      </c>
      <c r="C5136" t="s">
        <v>32</v>
      </c>
      <c r="E5136" t="s">
        <v>193</v>
      </c>
      <c r="F5136" t="s">
        <v>194</v>
      </c>
      <c r="G5136">
        <v>4</v>
      </c>
      <c r="H5136" t="s">
        <v>438</v>
      </c>
      <c r="I5136" s="4">
        <f t="shared" si="710"/>
        <v>3</v>
      </c>
      <c r="J5136">
        <f t="shared" si="711"/>
        <v>12</v>
      </c>
      <c r="K5136">
        <v>50</v>
      </c>
      <c r="L5136">
        <v>16</v>
      </c>
      <c r="M5136">
        <v>3.13</v>
      </c>
      <c r="N5136">
        <v>3.01</v>
      </c>
      <c r="O5136">
        <v>0</v>
      </c>
      <c r="P5136">
        <v>9</v>
      </c>
      <c r="Q5136" s="4" t="str">
        <f t="shared" si="709"/>
        <v>2020/2021-Ganjil</v>
      </c>
      <c r="R5136" s="8" t="s">
        <v>260</v>
      </c>
      <c r="S5136" t="str">
        <f t="shared" si="702"/>
        <v>PA</v>
      </c>
    </row>
    <row r="5137" spans="1:19" x14ac:dyDescent="0.3">
      <c r="A5137" t="s">
        <v>8</v>
      </c>
      <c r="B5137">
        <v>2016210061</v>
      </c>
      <c r="C5137" t="s">
        <v>32</v>
      </c>
      <c r="E5137" t="s">
        <v>318</v>
      </c>
      <c r="F5137" t="s">
        <v>319</v>
      </c>
      <c r="G5137">
        <v>2</v>
      </c>
      <c r="H5137" t="s">
        <v>524</v>
      </c>
      <c r="I5137" s="4">
        <f t="shared" si="710"/>
        <v>2</v>
      </c>
      <c r="J5137">
        <f t="shared" si="711"/>
        <v>4</v>
      </c>
      <c r="K5137">
        <v>60</v>
      </c>
      <c r="L5137">
        <v>20</v>
      </c>
      <c r="M5137" s="2">
        <v>3</v>
      </c>
      <c r="N5137">
        <v>3.01</v>
      </c>
      <c r="O5137">
        <v>0</v>
      </c>
      <c r="P5137">
        <v>7</v>
      </c>
      <c r="Q5137" s="4" t="str">
        <f t="shared" si="709"/>
        <v>2019/2020-Ganjil</v>
      </c>
      <c r="R5137" s="8" t="s">
        <v>260</v>
      </c>
      <c r="S5137" t="str">
        <f t="shared" si="702"/>
        <v>PA</v>
      </c>
    </row>
    <row r="5138" spans="1:19" x14ac:dyDescent="0.3">
      <c r="A5138" t="s">
        <v>8</v>
      </c>
      <c r="B5138">
        <v>2016210061</v>
      </c>
      <c r="C5138" t="s">
        <v>32</v>
      </c>
      <c r="E5138" t="s">
        <v>19</v>
      </c>
      <c r="F5138" t="s">
        <v>20</v>
      </c>
      <c r="G5138">
        <v>6</v>
      </c>
      <c r="H5138" t="s">
        <v>524</v>
      </c>
      <c r="I5138" s="4">
        <f t="shared" si="710"/>
        <v>2</v>
      </c>
      <c r="J5138">
        <f t="shared" si="711"/>
        <v>12</v>
      </c>
      <c r="K5138">
        <v>12</v>
      </c>
      <c r="L5138">
        <v>6</v>
      </c>
      <c r="M5138" s="2">
        <v>2</v>
      </c>
      <c r="N5138">
        <v>3.01</v>
      </c>
      <c r="O5138">
        <v>0</v>
      </c>
      <c r="P5138">
        <v>10</v>
      </c>
      <c r="Q5138" s="4" t="str">
        <f t="shared" si="709"/>
        <v>2020/2021-Genap</v>
      </c>
      <c r="R5138" t="s">
        <v>596</v>
      </c>
      <c r="S5138" t="str">
        <f t="shared" si="702"/>
        <v>PA</v>
      </c>
    </row>
    <row r="5139" spans="1:19" x14ac:dyDescent="0.3">
      <c r="A5139" t="s">
        <v>8</v>
      </c>
      <c r="B5139">
        <v>2016210061</v>
      </c>
      <c r="C5139" t="s">
        <v>32</v>
      </c>
      <c r="E5139" t="s">
        <v>180</v>
      </c>
      <c r="F5139" t="s">
        <v>181</v>
      </c>
      <c r="G5139">
        <v>4</v>
      </c>
      <c r="H5139" t="s">
        <v>524</v>
      </c>
      <c r="I5139" s="4">
        <f t="shared" si="710"/>
        <v>2</v>
      </c>
      <c r="J5139">
        <f t="shared" si="711"/>
        <v>8</v>
      </c>
      <c r="K5139">
        <v>58</v>
      </c>
      <c r="L5139">
        <v>22</v>
      </c>
      <c r="M5139">
        <v>2.64</v>
      </c>
      <c r="N5139">
        <v>3.01</v>
      </c>
      <c r="O5139">
        <v>0</v>
      </c>
      <c r="P5139">
        <v>6</v>
      </c>
      <c r="Q5139" s="4" t="str">
        <f t="shared" si="709"/>
        <v>2018/2019-Genap</v>
      </c>
      <c r="R5139" s="8" t="s">
        <v>260</v>
      </c>
      <c r="S5139" t="str">
        <f t="shared" si="702"/>
        <v>PA</v>
      </c>
    </row>
    <row r="5140" spans="1:19" x14ac:dyDescent="0.3">
      <c r="A5140" t="s">
        <v>8</v>
      </c>
      <c r="B5140">
        <v>2016210061</v>
      </c>
      <c r="C5140" t="s">
        <v>32</v>
      </c>
      <c r="E5140" t="s">
        <v>439</v>
      </c>
      <c r="F5140" t="s">
        <v>504</v>
      </c>
      <c r="G5140">
        <v>2</v>
      </c>
      <c r="H5140" t="s">
        <v>524</v>
      </c>
      <c r="I5140" s="4">
        <f t="shared" si="710"/>
        <v>2</v>
      </c>
      <c r="J5140">
        <f t="shared" si="711"/>
        <v>4</v>
      </c>
      <c r="K5140">
        <v>78</v>
      </c>
      <c r="L5140">
        <v>24</v>
      </c>
      <c r="M5140">
        <v>3.25</v>
      </c>
      <c r="N5140">
        <v>3.01</v>
      </c>
      <c r="O5140">
        <v>0</v>
      </c>
      <c r="P5140">
        <v>8</v>
      </c>
      <c r="Q5140" s="4" t="str">
        <f t="shared" si="709"/>
        <v>2019/2020-Genap</v>
      </c>
      <c r="R5140" s="8" t="s">
        <v>260</v>
      </c>
      <c r="S5140" t="str">
        <f t="shared" si="702"/>
        <v>PA</v>
      </c>
    </row>
    <row r="5141" spans="1:19" x14ac:dyDescent="0.3">
      <c r="A5141" t="s">
        <v>8</v>
      </c>
      <c r="B5141">
        <v>2016210061</v>
      </c>
      <c r="C5141" t="s">
        <v>32</v>
      </c>
      <c r="E5141" t="s">
        <v>131</v>
      </c>
      <c r="F5141" t="s">
        <v>132</v>
      </c>
      <c r="G5141">
        <v>2</v>
      </c>
      <c r="H5141" t="s">
        <v>524</v>
      </c>
      <c r="I5141" s="4">
        <f t="shared" si="710"/>
        <v>2</v>
      </c>
      <c r="J5141">
        <f t="shared" si="711"/>
        <v>4</v>
      </c>
      <c r="K5141">
        <v>16</v>
      </c>
      <c r="L5141">
        <v>8</v>
      </c>
      <c r="M5141" s="2">
        <v>2</v>
      </c>
      <c r="N5141">
        <v>3.01</v>
      </c>
      <c r="O5141">
        <v>0</v>
      </c>
      <c r="P5141">
        <v>1</v>
      </c>
      <c r="Q5141" s="4" t="str">
        <f t="shared" si="709"/>
        <v>2016/2017-Ganjil</v>
      </c>
      <c r="R5141" s="8" t="s">
        <v>260</v>
      </c>
      <c r="S5141" t="str">
        <f t="shared" si="702"/>
        <v>PA</v>
      </c>
    </row>
    <row r="5142" spans="1:19" x14ac:dyDescent="0.3">
      <c r="A5142" t="s">
        <v>8</v>
      </c>
      <c r="B5142">
        <v>2016210061</v>
      </c>
      <c r="C5142" t="s">
        <v>32</v>
      </c>
      <c r="E5142" t="s">
        <v>80</v>
      </c>
      <c r="F5142" t="s">
        <v>81</v>
      </c>
      <c r="G5142">
        <v>4</v>
      </c>
      <c r="H5142" t="s">
        <v>524</v>
      </c>
      <c r="I5142" s="4">
        <f t="shared" si="710"/>
        <v>2</v>
      </c>
      <c r="J5142">
        <f t="shared" si="711"/>
        <v>8</v>
      </c>
      <c r="K5142">
        <v>78</v>
      </c>
      <c r="L5142">
        <v>24</v>
      </c>
      <c r="M5142">
        <v>3.25</v>
      </c>
      <c r="N5142">
        <v>3.01</v>
      </c>
      <c r="O5142">
        <v>0</v>
      </c>
      <c r="P5142">
        <v>8</v>
      </c>
      <c r="Q5142" s="4" t="str">
        <f t="shared" si="709"/>
        <v>2019/2020-Genap</v>
      </c>
      <c r="R5142" s="8" t="s">
        <v>260</v>
      </c>
      <c r="S5142" t="str">
        <f t="shared" si="702"/>
        <v>PA</v>
      </c>
    </row>
    <row r="5143" spans="1:19" x14ac:dyDescent="0.3">
      <c r="A5143" t="s">
        <v>8</v>
      </c>
      <c r="B5143">
        <v>2016210061</v>
      </c>
      <c r="C5143" t="s">
        <v>32</v>
      </c>
      <c r="E5143" t="s">
        <v>119</v>
      </c>
      <c r="F5143" t="s">
        <v>120</v>
      </c>
      <c r="G5143">
        <v>2</v>
      </c>
      <c r="H5143" t="s">
        <v>524</v>
      </c>
      <c r="I5143" s="4">
        <f t="shared" si="710"/>
        <v>2</v>
      </c>
      <c r="J5143">
        <f t="shared" si="711"/>
        <v>4</v>
      </c>
      <c r="K5143">
        <v>58</v>
      </c>
      <c r="L5143">
        <v>22</v>
      </c>
      <c r="M5143">
        <v>2.64</v>
      </c>
      <c r="N5143">
        <v>3.01</v>
      </c>
      <c r="O5143">
        <v>0</v>
      </c>
      <c r="P5143">
        <v>6</v>
      </c>
      <c r="Q5143" s="4" t="str">
        <f t="shared" si="709"/>
        <v>2018/2019-Genap</v>
      </c>
      <c r="R5143" s="8" t="s">
        <v>260</v>
      </c>
      <c r="S5143" t="str">
        <f t="shared" si="702"/>
        <v>PA</v>
      </c>
    </row>
    <row r="5144" spans="1:19" x14ac:dyDescent="0.3">
      <c r="A5144" t="s">
        <v>8</v>
      </c>
      <c r="B5144">
        <v>2016210061</v>
      </c>
      <c r="C5144" t="s">
        <v>32</v>
      </c>
      <c r="E5144" t="s">
        <v>110</v>
      </c>
      <c r="F5144" t="s">
        <v>111</v>
      </c>
      <c r="G5144">
        <v>4</v>
      </c>
      <c r="H5144" t="s">
        <v>524</v>
      </c>
      <c r="I5144" s="4">
        <f t="shared" si="710"/>
        <v>2</v>
      </c>
      <c r="J5144">
        <f t="shared" si="711"/>
        <v>8</v>
      </c>
      <c r="K5144">
        <v>34</v>
      </c>
      <c r="L5144">
        <v>14</v>
      </c>
      <c r="M5144">
        <v>2.4300000000000002</v>
      </c>
      <c r="N5144">
        <v>3.01</v>
      </c>
      <c r="O5144">
        <v>0</v>
      </c>
      <c r="P5144">
        <v>3</v>
      </c>
      <c r="Q5144" s="4" t="str">
        <f t="shared" si="709"/>
        <v>2017/2018-Ganjil</v>
      </c>
      <c r="R5144" s="8" t="s">
        <v>260</v>
      </c>
      <c r="S5144" t="str">
        <f t="shared" si="702"/>
        <v>PA</v>
      </c>
    </row>
    <row r="5145" spans="1:19" x14ac:dyDescent="0.3">
      <c r="A5145" t="s">
        <v>8</v>
      </c>
      <c r="B5145">
        <v>2016210061</v>
      </c>
      <c r="C5145" t="s">
        <v>32</v>
      </c>
      <c r="E5145" t="s">
        <v>227</v>
      </c>
      <c r="F5145" t="s">
        <v>228</v>
      </c>
      <c r="G5145">
        <v>2</v>
      </c>
      <c r="H5145" t="s">
        <v>524</v>
      </c>
      <c r="I5145" s="4">
        <f t="shared" si="710"/>
        <v>2</v>
      </c>
      <c r="J5145">
        <f t="shared" si="711"/>
        <v>4</v>
      </c>
      <c r="K5145">
        <v>54</v>
      </c>
      <c r="L5145">
        <v>22</v>
      </c>
      <c r="M5145">
        <v>2.4500000000000002</v>
      </c>
      <c r="N5145">
        <v>3.01</v>
      </c>
      <c r="O5145">
        <v>0</v>
      </c>
      <c r="P5145">
        <v>5</v>
      </c>
      <c r="Q5145" s="4" t="str">
        <f t="shared" si="709"/>
        <v>2018/2019-Ganjil</v>
      </c>
      <c r="R5145" s="8" t="s">
        <v>260</v>
      </c>
      <c r="S5145" t="str">
        <f t="shared" si="702"/>
        <v>PA</v>
      </c>
    </row>
    <row r="5146" spans="1:19" x14ac:dyDescent="0.3">
      <c r="A5146" t="s">
        <v>8</v>
      </c>
      <c r="B5146">
        <v>2016210061</v>
      </c>
      <c r="C5146" t="s">
        <v>32</v>
      </c>
      <c r="E5146" t="s">
        <v>176</v>
      </c>
      <c r="F5146" t="s">
        <v>177</v>
      </c>
      <c r="G5146">
        <v>4</v>
      </c>
      <c r="H5146" t="s">
        <v>524</v>
      </c>
      <c r="I5146" s="4">
        <f t="shared" si="710"/>
        <v>2</v>
      </c>
      <c r="J5146">
        <f t="shared" si="711"/>
        <v>8</v>
      </c>
      <c r="K5146">
        <v>60</v>
      </c>
      <c r="L5146">
        <v>20</v>
      </c>
      <c r="M5146" s="2">
        <v>3</v>
      </c>
      <c r="N5146">
        <v>3.01</v>
      </c>
      <c r="O5146">
        <v>0</v>
      </c>
      <c r="P5146">
        <v>7</v>
      </c>
      <c r="Q5146" s="4" t="str">
        <f t="shared" si="709"/>
        <v>2019/2020-Ganjil</v>
      </c>
      <c r="R5146" s="8" t="s">
        <v>260</v>
      </c>
      <c r="S5146" t="str">
        <f t="shared" si="702"/>
        <v>PA</v>
      </c>
    </row>
    <row r="5147" spans="1:19" x14ac:dyDescent="0.3">
      <c r="A5147" t="s">
        <v>8</v>
      </c>
      <c r="B5147">
        <v>2016210061</v>
      </c>
      <c r="C5147" t="s">
        <v>32</v>
      </c>
      <c r="E5147" t="s">
        <v>401</v>
      </c>
      <c r="F5147" t="s">
        <v>258</v>
      </c>
      <c r="G5147">
        <v>4</v>
      </c>
      <c r="H5147" t="s">
        <v>535</v>
      </c>
      <c r="I5147" s="4">
        <f t="shared" si="710"/>
        <v>1</v>
      </c>
      <c r="J5147">
        <f t="shared" si="711"/>
        <v>4</v>
      </c>
      <c r="K5147">
        <v>54</v>
      </c>
      <c r="L5147">
        <v>22</v>
      </c>
      <c r="M5147">
        <v>2.4500000000000002</v>
      </c>
      <c r="N5147">
        <v>3.01</v>
      </c>
      <c r="O5147">
        <v>0</v>
      </c>
      <c r="P5147">
        <v>5</v>
      </c>
      <c r="Q5147" s="4" t="str">
        <f t="shared" si="709"/>
        <v>2018/2019-Ganjil</v>
      </c>
      <c r="R5147" s="8" t="s">
        <v>260</v>
      </c>
      <c r="S5147" t="str">
        <f t="shared" si="702"/>
        <v>FA</v>
      </c>
    </row>
    <row r="5148" spans="1:19" x14ac:dyDescent="0.3">
      <c r="A5148" t="s">
        <v>8</v>
      </c>
      <c r="B5148">
        <v>2016210061</v>
      </c>
      <c r="C5148" t="s">
        <v>32</v>
      </c>
      <c r="E5148" t="s">
        <v>401</v>
      </c>
      <c r="F5148" t="s">
        <v>258</v>
      </c>
      <c r="G5148">
        <v>4</v>
      </c>
      <c r="H5148" t="s">
        <v>260</v>
      </c>
      <c r="I5148" s="4">
        <f t="shared" si="710"/>
        <v>4</v>
      </c>
      <c r="J5148">
        <f t="shared" si="711"/>
        <v>16</v>
      </c>
      <c r="K5148">
        <v>38</v>
      </c>
      <c r="L5148">
        <v>14</v>
      </c>
      <c r="M5148">
        <v>2.71</v>
      </c>
      <c r="N5148">
        <v>3.01</v>
      </c>
      <c r="O5148">
        <v>1</v>
      </c>
      <c r="P5148">
        <v>8</v>
      </c>
      <c r="Q5148" s="4" t="s">
        <v>571</v>
      </c>
      <c r="R5148" s="8" t="s">
        <v>260</v>
      </c>
      <c r="S5148" t="str">
        <f t="shared" si="702"/>
        <v>PA</v>
      </c>
    </row>
    <row r="5149" spans="1:19" x14ac:dyDescent="0.3">
      <c r="A5149" t="s">
        <v>8</v>
      </c>
      <c r="B5149">
        <v>2016210061</v>
      </c>
      <c r="C5149" t="s">
        <v>32</v>
      </c>
      <c r="E5149" t="s">
        <v>395</v>
      </c>
      <c r="F5149" t="s">
        <v>396</v>
      </c>
      <c r="G5149">
        <v>2</v>
      </c>
      <c r="H5149" t="s">
        <v>535</v>
      </c>
      <c r="I5149" s="4">
        <f t="shared" si="710"/>
        <v>1</v>
      </c>
      <c r="J5149">
        <f t="shared" si="711"/>
        <v>2</v>
      </c>
      <c r="K5149">
        <v>16</v>
      </c>
      <c r="L5149">
        <v>8</v>
      </c>
      <c r="M5149" s="2">
        <v>2</v>
      </c>
      <c r="N5149">
        <v>3.01</v>
      </c>
      <c r="O5149">
        <v>0</v>
      </c>
      <c r="P5149">
        <v>1</v>
      </c>
      <c r="Q5149" s="4" t="str">
        <f>IF(P5149=1,"2016/2017-Ganjil",IF(P5149=2,"2016/2017-Genap",IF(P5149=3,"2017/2018-Ganjil",IF(P5149=4,"2017/2018-Genap",IF(P5149=5,"2018/2019-Ganjil",IF(P5149=6,"2018/2019-Genap",IF(P5149=7,"2019/2020-Ganjil",IF(P5149=8,"2019/2020-Genap",IF(P5149=9,"2020/2021-Ganjil",IF(P5149=10,"2020/2021-Genap",IF(P5149=11,"2021/2022-Ganjil",IF(P5149=12,"2021/2022-Genap",IF(P5149=13,"2022/2023-Ganjil","2022/2023-Genap")))))))))))))</f>
        <v>2016/2017-Ganjil</v>
      </c>
      <c r="R5149" s="8" t="s">
        <v>260</v>
      </c>
      <c r="S5149" t="str">
        <f t="shared" si="702"/>
        <v>FA</v>
      </c>
    </row>
    <row r="5150" spans="1:19" x14ac:dyDescent="0.3">
      <c r="A5150" t="s">
        <v>8</v>
      </c>
      <c r="B5150">
        <v>2016210061</v>
      </c>
      <c r="C5150" t="s">
        <v>32</v>
      </c>
      <c r="E5150" t="s">
        <v>395</v>
      </c>
      <c r="F5150" t="s">
        <v>396</v>
      </c>
      <c r="G5150">
        <v>2</v>
      </c>
      <c r="H5150" t="s">
        <v>535</v>
      </c>
      <c r="I5150" s="4">
        <f t="shared" si="710"/>
        <v>1</v>
      </c>
      <c r="J5150">
        <f t="shared" si="711"/>
        <v>2</v>
      </c>
      <c r="K5150">
        <v>34</v>
      </c>
      <c r="L5150">
        <v>14</v>
      </c>
      <c r="M5150" s="2">
        <v>2.4300000000000002</v>
      </c>
      <c r="N5150">
        <v>3.01</v>
      </c>
      <c r="O5150">
        <v>1</v>
      </c>
      <c r="P5150">
        <v>3</v>
      </c>
      <c r="Q5150" s="4" t="str">
        <f>IF(P5150=1,"2016/2017-Ganjil",IF(P5150=2,"2016/2017-Genap",IF(P5150=3,"2017/2018-Ganjil",IF(P5150=4,"2017/2018-Genap",IF(P5150=5,"2018/2019-Ganjil",IF(P5150=6,"2018/2019-Genap",IF(P5150=7,"2019/2020-Ganjil",IF(P5150=8,"2019/2020-Genap",IF(P5150=9,"2020/2021-Ganjil",IF(P5150=10,"2020/2021-Genap",IF(P5150=11,"2021/2022-Ganjil",IF(P5150=12,"2021/2022-Genap",IF(P5150=13,"2022/2023-Ganjil","2022/2023-Genap")))))))))))))</f>
        <v>2017/2018-Ganjil</v>
      </c>
      <c r="R5150" s="8" t="s">
        <v>260</v>
      </c>
      <c r="S5150" t="str">
        <f t="shared" si="702"/>
        <v>FA</v>
      </c>
    </row>
    <row r="5151" spans="1:19" x14ac:dyDescent="0.3">
      <c r="A5151" t="s">
        <v>8</v>
      </c>
      <c r="B5151">
        <v>2016210061</v>
      </c>
      <c r="C5151" t="s">
        <v>32</v>
      </c>
      <c r="E5151" t="s">
        <v>395</v>
      </c>
      <c r="F5151" t="s">
        <v>396</v>
      </c>
      <c r="G5151">
        <v>2</v>
      </c>
      <c r="H5151" t="s">
        <v>260</v>
      </c>
      <c r="I5151" s="4">
        <f t="shared" si="710"/>
        <v>4</v>
      </c>
      <c r="J5151">
        <f t="shared" si="711"/>
        <v>8</v>
      </c>
      <c r="K5151">
        <v>38</v>
      </c>
      <c r="L5151">
        <v>14</v>
      </c>
      <c r="M5151">
        <v>2.71</v>
      </c>
      <c r="N5151">
        <v>3.01</v>
      </c>
      <c r="O5151">
        <v>2</v>
      </c>
      <c r="P5151">
        <v>8</v>
      </c>
      <c r="Q5151" s="4" t="s">
        <v>571</v>
      </c>
      <c r="R5151" s="8" t="s">
        <v>260</v>
      </c>
      <c r="S5151" t="str">
        <f t="shared" si="702"/>
        <v>PA</v>
      </c>
    </row>
    <row r="5152" spans="1:19" x14ac:dyDescent="0.3">
      <c r="A5152" t="s">
        <v>8</v>
      </c>
      <c r="B5152">
        <v>2016210061</v>
      </c>
      <c r="C5152" t="s">
        <v>32</v>
      </c>
      <c r="E5152" t="s">
        <v>112</v>
      </c>
      <c r="F5152" t="s">
        <v>113</v>
      </c>
      <c r="G5152">
        <v>4</v>
      </c>
      <c r="H5152" t="s">
        <v>535</v>
      </c>
      <c r="I5152" s="4">
        <f t="shared" si="710"/>
        <v>1</v>
      </c>
      <c r="J5152">
        <f t="shared" si="711"/>
        <v>4</v>
      </c>
      <c r="K5152">
        <v>54</v>
      </c>
      <c r="L5152">
        <v>22</v>
      </c>
      <c r="M5152">
        <v>2.4500000000000002</v>
      </c>
      <c r="N5152">
        <v>3.01</v>
      </c>
      <c r="O5152">
        <v>0</v>
      </c>
      <c r="P5152">
        <v>5</v>
      </c>
      <c r="Q5152" s="4" t="str">
        <f>IF(P5152=1,"2016/2017-Ganjil",IF(P5152=2,"2016/2017-Genap",IF(P5152=3,"2017/2018-Ganjil",IF(P5152=4,"2017/2018-Genap",IF(P5152=5,"2018/2019-Ganjil",IF(P5152=6,"2018/2019-Genap",IF(P5152=7,"2019/2020-Ganjil",IF(P5152=8,"2019/2020-Genap",IF(P5152=9,"2020/2021-Ganjil",IF(P5152=10,"2020/2021-Genap",IF(P5152=11,"2021/2022-Ganjil",IF(P5152=12,"2021/2022-Genap",IF(P5152=13,"2022/2023-Ganjil","2022/2023-Genap")))))))))))))</f>
        <v>2018/2019-Ganjil</v>
      </c>
      <c r="R5152" s="8" t="s">
        <v>260</v>
      </c>
      <c r="S5152" t="str">
        <f t="shared" si="702"/>
        <v>FA</v>
      </c>
    </row>
    <row r="5153" spans="1:19" x14ac:dyDescent="0.3">
      <c r="A5153" t="s">
        <v>8</v>
      </c>
      <c r="B5153">
        <v>2016210061</v>
      </c>
      <c r="C5153" t="s">
        <v>32</v>
      </c>
      <c r="E5153" t="s">
        <v>112</v>
      </c>
      <c r="F5153" t="s">
        <v>113</v>
      </c>
      <c r="G5153">
        <v>4</v>
      </c>
      <c r="H5153" t="s">
        <v>438</v>
      </c>
      <c r="I5153" s="4">
        <f t="shared" si="710"/>
        <v>3</v>
      </c>
      <c r="J5153">
        <f t="shared" si="711"/>
        <v>12</v>
      </c>
      <c r="K5153">
        <v>38</v>
      </c>
      <c r="L5153">
        <v>14</v>
      </c>
      <c r="M5153">
        <v>2.71</v>
      </c>
      <c r="N5153">
        <v>3.01</v>
      </c>
      <c r="O5153">
        <v>1</v>
      </c>
      <c r="P5153">
        <v>8</v>
      </c>
      <c r="Q5153" s="4" t="s">
        <v>571</v>
      </c>
      <c r="R5153" s="8" t="s">
        <v>260</v>
      </c>
      <c r="S5153" t="str">
        <f t="shared" si="702"/>
        <v>PA</v>
      </c>
    </row>
    <row r="5154" spans="1:19" x14ac:dyDescent="0.3">
      <c r="A5154" t="s">
        <v>8</v>
      </c>
      <c r="B5154">
        <v>2016210061</v>
      </c>
      <c r="C5154" t="s">
        <v>32</v>
      </c>
      <c r="E5154" t="s">
        <v>77</v>
      </c>
      <c r="F5154" t="s">
        <v>78</v>
      </c>
      <c r="G5154">
        <v>2</v>
      </c>
      <c r="H5154" t="s">
        <v>535</v>
      </c>
      <c r="I5154" s="4">
        <f t="shared" si="710"/>
        <v>1</v>
      </c>
      <c r="J5154">
        <f t="shared" si="711"/>
        <v>2</v>
      </c>
      <c r="K5154">
        <v>16</v>
      </c>
      <c r="L5154">
        <v>8</v>
      </c>
      <c r="M5154" s="2">
        <v>2</v>
      </c>
      <c r="N5154">
        <v>3.01</v>
      </c>
      <c r="O5154">
        <v>0</v>
      </c>
      <c r="P5154">
        <v>1</v>
      </c>
      <c r="Q5154" s="4" t="str">
        <f t="shared" ref="Q5154:Q5159" si="712">IF(P5154=1,"2016/2017-Ganjil",IF(P5154=2,"2016/2017-Genap",IF(P5154=3,"2017/2018-Ganjil",IF(P5154=4,"2017/2018-Genap",IF(P5154=5,"2018/2019-Ganjil",IF(P5154=6,"2018/2019-Genap",IF(P5154=7,"2019/2020-Ganjil",IF(P5154=8,"2019/2020-Genap",IF(P5154=9,"2020/2021-Ganjil",IF(P5154=10,"2020/2021-Genap",IF(P5154=11,"2021/2022-Ganjil",IF(P5154=12,"2021/2022-Genap",IF(P5154=13,"2022/2023-Ganjil","2022/2023-Genap")))))))))))))</f>
        <v>2016/2017-Ganjil</v>
      </c>
      <c r="R5154" s="8" t="s">
        <v>260</v>
      </c>
      <c r="S5154" t="str">
        <f t="shared" si="702"/>
        <v>FA</v>
      </c>
    </row>
    <row r="5155" spans="1:19" x14ac:dyDescent="0.3">
      <c r="A5155" t="s">
        <v>8</v>
      </c>
      <c r="B5155">
        <v>2016210061</v>
      </c>
      <c r="C5155" t="s">
        <v>32</v>
      </c>
      <c r="E5155" t="s">
        <v>77</v>
      </c>
      <c r="F5155" t="s">
        <v>78</v>
      </c>
      <c r="G5155">
        <v>2</v>
      </c>
      <c r="H5155" t="s">
        <v>438</v>
      </c>
      <c r="I5155" s="4">
        <f t="shared" si="710"/>
        <v>3</v>
      </c>
      <c r="J5155">
        <f t="shared" si="711"/>
        <v>6</v>
      </c>
      <c r="K5155">
        <v>34</v>
      </c>
      <c r="L5155">
        <v>14</v>
      </c>
      <c r="M5155" s="2">
        <v>2.4300000000000002</v>
      </c>
      <c r="N5155">
        <v>3.01</v>
      </c>
      <c r="O5155">
        <v>1</v>
      </c>
      <c r="P5155">
        <v>3</v>
      </c>
      <c r="Q5155" s="4" t="str">
        <f t="shared" si="712"/>
        <v>2017/2018-Ganjil</v>
      </c>
      <c r="R5155" s="8" t="s">
        <v>260</v>
      </c>
      <c r="S5155" t="str">
        <f t="shared" si="702"/>
        <v>PA</v>
      </c>
    </row>
    <row r="5156" spans="1:19" x14ac:dyDescent="0.3">
      <c r="A5156" t="s">
        <v>8</v>
      </c>
      <c r="B5156">
        <v>2016210061</v>
      </c>
      <c r="C5156" t="s">
        <v>32</v>
      </c>
      <c r="E5156" t="s">
        <v>540</v>
      </c>
      <c r="F5156" s="1" t="s">
        <v>541</v>
      </c>
      <c r="G5156">
        <v>2</v>
      </c>
      <c r="H5156" s="1" t="s">
        <v>539</v>
      </c>
      <c r="I5156" s="5">
        <f t="shared" ref="I5156" si="713">IF(H5156="A",4,IF(H5156="B",3,IF(H5156="C",2,IF(H5156="D",1,0))))</f>
        <v>0</v>
      </c>
      <c r="J5156" s="1">
        <f t="shared" ref="J5156" si="714">G5156*I5156</f>
        <v>0</v>
      </c>
      <c r="K5156" s="1">
        <v>34</v>
      </c>
      <c r="L5156" s="1">
        <v>14</v>
      </c>
      <c r="M5156" s="6">
        <v>2.4300000000000002</v>
      </c>
      <c r="N5156" s="1">
        <v>3.01</v>
      </c>
      <c r="O5156" s="1">
        <v>1</v>
      </c>
      <c r="P5156" s="1">
        <v>3</v>
      </c>
      <c r="Q5156" s="5" t="str">
        <f t="shared" si="712"/>
        <v>2017/2018-Ganjil</v>
      </c>
      <c r="R5156" s="8" t="s">
        <v>260</v>
      </c>
      <c r="S5156" t="str">
        <f t="shared" si="702"/>
        <v>FA</v>
      </c>
    </row>
    <row r="5157" spans="1:19" x14ac:dyDescent="0.3">
      <c r="A5157" t="s">
        <v>8</v>
      </c>
      <c r="B5157">
        <v>2016210061</v>
      </c>
      <c r="C5157" t="s">
        <v>32</v>
      </c>
      <c r="E5157" t="s">
        <v>253</v>
      </c>
      <c r="F5157" t="s">
        <v>254</v>
      </c>
      <c r="G5157">
        <v>2</v>
      </c>
      <c r="H5157" t="s">
        <v>539</v>
      </c>
      <c r="I5157" s="4">
        <f t="shared" si="708"/>
        <v>0</v>
      </c>
      <c r="J5157">
        <f t="shared" si="699"/>
        <v>0</v>
      </c>
      <c r="K5157">
        <v>58</v>
      </c>
      <c r="L5157">
        <v>22</v>
      </c>
      <c r="M5157" s="2">
        <v>2.64</v>
      </c>
      <c r="N5157">
        <v>3.01</v>
      </c>
      <c r="O5157">
        <v>0</v>
      </c>
      <c r="P5157">
        <v>6</v>
      </c>
      <c r="Q5157" s="4" t="str">
        <f t="shared" si="712"/>
        <v>2018/2019-Genap</v>
      </c>
      <c r="R5157" s="8" t="s">
        <v>260</v>
      </c>
      <c r="S5157" t="str">
        <f t="shared" si="702"/>
        <v>FA</v>
      </c>
    </row>
    <row r="5158" spans="1:19" x14ac:dyDescent="0.3">
      <c r="A5158" t="s">
        <v>8</v>
      </c>
      <c r="B5158">
        <v>2016210061</v>
      </c>
      <c r="C5158" t="s">
        <v>32</v>
      </c>
      <c r="E5158" t="s">
        <v>253</v>
      </c>
      <c r="F5158" t="s">
        <v>254</v>
      </c>
      <c r="G5158">
        <v>2</v>
      </c>
      <c r="H5158" t="s">
        <v>260</v>
      </c>
      <c r="I5158" s="4">
        <f t="shared" ref="I5158:I5221" si="715">IF(H5158="A",4,IF(H5158="B",3,IF(H5158="C",2,IF(H5158="D",1,0))))</f>
        <v>4</v>
      </c>
      <c r="J5158">
        <f t="shared" ref="J5158:J5221" si="716">G5158*I5158</f>
        <v>8</v>
      </c>
      <c r="K5158">
        <v>78</v>
      </c>
      <c r="L5158">
        <v>24</v>
      </c>
      <c r="M5158" s="2">
        <v>3.25</v>
      </c>
      <c r="N5158">
        <v>3.01</v>
      </c>
      <c r="O5158">
        <v>1</v>
      </c>
      <c r="P5158">
        <v>8</v>
      </c>
      <c r="Q5158" s="4" t="str">
        <f t="shared" si="712"/>
        <v>2019/2020-Genap</v>
      </c>
      <c r="R5158" s="8" t="s">
        <v>260</v>
      </c>
      <c r="S5158" t="str">
        <f t="shared" si="702"/>
        <v>PA</v>
      </c>
    </row>
    <row r="5159" spans="1:19" x14ac:dyDescent="0.3">
      <c r="A5159" t="s">
        <v>8</v>
      </c>
      <c r="B5159">
        <v>2016210061</v>
      </c>
      <c r="C5159" t="s">
        <v>32</v>
      </c>
      <c r="E5159" t="s">
        <v>279</v>
      </c>
      <c r="F5159" t="s">
        <v>280</v>
      </c>
      <c r="G5159">
        <v>2</v>
      </c>
      <c r="H5159" t="s">
        <v>539</v>
      </c>
      <c r="I5159" s="4">
        <f t="shared" si="715"/>
        <v>0</v>
      </c>
      <c r="J5159">
        <f t="shared" si="716"/>
        <v>0</v>
      </c>
      <c r="K5159">
        <v>8</v>
      </c>
      <c r="L5159">
        <v>6</v>
      </c>
      <c r="M5159" s="2">
        <v>1.33</v>
      </c>
      <c r="N5159">
        <v>3.01</v>
      </c>
      <c r="O5159">
        <v>0</v>
      </c>
      <c r="P5159">
        <v>2</v>
      </c>
      <c r="Q5159" s="4" t="str">
        <f t="shared" si="712"/>
        <v>2016/2017-Genap</v>
      </c>
      <c r="R5159" s="8" t="s">
        <v>260</v>
      </c>
      <c r="S5159" t="str">
        <f t="shared" si="702"/>
        <v>FA</v>
      </c>
    </row>
    <row r="5160" spans="1:19" x14ac:dyDescent="0.3">
      <c r="A5160" t="s">
        <v>8</v>
      </c>
      <c r="B5160">
        <v>2016210061</v>
      </c>
      <c r="C5160" t="s">
        <v>32</v>
      </c>
      <c r="E5160" t="s">
        <v>279</v>
      </c>
      <c r="F5160" t="s">
        <v>280</v>
      </c>
      <c r="G5160">
        <v>2</v>
      </c>
      <c r="H5160" t="s">
        <v>438</v>
      </c>
      <c r="I5160" s="4">
        <f t="shared" si="715"/>
        <v>3</v>
      </c>
      <c r="J5160">
        <f t="shared" si="716"/>
        <v>6</v>
      </c>
      <c r="K5160">
        <v>38</v>
      </c>
      <c r="L5160">
        <v>14</v>
      </c>
      <c r="M5160">
        <v>2.71</v>
      </c>
      <c r="N5160">
        <v>3.01</v>
      </c>
      <c r="O5160">
        <v>1</v>
      </c>
      <c r="P5160">
        <v>8</v>
      </c>
      <c r="Q5160" s="4" t="s">
        <v>571</v>
      </c>
      <c r="R5160" s="8" t="s">
        <v>260</v>
      </c>
      <c r="S5160" t="str">
        <f t="shared" si="702"/>
        <v>PA</v>
      </c>
    </row>
    <row r="5161" spans="1:19" x14ac:dyDescent="0.3">
      <c r="A5161" t="s">
        <v>8</v>
      </c>
      <c r="B5161">
        <v>2016210062</v>
      </c>
      <c r="C5161" t="s">
        <v>547</v>
      </c>
      <c r="E5161" t="s">
        <v>246</v>
      </c>
      <c r="F5161" t="s">
        <v>247</v>
      </c>
      <c r="G5161">
        <v>4</v>
      </c>
      <c r="H5161" t="s">
        <v>260</v>
      </c>
      <c r="I5161" s="4">
        <f t="shared" si="715"/>
        <v>4</v>
      </c>
      <c r="J5161">
        <f t="shared" si="716"/>
        <v>16</v>
      </c>
      <c r="K5161">
        <v>60</v>
      </c>
      <c r="L5161">
        <v>20</v>
      </c>
      <c r="M5161" s="2">
        <v>3</v>
      </c>
      <c r="N5161">
        <v>3.14</v>
      </c>
      <c r="O5161">
        <v>0</v>
      </c>
      <c r="P5161">
        <v>4</v>
      </c>
      <c r="Q5161" s="4" t="str">
        <f t="shared" ref="Q5161:Q5209" si="717">IF(P5161=1,"2016/2017-Ganjil",IF(P5161=2,"2016/2017-Genap",IF(P5161=3,"2017/2018-Ganjil",IF(P5161=4,"2017/2018-Genap",IF(P5161=5,"2018/2019-Ganjil",IF(P5161=6,"2018/2019-Genap",IF(P5161=7,"2019/2020-Ganjil",IF(P5161=8,"2019/2020-Genap",IF(P5161=9,"2020/2021-Ganjil",IF(P5161=10,"2020/2021-Genap",IF(P5161=11,"2021/2022-Ganjil",IF(P5161=12,"2021/2022-Genap",IF(P5161=13,"2022/2023-Ganjil","2022/2023-Genap")))))))))))))</f>
        <v>2017/2018-Genap</v>
      </c>
      <c r="R5161" s="8" t="s">
        <v>260</v>
      </c>
      <c r="S5161" t="str">
        <f t="shared" si="702"/>
        <v>PA</v>
      </c>
    </row>
    <row r="5162" spans="1:19" x14ac:dyDescent="0.3">
      <c r="A5162" t="s">
        <v>8</v>
      </c>
      <c r="B5162">
        <v>2016210062</v>
      </c>
      <c r="C5162" t="s">
        <v>547</v>
      </c>
      <c r="E5162" t="s">
        <v>176</v>
      </c>
      <c r="F5162" t="s">
        <v>177</v>
      </c>
      <c r="G5162">
        <v>4</v>
      </c>
      <c r="H5162" t="s">
        <v>260</v>
      </c>
      <c r="I5162" s="4">
        <f t="shared" si="715"/>
        <v>4</v>
      </c>
      <c r="J5162">
        <f t="shared" si="716"/>
        <v>16</v>
      </c>
      <c r="K5162">
        <v>66</v>
      </c>
      <c r="L5162">
        <v>24</v>
      </c>
      <c r="M5162">
        <v>2.75</v>
      </c>
      <c r="N5162">
        <v>3.14</v>
      </c>
      <c r="O5162">
        <v>0</v>
      </c>
      <c r="P5162">
        <v>5</v>
      </c>
      <c r="Q5162" s="4" t="str">
        <f t="shared" si="717"/>
        <v>2018/2019-Ganjil</v>
      </c>
      <c r="R5162" s="8" t="s">
        <v>260</v>
      </c>
      <c r="S5162" t="str">
        <f t="shared" si="702"/>
        <v>PA</v>
      </c>
    </row>
    <row r="5163" spans="1:19" x14ac:dyDescent="0.3">
      <c r="A5163" t="s">
        <v>8</v>
      </c>
      <c r="B5163">
        <v>2016210062</v>
      </c>
      <c r="C5163" t="s">
        <v>547</v>
      </c>
      <c r="E5163" t="s">
        <v>266</v>
      </c>
      <c r="F5163" t="s">
        <v>91</v>
      </c>
      <c r="G5163">
        <v>2</v>
      </c>
      <c r="H5163" t="s">
        <v>260</v>
      </c>
      <c r="I5163" s="4">
        <f t="shared" si="715"/>
        <v>4</v>
      </c>
      <c r="J5163">
        <f t="shared" si="716"/>
        <v>8</v>
      </c>
      <c r="K5163">
        <v>38</v>
      </c>
      <c r="L5163">
        <v>12</v>
      </c>
      <c r="M5163">
        <v>3.17</v>
      </c>
      <c r="N5163">
        <v>3.14</v>
      </c>
      <c r="O5163">
        <v>0</v>
      </c>
      <c r="P5163">
        <v>2</v>
      </c>
      <c r="Q5163" s="4" t="str">
        <f t="shared" si="717"/>
        <v>2016/2017-Genap</v>
      </c>
      <c r="R5163" s="8" t="s">
        <v>260</v>
      </c>
      <c r="S5163" t="str">
        <f t="shared" si="702"/>
        <v>PA</v>
      </c>
    </row>
    <row r="5164" spans="1:19" x14ac:dyDescent="0.3">
      <c r="A5164" t="s">
        <v>8</v>
      </c>
      <c r="B5164">
        <v>2016210062</v>
      </c>
      <c r="C5164" t="s">
        <v>547</v>
      </c>
      <c r="E5164" t="s">
        <v>352</v>
      </c>
      <c r="F5164" t="s">
        <v>353</v>
      </c>
      <c r="G5164">
        <v>2</v>
      </c>
      <c r="H5164" t="s">
        <v>260</v>
      </c>
      <c r="I5164" s="4">
        <f t="shared" si="715"/>
        <v>4</v>
      </c>
      <c r="J5164">
        <f t="shared" si="716"/>
        <v>8</v>
      </c>
      <c r="K5164">
        <v>66</v>
      </c>
      <c r="L5164">
        <v>24</v>
      </c>
      <c r="M5164">
        <v>2.75</v>
      </c>
      <c r="N5164">
        <v>3.14</v>
      </c>
      <c r="O5164">
        <v>0</v>
      </c>
      <c r="P5164">
        <v>5</v>
      </c>
      <c r="Q5164" s="4" t="str">
        <f t="shared" si="717"/>
        <v>2018/2019-Ganjil</v>
      </c>
      <c r="R5164" s="8" t="s">
        <v>260</v>
      </c>
      <c r="S5164" t="str">
        <f t="shared" si="702"/>
        <v>PA</v>
      </c>
    </row>
    <row r="5165" spans="1:19" x14ac:dyDescent="0.3">
      <c r="A5165" t="s">
        <v>8</v>
      </c>
      <c r="B5165">
        <v>2016210062</v>
      </c>
      <c r="C5165" t="s">
        <v>547</v>
      </c>
      <c r="E5165" t="s">
        <v>93</v>
      </c>
      <c r="F5165" t="s">
        <v>94</v>
      </c>
      <c r="G5165">
        <v>4</v>
      </c>
      <c r="H5165" t="s">
        <v>260</v>
      </c>
      <c r="I5165" s="4">
        <f t="shared" si="715"/>
        <v>4</v>
      </c>
      <c r="J5165">
        <f t="shared" si="716"/>
        <v>16</v>
      </c>
      <c r="K5165">
        <v>62</v>
      </c>
      <c r="L5165">
        <v>22</v>
      </c>
      <c r="M5165">
        <v>2.82</v>
      </c>
      <c r="N5165">
        <v>3.14</v>
      </c>
      <c r="O5165">
        <v>0</v>
      </c>
      <c r="P5165">
        <v>3</v>
      </c>
      <c r="Q5165" s="4" t="str">
        <f t="shared" si="717"/>
        <v>2017/2018-Ganjil</v>
      </c>
      <c r="R5165" s="8" t="s">
        <v>260</v>
      </c>
      <c r="S5165" t="str">
        <f t="shared" ref="S5165:S5221" si="718">IF(OR(H5165="A",H5165="B",H5165="C"),"PA","FA")</f>
        <v>PA</v>
      </c>
    </row>
    <row r="5166" spans="1:19" x14ac:dyDescent="0.3">
      <c r="A5166" t="s">
        <v>8</v>
      </c>
      <c r="B5166">
        <v>2016210062</v>
      </c>
      <c r="C5166" t="s">
        <v>547</v>
      </c>
      <c r="E5166" t="s">
        <v>22</v>
      </c>
      <c r="F5166" t="s">
        <v>23</v>
      </c>
      <c r="G5166">
        <v>2</v>
      </c>
      <c r="H5166" t="s">
        <v>260</v>
      </c>
      <c r="I5166" s="4">
        <f t="shared" si="715"/>
        <v>4</v>
      </c>
      <c r="J5166">
        <f t="shared" si="716"/>
        <v>8</v>
      </c>
      <c r="K5166">
        <v>52</v>
      </c>
      <c r="L5166">
        <v>18</v>
      </c>
      <c r="M5166">
        <v>2.89</v>
      </c>
      <c r="N5166">
        <v>3.14</v>
      </c>
      <c r="O5166">
        <v>0</v>
      </c>
      <c r="P5166">
        <v>8</v>
      </c>
      <c r="Q5166" s="4" t="str">
        <f t="shared" si="717"/>
        <v>2019/2020-Genap</v>
      </c>
      <c r="R5166" t="s">
        <v>596</v>
      </c>
      <c r="S5166" t="str">
        <f t="shared" si="718"/>
        <v>PA</v>
      </c>
    </row>
    <row r="5167" spans="1:19" x14ac:dyDescent="0.3">
      <c r="A5167" t="s">
        <v>8</v>
      </c>
      <c r="B5167">
        <v>2016210062</v>
      </c>
      <c r="C5167" t="s">
        <v>547</v>
      </c>
      <c r="E5167" t="s">
        <v>369</v>
      </c>
      <c r="F5167" t="s">
        <v>307</v>
      </c>
      <c r="G5167">
        <v>2</v>
      </c>
      <c r="H5167" t="s">
        <v>260</v>
      </c>
      <c r="I5167" s="4">
        <f t="shared" si="715"/>
        <v>4</v>
      </c>
      <c r="J5167">
        <f t="shared" si="716"/>
        <v>8</v>
      </c>
      <c r="K5167">
        <v>56</v>
      </c>
      <c r="L5167">
        <v>20</v>
      </c>
      <c r="M5167" s="2">
        <v>2.8</v>
      </c>
      <c r="N5167">
        <v>3.14</v>
      </c>
      <c r="O5167">
        <v>0</v>
      </c>
      <c r="P5167">
        <v>6</v>
      </c>
      <c r="Q5167" s="4" t="str">
        <f t="shared" si="717"/>
        <v>2018/2019-Genap</v>
      </c>
      <c r="R5167" s="8" t="s">
        <v>260</v>
      </c>
      <c r="S5167" t="str">
        <f t="shared" si="718"/>
        <v>PA</v>
      </c>
    </row>
    <row r="5168" spans="1:19" x14ac:dyDescent="0.3">
      <c r="A5168" t="s">
        <v>8</v>
      </c>
      <c r="B5168">
        <v>2016210062</v>
      </c>
      <c r="C5168" t="s">
        <v>547</v>
      </c>
      <c r="E5168" t="s">
        <v>180</v>
      </c>
      <c r="F5168" t="s">
        <v>181</v>
      </c>
      <c r="G5168">
        <v>4</v>
      </c>
      <c r="H5168" t="s">
        <v>260</v>
      </c>
      <c r="I5168" s="4">
        <f t="shared" si="715"/>
        <v>4</v>
      </c>
      <c r="J5168">
        <f t="shared" si="716"/>
        <v>16</v>
      </c>
      <c r="K5168">
        <v>60</v>
      </c>
      <c r="L5168">
        <v>20</v>
      </c>
      <c r="M5168" s="2">
        <v>3</v>
      </c>
      <c r="N5168">
        <v>3.14</v>
      </c>
      <c r="O5168">
        <v>0</v>
      </c>
      <c r="P5168">
        <v>4</v>
      </c>
      <c r="Q5168" s="4" t="str">
        <f t="shared" si="717"/>
        <v>2017/2018-Genap</v>
      </c>
      <c r="R5168" s="8" t="s">
        <v>260</v>
      </c>
      <c r="S5168" t="str">
        <f t="shared" si="718"/>
        <v>PA</v>
      </c>
    </row>
    <row r="5169" spans="1:19" x14ac:dyDescent="0.3">
      <c r="A5169" t="s">
        <v>8</v>
      </c>
      <c r="B5169">
        <v>2016210062</v>
      </c>
      <c r="C5169" t="s">
        <v>547</v>
      </c>
      <c r="E5169" t="s">
        <v>110</v>
      </c>
      <c r="F5169" t="s">
        <v>111</v>
      </c>
      <c r="G5169">
        <v>4</v>
      </c>
      <c r="H5169" t="s">
        <v>260</v>
      </c>
      <c r="I5169" s="4">
        <f t="shared" si="715"/>
        <v>4</v>
      </c>
      <c r="J5169">
        <f t="shared" si="716"/>
        <v>16</v>
      </c>
      <c r="K5169">
        <v>62</v>
      </c>
      <c r="L5169">
        <v>20</v>
      </c>
      <c r="M5169" s="2">
        <v>3.1</v>
      </c>
      <c r="N5169">
        <v>3.14</v>
      </c>
      <c r="O5169">
        <v>0</v>
      </c>
      <c r="P5169">
        <v>1</v>
      </c>
      <c r="Q5169" s="4" t="str">
        <f t="shared" si="717"/>
        <v>2016/2017-Ganjil</v>
      </c>
      <c r="R5169" s="8" t="s">
        <v>260</v>
      </c>
      <c r="S5169" t="str">
        <f t="shared" si="718"/>
        <v>PA</v>
      </c>
    </row>
    <row r="5170" spans="1:19" x14ac:dyDescent="0.3">
      <c r="A5170" t="s">
        <v>8</v>
      </c>
      <c r="B5170">
        <v>2016210062</v>
      </c>
      <c r="C5170" t="s">
        <v>547</v>
      </c>
      <c r="E5170" t="s">
        <v>362</v>
      </c>
      <c r="F5170" t="s">
        <v>363</v>
      </c>
      <c r="G5170">
        <v>2</v>
      </c>
      <c r="H5170" t="s">
        <v>260</v>
      </c>
      <c r="I5170" s="4">
        <f t="shared" si="715"/>
        <v>4</v>
      </c>
      <c r="J5170">
        <f t="shared" si="716"/>
        <v>8</v>
      </c>
      <c r="K5170">
        <v>66</v>
      </c>
      <c r="L5170">
        <v>24</v>
      </c>
      <c r="M5170">
        <v>2.75</v>
      </c>
      <c r="N5170">
        <v>3.14</v>
      </c>
      <c r="O5170">
        <v>0</v>
      </c>
      <c r="P5170">
        <v>5</v>
      </c>
      <c r="Q5170" s="4" t="str">
        <f t="shared" si="717"/>
        <v>2018/2019-Ganjil</v>
      </c>
      <c r="R5170" s="8" t="s">
        <v>260</v>
      </c>
      <c r="S5170" t="str">
        <f t="shared" si="718"/>
        <v>PA</v>
      </c>
    </row>
    <row r="5171" spans="1:19" x14ac:dyDescent="0.3">
      <c r="A5171" t="s">
        <v>8</v>
      </c>
      <c r="B5171">
        <v>2016210062</v>
      </c>
      <c r="C5171" t="s">
        <v>547</v>
      </c>
      <c r="E5171" t="s">
        <v>253</v>
      </c>
      <c r="F5171" t="s">
        <v>254</v>
      </c>
      <c r="G5171">
        <v>2</v>
      </c>
      <c r="H5171" t="s">
        <v>260</v>
      </c>
      <c r="I5171" s="4">
        <f t="shared" si="715"/>
        <v>4</v>
      </c>
      <c r="J5171">
        <f t="shared" si="716"/>
        <v>8</v>
      </c>
      <c r="K5171">
        <v>52</v>
      </c>
      <c r="L5171">
        <v>18</v>
      </c>
      <c r="M5171" s="2">
        <v>2.89</v>
      </c>
      <c r="N5171">
        <v>3.14</v>
      </c>
      <c r="O5171">
        <v>0</v>
      </c>
      <c r="P5171">
        <v>8</v>
      </c>
      <c r="Q5171" s="4" t="str">
        <f t="shared" si="717"/>
        <v>2019/2020-Genap</v>
      </c>
      <c r="R5171" t="s">
        <v>596</v>
      </c>
      <c r="S5171" t="str">
        <f t="shared" si="718"/>
        <v>PA</v>
      </c>
    </row>
    <row r="5172" spans="1:19" x14ac:dyDescent="0.3">
      <c r="A5172" t="s">
        <v>8</v>
      </c>
      <c r="B5172">
        <v>2016210062</v>
      </c>
      <c r="C5172" t="s">
        <v>547</v>
      </c>
      <c r="E5172" t="s">
        <v>295</v>
      </c>
      <c r="F5172" t="s">
        <v>296</v>
      </c>
      <c r="G5172">
        <v>2</v>
      </c>
      <c r="H5172" t="s">
        <v>260</v>
      </c>
      <c r="I5172" s="4">
        <f t="shared" si="715"/>
        <v>4</v>
      </c>
      <c r="J5172">
        <f t="shared" si="716"/>
        <v>8</v>
      </c>
      <c r="K5172">
        <v>62</v>
      </c>
      <c r="L5172">
        <v>22</v>
      </c>
      <c r="M5172">
        <v>2.82</v>
      </c>
      <c r="N5172">
        <v>3.14</v>
      </c>
      <c r="O5172">
        <v>0</v>
      </c>
      <c r="P5172">
        <v>3</v>
      </c>
      <c r="Q5172" s="4" t="str">
        <f t="shared" si="717"/>
        <v>2017/2018-Ganjil</v>
      </c>
      <c r="R5172" s="8" t="s">
        <v>260</v>
      </c>
      <c r="S5172" t="str">
        <f t="shared" si="718"/>
        <v>PA</v>
      </c>
    </row>
    <row r="5173" spans="1:19" x14ac:dyDescent="0.3">
      <c r="A5173" t="s">
        <v>8</v>
      </c>
      <c r="B5173">
        <v>2016210062</v>
      </c>
      <c r="C5173" t="s">
        <v>547</v>
      </c>
      <c r="E5173" t="s">
        <v>597</v>
      </c>
      <c r="F5173" t="s">
        <v>275</v>
      </c>
      <c r="G5173">
        <v>2</v>
      </c>
      <c r="H5173" t="s">
        <v>260</v>
      </c>
      <c r="I5173" s="4">
        <f t="shared" si="715"/>
        <v>4</v>
      </c>
      <c r="J5173">
        <f t="shared" si="716"/>
        <v>8</v>
      </c>
      <c r="K5173">
        <v>52</v>
      </c>
      <c r="L5173">
        <v>18</v>
      </c>
      <c r="M5173" s="2">
        <v>2.89</v>
      </c>
      <c r="N5173">
        <v>3.14</v>
      </c>
      <c r="O5173">
        <v>0</v>
      </c>
      <c r="P5173">
        <v>8</v>
      </c>
      <c r="Q5173" s="4" t="str">
        <f t="shared" si="717"/>
        <v>2019/2020-Genap</v>
      </c>
      <c r="R5173" t="s">
        <v>596</v>
      </c>
      <c r="S5173" t="str">
        <f t="shared" si="718"/>
        <v>PA</v>
      </c>
    </row>
    <row r="5174" spans="1:19" x14ac:dyDescent="0.3">
      <c r="A5174" t="s">
        <v>8</v>
      </c>
      <c r="B5174">
        <v>2016210062</v>
      </c>
      <c r="C5174" t="s">
        <v>547</v>
      </c>
      <c r="E5174" t="s">
        <v>107</v>
      </c>
      <c r="F5174" t="s">
        <v>108</v>
      </c>
      <c r="G5174">
        <v>2</v>
      </c>
      <c r="H5174" t="s">
        <v>260</v>
      </c>
      <c r="I5174" s="4">
        <f t="shared" si="715"/>
        <v>4</v>
      </c>
      <c r="J5174">
        <f t="shared" si="716"/>
        <v>8</v>
      </c>
      <c r="K5174">
        <v>56</v>
      </c>
      <c r="L5174">
        <v>20</v>
      </c>
      <c r="M5174" s="2">
        <v>2.8</v>
      </c>
      <c r="N5174">
        <v>3.14</v>
      </c>
      <c r="O5174">
        <v>0</v>
      </c>
      <c r="P5174">
        <v>6</v>
      </c>
      <c r="Q5174" s="4" t="str">
        <f t="shared" si="717"/>
        <v>2018/2019-Genap</v>
      </c>
      <c r="R5174" s="8" t="s">
        <v>260</v>
      </c>
      <c r="S5174" t="str">
        <f t="shared" si="718"/>
        <v>PA</v>
      </c>
    </row>
    <row r="5175" spans="1:19" x14ac:dyDescent="0.3">
      <c r="A5175" t="s">
        <v>8</v>
      </c>
      <c r="B5175">
        <v>2016210062</v>
      </c>
      <c r="C5175" t="s">
        <v>547</v>
      </c>
      <c r="E5175" t="s">
        <v>131</v>
      </c>
      <c r="F5175" t="s">
        <v>132</v>
      </c>
      <c r="G5175">
        <v>2</v>
      </c>
      <c r="H5175" t="s">
        <v>260</v>
      </c>
      <c r="I5175" s="4">
        <f t="shared" si="715"/>
        <v>4</v>
      </c>
      <c r="J5175">
        <f t="shared" si="716"/>
        <v>8</v>
      </c>
      <c r="K5175">
        <v>62</v>
      </c>
      <c r="L5175">
        <v>20</v>
      </c>
      <c r="M5175" s="2">
        <v>3.1</v>
      </c>
      <c r="N5175">
        <v>3.14</v>
      </c>
      <c r="O5175">
        <v>0</v>
      </c>
      <c r="P5175">
        <v>1</v>
      </c>
      <c r="Q5175" s="4" t="str">
        <f t="shared" si="717"/>
        <v>2016/2017-Ganjil</v>
      </c>
      <c r="R5175" s="8" t="s">
        <v>260</v>
      </c>
      <c r="S5175" t="str">
        <f t="shared" si="718"/>
        <v>PA</v>
      </c>
    </row>
    <row r="5176" spans="1:19" x14ac:dyDescent="0.3">
      <c r="A5176" t="s">
        <v>8</v>
      </c>
      <c r="B5176">
        <v>2016210062</v>
      </c>
      <c r="C5176" t="s">
        <v>547</v>
      </c>
      <c r="E5176" t="s">
        <v>242</v>
      </c>
      <c r="F5176" t="s">
        <v>166</v>
      </c>
      <c r="G5176">
        <v>2</v>
      </c>
      <c r="H5176" t="s">
        <v>438</v>
      </c>
      <c r="I5176" s="4">
        <f t="shared" si="715"/>
        <v>3</v>
      </c>
      <c r="J5176">
        <f t="shared" si="716"/>
        <v>6</v>
      </c>
      <c r="K5176">
        <v>56</v>
      </c>
      <c r="L5176">
        <v>20</v>
      </c>
      <c r="M5176" s="2">
        <v>2.8</v>
      </c>
      <c r="N5176">
        <v>3.14</v>
      </c>
      <c r="O5176">
        <v>0</v>
      </c>
      <c r="P5176">
        <v>6</v>
      </c>
      <c r="Q5176" s="4" t="str">
        <f t="shared" si="717"/>
        <v>2018/2019-Genap</v>
      </c>
      <c r="R5176" s="8" t="s">
        <v>260</v>
      </c>
      <c r="S5176" t="str">
        <f t="shared" si="718"/>
        <v>PA</v>
      </c>
    </row>
    <row r="5177" spans="1:19" x14ac:dyDescent="0.3">
      <c r="A5177" t="s">
        <v>8</v>
      </c>
      <c r="B5177">
        <v>2016210062</v>
      </c>
      <c r="C5177" t="s">
        <v>547</v>
      </c>
      <c r="E5177" t="s">
        <v>279</v>
      </c>
      <c r="F5177" t="s">
        <v>280</v>
      </c>
      <c r="G5177">
        <v>2</v>
      </c>
      <c r="H5177" t="s">
        <v>438</v>
      </c>
      <c r="I5177" s="4">
        <f t="shared" si="715"/>
        <v>3</v>
      </c>
      <c r="J5177">
        <f t="shared" si="716"/>
        <v>6</v>
      </c>
      <c r="K5177">
        <v>38</v>
      </c>
      <c r="L5177">
        <v>12</v>
      </c>
      <c r="M5177" s="2">
        <v>3.17</v>
      </c>
      <c r="N5177">
        <v>3.14</v>
      </c>
      <c r="O5177">
        <v>0</v>
      </c>
      <c r="P5177">
        <v>2</v>
      </c>
      <c r="Q5177" s="4" t="str">
        <f t="shared" si="717"/>
        <v>2016/2017-Genap</v>
      </c>
      <c r="R5177" s="8" t="s">
        <v>260</v>
      </c>
      <c r="S5177" t="str">
        <f t="shared" si="718"/>
        <v>PA</v>
      </c>
    </row>
    <row r="5178" spans="1:19" x14ac:dyDescent="0.3">
      <c r="A5178" t="s">
        <v>8</v>
      </c>
      <c r="B5178">
        <v>2016210062</v>
      </c>
      <c r="C5178" t="s">
        <v>547</v>
      </c>
      <c r="E5178" t="s">
        <v>391</v>
      </c>
      <c r="F5178" t="s">
        <v>392</v>
      </c>
      <c r="G5178">
        <v>2</v>
      </c>
      <c r="H5178" t="s">
        <v>438</v>
      </c>
      <c r="I5178" s="4">
        <f t="shared" si="715"/>
        <v>3</v>
      </c>
      <c r="J5178">
        <f t="shared" si="716"/>
        <v>6</v>
      </c>
      <c r="K5178">
        <v>40</v>
      </c>
      <c r="L5178">
        <v>16</v>
      </c>
      <c r="M5178" s="2">
        <v>2.5</v>
      </c>
      <c r="N5178">
        <v>3.14</v>
      </c>
      <c r="O5178">
        <v>0</v>
      </c>
      <c r="P5178">
        <v>7</v>
      </c>
      <c r="Q5178" s="4" t="str">
        <f t="shared" si="717"/>
        <v>2019/2020-Ganjil</v>
      </c>
      <c r="R5178" s="8" t="s">
        <v>260</v>
      </c>
      <c r="S5178" t="str">
        <f t="shared" si="718"/>
        <v>PA</v>
      </c>
    </row>
    <row r="5179" spans="1:19" x14ac:dyDescent="0.3">
      <c r="A5179" t="s">
        <v>8</v>
      </c>
      <c r="B5179">
        <v>2016210062</v>
      </c>
      <c r="C5179" t="s">
        <v>547</v>
      </c>
      <c r="E5179" t="s">
        <v>202</v>
      </c>
      <c r="F5179" t="s">
        <v>203</v>
      </c>
      <c r="G5179">
        <v>4</v>
      </c>
      <c r="H5179" t="s">
        <v>438</v>
      </c>
      <c r="I5179" s="4">
        <f t="shared" si="715"/>
        <v>3</v>
      </c>
      <c r="J5179">
        <f t="shared" si="716"/>
        <v>12</v>
      </c>
      <c r="K5179">
        <v>62</v>
      </c>
      <c r="L5179">
        <v>20</v>
      </c>
      <c r="M5179" s="2">
        <v>3.1</v>
      </c>
      <c r="N5179">
        <v>3.14</v>
      </c>
      <c r="O5179">
        <v>0</v>
      </c>
      <c r="P5179">
        <v>1</v>
      </c>
      <c r="Q5179" s="4" t="str">
        <f t="shared" si="717"/>
        <v>2016/2017-Ganjil</v>
      </c>
      <c r="R5179" s="8" t="s">
        <v>260</v>
      </c>
      <c r="S5179" t="str">
        <f t="shared" si="718"/>
        <v>PA</v>
      </c>
    </row>
    <row r="5180" spans="1:19" x14ac:dyDescent="0.3">
      <c r="A5180" t="s">
        <v>8</v>
      </c>
      <c r="B5180">
        <v>2016210062</v>
      </c>
      <c r="C5180" t="s">
        <v>547</v>
      </c>
      <c r="E5180" t="s">
        <v>407</v>
      </c>
      <c r="F5180" t="s">
        <v>312</v>
      </c>
      <c r="G5180">
        <v>2</v>
      </c>
      <c r="H5180" t="s">
        <v>438</v>
      </c>
      <c r="I5180" s="4">
        <f t="shared" si="715"/>
        <v>3</v>
      </c>
      <c r="J5180">
        <f t="shared" si="716"/>
        <v>6</v>
      </c>
      <c r="K5180">
        <v>40</v>
      </c>
      <c r="L5180">
        <v>16</v>
      </c>
      <c r="M5180" s="2">
        <v>2.5</v>
      </c>
      <c r="N5180">
        <v>3.14</v>
      </c>
      <c r="O5180">
        <v>0</v>
      </c>
      <c r="P5180">
        <v>7</v>
      </c>
      <c r="Q5180" s="4" t="str">
        <f t="shared" si="717"/>
        <v>2019/2020-Ganjil</v>
      </c>
      <c r="R5180" s="8" t="s">
        <v>260</v>
      </c>
      <c r="S5180" t="str">
        <f t="shared" si="718"/>
        <v>PA</v>
      </c>
    </row>
    <row r="5181" spans="1:19" x14ac:dyDescent="0.3">
      <c r="A5181" t="s">
        <v>8</v>
      </c>
      <c r="B5181">
        <v>2016210062</v>
      </c>
      <c r="C5181" t="s">
        <v>547</v>
      </c>
      <c r="E5181" t="s">
        <v>227</v>
      </c>
      <c r="F5181" t="s">
        <v>228</v>
      </c>
      <c r="G5181">
        <v>2</v>
      </c>
      <c r="H5181" t="s">
        <v>438</v>
      </c>
      <c r="I5181" s="4">
        <f t="shared" si="715"/>
        <v>3</v>
      </c>
      <c r="J5181">
        <f t="shared" si="716"/>
        <v>6</v>
      </c>
      <c r="K5181">
        <v>62</v>
      </c>
      <c r="L5181">
        <v>22</v>
      </c>
      <c r="M5181">
        <v>2.82</v>
      </c>
      <c r="N5181">
        <v>3.14</v>
      </c>
      <c r="O5181">
        <v>0</v>
      </c>
      <c r="P5181">
        <v>3</v>
      </c>
      <c r="Q5181" s="4" t="str">
        <f t="shared" si="717"/>
        <v>2017/2018-Ganjil</v>
      </c>
      <c r="R5181" s="8" t="s">
        <v>260</v>
      </c>
      <c r="S5181" t="str">
        <f t="shared" si="718"/>
        <v>PA</v>
      </c>
    </row>
    <row r="5182" spans="1:19" x14ac:dyDescent="0.3">
      <c r="A5182" t="s">
        <v>8</v>
      </c>
      <c r="B5182">
        <v>2016210062</v>
      </c>
      <c r="C5182" t="s">
        <v>547</v>
      </c>
      <c r="E5182" t="s">
        <v>250</v>
      </c>
      <c r="F5182" t="s">
        <v>429</v>
      </c>
      <c r="G5182">
        <v>2</v>
      </c>
      <c r="H5182" t="s">
        <v>438</v>
      </c>
      <c r="I5182" s="4">
        <f t="shared" si="715"/>
        <v>3</v>
      </c>
      <c r="J5182">
        <f t="shared" si="716"/>
        <v>6</v>
      </c>
      <c r="K5182">
        <v>52</v>
      </c>
      <c r="L5182">
        <v>18</v>
      </c>
      <c r="M5182" s="2">
        <v>2.89</v>
      </c>
      <c r="N5182">
        <v>3.14</v>
      </c>
      <c r="O5182">
        <v>0</v>
      </c>
      <c r="P5182">
        <v>8</v>
      </c>
      <c r="Q5182" s="4" t="str">
        <f t="shared" si="717"/>
        <v>2019/2020-Genap</v>
      </c>
      <c r="R5182" t="s">
        <v>596</v>
      </c>
      <c r="S5182" t="str">
        <f t="shared" si="718"/>
        <v>PA</v>
      </c>
    </row>
    <row r="5183" spans="1:19" x14ac:dyDescent="0.3">
      <c r="A5183" t="s">
        <v>8</v>
      </c>
      <c r="B5183">
        <v>2016210062</v>
      </c>
      <c r="C5183" t="s">
        <v>547</v>
      </c>
      <c r="E5183" t="s">
        <v>105</v>
      </c>
      <c r="F5183" t="s">
        <v>106</v>
      </c>
      <c r="G5183">
        <v>2</v>
      </c>
      <c r="H5183" t="s">
        <v>438</v>
      </c>
      <c r="I5183" s="4">
        <f t="shared" si="715"/>
        <v>3</v>
      </c>
      <c r="J5183">
        <f t="shared" si="716"/>
        <v>6</v>
      </c>
      <c r="K5183">
        <v>66</v>
      </c>
      <c r="L5183">
        <v>24</v>
      </c>
      <c r="M5183">
        <v>2.75</v>
      </c>
      <c r="N5183">
        <v>3.14</v>
      </c>
      <c r="O5183">
        <v>0</v>
      </c>
      <c r="P5183">
        <v>5</v>
      </c>
      <c r="Q5183" s="4" t="str">
        <f t="shared" si="717"/>
        <v>2018/2019-Ganjil</v>
      </c>
      <c r="R5183" s="8" t="s">
        <v>260</v>
      </c>
      <c r="S5183" t="str">
        <f t="shared" si="718"/>
        <v>PA</v>
      </c>
    </row>
    <row r="5184" spans="1:19" x14ac:dyDescent="0.3">
      <c r="A5184" t="s">
        <v>8</v>
      </c>
      <c r="B5184">
        <v>2016210062</v>
      </c>
      <c r="C5184" t="s">
        <v>547</v>
      </c>
      <c r="E5184" t="s">
        <v>80</v>
      </c>
      <c r="F5184" t="s">
        <v>81</v>
      </c>
      <c r="G5184">
        <v>4</v>
      </c>
      <c r="H5184" t="s">
        <v>438</v>
      </c>
      <c r="I5184" s="4">
        <f t="shared" si="715"/>
        <v>3</v>
      </c>
      <c r="J5184">
        <f t="shared" si="716"/>
        <v>12</v>
      </c>
      <c r="K5184">
        <v>56</v>
      </c>
      <c r="L5184">
        <v>20</v>
      </c>
      <c r="M5184" s="2">
        <v>2.8</v>
      </c>
      <c r="N5184">
        <v>3.14</v>
      </c>
      <c r="O5184">
        <v>0</v>
      </c>
      <c r="P5184">
        <v>6</v>
      </c>
      <c r="Q5184" s="4" t="str">
        <f t="shared" si="717"/>
        <v>2018/2019-Genap</v>
      </c>
      <c r="R5184" s="8" t="s">
        <v>260</v>
      </c>
      <c r="S5184" t="str">
        <f t="shared" si="718"/>
        <v>PA</v>
      </c>
    </row>
    <row r="5185" spans="1:19" x14ac:dyDescent="0.3">
      <c r="A5185" t="s">
        <v>8</v>
      </c>
      <c r="B5185">
        <v>2016210062</v>
      </c>
      <c r="C5185" t="s">
        <v>547</v>
      </c>
      <c r="E5185" t="s">
        <v>87</v>
      </c>
      <c r="F5185" t="s">
        <v>88</v>
      </c>
      <c r="G5185">
        <v>2</v>
      </c>
      <c r="H5185" t="s">
        <v>438</v>
      </c>
      <c r="I5185" s="4">
        <f t="shared" si="715"/>
        <v>3</v>
      </c>
      <c r="J5185">
        <f t="shared" si="716"/>
        <v>6</v>
      </c>
      <c r="K5185">
        <v>56</v>
      </c>
      <c r="L5185">
        <v>20</v>
      </c>
      <c r="M5185" s="2">
        <v>2.8</v>
      </c>
      <c r="N5185">
        <v>3.14</v>
      </c>
      <c r="O5185">
        <v>0</v>
      </c>
      <c r="P5185">
        <v>6</v>
      </c>
      <c r="Q5185" s="4" t="str">
        <f t="shared" si="717"/>
        <v>2018/2019-Genap</v>
      </c>
      <c r="R5185" s="8" t="s">
        <v>260</v>
      </c>
      <c r="S5185" t="str">
        <f t="shared" si="718"/>
        <v>PA</v>
      </c>
    </row>
    <row r="5186" spans="1:19" x14ac:dyDescent="0.3">
      <c r="A5186" t="s">
        <v>8</v>
      </c>
      <c r="B5186">
        <v>2016210062</v>
      </c>
      <c r="C5186" t="s">
        <v>547</v>
      </c>
      <c r="E5186" t="s">
        <v>147</v>
      </c>
      <c r="F5186" t="s">
        <v>148</v>
      </c>
      <c r="G5186">
        <v>4</v>
      </c>
      <c r="H5186" t="s">
        <v>438</v>
      </c>
      <c r="I5186" s="4">
        <f t="shared" si="715"/>
        <v>3</v>
      </c>
      <c r="J5186">
        <f t="shared" si="716"/>
        <v>12</v>
      </c>
      <c r="K5186">
        <v>62</v>
      </c>
      <c r="L5186">
        <v>20</v>
      </c>
      <c r="M5186" s="2">
        <v>3.1</v>
      </c>
      <c r="N5186">
        <v>3.14</v>
      </c>
      <c r="O5186">
        <v>0</v>
      </c>
      <c r="P5186">
        <v>1</v>
      </c>
      <c r="Q5186" s="4" t="str">
        <f t="shared" si="717"/>
        <v>2016/2017-Ganjil</v>
      </c>
      <c r="R5186" s="8" t="s">
        <v>260</v>
      </c>
      <c r="S5186" t="str">
        <f t="shared" si="718"/>
        <v>PA</v>
      </c>
    </row>
    <row r="5187" spans="1:19" x14ac:dyDescent="0.3">
      <c r="A5187" t="s">
        <v>8</v>
      </c>
      <c r="B5187">
        <v>2016210062</v>
      </c>
      <c r="C5187" t="s">
        <v>547</v>
      </c>
      <c r="E5187" t="s">
        <v>163</v>
      </c>
      <c r="F5187" t="s">
        <v>164</v>
      </c>
      <c r="G5187">
        <v>2</v>
      </c>
      <c r="H5187" t="s">
        <v>438</v>
      </c>
      <c r="I5187" s="4">
        <f t="shared" si="715"/>
        <v>3</v>
      </c>
      <c r="J5187">
        <f t="shared" si="716"/>
        <v>6</v>
      </c>
      <c r="K5187">
        <v>62</v>
      </c>
      <c r="L5187">
        <v>20</v>
      </c>
      <c r="M5187" s="2">
        <v>3.1</v>
      </c>
      <c r="N5187">
        <v>3.14</v>
      </c>
      <c r="O5187">
        <v>0</v>
      </c>
      <c r="P5187">
        <v>1</v>
      </c>
      <c r="Q5187" s="4" t="str">
        <f t="shared" si="717"/>
        <v>2016/2017-Ganjil</v>
      </c>
      <c r="R5187" s="8" t="s">
        <v>260</v>
      </c>
      <c r="S5187" t="str">
        <f t="shared" si="718"/>
        <v>PA</v>
      </c>
    </row>
    <row r="5188" spans="1:19" x14ac:dyDescent="0.3">
      <c r="A5188" t="s">
        <v>8</v>
      </c>
      <c r="B5188">
        <v>2016210062</v>
      </c>
      <c r="C5188" t="s">
        <v>547</v>
      </c>
      <c r="E5188" t="s">
        <v>117</v>
      </c>
      <c r="F5188" t="s">
        <v>118</v>
      </c>
      <c r="G5188">
        <v>2</v>
      </c>
      <c r="H5188" t="s">
        <v>438</v>
      </c>
      <c r="I5188" s="4">
        <f t="shared" si="715"/>
        <v>3</v>
      </c>
      <c r="J5188">
        <f t="shared" si="716"/>
        <v>6</v>
      </c>
      <c r="K5188">
        <v>38</v>
      </c>
      <c r="L5188">
        <v>12</v>
      </c>
      <c r="M5188">
        <v>3.17</v>
      </c>
      <c r="N5188">
        <v>3.14</v>
      </c>
      <c r="O5188">
        <v>0</v>
      </c>
      <c r="P5188">
        <v>2</v>
      </c>
      <c r="Q5188" s="4" t="str">
        <f t="shared" si="717"/>
        <v>2016/2017-Genap</v>
      </c>
      <c r="R5188" s="8" t="s">
        <v>260</v>
      </c>
      <c r="S5188" t="str">
        <f t="shared" si="718"/>
        <v>PA</v>
      </c>
    </row>
    <row r="5189" spans="1:19" x14ac:dyDescent="0.3">
      <c r="A5189" t="s">
        <v>8</v>
      </c>
      <c r="B5189">
        <v>2016210062</v>
      </c>
      <c r="C5189" t="s">
        <v>547</v>
      </c>
      <c r="E5189" t="s">
        <v>10</v>
      </c>
      <c r="F5189" t="s">
        <v>11</v>
      </c>
      <c r="G5189">
        <v>2</v>
      </c>
      <c r="H5189" t="s">
        <v>438</v>
      </c>
      <c r="I5189" s="4">
        <f t="shared" si="715"/>
        <v>3</v>
      </c>
      <c r="J5189">
        <f t="shared" si="716"/>
        <v>6</v>
      </c>
      <c r="K5189">
        <v>40</v>
      </c>
      <c r="L5189">
        <v>16</v>
      </c>
      <c r="M5189" s="2">
        <v>2.5</v>
      </c>
      <c r="N5189">
        <v>3.14</v>
      </c>
      <c r="O5189">
        <v>0</v>
      </c>
      <c r="P5189">
        <v>7</v>
      </c>
      <c r="Q5189" s="4" t="str">
        <f t="shared" si="717"/>
        <v>2019/2020-Ganjil</v>
      </c>
      <c r="R5189" s="8" t="s">
        <v>260</v>
      </c>
      <c r="S5189" t="str">
        <f t="shared" si="718"/>
        <v>PA</v>
      </c>
    </row>
    <row r="5190" spans="1:19" x14ac:dyDescent="0.3">
      <c r="A5190" t="s">
        <v>8</v>
      </c>
      <c r="B5190">
        <v>2016210062</v>
      </c>
      <c r="C5190" t="s">
        <v>547</v>
      </c>
      <c r="E5190" t="s">
        <v>188</v>
      </c>
      <c r="F5190" t="s">
        <v>189</v>
      </c>
      <c r="G5190">
        <v>4</v>
      </c>
      <c r="H5190" t="s">
        <v>438</v>
      </c>
      <c r="I5190" s="4">
        <f t="shared" si="715"/>
        <v>3</v>
      </c>
      <c r="J5190">
        <f t="shared" si="716"/>
        <v>12</v>
      </c>
      <c r="K5190">
        <v>66</v>
      </c>
      <c r="L5190">
        <v>24</v>
      </c>
      <c r="M5190">
        <v>2.75</v>
      </c>
      <c r="N5190">
        <v>3.14</v>
      </c>
      <c r="O5190">
        <v>0</v>
      </c>
      <c r="P5190">
        <v>5</v>
      </c>
      <c r="Q5190" s="4" t="str">
        <f t="shared" si="717"/>
        <v>2018/2019-Ganjil</v>
      </c>
      <c r="R5190" s="8" t="s">
        <v>260</v>
      </c>
      <c r="S5190" t="str">
        <f t="shared" si="718"/>
        <v>PA</v>
      </c>
    </row>
    <row r="5191" spans="1:19" x14ac:dyDescent="0.3">
      <c r="A5191" t="s">
        <v>8</v>
      </c>
      <c r="B5191">
        <v>2016210062</v>
      </c>
      <c r="C5191" t="s">
        <v>547</v>
      </c>
      <c r="E5191" t="s">
        <v>232</v>
      </c>
      <c r="F5191" t="s">
        <v>245</v>
      </c>
      <c r="G5191">
        <v>2</v>
      </c>
      <c r="H5191" t="s">
        <v>438</v>
      </c>
      <c r="I5191" s="4">
        <f t="shared" si="715"/>
        <v>3</v>
      </c>
      <c r="J5191">
        <f t="shared" si="716"/>
        <v>6</v>
      </c>
      <c r="K5191">
        <v>38</v>
      </c>
      <c r="L5191">
        <v>12</v>
      </c>
      <c r="M5191">
        <v>3.17</v>
      </c>
      <c r="N5191">
        <v>3.14</v>
      </c>
      <c r="O5191">
        <v>0</v>
      </c>
      <c r="P5191">
        <v>2</v>
      </c>
      <c r="Q5191" s="4" t="str">
        <f t="shared" si="717"/>
        <v>2016/2017-Genap</v>
      </c>
      <c r="R5191" s="8" t="s">
        <v>260</v>
      </c>
      <c r="S5191" t="str">
        <f t="shared" si="718"/>
        <v>PA</v>
      </c>
    </row>
    <row r="5192" spans="1:19" x14ac:dyDescent="0.3">
      <c r="A5192" t="s">
        <v>8</v>
      </c>
      <c r="B5192">
        <v>2016210062</v>
      </c>
      <c r="C5192" t="s">
        <v>547</v>
      </c>
      <c r="E5192" t="s">
        <v>219</v>
      </c>
      <c r="F5192" t="s">
        <v>473</v>
      </c>
      <c r="G5192">
        <v>2</v>
      </c>
      <c r="H5192" t="s">
        <v>438</v>
      </c>
      <c r="I5192" s="4">
        <f t="shared" si="715"/>
        <v>3</v>
      </c>
      <c r="J5192">
        <f t="shared" si="716"/>
        <v>6</v>
      </c>
      <c r="K5192">
        <v>40</v>
      </c>
      <c r="L5192">
        <v>16</v>
      </c>
      <c r="M5192" s="2">
        <v>2.5</v>
      </c>
      <c r="N5192">
        <v>3.14</v>
      </c>
      <c r="O5192">
        <v>0</v>
      </c>
      <c r="P5192">
        <v>7</v>
      </c>
      <c r="Q5192" s="4" t="str">
        <f t="shared" si="717"/>
        <v>2019/2020-Ganjil</v>
      </c>
      <c r="R5192" s="8" t="s">
        <v>260</v>
      </c>
      <c r="S5192" t="str">
        <f t="shared" si="718"/>
        <v>PA</v>
      </c>
    </row>
    <row r="5193" spans="1:19" x14ac:dyDescent="0.3">
      <c r="A5193" t="s">
        <v>8</v>
      </c>
      <c r="B5193">
        <v>2016210062</v>
      </c>
      <c r="C5193" t="s">
        <v>547</v>
      </c>
      <c r="E5193" t="s">
        <v>136</v>
      </c>
      <c r="F5193" t="s">
        <v>137</v>
      </c>
      <c r="G5193">
        <v>4</v>
      </c>
      <c r="H5193" t="s">
        <v>438</v>
      </c>
      <c r="I5193" s="4">
        <f t="shared" si="715"/>
        <v>3</v>
      </c>
      <c r="J5193">
        <f t="shared" si="716"/>
        <v>12</v>
      </c>
      <c r="K5193">
        <v>38</v>
      </c>
      <c r="L5193">
        <v>12</v>
      </c>
      <c r="M5193">
        <v>3.17</v>
      </c>
      <c r="N5193">
        <v>3.14</v>
      </c>
      <c r="O5193">
        <v>0</v>
      </c>
      <c r="P5193">
        <v>2</v>
      </c>
      <c r="Q5193" s="4" t="str">
        <f t="shared" si="717"/>
        <v>2016/2017-Genap</v>
      </c>
      <c r="R5193" s="8" t="s">
        <v>260</v>
      </c>
      <c r="S5193" t="str">
        <f t="shared" si="718"/>
        <v>PA</v>
      </c>
    </row>
    <row r="5194" spans="1:19" x14ac:dyDescent="0.3">
      <c r="A5194" t="s">
        <v>8</v>
      </c>
      <c r="B5194">
        <v>2016210062</v>
      </c>
      <c r="C5194" t="s">
        <v>547</v>
      </c>
      <c r="E5194" t="s">
        <v>157</v>
      </c>
      <c r="F5194" t="s">
        <v>158</v>
      </c>
      <c r="G5194">
        <v>2</v>
      </c>
      <c r="H5194" t="s">
        <v>438</v>
      </c>
      <c r="I5194" s="4">
        <f t="shared" si="715"/>
        <v>3</v>
      </c>
      <c r="J5194">
        <f t="shared" si="716"/>
        <v>6</v>
      </c>
      <c r="K5194">
        <v>62</v>
      </c>
      <c r="L5194">
        <v>22</v>
      </c>
      <c r="M5194">
        <v>2.82</v>
      </c>
      <c r="N5194">
        <v>3.14</v>
      </c>
      <c r="O5194">
        <v>0</v>
      </c>
      <c r="P5194">
        <v>3</v>
      </c>
      <c r="Q5194" s="4" t="str">
        <f t="shared" si="717"/>
        <v>2017/2018-Ganjil</v>
      </c>
      <c r="R5194" s="8" t="s">
        <v>260</v>
      </c>
      <c r="S5194" t="str">
        <f t="shared" si="718"/>
        <v>PA</v>
      </c>
    </row>
    <row r="5195" spans="1:19" x14ac:dyDescent="0.3">
      <c r="A5195" t="s">
        <v>8</v>
      </c>
      <c r="B5195">
        <v>2016210062</v>
      </c>
      <c r="C5195" t="s">
        <v>547</v>
      </c>
      <c r="E5195" t="s">
        <v>44</v>
      </c>
      <c r="F5195" t="s">
        <v>45</v>
      </c>
      <c r="G5195">
        <v>2</v>
      </c>
      <c r="H5195" t="s">
        <v>438</v>
      </c>
      <c r="I5195" s="4">
        <f t="shared" si="715"/>
        <v>3</v>
      </c>
      <c r="J5195">
        <f t="shared" si="716"/>
        <v>6</v>
      </c>
      <c r="K5195">
        <v>52</v>
      </c>
      <c r="L5195">
        <v>18</v>
      </c>
      <c r="M5195">
        <v>2.89</v>
      </c>
      <c r="N5195">
        <v>3.14</v>
      </c>
      <c r="O5195">
        <v>0</v>
      </c>
      <c r="P5195">
        <v>8</v>
      </c>
      <c r="Q5195" s="4" t="str">
        <f t="shared" si="717"/>
        <v>2019/2020-Genap</v>
      </c>
      <c r="R5195" t="s">
        <v>596</v>
      </c>
      <c r="S5195" t="str">
        <f t="shared" si="718"/>
        <v>PA</v>
      </c>
    </row>
    <row r="5196" spans="1:19" x14ac:dyDescent="0.3">
      <c r="A5196" t="s">
        <v>8</v>
      </c>
      <c r="B5196">
        <v>2016210062</v>
      </c>
      <c r="C5196" t="s">
        <v>547</v>
      </c>
      <c r="E5196" t="s">
        <v>193</v>
      </c>
      <c r="F5196" t="s">
        <v>194</v>
      </c>
      <c r="G5196">
        <v>4</v>
      </c>
      <c r="H5196" t="s">
        <v>438</v>
      </c>
      <c r="I5196" s="4">
        <f t="shared" si="715"/>
        <v>3</v>
      </c>
      <c r="J5196">
        <f t="shared" si="716"/>
        <v>12</v>
      </c>
      <c r="K5196">
        <v>66</v>
      </c>
      <c r="L5196">
        <v>24</v>
      </c>
      <c r="M5196">
        <v>2.75</v>
      </c>
      <c r="N5196">
        <v>3.14</v>
      </c>
      <c r="O5196">
        <v>0</v>
      </c>
      <c r="P5196">
        <v>5</v>
      </c>
      <c r="Q5196" s="4" t="str">
        <f t="shared" si="717"/>
        <v>2018/2019-Ganjil</v>
      </c>
      <c r="R5196" s="8" t="s">
        <v>260</v>
      </c>
      <c r="S5196" t="str">
        <f t="shared" si="718"/>
        <v>PA</v>
      </c>
    </row>
    <row r="5197" spans="1:19" x14ac:dyDescent="0.3">
      <c r="A5197" t="s">
        <v>8</v>
      </c>
      <c r="B5197">
        <v>2016210062</v>
      </c>
      <c r="C5197" t="s">
        <v>547</v>
      </c>
      <c r="E5197" t="s">
        <v>213</v>
      </c>
      <c r="F5197" t="s">
        <v>214</v>
      </c>
      <c r="G5197">
        <v>4</v>
      </c>
      <c r="H5197" t="s">
        <v>438</v>
      </c>
      <c r="I5197" s="4">
        <f t="shared" si="715"/>
        <v>3</v>
      </c>
      <c r="J5197">
        <f t="shared" si="716"/>
        <v>12</v>
      </c>
      <c r="K5197">
        <v>62</v>
      </c>
      <c r="L5197">
        <v>22</v>
      </c>
      <c r="M5197">
        <v>2.82</v>
      </c>
      <c r="N5197">
        <v>3.14</v>
      </c>
      <c r="O5197">
        <v>0</v>
      </c>
      <c r="P5197">
        <v>3</v>
      </c>
      <c r="Q5197" s="4" t="str">
        <f t="shared" si="717"/>
        <v>2017/2018-Ganjil</v>
      </c>
      <c r="R5197" s="8" t="s">
        <v>260</v>
      </c>
      <c r="S5197" t="str">
        <f t="shared" si="718"/>
        <v>PA</v>
      </c>
    </row>
    <row r="5198" spans="1:19" x14ac:dyDescent="0.3">
      <c r="A5198" t="s">
        <v>8</v>
      </c>
      <c r="B5198">
        <v>2016210062</v>
      </c>
      <c r="C5198" t="s">
        <v>547</v>
      </c>
      <c r="E5198" t="s">
        <v>238</v>
      </c>
      <c r="F5198" t="s">
        <v>239</v>
      </c>
      <c r="G5198">
        <v>4</v>
      </c>
      <c r="H5198" t="s">
        <v>438</v>
      </c>
      <c r="I5198" s="4">
        <f t="shared" si="715"/>
        <v>3</v>
      </c>
      <c r="J5198">
        <f t="shared" si="716"/>
        <v>12</v>
      </c>
      <c r="K5198">
        <v>56</v>
      </c>
      <c r="L5198">
        <v>20</v>
      </c>
      <c r="M5198" s="2">
        <v>2.8</v>
      </c>
      <c r="N5198">
        <v>3.14</v>
      </c>
      <c r="O5198">
        <v>0</v>
      </c>
      <c r="P5198">
        <v>6</v>
      </c>
      <c r="Q5198" s="4" t="str">
        <f t="shared" si="717"/>
        <v>2018/2019-Genap</v>
      </c>
      <c r="R5198" s="8" t="s">
        <v>260</v>
      </c>
      <c r="S5198" t="str">
        <f t="shared" si="718"/>
        <v>PA</v>
      </c>
    </row>
    <row r="5199" spans="1:19" x14ac:dyDescent="0.3">
      <c r="A5199" t="s">
        <v>8</v>
      </c>
      <c r="B5199">
        <v>2016210062</v>
      </c>
      <c r="C5199" t="s">
        <v>547</v>
      </c>
      <c r="E5199" t="s">
        <v>115</v>
      </c>
      <c r="F5199" t="s">
        <v>116</v>
      </c>
      <c r="G5199">
        <v>4</v>
      </c>
      <c r="H5199" t="s">
        <v>438</v>
      </c>
      <c r="I5199" s="4">
        <f t="shared" si="715"/>
        <v>3</v>
      </c>
      <c r="J5199">
        <f t="shared" si="716"/>
        <v>12</v>
      </c>
      <c r="K5199">
        <v>60</v>
      </c>
      <c r="L5199">
        <v>20</v>
      </c>
      <c r="M5199" s="2">
        <v>3</v>
      </c>
      <c r="N5199">
        <v>3.14</v>
      </c>
      <c r="O5199">
        <v>0</v>
      </c>
      <c r="P5199">
        <v>4</v>
      </c>
      <c r="Q5199" s="4" t="str">
        <f t="shared" si="717"/>
        <v>2017/2018-Genap</v>
      </c>
      <c r="R5199" s="8" t="s">
        <v>260</v>
      </c>
      <c r="S5199" t="str">
        <f t="shared" si="718"/>
        <v>PA</v>
      </c>
    </row>
    <row r="5200" spans="1:19" x14ac:dyDescent="0.3">
      <c r="A5200" t="s">
        <v>8</v>
      </c>
      <c r="B5200">
        <v>2016210062</v>
      </c>
      <c r="C5200" t="s">
        <v>547</v>
      </c>
      <c r="E5200" t="s">
        <v>449</v>
      </c>
      <c r="F5200" t="s">
        <v>460</v>
      </c>
      <c r="G5200">
        <v>4</v>
      </c>
      <c r="H5200" t="s">
        <v>524</v>
      </c>
      <c r="I5200" s="4">
        <f t="shared" si="715"/>
        <v>2</v>
      </c>
      <c r="J5200">
        <f t="shared" si="716"/>
        <v>8</v>
      </c>
      <c r="K5200">
        <v>60</v>
      </c>
      <c r="L5200">
        <v>20</v>
      </c>
      <c r="M5200" s="2">
        <v>3</v>
      </c>
      <c r="N5200">
        <v>3.14</v>
      </c>
      <c r="O5200">
        <v>0</v>
      </c>
      <c r="P5200">
        <v>4</v>
      </c>
      <c r="Q5200" s="4" t="str">
        <f t="shared" si="717"/>
        <v>2017/2018-Genap</v>
      </c>
      <c r="R5200" s="8" t="s">
        <v>260</v>
      </c>
      <c r="S5200" t="str">
        <f t="shared" si="718"/>
        <v>PA</v>
      </c>
    </row>
    <row r="5201" spans="1:19" x14ac:dyDescent="0.3">
      <c r="A5201" t="s">
        <v>8</v>
      </c>
      <c r="B5201">
        <v>2016210062</v>
      </c>
      <c r="C5201" t="s">
        <v>547</v>
      </c>
      <c r="E5201" t="s">
        <v>77</v>
      </c>
      <c r="F5201" t="s">
        <v>78</v>
      </c>
      <c r="G5201">
        <v>2</v>
      </c>
      <c r="H5201" t="s">
        <v>524</v>
      </c>
      <c r="I5201" s="4">
        <f t="shared" si="715"/>
        <v>2</v>
      </c>
      <c r="J5201">
        <f t="shared" si="716"/>
        <v>4</v>
      </c>
      <c r="K5201">
        <v>62</v>
      </c>
      <c r="L5201">
        <v>20</v>
      </c>
      <c r="M5201" s="2">
        <v>3.1</v>
      </c>
      <c r="N5201">
        <v>3.14</v>
      </c>
      <c r="O5201">
        <v>0</v>
      </c>
      <c r="P5201">
        <v>1</v>
      </c>
      <c r="Q5201" s="4" t="str">
        <f t="shared" si="717"/>
        <v>2016/2017-Ganjil</v>
      </c>
      <c r="R5201" s="8" t="s">
        <v>260</v>
      </c>
      <c r="S5201" t="str">
        <f t="shared" si="718"/>
        <v>PA</v>
      </c>
    </row>
    <row r="5202" spans="1:19" x14ac:dyDescent="0.3">
      <c r="A5202" t="s">
        <v>8</v>
      </c>
      <c r="B5202">
        <v>2016210062</v>
      </c>
      <c r="C5202" t="s">
        <v>547</v>
      </c>
      <c r="E5202" t="s">
        <v>112</v>
      </c>
      <c r="F5202" t="s">
        <v>113</v>
      </c>
      <c r="G5202">
        <v>4</v>
      </c>
      <c r="H5202" t="s">
        <v>438</v>
      </c>
      <c r="I5202" s="4">
        <f t="shared" si="715"/>
        <v>3</v>
      </c>
      <c r="J5202">
        <f t="shared" si="716"/>
        <v>12</v>
      </c>
      <c r="K5202">
        <v>40</v>
      </c>
      <c r="L5202">
        <v>16</v>
      </c>
      <c r="M5202" s="2">
        <v>2.5</v>
      </c>
      <c r="N5202">
        <v>3.14</v>
      </c>
      <c r="O5202">
        <v>1</v>
      </c>
      <c r="P5202">
        <v>7</v>
      </c>
      <c r="Q5202" s="4" t="str">
        <f t="shared" si="717"/>
        <v>2019/2020-Ganjil</v>
      </c>
      <c r="R5202" s="8" t="s">
        <v>260</v>
      </c>
      <c r="S5202" t="str">
        <f t="shared" si="718"/>
        <v>PA</v>
      </c>
    </row>
    <row r="5203" spans="1:19" x14ac:dyDescent="0.3">
      <c r="A5203" t="s">
        <v>8</v>
      </c>
      <c r="B5203">
        <v>2016210062</v>
      </c>
      <c r="C5203" t="s">
        <v>547</v>
      </c>
      <c r="E5203" t="s">
        <v>112</v>
      </c>
      <c r="F5203" t="s">
        <v>113</v>
      </c>
      <c r="G5203">
        <v>4</v>
      </c>
      <c r="H5203" t="s">
        <v>524</v>
      </c>
      <c r="I5203" s="4">
        <f t="shared" si="715"/>
        <v>2</v>
      </c>
      <c r="J5203">
        <f t="shared" si="716"/>
        <v>8</v>
      </c>
      <c r="K5203">
        <v>62</v>
      </c>
      <c r="L5203">
        <v>22</v>
      </c>
      <c r="M5203">
        <v>2.82</v>
      </c>
      <c r="N5203">
        <v>3.14</v>
      </c>
      <c r="O5203">
        <v>0</v>
      </c>
      <c r="P5203">
        <v>3</v>
      </c>
      <c r="Q5203" s="4" t="str">
        <f t="shared" si="717"/>
        <v>2017/2018-Ganjil</v>
      </c>
      <c r="R5203" s="8" t="s">
        <v>260</v>
      </c>
      <c r="S5203" t="str">
        <f t="shared" si="718"/>
        <v>PA</v>
      </c>
    </row>
    <row r="5204" spans="1:19" x14ac:dyDescent="0.3">
      <c r="A5204" t="s">
        <v>8</v>
      </c>
      <c r="B5204">
        <v>2016210062</v>
      </c>
      <c r="C5204" t="s">
        <v>547</v>
      </c>
      <c r="E5204" t="s">
        <v>19</v>
      </c>
      <c r="F5204" t="s">
        <v>20</v>
      </c>
      <c r="G5204">
        <v>6</v>
      </c>
      <c r="H5204" t="s">
        <v>524</v>
      </c>
      <c r="I5204" s="4">
        <f t="shared" si="715"/>
        <v>2</v>
      </c>
      <c r="J5204">
        <f t="shared" si="716"/>
        <v>12</v>
      </c>
      <c r="K5204">
        <v>52</v>
      </c>
      <c r="L5204">
        <v>18</v>
      </c>
      <c r="M5204" s="2">
        <v>2.89</v>
      </c>
      <c r="N5204">
        <v>3.14</v>
      </c>
      <c r="O5204">
        <v>0</v>
      </c>
      <c r="P5204">
        <v>8</v>
      </c>
      <c r="Q5204" s="4" t="str">
        <f t="shared" si="717"/>
        <v>2019/2020-Genap</v>
      </c>
      <c r="R5204" t="s">
        <v>596</v>
      </c>
      <c r="S5204" t="str">
        <f t="shared" si="718"/>
        <v>PA</v>
      </c>
    </row>
    <row r="5205" spans="1:19" x14ac:dyDescent="0.3">
      <c r="A5205" t="s">
        <v>8</v>
      </c>
      <c r="B5205">
        <v>2016210062</v>
      </c>
      <c r="C5205" t="s">
        <v>547</v>
      </c>
      <c r="E5205" t="s">
        <v>182</v>
      </c>
      <c r="F5205" t="s">
        <v>171</v>
      </c>
      <c r="G5205">
        <v>2</v>
      </c>
      <c r="H5205" t="s">
        <v>524</v>
      </c>
      <c r="I5205" s="4">
        <f t="shared" si="715"/>
        <v>2</v>
      </c>
      <c r="J5205">
        <f t="shared" si="716"/>
        <v>4</v>
      </c>
      <c r="K5205">
        <v>66</v>
      </c>
      <c r="L5205">
        <v>24</v>
      </c>
      <c r="M5205">
        <v>2.75</v>
      </c>
      <c r="N5205">
        <v>3.14</v>
      </c>
      <c r="O5205">
        <v>1</v>
      </c>
      <c r="P5205">
        <v>5</v>
      </c>
      <c r="Q5205" s="4" t="str">
        <f t="shared" ref="Q5205" si="719">IF(P5205=1,"2016/2017-Ganjil",IF(P5205=2,"2016/2017-Genap",IF(P5205=3,"2017/2018-Ganjil",IF(P5205=4,"2017/2018-Genap",IF(P5205=5,"2018/2019-Ganjil",IF(P5205=6,"2018/2019-Genap",IF(P5205=7,"2019/2020-Ganjil",IF(P5205=8,"2019/2020-Genap",IF(P5205=9,"2020/2021-Ganjil",IF(P5205=10,"2020/2021-Genap",IF(P5205=11,"2021/2022-Ganjil",IF(P5205=12,"2021/2022-Genap",IF(P5205=13,"2022/2023-Ganjil","2022/2023-Genap")))))))))))))</f>
        <v>2018/2019-Ganjil</v>
      </c>
      <c r="R5205" s="8" t="s">
        <v>260</v>
      </c>
      <c r="S5205" t="str">
        <f t="shared" si="718"/>
        <v>PA</v>
      </c>
    </row>
    <row r="5206" spans="1:19" x14ac:dyDescent="0.3">
      <c r="A5206" t="s">
        <v>8</v>
      </c>
      <c r="B5206">
        <v>2016210062</v>
      </c>
      <c r="C5206" t="s">
        <v>547</v>
      </c>
      <c r="E5206" t="s">
        <v>182</v>
      </c>
      <c r="F5206" t="s">
        <v>171</v>
      </c>
      <c r="G5206">
        <v>2</v>
      </c>
      <c r="H5206" t="s">
        <v>524</v>
      </c>
      <c r="I5206" s="4">
        <f t="shared" si="715"/>
        <v>2</v>
      </c>
      <c r="J5206">
        <f t="shared" si="716"/>
        <v>4</v>
      </c>
      <c r="K5206">
        <v>62</v>
      </c>
      <c r="L5206">
        <v>22</v>
      </c>
      <c r="M5206">
        <v>2.82</v>
      </c>
      <c r="N5206">
        <v>3.14</v>
      </c>
      <c r="O5206">
        <v>0</v>
      </c>
      <c r="P5206">
        <v>3</v>
      </c>
      <c r="Q5206" s="4" t="str">
        <f t="shared" si="717"/>
        <v>2017/2018-Ganjil</v>
      </c>
      <c r="R5206" s="8" t="s">
        <v>260</v>
      </c>
      <c r="S5206" t="str">
        <f t="shared" si="718"/>
        <v>PA</v>
      </c>
    </row>
    <row r="5207" spans="1:19" x14ac:dyDescent="0.3">
      <c r="A5207" t="s">
        <v>8</v>
      </c>
      <c r="B5207">
        <v>2016210062</v>
      </c>
      <c r="C5207" t="s">
        <v>547</v>
      </c>
      <c r="E5207" t="s">
        <v>222</v>
      </c>
      <c r="F5207" t="s">
        <v>223</v>
      </c>
      <c r="G5207">
        <v>2</v>
      </c>
      <c r="H5207" t="s">
        <v>524</v>
      </c>
      <c r="I5207" s="4">
        <f t="shared" si="715"/>
        <v>2</v>
      </c>
      <c r="J5207">
        <f t="shared" si="716"/>
        <v>4</v>
      </c>
      <c r="K5207">
        <v>52</v>
      </c>
      <c r="L5207">
        <v>18</v>
      </c>
      <c r="M5207">
        <v>2.89</v>
      </c>
      <c r="N5207">
        <v>3.14</v>
      </c>
      <c r="O5207">
        <v>0</v>
      </c>
      <c r="P5207">
        <v>8</v>
      </c>
      <c r="Q5207" s="4" t="str">
        <f t="shared" si="717"/>
        <v>2019/2020-Genap</v>
      </c>
      <c r="R5207" t="s">
        <v>596</v>
      </c>
      <c r="S5207" t="str">
        <f t="shared" si="718"/>
        <v>PA</v>
      </c>
    </row>
    <row r="5208" spans="1:19" x14ac:dyDescent="0.3">
      <c r="A5208" t="s">
        <v>8</v>
      </c>
      <c r="B5208">
        <v>2016210062</v>
      </c>
      <c r="C5208" t="s">
        <v>547</v>
      </c>
      <c r="E5208" t="s">
        <v>125</v>
      </c>
      <c r="F5208" t="s">
        <v>488</v>
      </c>
      <c r="G5208">
        <v>4</v>
      </c>
      <c r="H5208" t="s">
        <v>524</v>
      </c>
      <c r="I5208" s="4">
        <f t="shared" si="715"/>
        <v>2</v>
      </c>
      <c r="J5208">
        <f t="shared" si="716"/>
        <v>8</v>
      </c>
      <c r="K5208">
        <v>60</v>
      </c>
      <c r="L5208">
        <v>20</v>
      </c>
      <c r="M5208" s="2">
        <v>3</v>
      </c>
      <c r="N5208">
        <v>3.14</v>
      </c>
      <c r="O5208">
        <v>0</v>
      </c>
      <c r="P5208">
        <v>4</v>
      </c>
      <c r="Q5208" s="4" t="str">
        <f t="shared" si="717"/>
        <v>2017/2018-Genap</v>
      </c>
      <c r="R5208" s="8" t="s">
        <v>260</v>
      </c>
      <c r="S5208" t="str">
        <f t="shared" si="718"/>
        <v>PA</v>
      </c>
    </row>
    <row r="5209" spans="1:19" x14ac:dyDescent="0.3">
      <c r="A5209" t="s">
        <v>8</v>
      </c>
      <c r="B5209">
        <v>2016210062</v>
      </c>
      <c r="C5209" t="s">
        <v>547</v>
      </c>
      <c r="E5209" t="s">
        <v>185</v>
      </c>
      <c r="F5209" t="s">
        <v>186</v>
      </c>
      <c r="G5209">
        <v>4</v>
      </c>
      <c r="H5209" t="s">
        <v>535</v>
      </c>
      <c r="I5209" s="4">
        <f t="shared" si="715"/>
        <v>1</v>
      </c>
      <c r="J5209">
        <f t="shared" si="716"/>
        <v>4</v>
      </c>
      <c r="K5209">
        <v>40</v>
      </c>
      <c r="L5209">
        <v>16</v>
      </c>
      <c r="M5209" s="2">
        <v>2.5</v>
      </c>
      <c r="N5209">
        <v>3.14</v>
      </c>
      <c r="O5209">
        <v>0</v>
      </c>
      <c r="P5209">
        <v>7</v>
      </c>
      <c r="Q5209" s="4" t="str">
        <f t="shared" si="717"/>
        <v>2019/2020-Ganjil</v>
      </c>
      <c r="R5209" s="8" t="s">
        <v>260</v>
      </c>
      <c r="S5209" t="str">
        <f t="shared" si="718"/>
        <v>FA</v>
      </c>
    </row>
    <row r="5210" spans="1:19" x14ac:dyDescent="0.3">
      <c r="A5210" t="s">
        <v>8</v>
      </c>
      <c r="B5210">
        <v>2016210062</v>
      </c>
      <c r="C5210" t="s">
        <v>547</v>
      </c>
      <c r="E5210" t="s">
        <v>185</v>
      </c>
      <c r="F5210" t="s">
        <v>186</v>
      </c>
      <c r="G5210">
        <v>4</v>
      </c>
      <c r="H5210" t="s">
        <v>438</v>
      </c>
      <c r="I5210" s="4">
        <f t="shared" si="715"/>
        <v>3</v>
      </c>
      <c r="J5210">
        <f t="shared" si="716"/>
        <v>12</v>
      </c>
      <c r="K5210">
        <v>38</v>
      </c>
      <c r="L5210">
        <v>12</v>
      </c>
      <c r="M5210" s="2">
        <v>3.17</v>
      </c>
      <c r="N5210">
        <v>3.14</v>
      </c>
      <c r="O5210">
        <v>1</v>
      </c>
      <c r="P5210">
        <v>6</v>
      </c>
      <c r="Q5210" s="4" t="s">
        <v>572</v>
      </c>
      <c r="R5210" s="8" t="s">
        <v>260</v>
      </c>
      <c r="S5210" t="str">
        <f t="shared" si="718"/>
        <v>PA</v>
      </c>
    </row>
    <row r="5211" spans="1:19" x14ac:dyDescent="0.3">
      <c r="A5211" t="s">
        <v>8</v>
      </c>
      <c r="B5211">
        <v>2016210062</v>
      </c>
      <c r="C5211" t="s">
        <v>547</v>
      </c>
      <c r="E5211" t="s">
        <v>355</v>
      </c>
      <c r="F5211" t="s">
        <v>274</v>
      </c>
      <c r="G5211">
        <v>2</v>
      </c>
      <c r="H5211" t="s">
        <v>535</v>
      </c>
      <c r="I5211" s="4">
        <f t="shared" si="715"/>
        <v>1</v>
      </c>
      <c r="J5211">
        <f t="shared" si="716"/>
        <v>2</v>
      </c>
      <c r="K5211">
        <v>56</v>
      </c>
      <c r="L5211">
        <v>20</v>
      </c>
      <c r="M5211" s="2">
        <v>2.8</v>
      </c>
      <c r="N5211">
        <v>3.14</v>
      </c>
      <c r="O5211">
        <v>0</v>
      </c>
      <c r="P5211">
        <v>6</v>
      </c>
      <c r="Q5211" s="4" t="str">
        <f>IF(P5211=1,"2016/2017-Ganjil",IF(P5211=2,"2016/2017-Genap",IF(P5211=3,"2017/2018-Ganjil",IF(P5211=4,"2017/2018-Genap",IF(P5211=5,"2018/2019-Ganjil",IF(P5211=6,"2018/2019-Genap",IF(P5211=7,"2019/2020-Ganjil",IF(P5211=8,"2019/2020-Genap",IF(P5211=9,"2020/2021-Ganjil",IF(P5211=10,"2020/2021-Genap",IF(P5211=11,"2021/2022-Ganjil",IF(P5211=12,"2021/2022-Genap",IF(P5211=13,"2022/2023-Ganjil","2022/2023-Genap")))))))))))))</f>
        <v>2018/2019-Genap</v>
      </c>
      <c r="R5211" s="8" t="s">
        <v>260</v>
      </c>
      <c r="S5211" t="str">
        <f t="shared" si="718"/>
        <v>FA</v>
      </c>
    </row>
    <row r="5212" spans="1:19" x14ac:dyDescent="0.3">
      <c r="A5212" t="s">
        <v>8</v>
      </c>
      <c r="B5212">
        <v>2016210062</v>
      </c>
      <c r="C5212" t="s">
        <v>547</v>
      </c>
      <c r="E5212" t="s">
        <v>355</v>
      </c>
      <c r="F5212" t="s">
        <v>274</v>
      </c>
      <c r="G5212">
        <v>2</v>
      </c>
      <c r="H5212" t="s">
        <v>438</v>
      </c>
      <c r="I5212" s="4">
        <f t="shared" si="715"/>
        <v>3</v>
      </c>
      <c r="J5212">
        <f t="shared" si="716"/>
        <v>6</v>
      </c>
      <c r="K5212">
        <v>38</v>
      </c>
      <c r="L5212">
        <v>12</v>
      </c>
      <c r="M5212" s="2">
        <v>3.17</v>
      </c>
      <c r="N5212">
        <v>3.14</v>
      </c>
      <c r="O5212">
        <v>1</v>
      </c>
      <c r="P5212">
        <v>6</v>
      </c>
      <c r="Q5212" s="4" t="s">
        <v>572</v>
      </c>
      <c r="R5212" s="8" t="s">
        <v>260</v>
      </c>
      <c r="S5212" t="str">
        <f t="shared" si="718"/>
        <v>PA</v>
      </c>
    </row>
    <row r="5213" spans="1:19" x14ac:dyDescent="0.3">
      <c r="A5213" t="s">
        <v>8</v>
      </c>
      <c r="B5213">
        <v>2016210062</v>
      </c>
      <c r="C5213" t="s">
        <v>547</v>
      </c>
      <c r="E5213" t="s">
        <v>395</v>
      </c>
      <c r="F5213" t="s">
        <v>396</v>
      </c>
      <c r="G5213">
        <v>2</v>
      </c>
      <c r="H5213" t="s">
        <v>524</v>
      </c>
      <c r="I5213" s="4">
        <f t="shared" si="715"/>
        <v>2</v>
      </c>
      <c r="J5213">
        <f t="shared" si="716"/>
        <v>4</v>
      </c>
      <c r="K5213">
        <v>62</v>
      </c>
      <c r="L5213">
        <v>20</v>
      </c>
      <c r="M5213" s="2">
        <v>3.1</v>
      </c>
      <c r="N5213">
        <v>3.14</v>
      </c>
      <c r="O5213">
        <v>0</v>
      </c>
      <c r="P5213">
        <v>1</v>
      </c>
      <c r="Q5213" s="4" t="str">
        <f>IF(P5213=1,"2016/2017-Ganjil",IF(P5213=2,"2016/2017-Genap",IF(P5213=3,"2017/2018-Ganjil",IF(P5213=4,"2017/2018-Genap",IF(P5213=5,"2018/2019-Ganjil",IF(P5213=6,"2018/2019-Genap",IF(P5213=7,"2019/2020-Ganjil",IF(P5213=8,"2019/2020-Genap",IF(P5213=9,"2020/2021-Ganjil",IF(P5213=10,"2020/2021-Genap",IF(P5213=11,"2021/2022-Ganjil",IF(P5213=12,"2021/2022-Genap",IF(P5213=13,"2022/2023-Ganjil","2022/2023-Genap")))))))))))))</f>
        <v>2016/2017-Ganjil</v>
      </c>
      <c r="R5213" s="8" t="s">
        <v>260</v>
      </c>
      <c r="S5213" t="str">
        <f t="shared" si="718"/>
        <v>PA</v>
      </c>
    </row>
    <row r="5214" spans="1:19" x14ac:dyDescent="0.3">
      <c r="A5214" t="s">
        <v>8</v>
      </c>
      <c r="B5214">
        <v>2016210062</v>
      </c>
      <c r="C5214" t="s">
        <v>547</v>
      </c>
      <c r="E5214" t="s">
        <v>395</v>
      </c>
      <c r="F5214" t="s">
        <v>396</v>
      </c>
      <c r="G5214">
        <v>2</v>
      </c>
      <c r="H5214" t="s">
        <v>535</v>
      </c>
      <c r="I5214" s="4">
        <f t="shared" si="715"/>
        <v>1</v>
      </c>
      <c r="J5214">
        <f t="shared" si="716"/>
        <v>2</v>
      </c>
      <c r="K5214">
        <v>62</v>
      </c>
      <c r="L5214">
        <v>22</v>
      </c>
      <c r="M5214" s="2">
        <v>2.82</v>
      </c>
      <c r="N5214">
        <v>3.14</v>
      </c>
      <c r="O5214">
        <v>1</v>
      </c>
      <c r="P5214">
        <v>3</v>
      </c>
      <c r="Q5214" s="4" t="str">
        <f>IF(P5214=1,"2016/2017-Ganjil",IF(P5214=2,"2016/2017-Genap",IF(P5214=3,"2017/2018-Ganjil",IF(P5214=4,"2017/2018-Genap",IF(P5214=5,"2018/2019-Ganjil",IF(P5214=6,"2018/2019-Genap",IF(P5214=7,"2019/2020-Ganjil",IF(P5214=8,"2019/2020-Genap",IF(P5214=9,"2020/2021-Ganjil",IF(P5214=10,"2020/2021-Genap",IF(P5214=11,"2021/2022-Ganjil",IF(P5214=12,"2021/2022-Genap",IF(P5214=13,"2022/2023-Ganjil","2022/2023-Genap")))))))))))))</f>
        <v>2017/2018-Ganjil</v>
      </c>
      <c r="R5214" s="8" t="s">
        <v>260</v>
      </c>
      <c r="S5214" t="str">
        <f t="shared" si="718"/>
        <v>FA</v>
      </c>
    </row>
    <row r="5215" spans="1:19" x14ac:dyDescent="0.3">
      <c r="A5215" t="s">
        <v>8</v>
      </c>
      <c r="B5215">
        <v>2016210062</v>
      </c>
      <c r="C5215" t="s">
        <v>547</v>
      </c>
      <c r="E5215" t="s">
        <v>119</v>
      </c>
      <c r="F5215" t="s">
        <v>120</v>
      </c>
      <c r="G5215">
        <v>2</v>
      </c>
      <c r="H5215" t="s">
        <v>535</v>
      </c>
      <c r="I5215" s="4">
        <f t="shared" si="715"/>
        <v>1</v>
      </c>
      <c r="J5215">
        <f t="shared" si="716"/>
        <v>2</v>
      </c>
      <c r="K5215">
        <v>56</v>
      </c>
      <c r="L5215">
        <v>20</v>
      </c>
      <c r="M5215" s="2">
        <v>2.8</v>
      </c>
      <c r="N5215">
        <v>3.14</v>
      </c>
      <c r="O5215">
        <v>0</v>
      </c>
      <c r="P5215">
        <v>6</v>
      </c>
      <c r="Q5215" s="4" t="str">
        <f>IF(P5215=1,"2016/2017-Ganjil",IF(P5215=2,"2016/2017-Genap",IF(P5215=3,"2017/2018-Ganjil",IF(P5215=4,"2017/2018-Genap",IF(P5215=5,"2018/2019-Ganjil",IF(P5215=6,"2018/2019-Genap",IF(P5215=7,"2019/2020-Ganjil",IF(P5215=8,"2019/2020-Genap",IF(P5215=9,"2020/2021-Ganjil",IF(P5215=10,"2020/2021-Genap",IF(P5215=11,"2021/2022-Ganjil",IF(P5215=12,"2021/2022-Genap",IF(P5215=13,"2022/2023-Ganjil","2022/2023-Genap")))))))))))))</f>
        <v>2018/2019-Genap</v>
      </c>
      <c r="R5215" s="8" t="s">
        <v>260</v>
      </c>
      <c r="S5215" t="str">
        <f t="shared" si="718"/>
        <v>FA</v>
      </c>
    </row>
    <row r="5216" spans="1:19" x14ac:dyDescent="0.3">
      <c r="A5216" t="s">
        <v>8</v>
      </c>
      <c r="B5216">
        <v>2016210062</v>
      </c>
      <c r="C5216" t="s">
        <v>547</v>
      </c>
      <c r="E5216" t="s">
        <v>119</v>
      </c>
      <c r="F5216" t="s">
        <v>120</v>
      </c>
      <c r="G5216">
        <v>2</v>
      </c>
      <c r="H5216" t="s">
        <v>524</v>
      </c>
      <c r="I5216" s="4">
        <f t="shared" si="715"/>
        <v>2</v>
      </c>
      <c r="J5216">
        <f t="shared" si="716"/>
        <v>4</v>
      </c>
      <c r="K5216">
        <v>38</v>
      </c>
      <c r="L5216">
        <v>12</v>
      </c>
      <c r="M5216" s="2">
        <v>3.17</v>
      </c>
      <c r="N5216">
        <v>3.14</v>
      </c>
      <c r="O5216">
        <v>1</v>
      </c>
      <c r="P5216">
        <v>6</v>
      </c>
      <c r="Q5216" s="4" t="s">
        <v>572</v>
      </c>
      <c r="R5216" s="8" t="s">
        <v>260</v>
      </c>
      <c r="S5216" t="str">
        <f t="shared" si="718"/>
        <v>PA</v>
      </c>
    </row>
    <row r="5217" spans="1:19" x14ac:dyDescent="0.3">
      <c r="A5217" t="s">
        <v>8</v>
      </c>
      <c r="B5217">
        <v>2016210062</v>
      </c>
      <c r="C5217" t="s">
        <v>547</v>
      </c>
      <c r="E5217" t="s">
        <v>401</v>
      </c>
      <c r="F5217" t="s">
        <v>258</v>
      </c>
      <c r="G5217">
        <v>4</v>
      </c>
      <c r="H5217" t="s">
        <v>539</v>
      </c>
      <c r="I5217" s="4">
        <f t="shared" si="715"/>
        <v>0</v>
      </c>
      <c r="J5217">
        <f t="shared" si="716"/>
        <v>0</v>
      </c>
      <c r="K5217">
        <v>66</v>
      </c>
      <c r="L5217">
        <v>24</v>
      </c>
      <c r="M5217">
        <v>2.75</v>
      </c>
      <c r="N5217">
        <v>3.14</v>
      </c>
      <c r="O5217">
        <v>0</v>
      </c>
      <c r="P5217">
        <v>5</v>
      </c>
      <c r="Q5217" s="4" t="str">
        <f>IF(P5217=1,"2016/2017-Ganjil",IF(P5217=2,"2016/2017-Genap",IF(P5217=3,"2017/2018-Ganjil",IF(P5217=4,"2017/2018-Genap",IF(P5217=5,"2018/2019-Ganjil",IF(P5217=6,"2018/2019-Genap",IF(P5217=7,"2019/2020-Ganjil",IF(P5217=8,"2019/2020-Genap",IF(P5217=9,"2020/2021-Ganjil",IF(P5217=10,"2020/2021-Genap",IF(P5217=11,"2021/2022-Ganjil",IF(P5217=12,"2021/2022-Genap",IF(P5217=13,"2022/2023-Ganjil","2022/2023-Genap")))))))))))))</f>
        <v>2018/2019-Ganjil</v>
      </c>
      <c r="R5217" s="8" t="s">
        <v>260</v>
      </c>
      <c r="S5217" t="str">
        <f t="shared" si="718"/>
        <v>FA</v>
      </c>
    </row>
    <row r="5218" spans="1:19" x14ac:dyDescent="0.3">
      <c r="A5218" t="s">
        <v>8</v>
      </c>
      <c r="B5218">
        <v>2016210062</v>
      </c>
      <c r="C5218" t="s">
        <v>547</v>
      </c>
      <c r="E5218" t="s">
        <v>401</v>
      </c>
      <c r="F5218" t="s">
        <v>258</v>
      </c>
      <c r="G5218">
        <v>4</v>
      </c>
      <c r="H5218" t="s">
        <v>260</v>
      </c>
      <c r="I5218" s="4">
        <f t="shared" si="715"/>
        <v>4</v>
      </c>
      <c r="J5218">
        <f t="shared" si="716"/>
        <v>16</v>
      </c>
      <c r="K5218">
        <v>38</v>
      </c>
      <c r="L5218">
        <v>12</v>
      </c>
      <c r="M5218" s="2">
        <v>3.17</v>
      </c>
      <c r="N5218">
        <v>3.14</v>
      </c>
      <c r="O5218">
        <v>1</v>
      </c>
      <c r="P5218">
        <v>6</v>
      </c>
      <c r="Q5218" s="4" t="s">
        <v>572</v>
      </c>
      <c r="R5218" s="8" t="s">
        <v>260</v>
      </c>
      <c r="S5218" t="str">
        <f t="shared" si="718"/>
        <v>PA</v>
      </c>
    </row>
    <row r="5219" spans="1:19" x14ac:dyDescent="0.3">
      <c r="A5219" t="s">
        <v>8</v>
      </c>
      <c r="B5219">
        <v>2016210063</v>
      </c>
      <c r="C5219" t="s">
        <v>548</v>
      </c>
      <c r="E5219" t="s">
        <v>10</v>
      </c>
      <c r="F5219" t="s">
        <v>11</v>
      </c>
      <c r="G5219">
        <v>2</v>
      </c>
      <c r="H5219" t="s">
        <v>260</v>
      </c>
      <c r="I5219" s="4">
        <f t="shared" si="715"/>
        <v>4</v>
      </c>
      <c r="J5219">
        <f t="shared" si="716"/>
        <v>8</v>
      </c>
      <c r="K5219">
        <v>72</v>
      </c>
      <c r="L5219">
        <v>22</v>
      </c>
      <c r="M5219">
        <v>3.27</v>
      </c>
      <c r="N5219">
        <v>3.52</v>
      </c>
      <c r="O5219">
        <v>0</v>
      </c>
      <c r="P5219">
        <v>9</v>
      </c>
      <c r="Q5219" s="4" t="str">
        <f t="shared" ref="Q5219:Q5250" si="720">IF(P5219=1,"2016/2017-Ganjil",IF(P5219=2,"2016/2017-Genap",IF(P5219=3,"2017/2018-Ganjil",IF(P5219=4,"2017/2018-Genap",IF(P5219=5,"2018/2019-Ganjil",IF(P5219=6,"2018/2019-Genap",IF(P5219=7,"2019/2020-Ganjil",IF(P5219=8,"2019/2020-Genap",IF(P5219=9,"2020/2021-Ganjil",IF(P5219=10,"2020/2021-Genap",IF(P5219=11,"2021/2022-Ganjil",IF(P5219=12,"2021/2022-Genap",IF(P5219=13,"2022/2023-Ganjil","2022/2023-Genap")))))))))))))</f>
        <v>2020/2021-Ganjil</v>
      </c>
      <c r="R5219" s="8" t="s">
        <v>260</v>
      </c>
      <c r="S5219" t="str">
        <f t="shared" si="718"/>
        <v>PA</v>
      </c>
    </row>
    <row r="5220" spans="1:19" x14ac:dyDescent="0.3">
      <c r="A5220" t="s">
        <v>8</v>
      </c>
      <c r="B5220">
        <v>2016210063</v>
      </c>
      <c r="C5220" t="s">
        <v>548</v>
      </c>
      <c r="E5220" t="s">
        <v>10</v>
      </c>
      <c r="F5220" t="s">
        <v>11</v>
      </c>
      <c r="G5220">
        <v>2</v>
      </c>
      <c r="H5220" t="s">
        <v>260</v>
      </c>
      <c r="I5220" s="4">
        <f t="shared" si="715"/>
        <v>4</v>
      </c>
      <c r="J5220">
        <f t="shared" si="716"/>
        <v>8</v>
      </c>
      <c r="K5220">
        <v>50</v>
      </c>
      <c r="L5220">
        <v>14</v>
      </c>
      <c r="M5220">
        <v>3.57</v>
      </c>
      <c r="N5220">
        <v>3.52</v>
      </c>
      <c r="O5220">
        <v>0</v>
      </c>
      <c r="P5220">
        <v>10</v>
      </c>
      <c r="Q5220" s="4" t="str">
        <f t="shared" si="720"/>
        <v>2020/2021-Genap</v>
      </c>
      <c r="R5220" s="8" t="s">
        <v>260</v>
      </c>
      <c r="S5220" t="str">
        <f t="shared" si="718"/>
        <v>PA</v>
      </c>
    </row>
    <row r="5221" spans="1:19" x14ac:dyDescent="0.3">
      <c r="A5221" t="s">
        <v>8</v>
      </c>
      <c r="B5221">
        <v>2016210063</v>
      </c>
      <c r="C5221" t="s">
        <v>548</v>
      </c>
      <c r="E5221" t="s">
        <v>213</v>
      </c>
      <c r="F5221" t="s">
        <v>214</v>
      </c>
      <c r="G5221">
        <v>4</v>
      </c>
      <c r="H5221" t="s">
        <v>260</v>
      </c>
      <c r="I5221" s="4">
        <f t="shared" si="715"/>
        <v>4</v>
      </c>
      <c r="J5221">
        <f t="shared" si="716"/>
        <v>16</v>
      </c>
      <c r="K5221">
        <v>64</v>
      </c>
      <c r="L5221">
        <v>16</v>
      </c>
      <c r="M5221" s="2">
        <v>4</v>
      </c>
      <c r="N5221">
        <v>3.52</v>
      </c>
      <c r="O5221">
        <v>1</v>
      </c>
      <c r="P5221">
        <v>11</v>
      </c>
      <c r="Q5221" s="4" t="str">
        <f t="shared" si="720"/>
        <v>2021/2022-Ganjil</v>
      </c>
      <c r="R5221" t="s">
        <v>596</v>
      </c>
      <c r="S5221" t="str">
        <f t="shared" si="718"/>
        <v>PA</v>
      </c>
    </row>
    <row r="5222" spans="1:19" x14ac:dyDescent="0.3">
      <c r="A5222" t="s">
        <v>8</v>
      </c>
      <c r="B5222">
        <v>2016210063</v>
      </c>
      <c r="C5222" t="s">
        <v>548</v>
      </c>
      <c r="E5222" t="s">
        <v>213</v>
      </c>
      <c r="F5222" t="s">
        <v>214</v>
      </c>
      <c r="G5222">
        <v>4</v>
      </c>
      <c r="I5222" s="4"/>
      <c r="J5222">
        <v>0</v>
      </c>
      <c r="K5222">
        <v>10</v>
      </c>
      <c r="L5222">
        <v>4</v>
      </c>
      <c r="M5222" s="2">
        <v>2.5</v>
      </c>
      <c r="N5222">
        <v>3.52</v>
      </c>
      <c r="O5222">
        <v>0</v>
      </c>
      <c r="P5222">
        <v>3</v>
      </c>
      <c r="Q5222" s="4" t="str">
        <f t="shared" si="720"/>
        <v>2017/2018-Ganjil</v>
      </c>
      <c r="R5222" s="8" t="s">
        <v>260</v>
      </c>
      <c r="S5222" t="s">
        <v>595</v>
      </c>
    </row>
    <row r="5223" spans="1:19" x14ac:dyDescent="0.3">
      <c r="A5223" t="s">
        <v>8</v>
      </c>
      <c r="B5223">
        <v>2016210063</v>
      </c>
      <c r="C5223" t="s">
        <v>548</v>
      </c>
      <c r="E5223" t="s">
        <v>44</v>
      </c>
      <c r="F5223" t="s">
        <v>45</v>
      </c>
      <c r="G5223">
        <v>2</v>
      </c>
      <c r="I5223" s="4"/>
      <c r="J5223">
        <v>0</v>
      </c>
      <c r="K5223">
        <v>60</v>
      </c>
      <c r="L5223">
        <v>16</v>
      </c>
      <c r="M5223">
        <v>3.75</v>
      </c>
      <c r="N5223">
        <v>3.52</v>
      </c>
      <c r="O5223">
        <v>0</v>
      </c>
      <c r="P5223">
        <v>4</v>
      </c>
      <c r="Q5223" s="4" t="str">
        <f t="shared" si="720"/>
        <v>2017/2018-Genap</v>
      </c>
      <c r="R5223" s="8" t="s">
        <v>260</v>
      </c>
      <c r="S5223" t="s">
        <v>595</v>
      </c>
    </row>
    <row r="5224" spans="1:19" x14ac:dyDescent="0.3">
      <c r="A5224" t="s">
        <v>8</v>
      </c>
      <c r="B5224">
        <v>2016210063</v>
      </c>
      <c r="C5224" t="s">
        <v>548</v>
      </c>
      <c r="E5224" t="s">
        <v>44</v>
      </c>
      <c r="F5224" t="s">
        <v>45</v>
      </c>
      <c r="G5224">
        <v>2</v>
      </c>
      <c r="H5224" t="s">
        <v>260</v>
      </c>
      <c r="I5224" s="4">
        <f>IF(H5224="A",4,IF(H5224="B",3,IF(H5224="C",2,IF(H5224="D",1,0))))</f>
        <v>4</v>
      </c>
      <c r="J5224">
        <f>G5224*I5224</f>
        <v>8</v>
      </c>
      <c r="K5224">
        <v>34</v>
      </c>
      <c r="L5224">
        <v>10</v>
      </c>
      <c r="M5224" s="2">
        <v>3.4</v>
      </c>
      <c r="N5224">
        <v>3.52</v>
      </c>
      <c r="O5224">
        <v>1</v>
      </c>
      <c r="P5224">
        <v>8</v>
      </c>
      <c r="Q5224" s="4" t="str">
        <f t="shared" si="720"/>
        <v>2019/2020-Genap</v>
      </c>
      <c r="R5224" s="8" t="s">
        <v>260</v>
      </c>
      <c r="S5224" t="str">
        <f>IF(OR(H5224="A",H5224="B",H5224="C"),"PA","FA")</f>
        <v>PA</v>
      </c>
    </row>
    <row r="5225" spans="1:19" x14ac:dyDescent="0.3">
      <c r="A5225" t="s">
        <v>8</v>
      </c>
      <c r="B5225">
        <v>2016210063</v>
      </c>
      <c r="C5225" t="s">
        <v>548</v>
      </c>
      <c r="E5225" t="s">
        <v>112</v>
      </c>
      <c r="F5225" t="s">
        <v>113</v>
      </c>
      <c r="G5225">
        <v>4</v>
      </c>
      <c r="I5225" s="4"/>
      <c r="J5225">
        <v>0</v>
      </c>
      <c r="K5225">
        <v>10</v>
      </c>
      <c r="L5225">
        <v>4</v>
      </c>
      <c r="M5225" s="2">
        <v>2.5</v>
      </c>
      <c r="N5225">
        <v>3.52</v>
      </c>
      <c r="O5225">
        <v>0</v>
      </c>
      <c r="P5225">
        <v>3</v>
      </c>
      <c r="Q5225" s="4" t="str">
        <f t="shared" si="720"/>
        <v>2017/2018-Ganjil</v>
      </c>
      <c r="R5225" s="8" t="s">
        <v>260</v>
      </c>
      <c r="S5225" t="s">
        <v>595</v>
      </c>
    </row>
    <row r="5226" spans="1:19" x14ac:dyDescent="0.3">
      <c r="A5226" t="s">
        <v>8</v>
      </c>
      <c r="B5226">
        <v>2016210063</v>
      </c>
      <c r="C5226" t="s">
        <v>548</v>
      </c>
      <c r="E5226" t="s">
        <v>112</v>
      </c>
      <c r="F5226" t="s">
        <v>113</v>
      </c>
      <c r="G5226">
        <v>4</v>
      </c>
      <c r="H5226" t="s">
        <v>260</v>
      </c>
      <c r="I5226" s="4">
        <f>IF(H5226="A",4,IF(H5226="B",3,IF(H5226="C",2,IF(H5226="D",1,0))))</f>
        <v>4</v>
      </c>
      <c r="J5226">
        <f>G5226*I5226</f>
        <v>16</v>
      </c>
      <c r="K5226">
        <v>72</v>
      </c>
      <c r="L5226">
        <v>22</v>
      </c>
      <c r="M5226" s="2">
        <v>3.27</v>
      </c>
      <c r="N5226">
        <v>3.52</v>
      </c>
      <c r="O5226">
        <v>1</v>
      </c>
      <c r="P5226">
        <v>9</v>
      </c>
      <c r="Q5226" s="4" t="str">
        <f t="shared" si="720"/>
        <v>2020/2021-Ganjil</v>
      </c>
      <c r="R5226" s="8" t="s">
        <v>260</v>
      </c>
      <c r="S5226" t="str">
        <f>IF(OR(H5226="A",H5226="B",H5226="C"),"PA","FA")</f>
        <v>PA</v>
      </c>
    </row>
    <row r="5227" spans="1:19" x14ac:dyDescent="0.3">
      <c r="A5227" t="s">
        <v>8</v>
      </c>
      <c r="B5227">
        <v>2016210063</v>
      </c>
      <c r="C5227" t="s">
        <v>548</v>
      </c>
      <c r="E5227" t="s">
        <v>227</v>
      </c>
      <c r="F5227" t="s">
        <v>228</v>
      </c>
      <c r="G5227">
        <v>2</v>
      </c>
      <c r="I5227" s="4"/>
      <c r="J5227">
        <v>0</v>
      </c>
      <c r="K5227">
        <v>10</v>
      </c>
      <c r="L5227">
        <v>4</v>
      </c>
      <c r="M5227" s="2">
        <v>2.5</v>
      </c>
      <c r="N5227">
        <v>3.52</v>
      </c>
      <c r="O5227">
        <v>0</v>
      </c>
      <c r="P5227">
        <v>3</v>
      </c>
      <c r="Q5227" s="4" t="str">
        <f t="shared" si="720"/>
        <v>2017/2018-Ganjil</v>
      </c>
      <c r="R5227" s="8" t="s">
        <v>260</v>
      </c>
      <c r="S5227" t="s">
        <v>595</v>
      </c>
    </row>
    <row r="5228" spans="1:19" x14ac:dyDescent="0.3">
      <c r="A5228" t="s">
        <v>8</v>
      </c>
      <c r="B5228">
        <v>2016210063</v>
      </c>
      <c r="C5228" t="s">
        <v>548</v>
      </c>
      <c r="E5228" t="s">
        <v>227</v>
      </c>
      <c r="F5228" t="s">
        <v>228</v>
      </c>
      <c r="G5228">
        <v>2</v>
      </c>
      <c r="H5228" t="s">
        <v>260</v>
      </c>
      <c r="I5228" s="4">
        <v>4</v>
      </c>
      <c r="J5228">
        <v>8</v>
      </c>
      <c r="K5228">
        <v>72</v>
      </c>
      <c r="L5228">
        <v>22</v>
      </c>
      <c r="M5228" s="2">
        <v>3.27</v>
      </c>
      <c r="N5228">
        <v>3.52</v>
      </c>
      <c r="O5228">
        <v>1</v>
      </c>
      <c r="P5228">
        <v>9</v>
      </c>
      <c r="Q5228" s="4" t="str">
        <f t="shared" si="720"/>
        <v>2020/2021-Ganjil</v>
      </c>
      <c r="R5228" s="8" t="s">
        <v>260</v>
      </c>
      <c r="S5228" t="str">
        <f>IF(OR(H5228="A",H5228="B",H5228="C"),"PA","FA")</f>
        <v>PA</v>
      </c>
    </row>
    <row r="5229" spans="1:19" x14ac:dyDescent="0.3">
      <c r="A5229" t="s">
        <v>8</v>
      </c>
      <c r="B5229">
        <v>2016210063</v>
      </c>
      <c r="C5229" t="s">
        <v>548</v>
      </c>
      <c r="E5229" t="s">
        <v>93</v>
      </c>
      <c r="F5229" t="s">
        <v>94</v>
      </c>
      <c r="G5229">
        <v>4</v>
      </c>
      <c r="I5229" s="4"/>
      <c r="J5229">
        <v>0</v>
      </c>
      <c r="K5229">
        <v>10</v>
      </c>
      <c r="L5229">
        <v>4</v>
      </c>
      <c r="M5229" s="2">
        <v>2.5</v>
      </c>
      <c r="N5229">
        <v>3.52</v>
      </c>
      <c r="O5229">
        <v>0</v>
      </c>
      <c r="P5229">
        <v>3</v>
      </c>
      <c r="Q5229" s="4" t="str">
        <f t="shared" si="720"/>
        <v>2017/2018-Ganjil</v>
      </c>
      <c r="R5229" s="8" t="s">
        <v>260</v>
      </c>
      <c r="S5229" t="s">
        <v>595</v>
      </c>
    </row>
    <row r="5230" spans="1:19" x14ac:dyDescent="0.3">
      <c r="A5230" t="s">
        <v>8</v>
      </c>
      <c r="B5230">
        <v>2016210063</v>
      </c>
      <c r="C5230" t="s">
        <v>548</v>
      </c>
      <c r="E5230" t="s">
        <v>93</v>
      </c>
      <c r="F5230" t="s">
        <v>94</v>
      </c>
      <c r="G5230">
        <v>4</v>
      </c>
      <c r="H5230" t="s">
        <v>438</v>
      </c>
      <c r="I5230" s="4">
        <f>IF(H5230="A",4,IF(H5230="B",3,IF(H5230="C",2,IF(H5230="D",1,0))))</f>
        <v>3</v>
      </c>
      <c r="J5230">
        <f>G5230*I5230</f>
        <v>12</v>
      </c>
      <c r="K5230">
        <v>72</v>
      </c>
      <c r="L5230">
        <v>22</v>
      </c>
      <c r="M5230" s="2">
        <v>3.27</v>
      </c>
      <c r="N5230">
        <v>3.52</v>
      </c>
      <c r="O5230">
        <v>1</v>
      </c>
      <c r="P5230">
        <v>9</v>
      </c>
      <c r="Q5230" s="4" t="str">
        <f t="shared" si="720"/>
        <v>2020/2021-Ganjil</v>
      </c>
      <c r="R5230" s="8" t="s">
        <v>260</v>
      </c>
      <c r="S5230" t="str">
        <f>IF(OR(H5230="A",H5230="B",H5230="C"),"PA","FA")</f>
        <v>PA</v>
      </c>
    </row>
    <row r="5231" spans="1:19" x14ac:dyDescent="0.3">
      <c r="A5231" t="s">
        <v>8</v>
      </c>
      <c r="B5231">
        <v>2016210063</v>
      </c>
      <c r="C5231" t="s">
        <v>548</v>
      </c>
      <c r="E5231" t="s">
        <v>182</v>
      </c>
      <c r="F5231" t="s">
        <v>171</v>
      </c>
      <c r="G5231">
        <v>2</v>
      </c>
      <c r="I5231" s="4"/>
      <c r="J5231">
        <v>0</v>
      </c>
      <c r="K5231">
        <v>10</v>
      </c>
      <c r="L5231">
        <v>4</v>
      </c>
      <c r="M5231" s="2">
        <v>2.5</v>
      </c>
      <c r="N5231">
        <v>3.52</v>
      </c>
      <c r="O5231">
        <v>0</v>
      </c>
      <c r="P5231">
        <v>3</v>
      </c>
      <c r="Q5231" s="4" t="str">
        <f t="shared" si="720"/>
        <v>2017/2018-Ganjil</v>
      </c>
      <c r="R5231" s="8" t="s">
        <v>260</v>
      </c>
      <c r="S5231" t="s">
        <v>595</v>
      </c>
    </row>
    <row r="5232" spans="1:19" x14ac:dyDescent="0.3">
      <c r="A5232" t="s">
        <v>8</v>
      </c>
      <c r="B5232">
        <v>2016210063</v>
      </c>
      <c r="C5232" t="s">
        <v>548</v>
      </c>
      <c r="E5232" t="s">
        <v>182</v>
      </c>
      <c r="F5232" t="s">
        <v>171</v>
      </c>
      <c r="G5232">
        <v>2</v>
      </c>
      <c r="H5232" t="s">
        <v>524</v>
      </c>
      <c r="I5232" s="4">
        <f>IF(H5232="A",4,IF(H5232="B",3,IF(H5232="C",2,IF(H5232="D",1,0))))</f>
        <v>2</v>
      </c>
      <c r="J5232">
        <f>G5232*I5232</f>
        <v>4</v>
      </c>
      <c r="K5232">
        <v>66</v>
      </c>
      <c r="L5232">
        <v>20</v>
      </c>
      <c r="M5232" s="2">
        <v>3.3</v>
      </c>
      <c r="N5232">
        <v>3.52</v>
      </c>
      <c r="O5232">
        <v>1</v>
      </c>
      <c r="P5232">
        <v>5</v>
      </c>
      <c r="Q5232" s="4" t="str">
        <f t="shared" si="720"/>
        <v>2018/2019-Ganjil</v>
      </c>
      <c r="R5232" s="8" t="s">
        <v>260</v>
      </c>
      <c r="S5232" t="str">
        <f>IF(OR(H5232="A",H5232="B",H5232="C"),"PA","FA")</f>
        <v>PA</v>
      </c>
    </row>
    <row r="5233" spans="1:19" x14ac:dyDescent="0.3">
      <c r="A5233" t="s">
        <v>8</v>
      </c>
      <c r="B5233">
        <v>2016210063</v>
      </c>
      <c r="C5233" t="s">
        <v>548</v>
      </c>
      <c r="E5233" t="s">
        <v>119</v>
      </c>
      <c r="F5233" t="s">
        <v>120</v>
      </c>
      <c r="G5233">
        <v>2</v>
      </c>
      <c r="I5233" s="4"/>
      <c r="J5233">
        <v>0</v>
      </c>
      <c r="K5233">
        <v>52</v>
      </c>
      <c r="L5233">
        <v>22</v>
      </c>
      <c r="M5233" s="2">
        <v>2.36</v>
      </c>
      <c r="N5233">
        <v>3.52</v>
      </c>
      <c r="O5233">
        <v>0</v>
      </c>
      <c r="P5233">
        <v>6</v>
      </c>
      <c r="Q5233" s="4" t="str">
        <f t="shared" si="720"/>
        <v>2018/2019-Genap</v>
      </c>
      <c r="R5233" s="8" t="s">
        <v>260</v>
      </c>
      <c r="S5233" t="s">
        <v>595</v>
      </c>
    </row>
    <row r="5234" spans="1:19" x14ac:dyDescent="0.3">
      <c r="A5234" t="s">
        <v>8</v>
      </c>
      <c r="B5234">
        <v>2016210063</v>
      </c>
      <c r="C5234" t="s">
        <v>548</v>
      </c>
      <c r="E5234" t="s">
        <v>119</v>
      </c>
      <c r="F5234" t="s">
        <v>120</v>
      </c>
      <c r="G5234">
        <v>2</v>
      </c>
      <c r="H5234" t="s">
        <v>438</v>
      </c>
      <c r="I5234" s="4">
        <f>IF(H5234="A",4,IF(H5234="B",3,IF(H5234="C",2,IF(H5234="D",1,0))))</f>
        <v>3</v>
      </c>
      <c r="J5234">
        <f>G5234*I5234</f>
        <v>6</v>
      </c>
      <c r="K5234">
        <v>34</v>
      </c>
      <c r="L5234">
        <v>10</v>
      </c>
      <c r="M5234" s="2">
        <v>3.4</v>
      </c>
      <c r="N5234">
        <v>3.52</v>
      </c>
      <c r="O5234">
        <v>1</v>
      </c>
      <c r="P5234">
        <v>8</v>
      </c>
      <c r="Q5234" s="4" t="str">
        <f t="shared" si="720"/>
        <v>2019/2020-Genap</v>
      </c>
      <c r="R5234" s="8" t="s">
        <v>260</v>
      </c>
      <c r="S5234" t="str">
        <f t="shared" ref="S5234:S5297" si="721">IF(OR(H5234="A",H5234="B",H5234="C"),"PA","FA")</f>
        <v>PA</v>
      </c>
    </row>
    <row r="5235" spans="1:19" x14ac:dyDescent="0.3">
      <c r="A5235" t="s">
        <v>8</v>
      </c>
      <c r="B5235">
        <v>2016210063</v>
      </c>
      <c r="C5235" t="s">
        <v>548</v>
      </c>
      <c r="E5235" t="s">
        <v>22</v>
      </c>
      <c r="F5235" t="s">
        <v>23</v>
      </c>
      <c r="G5235">
        <v>2</v>
      </c>
      <c r="H5235" t="s">
        <v>260</v>
      </c>
      <c r="I5235" s="4">
        <f t="shared" ref="I5235:I5298" si="722">IF(H5235="A",4,IF(H5235="B",3,IF(H5235="C",2,IF(H5235="D",1,0))))</f>
        <v>4</v>
      </c>
      <c r="J5235">
        <f t="shared" ref="J5235:J5280" si="723">G5235*I5235</f>
        <v>8</v>
      </c>
      <c r="K5235">
        <v>60</v>
      </c>
      <c r="L5235">
        <v>16</v>
      </c>
      <c r="M5235" s="2">
        <v>3.75</v>
      </c>
      <c r="N5235">
        <v>3.52</v>
      </c>
      <c r="O5235">
        <v>0</v>
      </c>
      <c r="P5235">
        <v>4</v>
      </c>
      <c r="Q5235" s="4" t="str">
        <f t="shared" si="720"/>
        <v>2017/2018-Genap</v>
      </c>
      <c r="R5235" s="8" t="s">
        <v>260</v>
      </c>
      <c r="S5235" t="str">
        <f t="shared" si="721"/>
        <v>PA</v>
      </c>
    </row>
    <row r="5236" spans="1:19" x14ac:dyDescent="0.3">
      <c r="A5236" t="s">
        <v>8</v>
      </c>
      <c r="B5236">
        <v>2016210063</v>
      </c>
      <c r="C5236" t="s">
        <v>548</v>
      </c>
      <c r="E5236" t="s">
        <v>136</v>
      </c>
      <c r="F5236" t="s">
        <v>137</v>
      </c>
      <c r="G5236">
        <v>4</v>
      </c>
      <c r="H5236" t="s">
        <v>260</v>
      </c>
      <c r="I5236" s="4">
        <f t="shared" si="722"/>
        <v>4</v>
      </c>
      <c r="J5236">
        <f t="shared" si="723"/>
        <v>16</v>
      </c>
      <c r="K5236">
        <v>108</v>
      </c>
      <c r="L5236">
        <v>30</v>
      </c>
      <c r="M5236" s="2">
        <v>3.6</v>
      </c>
      <c r="N5236">
        <v>3.52</v>
      </c>
      <c r="O5236">
        <v>0</v>
      </c>
      <c r="P5236">
        <v>1</v>
      </c>
      <c r="Q5236" s="4" t="str">
        <f t="shared" si="720"/>
        <v>2016/2017-Ganjil</v>
      </c>
      <c r="R5236" s="8" t="s">
        <v>260</v>
      </c>
      <c r="S5236" t="str">
        <f t="shared" si="721"/>
        <v>PA</v>
      </c>
    </row>
    <row r="5237" spans="1:19" x14ac:dyDescent="0.3">
      <c r="A5237" t="s">
        <v>8</v>
      </c>
      <c r="B5237">
        <v>2016210063</v>
      </c>
      <c r="C5237" t="s">
        <v>548</v>
      </c>
      <c r="E5237" t="s">
        <v>253</v>
      </c>
      <c r="F5237" t="s">
        <v>254</v>
      </c>
      <c r="G5237">
        <v>2</v>
      </c>
      <c r="H5237" t="s">
        <v>260</v>
      </c>
      <c r="I5237" s="4">
        <f t="shared" si="722"/>
        <v>4</v>
      </c>
      <c r="J5237">
        <f t="shared" si="723"/>
        <v>8</v>
      </c>
      <c r="K5237">
        <v>34</v>
      </c>
      <c r="L5237">
        <v>10</v>
      </c>
      <c r="M5237" s="2">
        <v>3.4</v>
      </c>
      <c r="N5237">
        <v>3.52</v>
      </c>
      <c r="O5237">
        <v>0</v>
      </c>
      <c r="P5237">
        <v>8</v>
      </c>
      <c r="Q5237" s="4" t="str">
        <f t="shared" si="720"/>
        <v>2019/2020-Genap</v>
      </c>
      <c r="R5237" s="8" t="s">
        <v>260</v>
      </c>
      <c r="S5237" t="str">
        <f t="shared" si="721"/>
        <v>PA</v>
      </c>
    </row>
    <row r="5238" spans="1:19" x14ac:dyDescent="0.3">
      <c r="A5238" t="s">
        <v>8</v>
      </c>
      <c r="B5238">
        <v>2016210063</v>
      </c>
      <c r="C5238" t="s">
        <v>548</v>
      </c>
      <c r="E5238" t="s">
        <v>352</v>
      </c>
      <c r="F5238" t="s">
        <v>353</v>
      </c>
      <c r="G5238">
        <v>2</v>
      </c>
      <c r="H5238" t="s">
        <v>260</v>
      </c>
      <c r="I5238" s="4">
        <f t="shared" si="722"/>
        <v>4</v>
      </c>
      <c r="J5238">
        <f t="shared" si="723"/>
        <v>8</v>
      </c>
      <c r="K5238">
        <v>66</v>
      </c>
      <c r="L5238">
        <v>20</v>
      </c>
      <c r="M5238" s="2">
        <v>3.3</v>
      </c>
      <c r="N5238">
        <v>3.52</v>
      </c>
      <c r="O5238">
        <v>0</v>
      </c>
      <c r="P5238">
        <v>5</v>
      </c>
      <c r="Q5238" s="4" t="str">
        <f t="shared" si="720"/>
        <v>2018/2019-Ganjil</v>
      </c>
      <c r="R5238" s="8" t="s">
        <v>260</v>
      </c>
      <c r="S5238" t="str">
        <f t="shared" si="721"/>
        <v>PA</v>
      </c>
    </row>
    <row r="5239" spans="1:19" x14ac:dyDescent="0.3">
      <c r="A5239" t="s">
        <v>8</v>
      </c>
      <c r="B5239">
        <v>2016210063</v>
      </c>
      <c r="C5239" t="s">
        <v>548</v>
      </c>
      <c r="E5239" t="s">
        <v>176</v>
      </c>
      <c r="F5239" t="s">
        <v>177</v>
      </c>
      <c r="G5239">
        <v>4</v>
      </c>
      <c r="H5239" t="s">
        <v>260</v>
      </c>
      <c r="I5239" s="4">
        <f t="shared" si="722"/>
        <v>4</v>
      </c>
      <c r="J5239">
        <f t="shared" si="723"/>
        <v>16</v>
      </c>
      <c r="K5239">
        <v>66</v>
      </c>
      <c r="L5239">
        <v>20</v>
      </c>
      <c r="M5239" s="2">
        <v>3.3</v>
      </c>
      <c r="N5239">
        <v>3.52</v>
      </c>
      <c r="O5239">
        <v>0</v>
      </c>
      <c r="P5239">
        <v>5</v>
      </c>
      <c r="Q5239" s="4" t="str">
        <f t="shared" si="720"/>
        <v>2018/2019-Ganjil</v>
      </c>
      <c r="R5239" s="8" t="s">
        <v>260</v>
      </c>
      <c r="S5239" t="str">
        <f t="shared" si="721"/>
        <v>PA</v>
      </c>
    </row>
    <row r="5240" spans="1:19" x14ac:dyDescent="0.3">
      <c r="A5240" t="s">
        <v>8</v>
      </c>
      <c r="B5240">
        <v>2016210063</v>
      </c>
      <c r="C5240" t="s">
        <v>548</v>
      </c>
      <c r="E5240" t="s">
        <v>77</v>
      </c>
      <c r="F5240" t="s">
        <v>78</v>
      </c>
      <c r="G5240">
        <v>2</v>
      </c>
      <c r="H5240" t="s">
        <v>260</v>
      </c>
      <c r="I5240" s="4">
        <f t="shared" si="722"/>
        <v>4</v>
      </c>
      <c r="J5240">
        <f t="shared" si="723"/>
        <v>8</v>
      </c>
      <c r="K5240">
        <v>108</v>
      </c>
      <c r="L5240">
        <v>30</v>
      </c>
      <c r="M5240" s="2">
        <v>3.6</v>
      </c>
      <c r="N5240">
        <v>3.52</v>
      </c>
      <c r="O5240">
        <v>0</v>
      </c>
      <c r="P5240">
        <v>1</v>
      </c>
      <c r="Q5240" s="4" t="str">
        <f t="shared" si="720"/>
        <v>2016/2017-Ganjil</v>
      </c>
      <c r="R5240" s="8" t="s">
        <v>260</v>
      </c>
      <c r="S5240" t="str">
        <f t="shared" si="721"/>
        <v>PA</v>
      </c>
    </row>
    <row r="5241" spans="1:19" x14ac:dyDescent="0.3">
      <c r="A5241" t="s">
        <v>8</v>
      </c>
      <c r="B5241">
        <v>2016210063</v>
      </c>
      <c r="C5241" t="s">
        <v>548</v>
      </c>
      <c r="E5241" t="s">
        <v>295</v>
      </c>
      <c r="F5241" t="s">
        <v>296</v>
      </c>
      <c r="G5241">
        <v>2</v>
      </c>
      <c r="H5241" t="s">
        <v>260</v>
      </c>
      <c r="I5241" s="4">
        <f t="shared" si="722"/>
        <v>4</v>
      </c>
      <c r="J5241">
        <f t="shared" si="723"/>
        <v>8</v>
      </c>
      <c r="K5241">
        <v>10</v>
      </c>
      <c r="L5241">
        <v>4</v>
      </c>
      <c r="M5241" s="2">
        <v>2.5</v>
      </c>
      <c r="N5241">
        <v>3.52</v>
      </c>
      <c r="O5241">
        <v>0</v>
      </c>
      <c r="P5241">
        <v>3</v>
      </c>
      <c r="Q5241" s="4" t="str">
        <f t="shared" si="720"/>
        <v>2017/2018-Ganjil</v>
      </c>
      <c r="R5241" s="8" t="s">
        <v>260</v>
      </c>
      <c r="S5241" t="str">
        <f t="shared" si="721"/>
        <v>PA</v>
      </c>
    </row>
    <row r="5242" spans="1:19" x14ac:dyDescent="0.3">
      <c r="A5242" t="s">
        <v>8</v>
      </c>
      <c r="B5242">
        <v>2016210063</v>
      </c>
      <c r="C5242" t="s">
        <v>548</v>
      </c>
      <c r="E5242" t="s">
        <v>279</v>
      </c>
      <c r="F5242" t="s">
        <v>280</v>
      </c>
      <c r="G5242">
        <v>2</v>
      </c>
      <c r="H5242" t="s">
        <v>260</v>
      </c>
      <c r="I5242" s="4">
        <f t="shared" si="722"/>
        <v>4</v>
      </c>
      <c r="J5242">
        <f t="shared" si="723"/>
        <v>8</v>
      </c>
      <c r="K5242">
        <v>108</v>
      </c>
      <c r="L5242">
        <v>30</v>
      </c>
      <c r="M5242" s="2">
        <v>3.6</v>
      </c>
      <c r="N5242">
        <v>3.52</v>
      </c>
      <c r="O5242">
        <v>0</v>
      </c>
      <c r="P5242">
        <v>1</v>
      </c>
      <c r="Q5242" s="4" t="str">
        <f t="shared" si="720"/>
        <v>2016/2017-Ganjil</v>
      </c>
      <c r="R5242" s="8" t="s">
        <v>260</v>
      </c>
      <c r="S5242" t="str">
        <f t="shared" si="721"/>
        <v>PA</v>
      </c>
    </row>
    <row r="5243" spans="1:19" x14ac:dyDescent="0.3">
      <c r="A5243" t="s">
        <v>8</v>
      </c>
      <c r="B5243">
        <v>2016210063</v>
      </c>
      <c r="C5243" t="s">
        <v>548</v>
      </c>
      <c r="E5243" t="s">
        <v>115</v>
      </c>
      <c r="F5243" t="s">
        <v>116</v>
      </c>
      <c r="G5243">
        <v>4</v>
      </c>
      <c r="H5243" t="s">
        <v>260</v>
      </c>
      <c r="I5243" s="4">
        <f t="shared" si="722"/>
        <v>4</v>
      </c>
      <c r="J5243">
        <f t="shared" si="723"/>
        <v>16</v>
      </c>
      <c r="K5243">
        <v>60</v>
      </c>
      <c r="L5243">
        <v>16</v>
      </c>
      <c r="M5243" s="2">
        <v>3.75</v>
      </c>
      <c r="N5243">
        <v>3.52</v>
      </c>
      <c r="O5243">
        <v>0</v>
      </c>
      <c r="P5243">
        <v>4</v>
      </c>
      <c r="Q5243" s="4" t="str">
        <f t="shared" si="720"/>
        <v>2017/2018-Genap</v>
      </c>
      <c r="R5243" s="8" t="s">
        <v>260</v>
      </c>
      <c r="S5243" t="str">
        <f t="shared" si="721"/>
        <v>PA</v>
      </c>
    </row>
    <row r="5244" spans="1:19" x14ac:dyDescent="0.3">
      <c r="A5244" t="s">
        <v>8</v>
      </c>
      <c r="B5244">
        <v>2016210063</v>
      </c>
      <c r="C5244" t="s">
        <v>548</v>
      </c>
      <c r="E5244" t="s">
        <v>232</v>
      </c>
      <c r="F5244" t="s">
        <v>233</v>
      </c>
      <c r="G5244">
        <v>2</v>
      </c>
      <c r="H5244" t="s">
        <v>260</v>
      </c>
      <c r="I5244" s="4">
        <f t="shared" si="722"/>
        <v>4</v>
      </c>
      <c r="J5244">
        <f t="shared" si="723"/>
        <v>8</v>
      </c>
      <c r="K5244">
        <v>108</v>
      </c>
      <c r="L5244">
        <v>30</v>
      </c>
      <c r="M5244" s="2">
        <v>3.6</v>
      </c>
      <c r="N5244">
        <v>3.52</v>
      </c>
      <c r="O5244">
        <v>0</v>
      </c>
      <c r="P5244">
        <v>1</v>
      </c>
      <c r="Q5244" s="4" t="str">
        <f t="shared" si="720"/>
        <v>2016/2017-Ganjil</v>
      </c>
      <c r="R5244" s="8" t="s">
        <v>260</v>
      </c>
      <c r="S5244" t="str">
        <f t="shared" si="721"/>
        <v>PA</v>
      </c>
    </row>
    <row r="5245" spans="1:19" x14ac:dyDescent="0.3">
      <c r="A5245" t="s">
        <v>8</v>
      </c>
      <c r="B5245">
        <v>2016210063</v>
      </c>
      <c r="C5245" t="s">
        <v>548</v>
      </c>
      <c r="E5245" t="s">
        <v>180</v>
      </c>
      <c r="F5245" t="s">
        <v>181</v>
      </c>
      <c r="G5245">
        <v>4</v>
      </c>
      <c r="H5245" t="s">
        <v>260</v>
      </c>
      <c r="I5245" s="4">
        <f t="shared" si="722"/>
        <v>4</v>
      </c>
      <c r="J5245">
        <f t="shared" si="723"/>
        <v>16</v>
      </c>
      <c r="K5245">
        <v>60</v>
      </c>
      <c r="L5245">
        <v>16</v>
      </c>
      <c r="M5245" s="2">
        <v>3.75</v>
      </c>
      <c r="N5245">
        <v>3.52</v>
      </c>
      <c r="O5245">
        <v>0</v>
      </c>
      <c r="P5245">
        <v>4</v>
      </c>
      <c r="Q5245" s="4" t="str">
        <f t="shared" si="720"/>
        <v>2017/2018-Genap</v>
      </c>
      <c r="R5245" s="8" t="s">
        <v>260</v>
      </c>
      <c r="S5245" t="str">
        <f t="shared" si="721"/>
        <v>PA</v>
      </c>
    </row>
    <row r="5246" spans="1:19" x14ac:dyDescent="0.3">
      <c r="A5246" t="s">
        <v>8</v>
      </c>
      <c r="B5246">
        <v>2016210063</v>
      </c>
      <c r="C5246" t="s">
        <v>548</v>
      </c>
      <c r="E5246" t="s">
        <v>19</v>
      </c>
      <c r="F5246" t="s">
        <v>20</v>
      </c>
      <c r="G5246">
        <v>6</v>
      </c>
      <c r="H5246" t="s">
        <v>260</v>
      </c>
      <c r="I5246" s="4">
        <f t="shared" si="722"/>
        <v>4</v>
      </c>
      <c r="J5246">
        <f t="shared" si="723"/>
        <v>24</v>
      </c>
      <c r="K5246">
        <v>64</v>
      </c>
      <c r="L5246">
        <v>16</v>
      </c>
      <c r="M5246" s="2">
        <v>4</v>
      </c>
      <c r="N5246">
        <v>3.52</v>
      </c>
      <c r="O5246">
        <v>0</v>
      </c>
      <c r="P5246">
        <v>11</v>
      </c>
      <c r="Q5246" s="4" t="str">
        <f t="shared" si="720"/>
        <v>2021/2022-Ganjil</v>
      </c>
      <c r="R5246" t="s">
        <v>596</v>
      </c>
      <c r="S5246" t="str">
        <f t="shared" si="721"/>
        <v>PA</v>
      </c>
    </row>
    <row r="5247" spans="1:19" x14ac:dyDescent="0.3">
      <c r="A5247" t="s">
        <v>8</v>
      </c>
      <c r="B5247">
        <v>2016210063</v>
      </c>
      <c r="C5247" t="s">
        <v>548</v>
      </c>
      <c r="E5247" t="s">
        <v>266</v>
      </c>
      <c r="F5247" t="s">
        <v>91</v>
      </c>
      <c r="G5247">
        <v>2</v>
      </c>
      <c r="H5247" t="s">
        <v>260</v>
      </c>
      <c r="I5247" s="4">
        <f t="shared" si="722"/>
        <v>4</v>
      </c>
      <c r="J5247">
        <f t="shared" si="723"/>
        <v>8</v>
      </c>
      <c r="K5247">
        <v>108</v>
      </c>
      <c r="L5247">
        <v>30</v>
      </c>
      <c r="M5247" s="2">
        <v>3.6</v>
      </c>
      <c r="N5247">
        <v>3.52</v>
      </c>
      <c r="O5247">
        <v>0</v>
      </c>
      <c r="P5247">
        <v>1</v>
      </c>
      <c r="Q5247" s="4" t="str">
        <f t="shared" si="720"/>
        <v>2016/2017-Ganjil</v>
      </c>
      <c r="R5247" s="8" t="s">
        <v>260</v>
      </c>
      <c r="S5247" t="str">
        <f t="shared" si="721"/>
        <v>PA</v>
      </c>
    </row>
    <row r="5248" spans="1:19" x14ac:dyDescent="0.3">
      <c r="A5248" t="s">
        <v>8</v>
      </c>
      <c r="B5248">
        <v>2016210063</v>
      </c>
      <c r="C5248" t="s">
        <v>548</v>
      </c>
      <c r="E5248" t="s">
        <v>597</v>
      </c>
      <c r="F5248" t="s">
        <v>275</v>
      </c>
      <c r="G5248">
        <v>2</v>
      </c>
      <c r="H5248" t="s">
        <v>260</v>
      </c>
      <c r="I5248" s="4">
        <f t="shared" si="722"/>
        <v>4</v>
      </c>
      <c r="J5248">
        <f t="shared" si="723"/>
        <v>8</v>
      </c>
      <c r="K5248">
        <v>52</v>
      </c>
      <c r="L5248">
        <v>22</v>
      </c>
      <c r="M5248" s="2">
        <v>2.36</v>
      </c>
      <c r="N5248">
        <v>3.52</v>
      </c>
      <c r="O5248">
        <v>0</v>
      </c>
      <c r="P5248">
        <v>6</v>
      </c>
      <c r="Q5248" s="4" t="str">
        <f t="shared" si="720"/>
        <v>2018/2019-Genap</v>
      </c>
      <c r="R5248" s="8" t="s">
        <v>260</v>
      </c>
      <c r="S5248" t="str">
        <f t="shared" si="721"/>
        <v>PA</v>
      </c>
    </row>
    <row r="5249" spans="1:19" x14ac:dyDescent="0.3">
      <c r="A5249" t="s">
        <v>8</v>
      </c>
      <c r="B5249">
        <v>2016210063</v>
      </c>
      <c r="C5249" t="s">
        <v>548</v>
      </c>
      <c r="E5249" t="s">
        <v>202</v>
      </c>
      <c r="F5249" t="s">
        <v>203</v>
      </c>
      <c r="G5249">
        <v>4</v>
      </c>
      <c r="H5249" t="s">
        <v>260</v>
      </c>
      <c r="I5249" s="4">
        <f t="shared" si="722"/>
        <v>4</v>
      </c>
      <c r="J5249">
        <f t="shared" si="723"/>
        <v>16</v>
      </c>
      <c r="K5249">
        <v>108</v>
      </c>
      <c r="L5249">
        <v>30</v>
      </c>
      <c r="M5249" s="2">
        <v>3.6</v>
      </c>
      <c r="N5249">
        <v>3.52</v>
      </c>
      <c r="O5249">
        <v>0</v>
      </c>
      <c r="P5249">
        <v>1</v>
      </c>
      <c r="Q5249" s="4" t="str">
        <f t="shared" si="720"/>
        <v>2016/2017-Ganjil</v>
      </c>
      <c r="R5249" s="8" t="s">
        <v>260</v>
      </c>
      <c r="S5249" t="str">
        <f t="shared" si="721"/>
        <v>PA</v>
      </c>
    </row>
    <row r="5250" spans="1:19" x14ac:dyDescent="0.3">
      <c r="A5250" t="s">
        <v>8</v>
      </c>
      <c r="B5250">
        <v>2016210063</v>
      </c>
      <c r="C5250" t="s">
        <v>548</v>
      </c>
      <c r="E5250" t="s">
        <v>362</v>
      </c>
      <c r="F5250" t="s">
        <v>363</v>
      </c>
      <c r="G5250">
        <v>2</v>
      </c>
      <c r="H5250" t="s">
        <v>260</v>
      </c>
      <c r="I5250" s="4">
        <f t="shared" si="722"/>
        <v>4</v>
      </c>
      <c r="J5250">
        <f t="shared" si="723"/>
        <v>8</v>
      </c>
      <c r="K5250">
        <v>66</v>
      </c>
      <c r="L5250">
        <v>20</v>
      </c>
      <c r="M5250" s="2">
        <v>3.3</v>
      </c>
      <c r="N5250">
        <v>3.52</v>
      </c>
      <c r="O5250">
        <v>0</v>
      </c>
      <c r="P5250">
        <v>5</v>
      </c>
      <c r="Q5250" s="4" t="str">
        <f t="shared" si="720"/>
        <v>2018/2019-Ganjil</v>
      </c>
      <c r="R5250" s="8" t="s">
        <v>260</v>
      </c>
      <c r="S5250" t="str">
        <f t="shared" si="721"/>
        <v>PA</v>
      </c>
    </row>
    <row r="5251" spans="1:19" x14ac:dyDescent="0.3">
      <c r="A5251" t="s">
        <v>8</v>
      </c>
      <c r="B5251">
        <v>2016210063</v>
      </c>
      <c r="C5251" t="s">
        <v>548</v>
      </c>
      <c r="E5251" t="s">
        <v>463</v>
      </c>
      <c r="F5251" t="s">
        <v>186</v>
      </c>
      <c r="G5251">
        <v>4</v>
      </c>
      <c r="H5251" t="s">
        <v>260</v>
      </c>
      <c r="I5251" s="4">
        <f t="shared" si="722"/>
        <v>4</v>
      </c>
      <c r="J5251">
        <f t="shared" si="723"/>
        <v>16</v>
      </c>
      <c r="K5251">
        <v>72</v>
      </c>
      <c r="L5251">
        <v>22</v>
      </c>
      <c r="M5251" s="2">
        <v>3.27</v>
      </c>
      <c r="N5251">
        <v>3.52</v>
      </c>
      <c r="O5251">
        <v>0</v>
      </c>
      <c r="P5251">
        <v>9</v>
      </c>
      <c r="Q5251" s="4" t="str">
        <f t="shared" ref="Q5251:Q5281" si="724">IF(P5251=1,"2016/2017-Ganjil",IF(P5251=2,"2016/2017-Genap",IF(P5251=3,"2017/2018-Ganjil",IF(P5251=4,"2017/2018-Genap",IF(P5251=5,"2018/2019-Ganjil",IF(P5251=6,"2018/2019-Genap",IF(P5251=7,"2019/2020-Ganjil",IF(P5251=8,"2019/2020-Genap",IF(P5251=9,"2020/2021-Ganjil",IF(P5251=10,"2020/2021-Genap",IF(P5251=11,"2021/2022-Ganjil",IF(P5251=12,"2021/2022-Genap",IF(P5251=13,"2022/2023-Ganjil","2022/2023-Genap")))))))))))))</f>
        <v>2020/2021-Ganjil</v>
      </c>
      <c r="R5251" s="8" t="s">
        <v>260</v>
      </c>
      <c r="S5251" t="str">
        <f t="shared" si="721"/>
        <v>PA</v>
      </c>
    </row>
    <row r="5252" spans="1:19" x14ac:dyDescent="0.3">
      <c r="A5252" t="s">
        <v>8</v>
      </c>
      <c r="B5252">
        <v>2016210063</v>
      </c>
      <c r="C5252" t="s">
        <v>548</v>
      </c>
      <c r="E5252" t="s">
        <v>131</v>
      </c>
      <c r="F5252" t="s">
        <v>132</v>
      </c>
      <c r="G5252">
        <v>2</v>
      </c>
      <c r="H5252" t="s">
        <v>260</v>
      </c>
      <c r="I5252" s="4">
        <f t="shared" si="722"/>
        <v>4</v>
      </c>
      <c r="J5252">
        <f t="shared" si="723"/>
        <v>8</v>
      </c>
      <c r="K5252">
        <v>108</v>
      </c>
      <c r="L5252">
        <v>30</v>
      </c>
      <c r="M5252" s="2">
        <v>3.6</v>
      </c>
      <c r="N5252">
        <v>3.52</v>
      </c>
      <c r="O5252">
        <v>0</v>
      </c>
      <c r="P5252">
        <v>1</v>
      </c>
      <c r="Q5252" s="4" t="str">
        <f t="shared" si="724"/>
        <v>2016/2017-Ganjil</v>
      </c>
      <c r="R5252" s="8" t="s">
        <v>260</v>
      </c>
      <c r="S5252" t="str">
        <f t="shared" si="721"/>
        <v>PA</v>
      </c>
    </row>
    <row r="5253" spans="1:19" x14ac:dyDescent="0.3">
      <c r="A5253" t="s">
        <v>8</v>
      </c>
      <c r="B5253">
        <v>2016210063</v>
      </c>
      <c r="C5253" t="s">
        <v>548</v>
      </c>
      <c r="E5253" t="s">
        <v>87</v>
      </c>
      <c r="F5253" t="s">
        <v>88</v>
      </c>
      <c r="G5253">
        <v>2</v>
      </c>
      <c r="H5253" t="s">
        <v>260</v>
      </c>
      <c r="I5253" s="4">
        <f t="shared" si="722"/>
        <v>4</v>
      </c>
      <c r="J5253">
        <f t="shared" si="723"/>
        <v>8</v>
      </c>
      <c r="K5253">
        <v>52</v>
      </c>
      <c r="L5253">
        <v>22</v>
      </c>
      <c r="M5253" s="2">
        <v>2.36</v>
      </c>
      <c r="N5253">
        <v>3.52</v>
      </c>
      <c r="O5253">
        <v>0</v>
      </c>
      <c r="P5253">
        <v>6</v>
      </c>
      <c r="Q5253" s="4" t="str">
        <f t="shared" si="724"/>
        <v>2018/2019-Genap</v>
      </c>
      <c r="R5253" s="8" t="s">
        <v>260</v>
      </c>
      <c r="S5253" t="str">
        <f t="shared" si="721"/>
        <v>PA</v>
      </c>
    </row>
    <row r="5254" spans="1:19" x14ac:dyDescent="0.3">
      <c r="A5254" t="s">
        <v>8</v>
      </c>
      <c r="B5254">
        <v>2016210063</v>
      </c>
      <c r="C5254" t="s">
        <v>548</v>
      </c>
      <c r="E5254" t="s">
        <v>369</v>
      </c>
      <c r="F5254" t="s">
        <v>307</v>
      </c>
      <c r="G5254">
        <v>2</v>
      </c>
      <c r="H5254" t="s">
        <v>260</v>
      </c>
      <c r="I5254" s="4">
        <f t="shared" si="722"/>
        <v>4</v>
      </c>
      <c r="J5254">
        <f t="shared" si="723"/>
        <v>8</v>
      </c>
      <c r="K5254">
        <v>52</v>
      </c>
      <c r="L5254">
        <v>22</v>
      </c>
      <c r="M5254" s="2">
        <v>2.36</v>
      </c>
      <c r="N5254">
        <v>3.52</v>
      </c>
      <c r="O5254">
        <v>0</v>
      </c>
      <c r="P5254">
        <v>6</v>
      </c>
      <c r="Q5254" s="4" t="str">
        <f t="shared" si="724"/>
        <v>2018/2019-Genap</v>
      </c>
      <c r="R5254" s="8" t="s">
        <v>260</v>
      </c>
      <c r="S5254" t="str">
        <f t="shared" si="721"/>
        <v>PA</v>
      </c>
    </row>
    <row r="5255" spans="1:19" x14ac:dyDescent="0.3">
      <c r="A5255" t="s">
        <v>8</v>
      </c>
      <c r="B5255">
        <v>2016210063</v>
      </c>
      <c r="C5255" t="s">
        <v>548</v>
      </c>
      <c r="E5255" t="s">
        <v>219</v>
      </c>
      <c r="F5255" t="s">
        <v>220</v>
      </c>
      <c r="G5255">
        <v>2</v>
      </c>
      <c r="H5255" t="s">
        <v>260</v>
      </c>
      <c r="I5255" s="4">
        <f t="shared" si="722"/>
        <v>4</v>
      </c>
      <c r="J5255">
        <f t="shared" si="723"/>
        <v>8</v>
      </c>
      <c r="K5255">
        <v>64</v>
      </c>
      <c r="L5255">
        <v>16</v>
      </c>
      <c r="M5255" s="2">
        <v>4</v>
      </c>
      <c r="N5255">
        <v>3.52</v>
      </c>
      <c r="O5255">
        <v>0</v>
      </c>
      <c r="P5255">
        <v>11</v>
      </c>
      <c r="Q5255" s="4" t="str">
        <f t="shared" si="724"/>
        <v>2021/2022-Ganjil</v>
      </c>
      <c r="R5255" t="s">
        <v>596</v>
      </c>
      <c r="S5255" t="str">
        <f t="shared" si="721"/>
        <v>PA</v>
      </c>
    </row>
    <row r="5256" spans="1:19" x14ac:dyDescent="0.3">
      <c r="A5256" t="s">
        <v>8</v>
      </c>
      <c r="B5256">
        <v>2016210063</v>
      </c>
      <c r="C5256" t="s">
        <v>548</v>
      </c>
      <c r="E5256" t="s">
        <v>117</v>
      </c>
      <c r="F5256" t="s">
        <v>549</v>
      </c>
      <c r="G5256">
        <v>2</v>
      </c>
      <c r="H5256" t="s">
        <v>260</v>
      </c>
      <c r="I5256" s="4">
        <f t="shared" si="722"/>
        <v>4</v>
      </c>
      <c r="J5256">
        <f t="shared" si="723"/>
        <v>8</v>
      </c>
      <c r="K5256">
        <v>108</v>
      </c>
      <c r="L5256">
        <v>30</v>
      </c>
      <c r="M5256" s="2">
        <v>3.6</v>
      </c>
      <c r="N5256">
        <v>3.52</v>
      </c>
      <c r="O5256">
        <v>0</v>
      </c>
      <c r="P5256">
        <v>1</v>
      </c>
      <c r="Q5256" s="4" t="str">
        <f t="shared" si="724"/>
        <v>2016/2017-Ganjil</v>
      </c>
      <c r="R5256" s="8" t="s">
        <v>260</v>
      </c>
      <c r="S5256" t="str">
        <f t="shared" si="721"/>
        <v>PA</v>
      </c>
    </row>
    <row r="5257" spans="1:19" x14ac:dyDescent="0.3">
      <c r="A5257" t="s">
        <v>8</v>
      </c>
      <c r="B5257">
        <v>2016210063</v>
      </c>
      <c r="C5257" t="s">
        <v>548</v>
      </c>
      <c r="E5257" t="s">
        <v>216</v>
      </c>
      <c r="F5257" t="s">
        <v>217</v>
      </c>
      <c r="G5257">
        <v>2</v>
      </c>
      <c r="H5257" t="s">
        <v>260</v>
      </c>
      <c r="I5257" s="4">
        <f t="shared" si="722"/>
        <v>4</v>
      </c>
      <c r="J5257">
        <f t="shared" si="723"/>
        <v>8</v>
      </c>
      <c r="K5257">
        <v>60</v>
      </c>
      <c r="L5257">
        <v>16</v>
      </c>
      <c r="M5257">
        <v>3.75</v>
      </c>
      <c r="N5257">
        <v>3.52</v>
      </c>
      <c r="O5257">
        <v>0</v>
      </c>
      <c r="P5257">
        <v>4</v>
      </c>
      <c r="Q5257" s="4" t="str">
        <f t="shared" si="724"/>
        <v>2017/2018-Genap</v>
      </c>
      <c r="R5257" s="8" t="s">
        <v>260</v>
      </c>
      <c r="S5257" t="str">
        <f t="shared" si="721"/>
        <v>PA</v>
      </c>
    </row>
    <row r="5258" spans="1:19" x14ac:dyDescent="0.3">
      <c r="A5258" t="s">
        <v>8</v>
      </c>
      <c r="B5258">
        <v>2016210063</v>
      </c>
      <c r="C5258" t="s">
        <v>548</v>
      </c>
      <c r="E5258" t="s">
        <v>391</v>
      </c>
      <c r="F5258" t="s">
        <v>392</v>
      </c>
      <c r="G5258">
        <v>2</v>
      </c>
      <c r="H5258" t="s">
        <v>260</v>
      </c>
      <c r="I5258" s="4">
        <f t="shared" si="722"/>
        <v>4</v>
      </c>
      <c r="J5258">
        <f t="shared" si="723"/>
        <v>8</v>
      </c>
      <c r="K5258">
        <v>64</v>
      </c>
      <c r="L5258">
        <v>16</v>
      </c>
      <c r="M5258" s="2">
        <v>4</v>
      </c>
      <c r="N5258">
        <v>3.52</v>
      </c>
      <c r="O5258">
        <v>0</v>
      </c>
      <c r="P5258">
        <v>11</v>
      </c>
      <c r="Q5258" s="4" t="str">
        <f t="shared" si="724"/>
        <v>2021/2022-Ganjil</v>
      </c>
      <c r="R5258" t="s">
        <v>596</v>
      </c>
      <c r="S5258" t="str">
        <f t="shared" si="721"/>
        <v>PA</v>
      </c>
    </row>
    <row r="5259" spans="1:19" x14ac:dyDescent="0.3">
      <c r="A5259" t="s">
        <v>8</v>
      </c>
      <c r="B5259">
        <v>2016210063</v>
      </c>
      <c r="C5259" t="s">
        <v>548</v>
      </c>
      <c r="E5259" t="s">
        <v>407</v>
      </c>
      <c r="F5259" t="s">
        <v>550</v>
      </c>
      <c r="G5259">
        <v>2</v>
      </c>
      <c r="H5259" t="s">
        <v>438</v>
      </c>
      <c r="I5259" s="4">
        <f t="shared" si="722"/>
        <v>3</v>
      </c>
      <c r="J5259">
        <f t="shared" si="723"/>
        <v>6</v>
      </c>
      <c r="K5259">
        <v>108</v>
      </c>
      <c r="L5259">
        <v>30</v>
      </c>
      <c r="M5259" s="2">
        <v>3.6</v>
      </c>
      <c r="N5259">
        <v>3.52</v>
      </c>
      <c r="O5259">
        <v>0</v>
      </c>
      <c r="P5259">
        <v>1</v>
      </c>
      <c r="Q5259" s="4" t="str">
        <f t="shared" si="724"/>
        <v>2016/2017-Ganjil</v>
      </c>
      <c r="R5259" s="8" t="s">
        <v>260</v>
      </c>
      <c r="S5259" t="str">
        <f t="shared" si="721"/>
        <v>PA</v>
      </c>
    </row>
    <row r="5260" spans="1:19" x14ac:dyDescent="0.3">
      <c r="A5260" t="s">
        <v>8</v>
      </c>
      <c r="B5260">
        <v>2016210063</v>
      </c>
      <c r="C5260" t="s">
        <v>548</v>
      </c>
      <c r="E5260" t="s">
        <v>401</v>
      </c>
      <c r="F5260" t="s">
        <v>258</v>
      </c>
      <c r="G5260">
        <v>4</v>
      </c>
      <c r="H5260" t="s">
        <v>438</v>
      </c>
      <c r="I5260" s="4">
        <f t="shared" si="722"/>
        <v>3</v>
      </c>
      <c r="J5260">
        <f t="shared" si="723"/>
        <v>12</v>
      </c>
      <c r="K5260">
        <v>72</v>
      </c>
      <c r="L5260">
        <v>22</v>
      </c>
      <c r="M5260">
        <v>3.27</v>
      </c>
      <c r="N5260">
        <v>3.52</v>
      </c>
      <c r="O5260">
        <v>0</v>
      </c>
      <c r="P5260">
        <v>9</v>
      </c>
      <c r="Q5260" s="4" t="str">
        <f t="shared" si="724"/>
        <v>2020/2021-Ganjil</v>
      </c>
      <c r="R5260" s="8" t="s">
        <v>260</v>
      </c>
      <c r="S5260" t="str">
        <f t="shared" si="721"/>
        <v>PA</v>
      </c>
    </row>
    <row r="5261" spans="1:19" x14ac:dyDescent="0.3">
      <c r="A5261" t="s">
        <v>8</v>
      </c>
      <c r="B5261">
        <v>2016210063</v>
      </c>
      <c r="C5261" t="s">
        <v>548</v>
      </c>
      <c r="E5261" t="s">
        <v>105</v>
      </c>
      <c r="F5261" t="s">
        <v>106</v>
      </c>
      <c r="G5261">
        <v>2</v>
      </c>
      <c r="H5261" t="s">
        <v>438</v>
      </c>
      <c r="I5261" s="4">
        <f t="shared" si="722"/>
        <v>3</v>
      </c>
      <c r="J5261">
        <f t="shared" si="723"/>
        <v>6</v>
      </c>
      <c r="K5261">
        <v>66</v>
      </c>
      <c r="L5261">
        <v>20</v>
      </c>
      <c r="M5261" s="2">
        <v>3.3</v>
      </c>
      <c r="N5261">
        <v>3.52</v>
      </c>
      <c r="O5261">
        <v>0</v>
      </c>
      <c r="P5261">
        <v>5</v>
      </c>
      <c r="Q5261" s="4" t="str">
        <f t="shared" si="724"/>
        <v>2018/2019-Ganjil</v>
      </c>
      <c r="R5261" s="8" t="s">
        <v>260</v>
      </c>
      <c r="S5261" t="str">
        <f t="shared" si="721"/>
        <v>PA</v>
      </c>
    </row>
    <row r="5262" spans="1:19" x14ac:dyDescent="0.3">
      <c r="A5262" t="s">
        <v>8</v>
      </c>
      <c r="B5262">
        <v>2016210063</v>
      </c>
      <c r="C5262" t="s">
        <v>548</v>
      </c>
      <c r="E5262" t="s">
        <v>238</v>
      </c>
      <c r="F5262" t="s">
        <v>239</v>
      </c>
      <c r="G5262">
        <v>4</v>
      </c>
      <c r="H5262" t="s">
        <v>438</v>
      </c>
      <c r="I5262" s="4">
        <f t="shared" si="722"/>
        <v>3</v>
      </c>
      <c r="J5262">
        <f t="shared" si="723"/>
        <v>12</v>
      </c>
      <c r="K5262">
        <v>52</v>
      </c>
      <c r="L5262">
        <v>22</v>
      </c>
      <c r="M5262">
        <v>2.36</v>
      </c>
      <c r="N5262">
        <v>3.52</v>
      </c>
      <c r="O5262">
        <v>0</v>
      </c>
      <c r="P5262">
        <v>6</v>
      </c>
      <c r="Q5262" s="4" t="str">
        <f t="shared" si="724"/>
        <v>2018/2019-Genap</v>
      </c>
      <c r="R5262" s="8" t="s">
        <v>260</v>
      </c>
      <c r="S5262" t="str">
        <f t="shared" si="721"/>
        <v>PA</v>
      </c>
    </row>
    <row r="5263" spans="1:19" x14ac:dyDescent="0.3">
      <c r="A5263" t="s">
        <v>8</v>
      </c>
      <c r="B5263">
        <v>2016210063</v>
      </c>
      <c r="C5263" t="s">
        <v>548</v>
      </c>
      <c r="E5263" t="s">
        <v>449</v>
      </c>
      <c r="F5263" t="s">
        <v>460</v>
      </c>
      <c r="G5263">
        <v>4</v>
      </c>
      <c r="H5263" t="s">
        <v>438</v>
      </c>
      <c r="I5263" s="4">
        <f t="shared" si="722"/>
        <v>3</v>
      </c>
      <c r="J5263">
        <f t="shared" si="723"/>
        <v>12</v>
      </c>
      <c r="K5263">
        <v>50</v>
      </c>
      <c r="L5263">
        <v>14</v>
      </c>
      <c r="M5263" s="2">
        <v>3.57</v>
      </c>
      <c r="N5263">
        <v>3.52</v>
      </c>
      <c r="O5263">
        <v>0</v>
      </c>
      <c r="P5263">
        <v>10</v>
      </c>
      <c r="Q5263" s="4" t="str">
        <f t="shared" si="724"/>
        <v>2020/2021-Genap</v>
      </c>
      <c r="R5263" s="8" t="s">
        <v>260</v>
      </c>
      <c r="S5263" t="str">
        <f t="shared" si="721"/>
        <v>PA</v>
      </c>
    </row>
    <row r="5264" spans="1:19" x14ac:dyDescent="0.3">
      <c r="A5264" t="s">
        <v>8</v>
      </c>
      <c r="B5264">
        <v>2016210063</v>
      </c>
      <c r="C5264" t="s">
        <v>548</v>
      </c>
      <c r="E5264" t="s">
        <v>250</v>
      </c>
      <c r="F5264" t="s">
        <v>429</v>
      </c>
      <c r="G5264">
        <v>2</v>
      </c>
      <c r="H5264" t="s">
        <v>438</v>
      </c>
      <c r="I5264" s="4">
        <f t="shared" si="722"/>
        <v>3</v>
      </c>
      <c r="J5264">
        <f t="shared" si="723"/>
        <v>6</v>
      </c>
      <c r="K5264">
        <v>34</v>
      </c>
      <c r="L5264">
        <v>10</v>
      </c>
      <c r="M5264" s="2">
        <v>3.4</v>
      </c>
      <c r="N5264">
        <v>3.52</v>
      </c>
      <c r="O5264">
        <v>0</v>
      </c>
      <c r="P5264">
        <v>8</v>
      </c>
      <c r="Q5264" s="4" t="str">
        <f t="shared" si="724"/>
        <v>2019/2020-Genap</v>
      </c>
      <c r="R5264" s="8" t="s">
        <v>260</v>
      </c>
      <c r="S5264" t="str">
        <f t="shared" si="721"/>
        <v>PA</v>
      </c>
    </row>
    <row r="5265" spans="1:19" x14ac:dyDescent="0.3">
      <c r="A5265" t="s">
        <v>8</v>
      </c>
      <c r="B5265">
        <v>2016210063</v>
      </c>
      <c r="C5265" t="s">
        <v>548</v>
      </c>
      <c r="E5265" t="s">
        <v>188</v>
      </c>
      <c r="F5265" t="s">
        <v>189</v>
      </c>
      <c r="G5265">
        <v>4</v>
      </c>
      <c r="H5265" t="s">
        <v>438</v>
      </c>
      <c r="I5265" s="4">
        <f t="shared" si="722"/>
        <v>3</v>
      </c>
      <c r="J5265">
        <f t="shared" si="723"/>
        <v>12</v>
      </c>
      <c r="K5265">
        <v>66</v>
      </c>
      <c r="L5265">
        <v>20</v>
      </c>
      <c r="M5265" s="2">
        <v>3.3</v>
      </c>
      <c r="N5265">
        <v>3.52</v>
      </c>
      <c r="O5265">
        <v>0</v>
      </c>
      <c r="P5265">
        <v>5</v>
      </c>
      <c r="Q5265" s="4" t="str">
        <f t="shared" si="724"/>
        <v>2018/2019-Ganjil</v>
      </c>
      <c r="R5265" s="8" t="s">
        <v>260</v>
      </c>
      <c r="S5265" t="str">
        <f t="shared" si="721"/>
        <v>PA</v>
      </c>
    </row>
    <row r="5266" spans="1:19" x14ac:dyDescent="0.3">
      <c r="A5266" t="s">
        <v>8</v>
      </c>
      <c r="B5266">
        <v>2016210063</v>
      </c>
      <c r="C5266" t="s">
        <v>548</v>
      </c>
      <c r="E5266" t="s">
        <v>355</v>
      </c>
      <c r="F5266" t="s">
        <v>274</v>
      </c>
      <c r="G5266">
        <v>2</v>
      </c>
      <c r="H5266" t="s">
        <v>438</v>
      </c>
      <c r="I5266" s="4">
        <f t="shared" si="722"/>
        <v>3</v>
      </c>
      <c r="J5266">
        <f t="shared" si="723"/>
        <v>6</v>
      </c>
      <c r="K5266">
        <v>34</v>
      </c>
      <c r="L5266">
        <v>10</v>
      </c>
      <c r="M5266" s="2">
        <v>3.4</v>
      </c>
      <c r="N5266">
        <v>3.52</v>
      </c>
      <c r="O5266">
        <v>0</v>
      </c>
      <c r="P5266">
        <v>8</v>
      </c>
      <c r="Q5266" s="4" t="str">
        <f t="shared" si="724"/>
        <v>2019/2020-Genap</v>
      </c>
      <c r="R5266" s="8" t="s">
        <v>260</v>
      </c>
      <c r="S5266" t="str">
        <f t="shared" si="721"/>
        <v>PA</v>
      </c>
    </row>
    <row r="5267" spans="1:19" x14ac:dyDescent="0.3">
      <c r="A5267" t="s">
        <v>8</v>
      </c>
      <c r="B5267">
        <v>2016210063</v>
      </c>
      <c r="C5267" t="s">
        <v>548</v>
      </c>
      <c r="E5267" t="s">
        <v>193</v>
      </c>
      <c r="F5267" t="s">
        <v>194</v>
      </c>
      <c r="G5267">
        <v>4</v>
      </c>
      <c r="H5267" t="s">
        <v>438</v>
      </c>
      <c r="I5267" s="4">
        <f t="shared" si="722"/>
        <v>3</v>
      </c>
      <c r="J5267">
        <f t="shared" si="723"/>
        <v>12</v>
      </c>
      <c r="K5267">
        <v>66</v>
      </c>
      <c r="L5267">
        <v>20</v>
      </c>
      <c r="M5267" s="2">
        <v>3.3</v>
      </c>
      <c r="N5267">
        <v>3.52</v>
      </c>
      <c r="O5267">
        <v>0</v>
      </c>
      <c r="P5267">
        <v>5</v>
      </c>
      <c r="Q5267" s="4" t="str">
        <f t="shared" si="724"/>
        <v>2018/2019-Ganjil</v>
      </c>
      <c r="R5267" s="8" t="s">
        <v>260</v>
      </c>
      <c r="S5267" t="str">
        <f t="shared" si="721"/>
        <v>PA</v>
      </c>
    </row>
    <row r="5268" spans="1:19" x14ac:dyDescent="0.3">
      <c r="A5268" t="s">
        <v>8</v>
      </c>
      <c r="B5268">
        <v>2016210063</v>
      </c>
      <c r="C5268" t="s">
        <v>548</v>
      </c>
      <c r="E5268" t="s">
        <v>80</v>
      </c>
      <c r="F5268" t="s">
        <v>81</v>
      </c>
      <c r="G5268">
        <v>4</v>
      </c>
      <c r="H5268" t="s">
        <v>438</v>
      </c>
      <c r="I5268" s="4">
        <f t="shared" si="722"/>
        <v>3</v>
      </c>
      <c r="J5268">
        <f t="shared" si="723"/>
        <v>12</v>
      </c>
      <c r="K5268">
        <v>52</v>
      </c>
      <c r="L5268">
        <v>22</v>
      </c>
      <c r="M5268">
        <v>2.36</v>
      </c>
      <c r="N5268">
        <v>3.52</v>
      </c>
      <c r="O5268">
        <v>0</v>
      </c>
      <c r="P5268">
        <v>6</v>
      </c>
      <c r="Q5268" s="4" t="str">
        <f t="shared" si="724"/>
        <v>2018/2019-Genap</v>
      </c>
      <c r="R5268" s="8" t="s">
        <v>260</v>
      </c>
      <c r="S5268" t="str">
        <f t="shared" si="721"/>
        <v>PA</v>
      </c>
    </row>
    <row r="5269" spans="1:19" x14ac:dyDescent="0.3">
      <c r="A5269" t="s">
        <v>8</v>
      </c>
      <c r="B5269">
        <v>2016210063</v>
      </c>
      <c r="C5269" t="s">
        <v>548</v>
      </c>
      <c r="E5269" t="s">
        <v>107</v>
      </c>
      <c r="F5269" t="s">
        <v>108</v>
      </c>
      <c r="G5269">
        <v>2</v>
      </c>
      <c r="H5269" t="s">
        <v>438</v>
      </c>
      <c r="I5269" s="4">
        <f t="shared" si="722"/>
        <v>3</v>
      </c>
      <c r="J5269">
        <f t="shared" si="723"/>
        <v>6</v>
      </c>
      <c r="K5269">
        <v>50</v>
      </c>
      <c r="L5269">
        <v>14</v>
      </c>
      <c r="M5269" s="2">
        <v>3.57</v>
      </c>
      <c r="N5269">
        <v>3.52</v>
      </c>
      <c r="O5269">
        <v>0</v>
      </c>
      <c r="P5269">
        <v>10</v>
      </c>
      <c r="Q5269" s="4" t="str">
        <f t="shared" si="724"/>
        <v>2020/2021-Genap</v>
      </c>
      <c r="R5269" s="8" t="s">
        <v>260</v>
      </c>
      <c r="S5269" t="str">
        <f t="shared" si="721"/>
        <v>PA</v>
      </c>
    </row>
    <row r="5270" spans="1:19" x14ac:dyDescent="0.3">
      <c r="A5270" t="s">
        <v>8</v>
      </c>
      <c r="B5270">
        <v>2016210063</v>
      </c>
      <c r="C5270" t="s">
        <v>548</v>
      </c>
      <c r="E5270" t="s">
        <v>110</v>
      </c>
      <c r="F5270" t="s">
        <v>111</v>
      </c>
      <c r="G5270">
        <v>4</v>
      </c>
      <c r="H5270" t="s">
        <v>438</v>
      </c>
      <c r="I5270" s="4">
        <f t="shared" si="722"/>
        <v>3</v>
      </c>
      <c r="J5270">
        <f t="shared" si="723"/>
        <v>12</v>
      </c>
      <c r="K5270">
        <v>108</v>
      </c>
      <c r="L5270">
        <v>30</v>
      </c>
      <c r="M5270" s="2">
        <v>3.6</v>
      </c>
      <c r="N5270">
        <v>3.52</v>
      </c>
      <c r="O5270">
        <v>0</v>
      </c>
      <c r="P5270">
        <v>1</v>
      </c>
      <c r="Q5270" s="4" t="str">
        <f t="shared" si="724"/>
        <v>2016/2017-Ganjil</v>
      </c>
      <c r="R5270" s="8" t="s">
        <v>260</v>
      </c>
      <c r="S5270" t="str">
        <f t="shared" si="721"/>
        <v>PA</v>
      </c>
    </row>
    <row r="5271" spans="1:19" x14ac:dyDescent="0.3">
      <c r="A5271" t="s">
        <v>8</v>
      </c>
      <c r="B5271">
        <v>2016210063</v>
      </c>
      <c r="C5271" t="s">
        <v>548</v>
      </c>
      <c r="E5271" t="s">
        <v>125</v>
      </c>
      <c r="F5271" t="s">
        <v>488</v>
      </c>
      <c r="G5271">
        <v>4</v>
      </c>
      <c r="H5271" t="s">
        <v>438</v>
      </c>
      <c r="I5271" s="4">
        <f t="shared" si="722"/>
        <v>3</v>
      </c>
      <c r="J5271">
        <f t="shared" si="723"/>
        <v>12</v>
      </c>
      <c r="K5271">
        <v>60</v>
      </c>
      <c r="L5271">
        <v>16</v>
      </c>
      <c r="M5271">
        <v>3.75</v>
      </c>
      <c r="N5271">
        <v>3.52</v>
      </c>
      <c r="O5271">
        <v>0</v>
      </c>
      <c r="P5271">
        <v>4</v>
      </c>
      <c r="Q5271" s="4" t="str">
        <f t="shared" si="724"/>
        <v>2017/2018-Genap</v>
      </c>
      <c r="R5271" s="8" t="s">
        <v>260</v>
      </c>
      <c r="S5271" t="str">
        <f t="shared" si="721"/>
        <v>PA</v>
      </c>
    </row>
    <row r="5272" spans="1:19" x14ac:dyDescent="0.3">
      <c r="A5272" t="s">
        <v>8</v>
      </c>
      <c r="B5272">
        <v>2016210063</v>
      </c>
      <c r="C5272" t="s">
        <v>548</v>
      </c>
      <c r="E5272" t="s">
        <v>163</v>
      </c>
      <c r="F5272" t="s">
        <v>164</v>
      </c>
      <c r="G5272">
        <v>2</v>
      </c>
      <c r="H5272" t="s">
        <v>438</v>
      </c>
      <c r="I5272" s="4">
        <f t="shared" si="722"/>
        <v>3</v>
      </c>
      <c r="J5272">
        <f t="shared" si="723"/>
        <v>6</v>
      </c>
      <c r="K5272">
        <v>108</v>
      </c>
      <c r="L5272">
        <v>30</v>
      </c>
      <c r="M5272" s="2">
        <v>3.6</v>
      </c>
      <c r="N5272">
        <v>3.52</v>
      </c>
      <c r="O5272">
        <v>0</v>
      </c>
      <c r="P5272">
        <v>1</v>
      </c>
      <c r="Q5272" s="4" t="str">
        <f t="shared" si="724"/>
        <v>2016/2017-Ganjil</v>
      </c>
      <c r="R5272" s="8" t="s">
        <v>260</v>
      </c>
      <c r="S5272" t="str">
        <f t="shared" si="721"/>
        <v>PA</v>
      </c>
    </row>
    <row r="5273" spans="1:19" x14ac:dyDescent="0.3">
      <c r="A5273" t="s">
        <v>8</v>
      </c>
      <c r="B5273">
        <v>2016210063</v>
      </c>
      <c r="C5273" t="s">
        <v>548</v>
      </c>
      <c r="E5273" t="s">
        <v>157</v>
      </c>
      <c r="F5273" t="s">
        <v>158</v>
      </c>
      <c r="G5273">
        <v>2</v>
      </c>
      <c r="H5273" t="s">
        <v>524</v>
      </c>
      <c r="I5273" s="4">
        <f t="shared" si="722"/>
        <v>2</v>
      </c>
      <c r="J5273">
        <f t="shared" si="723"/>
        <v>4</v>
      </c>
      <c r="K5273">
        <v>108</v>
      </c>
      <c r="L5273">
        <v>30</v>
      </c>
      <c r="M5273" s="2">
        <v>3.6</v>
      </c>
      <c r="N5273">
        <v>3.52</v>
      </c>
      <c r="O5273">
        <v>0</v>
      </c>
      <c r="P5273">
        <v>1</v>
      </c>
      <c r="Q5273" s="4" t="str">
        <f t="shared" si="724"/>
        <v>2016/2017-Ganjil</v>
      </c>
      <c r="R5273" s="8" t="s">
        <v>260</v>
      </c>
      <c r="S5273" t="str">
        <f t="shared" si="721"/>
        <v>PA</v>
      </c>
    </row>
    <row r="5274" spans="1:19" x14ac:dyDescent="0.3">
      <c r="A5274" t="s">
        <v>8</v>
      </c>
      <c r="B5274">
        <v>2016210063</v>
      </c>
      <c r="C5274" t="s">
        <v>548</v>
      </c>
      <c r="E5274" t="s">
        <v>147</v>
      </c>
      <c r="F5274" t="s">
        <v>148</v>
      </c>
      <c r="G5274">
        <v>4</v>
      </c>
      <c r="H5274" t="s">
        <v>524</v>
      </c>
      <c r="I5274" s="4">
        <f t="shared" si="722"/>
        <v>2</v>
      </c>
      <c r="J5274">
        <f t="shared" si="723"/>
        <v>8</v>
      </c>
      <c r="K5274">
        <v>72</v>
      </c>
      <c r="L5274">
        <v>22</v>
      </c>
      <c r="M5274" s="2">
        <v>3.27</v>
      </c>
      <c r="N5274">
        <v>3.52</v>
      </c>
      <c r="O5274">
        <v>0</v>
      </c>
      <c r="P5274">
        <v>9</v>
      </c>
      <c r="Q5274" s="4" t="str">
        <f t="shared" si="724"/>
        <v>2020/2021-Ganjil</v>
      </c>
      <c r="R5274" s="8" t="s">
        <v>260</v>
      </c>
      <c r="S5274" t="str">
        <f t="shared" si="721"/>
        <v>PA</v>
      </c>
    </row>
    <row r="5275" spans="1:19" x14ac:dyDescent="0.3">
      <c r="A5275" t="s">
        <v>8</v>
      </c>
      <c r="B5275">
        <v>2016210063</v>
      </c>
      <c r="C5275" t="s">
        <v>548</v>
      </c>
      <c r="E5275" t="s">
        <v>222</v>
      </c>
      <c r="F5275" t="s">
        <v>223</v>
      </c>
      <c r="G5275">
        <v>2</v>
      </c>
      <c r="H5275" t="s">
        <v>524</v>
      </c>
      <c r="I5275" s="4">
        <f t="shared" si="722"/>
        <v>2</v>
      </c>
      <c r="J5275">
        <f t="shared" si="723"/>
        <v>4</v>
      </c>
      <c r="K5275">
        <v>52</v>
      </c>
      <c r="L5275">
        <v>22</v>
      </c>
      <c r="M5275" s="2">
        <v>2.36</v>
      </c>
      <c r="N5275">
        <v>3.52</v>
      </c>
      <c r="O5275">
        <v>0</v>
      </c>
      <c r="P5275">
        <v>6</v>
      </c>
      <c r="Q5275" s="4" t="str">
        <f t="shared" si="724"/>
        <v>2018/2019-Genap</v>
      </c>
      <c r="R5275" s="8" t="s">
        <v>260</v>
      </c>
      <c r="S5275" t="str">
        <f t="shared" si="721"/>
        <v>PA</v>
      </c>
    </row>
    <row r="5276" spans="1:19" x14ac:dyDescent="0.3">
      <c r="A5276" t="s">
        <v>8</v>
      </c>
      <c r="B5276">
        <v>2016210063</v>
      </c>
      <c r="C5276" t="s">
        <v>548</v>
      </c>
      <c r="E5276" t="s">
        <v>395</v>
      </c>
      <c r="F5276" t="s">
        <v>396</v>
      </c>
      <c r="G5276">
        <v>2</v>
      </c>
      <c r="H5276" t="s">
        <v>260</v>
      </c>
      <c r="I5276" s="4">
        <f t="shared" si="722"/>
        <v>4</v>
      </c>
      <c r="J5276">
        <f t="shared" si="723"/>
        <v>8</v>
      </c>
      <c r="K5276">
        <v>64</v>
      </c>
      <c r="L5276">
        <v>16</v>
      </c>
      <c r="M5276" s="2">
        <v>4</v>
      </c>
      <c r="N5276">
        <v>3.52</v>
      </c>
      <c r="O5276">
        <v>1</v>
      </c>
      <c r="P5276">
        <v>11</v>
      </c>
      <c r="Q5276" s="4" t="str">
        <f t="shared" si="724"/>
        <v>2021/2022-Ganjil</v>
      </c>
      <c r="R5276" t="s">
        <v>596</v>
      </c>
      <c r="S5276" t="str">
        <f t="shared" si="721"/>
        <v>PA</v>
      </c>
    </row>
    <row r="5277" spans="1:19" x14ac:dyDescent="0.3">
      <c r="A5277" t="s">
        <v>8</v>
      </c>
      <c r="B5277">
        <v>2016210063</v>
      </c>
      <c r="C5277" t="s">
        <v>548</v>
      </c>
      <c r="E5277" t="s">
        <v>395</v>
      </c>
      <c r="F5277" t="s">
        <v>396</v>
      </c>
      <c r="G5277">
        <v>2</v>
      </c>
      <c r="H5277" t="s">
        <v>535</v>
      </c>
      <c r="I5277" s="4">
        <f t="shared" si="722"/>
        <v>1</v>
      </c>
      <c r="J5277">
        <f t="shared" si="723"/>
        <v>2</v>
      </c>
      <c r="K5277">
        <v>10</v>
      </c>
      <c r="L5277">
        <v>4</v>
      </c>
      <c r="M5277" s="2">
        <v>2.5</v>
      </c>
      <c r="N5277">
        <v>3.52</v>
      </c>
      <c r="O5277">
        <v>0</v>
      </c>
      <c r="P5277">
        <v>3</v>
      </c>
      <c r="Q5277" s="4" t="str">
        <f t="shared" si="724"/>
        <v>2017/2018-Ganjil</v>
      </c>
      <c r="R5277" s="8" t="s">
        <v>260</v>
      </c>
      <c r="S5277" t="str">
        <f t="shared" si="721"/>
        <v>FA</v>
      </c>
    </row>
    <row r="5278" spans="1:19" x14ac:dyDescent="0.3">
      <c r="A5278" t="s">
        <v>8</v>
      </c>
      <c r="B5278">
        <v>2016210063</v>
      </c>
      <c r="C5278" t="s">
        <v>548</v>
      </c>
      <c r="E5278" t="s">
        <v>246</v>
      </c>
      <c r="F5278" t="s">
        <v>247</v>
      </c>
      <c r="G5278">
        <v>4</v>
      </c>
      <c r="H5278" t="s">
        <v>260</v>
      </c>
      <c r="I5278" s="4">
        <f t="shared" si="722"/>
        <v>4</v>
      </c>
      <c r="J5278">
        <f t="shared" si="723"/>
        <v>16</v>
      </c>
      <c r="K5278">
        <v>50</v>
      </c>
      <c r="L5278">
        <v>14</v>
      </c>
      <c r="M5278" s="2">
        <v>3.57</v>
      </c>
      <c r="N5278">
        <v>3.52</v>
      </c>
      <c r="O5278">
        <v>1</v>
      </c>
      <c r="P5278">
        <v>10</v>
      </c>
      <c r="Q5278" s="4" t="str">
        <f t="shared" si="724"/>
        <v>2020/2021-Genap</v>
      </c>
      <c r="R5278" s="8" t="s">
        <v>260</v>
      </c>
      <c r="S5278" t="str">
        <f t="shared" si="721"/>
        <v>PA</v>
      </c>
    </row>
    <row r="5279" spans="1:19" x14ac:dyDescent="0.3">
      <c r="A5279" t="s">
        <v>8</v>
      </c>
      <c r="B5279">
        <v>2016210063</v>
      </c>
      <c r="C5279" t="s">
        <v>548</v>
      </c>
      <c r="E5279" t="s">
        <v>246</v>
      </c>
      <c r="F5279" t="s">
        <v>247</v>
      </c>
      <c r="G5279">
        <v>4</v>
      </c>
      <c r="H5279" t="s">
        <v>539</v>
      </c>
      <c r="I5279" s="4">
        <f t="shared" si="722"/>
        <v>0</v>
      </c>
      <c r="J5279">
        <f t="shared" si="723"/>
        <v>0</v>
      </c>
      <c r="K5279">
        <v>52</v>
      </c>
      <c r="L5279">
        <v>22</v>
      </c>
      <c r="M5279" s="2">
        <v>2.36</v>
      </c>
      <c r="N5279">
        <v>3.52</v>
      </c>
      <c r="O5279">
        <v>0</v>
      </c>
      <c r="P5279">
        <v>6</v>
      </c>
      <c r="Q5279" s="4" t="str">
        <f t="shared" si="724"/>
        <v>2018/2019-Genap</v>
      </c>
      <c r="R5279" s="8" t="s">
        <v>260</v>
      </c>
      <c r="S5279" t="str">
        <f t="shared" si="721"/>
        <v>FA</v>
      </c>
    </row>
    <row r="5280" spans="1:19" x14ac:dyDescent="0.3">
      <c r="A5280" t="s">
        <v>8</v>
      </c>
      <c r="B5280">
        <v>2016210063</v>
      </c>
      <c r="C5280" t="s">
        <v>548</v>
      </c>
      <c r="E5280" t="s">
        <v>242</v>
      </c>
      <c r="F5280" t="s">
        <v>166</v>
      </c>
      <c r="G5280">
        <v>2</v>
      </c>
      <c r="H5280" t="s">
        <v>539</v>
      </c>
      <c r="I5280" s="4">
        <f t="shared" si="722"/>
        <v>0</v>
      </c>
      <c r="J5280">
        <f t="shared" si="723"/>
        <v>0</v>
      </c>
      <c r="K5280">
        <v>52</v>
      </c>
      <c r="L5280">
        <v>22</v>
      </c>
      <c r="M5280" s="2">
        <v>2.36</v>
      </c>
      <c r="N5280">
        <v>3.52</v>
      </c>
      <c r="O5280">
        <v>0</v>
      </c>
      <c r="P5280">
        <v>6</v>
      </c>
      <c r="Q5280" s="4" t="str">
        <f t="shared" si="724"/>
        <v>2018/2019-Genap</v>
      </c>
      <c r="R5280" s="8" t="s">
        <v>260</v>
      </c>
      <c r="S5280" t="str">
        <f t="shared" si="721"/>
        <v>FA</v>
      </c>
    </row>
    <row r="5281" spans="1:19" x14ac:dyDescent="0.3">
      <c r="A5281" t="s">
        <v>8</v>
      </c>
      <c r="B5281">
        <v>2016210063</v>
      </c>
      <c r="C5281" t="s">
        <v>548</v>
      </c>
      <c r="E5281" t="s">
        <v>242</v>
      </c>
      <c r="F5281" t="s">
        <v>166</v>
      </c>
      <c r="G5281">
        <v>2</v>
      </c>
      <c r="H5281" t="s">
        <v>260</v>
      </c>
      <c r="I5281" s="4">
        <f t="shared" si="722"/>
        <v>4</v>
      </c>
      <c r="J5281">
        <f t="shared" ref="J5281:J5344" si="725">G5281*I5281</f>
        <v>8</v>
      </c>
      <c r="K5281">
        <v>50</v>
      </c>
      <c r="L5281">
        <v>14</v>
      </c>
      <c r="M5281" s="2">
        <v>3.57</v>
      </c>
      <c r="N5281">
        <v>3.52</v>
      </c>
      <c r="O5281">
        <v>0</v>
      </c>
      <c r="P5281">
        <v>10</v>
      </c>
      <c r="Q5281" s="4" t="str">
        <f t="shared" si="724"/>
        <v>2020/2021-Genap</v>
      </c>
      <c r="R5281" s="8" t="s">
        <v>260</v>
      </c>
      <c r="S5281" t="str">
        <f t="shared" si="721"/>
        <v>PA</v>
      </c>
    </row>
    <row r="5282" spans="1:19" x14ac:dyDescent="0.3">
      <c r="A5282" t="s">
        <v>8</v>
      </c>
      <c r="B5282" t="s">
        <v>321</v>
      </c>
      <c r="C5282" t="s">
        <v>322</v>
      </c>
      <c r="E5282" t="s">
        <v>279</v>
      </c>
      <c r="F5282" s="1" t="s">
        <v>280</v>
      </c>
      <c r="G5282">
        <v>2</v>
      </c>
      <c r="H5282" t="s">
        <v>260</v>
      </c>
      <c r="I5282" s="4">
        <f t="shared" si="722"/>
        <v>4</v>
      </c>
      <c r="J5282">
        <f t="shared" si="725"/>
        <v>8</v>
      </c>
      <c r="K5282">
        <v>224</v>
      </c>
      <c r="L5282">
        <v>66</v>
      </c>
      <c r="M5282">
        <v>3.47</v>
      </c>
      <c r="N5282">
        <v>3.42</v>
      </c>
      <c r="O5282">
        <v>0</v>
      </c>
      <c r="P5282">
        <v>1</v>
      </c>
      <c r="Q5282" s="4" t="str">
        <f>IF(P5282=1,"2016/2017-Ganjil",IF(P5282=2,"2016/2017-Genap",IF(P5282=3,"2017/2018-Ganjil",IF(P5282=4,"2017/2018-Genap",IF(P5282=5,"2018/2019-Ganjil",IF(P5282=6,"2018/2019-Genap",IF(P5282=7,"2019/2020-Ganjil",IF(P5282=8,"2019/2020-Genap",IF(P5282=9,"2020/2021-Ganjil",IF(P5282=10,"2020/2021-Genap",IF(P5282=11,"2021/2022-Ganjil",IF(P5282=12,"2021/2022-Genap",IF(P5282=13,"2022/2023-Ganjil","2022/2023-Genap")))))))))))))</f>
        <v>2016/2017-Ganjil</v>
      </c>
      <c r="R5282" s="8" t="s">
        <v>260</v>
      </c>
      <c r="S5282" t="str">
        <f t="shared" si="721"/>
        <v>PA</v>
      </c>
    </row>
    <row r="5283" spans="1:19" x14ac:dyDescent="0.3">
      <c r="A5283" t="s">
        <v>8</v>
      </c>
      <c r="B5283" t="s">
        <v>321</v>
      </c>
      <c r="C5283" t="s">
        <v>322</v>
      </c>
      <c r="E5283" t="s">
        <v>136</v>
      </c>
      <c r="F5283" s="1" t="s">
        <v>137</v>
      </c>
      <c r="G5283">
        <v>4</v>
      </c>
      <c r="H5283" t="s">
        <v>260</v>
      </c>
      <c r="I5283" s="4">
        <f t="shared" si="722"/>
        <v>4</v>
      </c>
      <c r="J5283">
        <f t="shared" si="725"/>
        <v>16</v>
      </c>
      <c r="K5283">
        <v>224</v>
      </c>
      <c r="L5283">
        <v>66</v>
      </c>
      <c r="M5283">
        <v>3.47</v>
      </c>
      <c r="N5283">
        <v>3.42</v>
      </c>
      <c r="O5283">
        <v>0</v>
      </c>
      <c r="P5283">
        <v>1</v>
      </c>
      <c r="Q5283" s="4" t="str">
        <f>IF(P5283=1,"2016/2017-Ganjil",IF(P5283=2,"2016/2017-Genap",IF(P5283=3,"2017/2018-Ganjil",IF(P5283=4,"2017/2018-Genap",IF(P5283=5,"2018/2019-Ganjil",IF(P5283=6,"2018/2019-Genap",IF(P5283=7,"2019/2020-Ganjil",IF(P5283=8,"2019/2020-Genap",IF(P5283=9,"2020/2021-Ganjil",IF(P5283=10,"2020/2021-Genap",IF(P5283=11,"2021/2022-Ganjil",IF(P5283=12,"2021/2022-Genap",IF(P5283=13,"2022/2023-Ganjil","2022/2023-Genap")))))))))))))</f>
        <v>2016/2017-Ganjil</v>
      </c>
      <c r="R5283" s="8" t="s">
        <v>260</v>
      </c>
      <c r="S5283" t="str">
        <f t="shared" si="721"/>
        <v>PA</v>
      </c>
    </row>
    <row r="5284" spans="1:19" x14ac:dyDescent="0.3">
      <c r="A5284" t="s">
        <v>8</v>
      </c>
      <c r="B5284" t="s">
        <v>321</v>
      </c>
      <c r="C5284" t="s">
        <v>322</v>
      </c>
      <c r="E5284" t="s">
        <v>311</v>
      </c>
      <c r="F5284" t="s">
        <v>312</v>
      </c>
      <c r="G5284">
        <v>2</v>
      </c>
      <c r="H5284" t="s">
        <v>260</v>
      </c>
      <c r="I5284" s="4">
        <f t="shared" si="722"/>
        <v>4</v>
      </c>
      <c r="J5284">
        <f t="shared" si="725"/>
        <v>8</v>
      </c>
      <c r="K5284">
        <v>60</v>
      </c>
      <c r="L5284">
        <v>16</v>
      </c>
      <c r="M5284">
        <v>3.75</v>
      </c>
      <c r="N5284">
        <v>3.42</v>
      </c>
      <c r="O5284">
        <v>0</v>
      </c>
      <c r="P5284">
        <v>3</v>
      </c>
      <c r="Q5284" t="s">
        <v>563</v>
      </c>
      <c r="R5284" s="8" t="s">
        <v>260</v>
      </c>
      <c r="S5284" t="str">
        <f t="shared" si="721"/>
        <v>PA</v>
      </c>
    </row>
    <row r="5285" spans="1:19" x14ac:dyDescent="0.3">
      <c r="A5285" t="s">
        <v>8</v>
      </c>
      <c r="B5285" t="s">
        <v>321</v>
      </c>
      <c r="C5285" t="s">
        <v>322</v>
      </c>
      <c r="E5285" t="s">
        <v>147</v>
      </c>
      <c r="F5285" t="s">
        <v>148</v>
      </c>
      <c r="G5285">
        <v>4</v>
      </c>
      <c r="H5285" t="s">
        <v>260</v>
      </c>
      <c r="I5285" s="4">
        <f t="shared" si="722"/>
        <v>4</v>
      </c>
      <c r="J5285">
        <f t="shared" si="725"/>
        <v>16</v>
      </c>
      <c r="K5285">
        <v>104</v>
      </c>
      <c r="L5285">
        <v>30</v>
      </c>
      <c r="M5285">
        <v>3.47</v>
      </c>
      <c r="N5285">
        <v>3.42</v>
      </c>
      <c r="O5285">
        <v>0</v>
      </c>
      <c r="P5285">
        <v>1</v>
      </c>
      <c r="Q5285" s="4" t="str">
        <f>IF(P5285=1,"2016/2017-Ganjil",IF(P5285=2,"2016/2017-Genap",IF(P5285=3,"2017/2018-Ganjil",IF(P5285=4,"2017/2018-Genap",IF(P5285=5,"2018/2019-Ganjil",IF(P5285=6,"2018/2019-Genap",IF(P5285=7,"2019/2020-Ganjil",IF(P5285=8,"2019/2020-Genap",IF(P5285=9,"2020/2021-Ganjil",IF(P5285=10,"2020/2021-Genap",IF(P5285=11,"2021/2022-Ganjil",IF(P5285=12,"2021/2022-Genap",IF(P5285=13,"2022/2023-Ganjil","2022/2023-Genap")))))))))))))</f>
        <v>2016/2017-Ganjil</v>
      </c>
      <c r="R5285" s="8" t="s">
        <v>260</v>
      </c>
      <c r="S5285" t="str">
        <f t="shared" si="721"/>
        <v>PA</v>
      </c>
    </row>
    <row r="5286" spans="1:19" x14ac:dyDescent="0.3">
      <c r="A5286" t="s">
        <v>8</v>
      </c>
      <c r="B5286" t="s">
        <v>321</v>
      </c>
      <c r="C5286" t="s">
        <v>322</v>
      </c>
      <c r="E5286" t="s">
        <v>176</v>
      </c>
      <c r="F5286" t="s">
        <v>177</v>
      </c>
      <c r="G5286">
        <v>4</v>
      </c>
      <c r="H5286" t="s">
        <v>260</v>
      </c>
      <c r="I5286" s="4">
        <f t="shared" si="722"/>
        <v>4</v>
      </c>
      <c r="J5286">
        <f t="shared" si="725"/>
        <v>16</v>
      </c>
      <c r="K5286">
        <v>60</v>
      </c>
      <c r="L5286">
        <v>16</v>
      </c>
      <c r="M5286">
        <v>3.75</v>
      </c>
      <c r="N5286">
        <v>3.42</v>
      </c>
      <c r="O5286">
        <v>0</v>
      </c>
      <c r="P5286">
        <v>3</v>
      </c>
      <c r="Q5286" t="s">
        <v>563</v>
      </c>
      <c r="R5286" s="8" t="s">
        <v>260</v>
      </c>
      <c r="S5286" t="str">
        <f t="shared" si="721"/>
        <v>PA</v>
      </c>
    </row>
    <row r="5287" spans="1:19" x14ac:dyDescent="0.3">
      <c r="A5287" t="s">
        <v>8</v>
      </c>
      <c r="B5287" t="s">
        <v>321</v>
      </c>
      <c r="C5287" t="s">
        <v>322</v>
      </c>
      <c r="E5287" t="s">
        <v>295</v>
      </c>
      <c r="F5287" t="s">
        <v>296</v>
      </c>
      <c r="G5287">
        <v>2</v>
      </c>
      <c r="H5287" t="s">
        <v>260</v>
      </c>
      <c r="I5287" s="4">
        <f t="shared" si="722"/>
        <v>4</v>
      </c>
      <c r="J5287">
        <f t="shared" si="725"/>
        <v>8</v>
      </c>
      <c r="K5287">
        <v>104</v>
      </c>
      <c r="L5287">
        <v>30</v>
      </c>
      <c r="M5287">
        <v>3.47</v>
      </c>
      <c r="N5287">
        <v>3.42</v>
      </c>
      <c r="O5287">
        <v>0</v>
      </c>
      <c r="P5287">
        <v>1</v>
      </c>
      <c r="Q5287" s="4" t="str">
        <f>IF(P5287=1,"2016/2017-Ganjil",IF(P5287=2,"2016/2017-Genap",IF(P5287=3,"2017/2018-Ganjil",IF(P5287=4,"2017/2018-Genap",IF(P5287=5,"2018/2019-Ganjil",IF(P5287=6,"2018/2019-Genap",IF(P5287=7,"2019/2020-Ganjil",IF(P5287=8,"2019/2020-Genap",IF(P5287=9,"2020/2021-Ganjil",IF(P5287=10,"2020/2021-Genap",IF(P5287=11,"2021/2022-Ganjil",IF(P5287=12,"2021/2022-Genap",IF(P5287=13,"2022/2023-Ganjil","2022/2023-Genap")))))))))))))</f>
        <v>2016/2017-Ganjil</v>
      </c>
      <c r="R5287" s="8" t="s">
        <v>260</v>
      </c>
      <c r="S5287" t="str">
        <f t="shared" si="721"/>
        <v>PA</v>
      </c>
    </row>
    <row r="5288" spans="1:19" x14ac:dyDescent="0.3">
      <c r="A5288" t="s">
        <v>8</v>
      </c>
      <c r="B5288" t="s">
        <v>321</v>
      </c>
      <c r="C5288" t="s">
        <v>322</v>
      </c>
      <c r="E5288" t="s">
        <v>22</v>
      </c>
      <c r="F5288" t="s">
        <v>23</v>
      </c>
      <c r="G5288">
        <v>2</v>
      </c>
      <c r="H5288" t="s">
        <v>260</v>
      </c>
      <c r="I5288" s="4">
        <f t="shared" si="722"/>
        <v>4</v>
      </c>
      <c r="J5288">
        <f t="shared" si="725"/>
        <v>8</v>
      </c>
      <c r="K5288">
        <v>50</v>
      </c>
      <c r="L5288">
        <v>14</v>
      </c>
      <c r="M5288">
        <v>3.57</v>
      </c>
      <c r="N5288">
        <v>3.42</v>
      </c>
      <c r="O5288">
        <v>0</v>
      </c>
      <c r="P5288">
        <v>4</v>
      </c>
      <c r="Q5288" t="s">
        <v>565</v>
      </c>
      <c r="R5288" t="s">
        <v>596</v>
      </c>
      <c r="S5288" t="str">
        <f t="shared" si="721"/>
        <v>PA</v>
      </c>
    </row>
    <row r="5289" spans="1:19" x14ac:dyDescent="0.3">
      <c r="A5289" t="s">
        <v>8</v>
      </c>
      <c r="B5289" t="s">
        <v>321</v>
      </c>
      <c r="C5289" t="s">
        <v>322</v>
      </c>
      <c r="E5289" t="s">
        <v>87</v>
      </c>
      <c r="F5289" t="s">
        <v>88</v>
      </c>
      <c r="G5289">
        <v>2</v>
      </c>
      <c r="H5289" t="s">
        <v>260</v>
      </c>
      <c r="I5289" s="4">
        <f t="shared" si="722"/>
        <v>4</v>
      </c>
      <c r="J5289">
        <f t="shared" si="725"/>
        <v>8</v>
      </c>
      <c r="K5289">
        <v>50</v>
      </c>
      <c r="L5289">
        <v>14</v>
      </c>
      <c r="M5289">
        <v>3.57</v>
      </c>
      <c r="N5289">
        <v>3.42</v>
      </c>
      <c r="O5289">
        <v>0</v>
      </c>
      <c r="P5289">
        <v>4</v>
      </c>
      <c r="Q5289" t="s">
        <v>565</v>
      </c>
      <c r="R5289" t="s">
        <v>596</v>
      </c>
      <c r="S5289" t="str">
        <f t="shared" si="721"/>
        <v>PA</v>
      </c>
    </row>
    <row r="5290" spans="1:19" x14ac:dyDescent="0.3">
      <c r="A5290" t="s">
        <v>8</v>
      </c>
      <c r="B5290" t="s">
        <v>321</v>
      </c>
      <c r="C5290" t="s">
        <v>322</v>
      </c>
      <c r="E5290" t="s">
        <v>318</v>
      </c>
      <c r="F5290" t="s">
        <v>394</v>
      </c>
      <c r="G5290">
        <v>2</v>
      </c>
      <c r="H5290" t="s">
        <v>260</v>
      </c>
      <c r="I5290" s="4">
        <f t="shared" si="722"/>
        <v>4</v>
      </c>
      <c r="J5290">
        <f t="shared" si="725"/>
        <v>8</v>
      </c>
      <c r="K5290">
        <v>104</v>
      </c>
      <c r="L5290">
        <v>30</v>
      </c>
      <c r="M5290">
        <v>3.47</v>
      </c>
      <c r="N5290">
        <v>3.42</v>
      </c>
      <c r="O5290">
        <v>0</v>
      </c>
      <c r="P5290">
        <v>1</v>
      </c>
      <c r="Q5290" s="4" t="str">
        <f>IF(P5290=1,"2016/2017-Ganjil",IF(P5290=2,"2016/2017-Genap",IF(P5290=3,"2017/2018-Ganjil",IF(P5290=4,"2017/2018-Genap",IF(P5290=5,"2018/2019-Ganjil",IF(P5290=6,"2018/2019-Genap",IF(P5290=7,"2019/2020-Ganjil",IF(P5290=8,"2019/2020-Genap",IF(P5290=9,"2020/2021-Ganjil",IF(P5290=10,"2020/2021-Genap",IF(P5290=11,"2021/2022-Ganjil",IF(P5290=12,"2021/2022-Genap",IF(P5290=13,"2022/2023-Ganjil","2022/2023-Genap")))))))))))))</f>
        <v>2016/2017-Ganjil</v>
      </c>
      <c r="R5290" s="8" t="s">
        <v>260</v>
      </c>
      <c r="S5290" t="str">
        <f t="shared" si="721"/>
        <v>PA</v>
      </c>
    </row>
    <row r="5291" spans="1:19" x14ac:dyDescent="0.3">
      <c r="A5291" t="s">
        <v>8</v>
      </c>
      <c r="B5291" t="s">
        <v>321</v>
      </c>
      <c r="C5291" t="s">
        <v>322</v>
      </c>
      <c r="E5291" t="s">
        <v>119</v>
      </c>
      <c r="F5291" t="s">
        <v>120</v>
      </c>
      <c r="G5291">
        <v>2</v>
      </c>
      <c r="H5291" t="s">
        <v>260</v>
      </c>
      <c r="I5291" s="4">
        <f t="shared" si="722"/>
        <v>4</v>
      </c>
      <c r="J5291">
        <f t="shared" si="725"/>
        <v>8</v>
      </c>
      <c r="K5291">
        <v>50</v>
      </c>
      <c r="L5291">
        <v>14</v>
      </c>
      <c r="M5291">
        <v>3.57</v>
      </c>
      <c r="N5291">
        <v>3.42</v>
      </c>
      <c r="O5291">
        <v>0</v>
      </c>
      <c r="P5291">
        <v>4</v>
      </c>
      <c r="Q5291" t="s">
        <v>565</v>
      </c>
      <c r="R5291" t="s">
        <v>596</v>
      </c>
      <c r="S5291" t="str">
        <f t="shared" si="721"/>
        <v>PA</v>
      </c>
    </row>
    <row r="5292" spans="1:19" x14ac:dyDescent="0.3">
      <c r="A5292" t="s">
        <v>8</v>
      </c>
      <c r="B5292" t="s">
        <v>321</v>
      </c>
      <c r="C5292" t="s">
        <v>322</v>
      </c>
      <c r="E5292" t="s">
        <v>403</v>
      </c>
      <c r="F5292" t="s">
        <v>404</v>
      </c>
      <c r="G5292">
        <v>2</v>
      </c>
      <c r="H5292" t="s">
        <v>260</v>
      </c>
      <c r="I5292" s="4">
        <f t="shared" si="722"/>
        <v>4</v>
      </c>
      <c r="J5292">
        <f t="shared" si="725"/>
        <v>8</v>
      </c>
      <c r="K5292">
        <v>56</v>
      </c>
      <c r="L5292">
        <v>18</v>
      </c>
      <c r="M5292">
        <v>3.11</v>
      </c>
      <c r="N5292">
        <v>3.42</v>
      </c>
      <c r="O5292">
        <v>0</v>
      </c>
      <c r="P5292">
        <v>2</v>
      </c>
      <c r="Q5292" t="s">
        <v>559</v>
      </c>
      <c r="R5292" s="8" t="s">
        <v>260</v>
      </c>
      <c r="S5292" t="str">
        <f t="shared" si="721"/>
        <v>PA</v>
      </c>
    </row>
    <row r="5293" spans="1:19" x14ac:dyDescent="0.3">
      <c r="A5293" t="s">
        <v>8</v>
      </c>
      <c r="B5293" t="s">
        <v>321</v>
      </c>
      <c r="C5293" t="s">
        <v>322</v>
      </c>
      <c r="E5293" t="s">
        <v>182</v>
      </c>
      <c r="F5293" s="1" t="s">
        <v>171</v>
      </c>
      <c r="G5293">
        <v>2</v>
      </c>
      <c r="H5293" t="s">
        <v>260</v>
      </c>
      <c r="I5293" s="4">
        <f t="shared" si="722"/>
        <v>4</v>
      </c>
      <c r="J5293">
        <f t="shared" si="725"/>
        <v>8</v>
      </c>
      <c r="K5293">
        <v>224</v>
      </c>
      <c r="L5293">
        <v>66</v>
      </c>
      <c r="M5293">
        <v>3.47</v>
      </c>
      <c r="N5293">
        <v>3.42</v>
      </c>
      <c r="O5293">
        <v>0</v>
      </c>
      <c r="P5293">
        <v>1</v>
      </c>
      <c r="Q5293" s="4" t="str">
        <f>IF(P5293=1,"2016/2017-Ganjil",IF(P5293=2,"2016/2017-Genap",IF(P5293=3,"2017/2018-Ganjil",IF(P5293=4,"2017/2018-Genap",IF(P5293=5,"2018/2019-Ganjil",IF(P5293=6,"2018/2019-Genap",IF(P5293=7,"2019/2020-Ganjil",IF(P5293=8,"2019/2020-Genap",IF(P5293=9,"2020/2021-Ganjil",IF(P5293=10,"2020/2021-Genap",IF(P5293=11,"2021/2022-Ganjil",IF(P5293=12,"2021/2022-Genap",IF(P5293=13,"2022/2023-Ganjil","2022/2023-Genap")))))))))))))</f>
        <v>2016/2017-Ganjil</v>
      </c>
      <c r="R5293" s="8" t="s">
        <v>260</v>
      </c>
      <c r="S5293" t="str">
        <f t="shared" si="721"/>
        <v>PA</v>
      </c>
    </row>
    <row r="5294" spans="1:19" x14ac:dyDescent="0.3">
      <c r="A5294" t="s">
        <v>8</v>
      </c>
      <c r="B5294" t="s">
        <v>321</v>
      </c>
      <c r="C5294" t="s">
        <v>322</v>
      </c>
      <c r="E5294" t="s">
        <v>352</v>
      </c>
      <c r="F5294" t="s">
        <v>419</v>
      </c>
      <c r="G5294">
        <v>2</v>
      </c>
      <c r="H5294" t="s">
        <v>260</v>
      </c>
      <c r="I5294" s="4">
        <f t="shared" si="722"/>
        <v>4</v>
      </c>
      <c r="J5294">
        <f t="shared" si="725"/>
        <v>8</v>
      </c>
      <c r="K5294">
        <v>104</v>
      </c>
      <c r="L5294">
        <v>30</v>
      </c>
      <c r="M5294">
        <v>3.47</v>
      </c>
      <c r="N5294">
        <v>3.42</v>
      </c>
      <c r="O5294">
        <v>0</v>
      </c>
      <c r="P5294">
        <v>1</v>
      </c>
      <c r="Q5294" s="4" t="str">
        <f>IF(P5294=1,"2016/2017-Ganjil",IF(P5294=2,"2016/2017-Genap",IF(P5294=3,"2017/2018-Ganjil",IF(P5294=4,"2017/2018-Genap",IF(P5294=5,"2018/2019-Ganjil",IF(P5294=6,"2018/2019-Genap",IF(P5294=7,"2019/2020-Ganjil",IF(P5294=8,"2019/2020-Genap",IF(P5294=9,"2020/2021-Ganjil",IF(P5294=10,"2020/2021-Genap",IF(P5294=11,"2021/2022-Ganjil",IF(P5294=12,"2021/2022-Genap",IF(P5294=13,"2022/2023-Ganjil","2022/2023-Genap")))))))))))))</f>
        <v>2016/2017-Ganjil</v>
      </c>
      <c r="R5294" s="8" t="s">
        <v>260</v>
      </c>
      <c r="S5294" t="str">
        <f t="shared" si="721"/>
        <v>PA</v>
      </c>
    </row>
    <row r="5295" spans="1:19" x14ac:dyDescent="0.3">
      <c r="A5295" t="s">
        <v>8</v>
      </c>
      <c r="B5295" t="s">
        <v>321</v>
      </c>
      <c r="C5295" t="s">
        <v>322</v>
      </c>
      <c r="E5295" t="s">
        <v>117</v>
      </c>
      <c r="F5295" s="1" t="s">
        <v>118</v>
      </c>
      <c r="G5295">
        <v>2</v>
      </c>
      <c r="H5295" t="s">
        <v>260</v>
      </c>
      <c r="I5295" s="4">
        <f t="shared" si="722"/>
        <v>4</v>
      </c>
      <c r="J5295">
        <f t="shared" si="725"/>
        <v>8</v>
      </c>
      <c r="K5295">
        <v>224</v>
      </c>
      <c r="L5295">
        <v>66</v>
      </c>
      <c r="M5295">
        <v>3.47</v>
      </c>
      <c r="N5295">
        <v>3.42</v>
      </c>
      <c r="O5295">
        <v>0</v>
      </c>
      <c r="P5295">
        <v>1</v>
      </c>
      <c r="Q5295" s="4" t="str">
        <f t="shared" ref="Q5295:Q5296" si="726">IF(P5295=1,"2016/2017-Ganjil",IF(P5295=2,"2016/2017-Genap",IF(P5295=3,"2017/2018-Ganjil",IF(P5295=4,"2017/2018-Genap",IF(P5295=5,"2018/2019-Ganjil",IF(P5295=6,"2018/2019-Genap",IF(P5295=7,"2019/2020-Ganjil",IF(P5295=8,"2019/2020-Genap",IF(P5295=9,"2020/2021-Ganjil",IF(P5295=10,"2020/2021-Genap",IF(P5295=11,"2021/2022-Ganjil",IF(P5295=12,"2021/2022-Genap",IF(P5295=13,"2022/2023-Ganjil","2022/2023-Genap")))))))))))))</f>
        <v>2016/2017-Ganjil</v>
      </c>
      <c r="R5295" s="8" t="s">
        <v>260</v>
      </c>
      <c r="S5295" t="str">
        <f t="shared" si="721"/>
        <v>PA</v>
      </c>
    </row>
    <row r="5296" spans="1:19" x14ac:dyDescent="0.3">
      <c r="A5296" t="s">
        <v>8</v>
      </c>
      <c r="B5296" t="s">
        <v>321</v>
      </c>
      <c r="C5296" t="s">
        <v>322</v>
      </c>
      <c r="E5296" t="s">
        <v>10</v>
      </c>
      <c r="F5296" s="1" t="s">
        <v>11</v>
      </c>
      <c r="G5296">
        <v>2</v>
      </c>
      <c r="H5296" t="s">
        <v>260</v>
      </c>
      <c r="I5296" s="4">
        <f t="shared" si="722"/>
        <v>4</v>
      </c>
      <c r="J5296">
        <f t="shared" si="725"/>
        <v>8</v>
      </c>
      <c r="K5296">
        <v>224</v>
      </c>
      <c r="L5296">
        <v>66</v>
      </c>
      <c r="M5296">
        <v>3.47</v>
      </c>
      <c r="N5296">
        <v>3.42</v>
      </c>
      <c r="O5296">
        <v>0</v>
      </c>
      <c r="P5296">
        <v>1</v>
      </c>
      <c r="Q5296" s="4" t="str">
        <f t="shared" si="726"/>
        <v>2016/2017-Ganjil</v>
      </c>
      <c r="R5296" s="8" t="s">
        <v>260</v>
      </c>
      <c r="S5296" t="str">
        <f t="shared" si="721"/>
        <v>PA</v>
      </c>
    </row>
    <row r="5297" spans="1:19" x14ac:dyDescent="0.3">
      <c r="A5297" t="s">
        <v>8</v>
      </c>
      <c r="B5297" t="s">
        <v>321</v>
      </c>
      <c r="C5297" t="s">
        <v>322</v>
      </c>
      <c r="E5297" t="s">
        <v>185</v>
      </c>
      <c r="F5297" t="s">
        <v>186</v>
      </c>
      <c r="G5297">
        <v>4</v>
      </c>
      <c r="H5297" t="s">
        <v>260</v>
      </c>
      <c r="I5297" s="4">
        <f t="shared" si="722"/>
        <v>4</v>
      </c>
      <c r="J5297">
        <f t="shared" si="725"/>
        <v>16</v>
      </c>
      <c r="K5297">
        <v>60</v>
      </c>
      <c r="L5297">
        <v>16</v>
      </c>
      <c r="M5297">
        <v>3.75</v>
      </c>
      <c r="N5297">
        <v>3.42</v>
      </c>
      <c r="O5297">
        <v>0</v>
      </c>
      <c r="P5297">
        <v>3</v>
      </c>
      <c r="Q5297" t="s">
        <v>563</v>
      </c>
      <c r="R5297" s="8" t="s">
        <v>260</v>
      </c>
      <c r="S5297" t="str">
        <f t="shared" si="721"/>
        <v>PA</v>
      </c>
    </row>
    <row r="5298" spans="1:19" x14ac:dyDescent="0.3">
      <c r="A5298" t="s">
        <v>8</v>
      </c>
      <c r="B5298" t="s">
        <v>321</v>
      </c>
      <c r="C5298" t="s">
        <v>322</v>
      </c>
      <c r="E5298" t="s">
        <v>250</v>
      </c>
      <c r="F5298" s="1" t="s">
        <v>410</v>
      </c>
      <c r="G5298">
        <v>2</v>
      </c>
      <c r="H5298" t="s">
        <v>260</v>
      </c>
      <c r="I5298" s="4">
        <f t="shared" si="722"/>
        <v>4</v>
      </c>
      <c r="J5298">
        <f t="shared" si="725"/>
        <v>8</v>
      </c>
      <c r="K5298">
        <v>224</v>
      </c>
      <c r="L5298">
        <v>66</v>
      </c>
      <c r="M5298">
        <v>3.47</v>
      </c>
      <c r="N5298">
        <v>3.42</v>
      </c>
      <c r="O5298">
        <v>0</v>
      </c>
      <c r="P5298">
        <v>1</v>
      </c>
      <c r="Q5298" s="4" t="str">
        <f t="shared" ref="Q5298:Q5299" si="727">IF(P5298=1,"2016/2017-Ganjil",IF(P5298=2,"2016/2017-Genap",IF(P5298=3,"2017/2018-Ganjil",IF(P5298=4,"2017/2018-Genap",IF(P5298=5,"2018/2019-Ganjil",IF(P5298=6,"2018/2019-Genap",IF(P5298=7,"2019/2020-Ganjil",IF(P5298=8,"2019/2020-Genap",IF(P5298=9,"2020/2021-Ganjil",IF(P5298=10,"2020/2021-Genap",IF(P5298=11,"2021/2022-Ganjil",IF(P5298=12,"2021/2022-Genap",IF(P5298=13,"2022/2023-Ganjil","2022/2023-Genap")))))))))))))</f>
        <v>2016/2017-Ganjil</v>
      </c>
      <c r="R5298" s="8" t="s">
        <v>260</v>
      </c>
      <c r="S5298" t="str">
        <f t="shared" ref="S5298:S5361" si="728">IF(OR(H5298="A",H5298="B",H5298="C"),"PA","FA")</f>
        <v>PA</v>
      </c>
    </row>
    <row r="5299" spans="1:19" x14ac:dyDescent="0.3">
      <c r="A5299" t="s">
        <v>8</v>
      </c>
      <c r="B5299" t="s">
        <v>321</v>
      </c>
      <c r="C5299" t="s">
        <v>322</v>
      </c>
      <c r="E5299" t="s">
        <v>423</v>
      </c>
      <c r="F5299" s="1" t="s">
        <v>108</v>
      </c>
      <c r="G5299">
        <v>2</v>
      </c>
      <c r="H5299" t="s">
        <v>260</v>
      </c>
      <c r="I5299" s="4">
        <f t="shared" ref="I5299:I5362" si="729">IF(H5299="A",4,IF(H5299="B",3,IF(H5299="C",2,IF(H5299="D",1,0))))</f>
        <v>4</v>
      </c>
      <c r="J5299">
        <f t="shared" si="725"/>
        <v>8</v>
      </c>
      <c r="K5299">
        <v>224</v>
      </c>
      <c r="L5299">
        <v>66</v>
      </c>
      <c r="M5299">
        <v>3.47</v>
      </c>
      <c r="N5299">
        <v>3.42</v>
      </c>
      <c r="O5299">
        <v>0</v>
      </c>
      <c r="P5299">
        <v>1</v>
      </c>
      <c r="Q5299" s="4" t="str">
        <f t="shared" si="727"/>
        <v>2016/2017-Ganjil</v>
      </c>
      <c r="R5299" s="8" t="s">
        <v>260</v>
      </c>
      <c r="S5299" t="str">
        <f t="shared" si="728"/>
        <v>PA</v>
      </c>
    </row>
    <row r="5300" spans="1:19" x14ac:dyDescent="0.3">
      <c r="A5300" t="s">
        <v>8</v>
      </c>
      <c r="B5300" t="s">
        <v>321</v>
      </c>
      <c r="C5300" t="s">
        <v>322</v>
      </c>
      <c r="E5300" t="s">
        <v>157</v>
      </c>
      <c r="F5300" t="s">
        <v>158</v>
      </c>
      <c r="G5300">
        <v>2</v>
      </c>
      <c r="H5300" t="s">
        <v>260</v>
      </c>
      <c r="I5300" s="4">
        <f t="shared" si="729"/>
        <v>4</v>
      </c>
      <c r="J5300">
        <f t="shared" si="725"/>
        <v>8</v>
      </c>
      <c r="K5300">
        <v>104</v>
      </c>
      <c r="L5300">
        <v>30</v>
      </c>
      <c r="M5300">
        <v>3.47</v>
      </c>
      <c r="N5300">
        <v>3.42</v>
      </c>
      <c r="O5300">
        <v>0</v>
      </c>
      <c r="P5300">
        <v>1</v>
      </c>
      <c r="Q5300" s="4" t="str">
        <f>IF(P5300=1,"2016/2017-Ganjil",IF(P5300=2,"2016/2017-Genap",IF(P5300=3,"2017/2018-Ganjil",IF(P5300=4,"2017/2018-Genap",IF(P5300=5,"2018/2019-Ganjil",IF(P5300=6,"2018/2019-Genap",IF(P5300=7,"2019/2020-Ganjil",IF(P5300=8,"2019/2020-Genap",IF(P5300=9,"2020/2021-Ganjil",IF(P5300=10,"2020/2021-Genap",IF(P5300=11,"2021/2022-Ganjil",IF(P5300=12,"2021/2022-Genap",IF(P5300=13,"2022/2023-Ganjil","2022/2023-Genap")))))))))))))</f>
        <v>2016/2017-Ganjil</v>
      </c>
      <c r="R5300" s="8" t="s">
        <v>260</v>
      </c>
      <c r="S5300" t="str">
        <f t="shared" si="728"/>
        <v>PA</v>
      </c>
    </row>
    <row r="5301" spans="1:19" x14ac:dyDescent="0.3">
      <c r="A5301" t="s">
        <v>8</v>
      </c>
      <c r="B5301" t="s">
        <v>321</v>
      </c>
      <c r="C5301" t="s">
        <v>322</v>
      </c>
      <c r="E5301" t="s">
        <v>227</v>
      </c>
      <c r="F5301" s="1" t="s">
        <v>228</v>
      </c>
      <c r="G5301">
        <v>2</v>
      </c>
      <c r="H5301" t="s">
        <v>260</v>
      </c>
      <c r="I5301" s="4">
        <f t="shared" si="729"/>
        <v>4</v>
      </c>
      <c r="J5301">
        <f t="shared" si="725"/>
        <v>8</v>
      </c>
      <c r="K5301">
        <v>224</v>
      </c>
      <c r="L5301">
        <v>66</v>
      </c>
      <c r="M5301">
        <v>3.47</v>
      </c>
      <c r="N5301">
        <v>3.42</v>
      </c>
      <c r="O5301">
        <v>0</v>
      </c>
      <c r="P5301">
        <v>1</v>
      </c>
      <c r="Q5301" s="4" t="str">
        <f>IF(P5301=1,"2016/2017-Ganjil",IF(P5301=2,"2016/2017-Genap",IF(P5301=3,"2017/2018-Ganjil",IF(P5301=4,"2017/2018-Genap",IF(P5301=5,"2018/2019-Ganjil",IF(P5301=6,"2018/2019-Genap",IF(P5301=7,"2019/2020-Ganjil",IF(P5301=8,"2019/2020-Genap",IF(P5301=9,"2020/2021-Ganjil",IF(P5301=10,"2020/2021-Genap",IF(P5301=11,"2021/2022-Ganjil",IF(P5301=12,"2021/2022-Genap",IF(P5301=13,"2022/2023-Ganjil","2022/2023-Genap")))))))))))))</f>
        <v>2016/2017-Ganjil</v>
      </c>
      <c r="R5301" s="8" t="s">
        <v>260</v>
      </c>
      <c r="S5301" t="str">
        <f t="shared" si="728"/>
        <v>PA</v>
      </c>
    </row>
    <row r="5302" spans="1:19" x14ac:dyDescent="0.3">
      <c r="A5302" t="s">
        <v>8</v>
      </c>
      <c r="B5302" t="s">
        <v>321</v>
      </c>
      <c r="C5302" t="s">
        <v>322</v>
      </c>
      <c r="E5302" t="s">
        <v>105</v>
      </c>
      <c r="F5302" t="s">
        <v>106</v>
      </c>
      <c r="G5302">
        <v>2</v>
      </c>
      <c r="H5302" t="s">
        <v>260</v>
      </c>
      <c r="I5302" s="4">
        <f t="shared" si="729"/>
        <v>4</v>
      </c>
      <c r="J5302">
        <f t="shared" si="725"/>
        <v>8</v>
      </c>
      <c r="K5302">
        <v>104</v>
      </c>
      <c r="L5302">
        <v>30</v>
      </c>
      <c r="M5302">
        <v>3.47</v>
      </c>
      <c r="N5302">
        <v>3.42</v>
      </c>
      <c r="O5302">
        <v>0</v>
      </c>
      <c r="P5302">
        <v>1</v>
      </c>
      <c r="Q5302" s="4" t="str">
        <f>IF(P5302=1,"2016/2017-Ganjil",IF(P5302=2,"2016/2017-Genap",IF(P5302=3,"2017/2018-Ganjil",IF(P5302=4,"2017/2018-Genap",IF(P5302=5,"2018/2019-Ganjil",IF(P5302=6,"2018/2019-Genap",IF(P5302=7,"2019/2020-Ganjil",IF(P5302=8,"2019/2020-Genap",IF(P5302=9,"2020/2021-Ganjil",IF(P5302=10,"2020/2021-Genap",IF(P5302=11,"2021/2022-Ganjil",IF(P5302=12,"2021/2022-Genap",IF(P5302=13,"2022/2023-Ganjil","2022/2023-Genap")))))))))))))</f>
        <v>2016/2017-Ganjil</v>
      </c>
      <c r="R5302" s="8" t="s">
        <v>260</v>
      </c>
      <c r="S5302" t="str">
        <f t="shared" si="728"/>
        <v>PA</v>
      </c>
    </row>
    <row r="5303" spans="1:19" x14ac:dyDescent="0.3">
      <c r="A5303" t="s">
        <v>8</v>
      </c>
      <c r="B5303" t="s">
        <v>321</v>
      </c>
      <c r="C5303" t="s">
        <v>322</v>
      </c>
      <c r="E5303" t="s">
        <v>216</v>
      </c>
      <c r="F5303" t="s">
        <v>217</v>
      </c>
      <c r="G5303">
        <v>2</v>
      </c>
      <c r="H5303" t="s">
        <v>260</v>
      </c>
      <c r="I5303" s="4">
        <f t="shared" si="729"/>
        <v>4</v>
      </c>
      <c r="J5303">
        <f t="shared" si="725"/>
        <v>8</v>
      </c>
      <c r="K5303">
        <v>50</v>
      </c>
      <c r="L5303">
        <v>14</v>
      </c>
      <c r="M5303">
        <v>3.57</v>
      </c>
      <c r="N5303">
        <v>3.42</v>
      </c>
      <c r="O5303">
        <v>0</v>
      </c>
      <c r="P5303">
        <v>4</v>
      </c>
      <c r="Q5303" t="s">
        <v>565</v>
      </c>
      <c r="R5303" t="s">
        <v>596</v>
      </c>
      <c r="S5303" t="str">
        <f t="shared" si="728"/>
        <v>PA</v>
      </c>
    </row>
    <row r="5304" spans="1:19" x14ac:dyDescent="0.3">
      <c r="A5304" t="s">
        <v>8</v>
      </c>
      <c r="B5304" t="s">
        <v>321</v>
      </c>
      <c r="C5304" t="s">
        <v>322</v>
      </c>
      <c r="E5304" t="s">
        <v>253</v>
      </c>
      <c r="F5304" s="1" t="s">
        <v>418</v>
      </c>
      <c r="G5304">
        <v>2</v>
      </c>
      <c r="H5304" t="s">
        <v>260</v>
      </c>
      <c r="I5304" s="4">
        <f t="shared" si="729"/>
        <v>4</v>
      </c>
      <c r="J5304">
        <f t="shared" si="725"/>
        <v>8</v>
      </c>
      <c r="K5304">
        <v>224</v>
      </c>
      <c r="L5304">
        <v>66</v>
      </c>
      <c r="M5304">
        <v>3.47</v>
      </c>
      <c r="N5304">
        <v>3.42</v>
      </c>
      <c r="O5304">
        <v>0</v>
      </c>
      <c r="P5304">
        <v>1</v>
      </c>
      <c r="Q5304" s="4" t="str">
        <f t="shared" ref="Q5304:Q5307" si="730">IF(P5304=1,"2016/2017-Ganjil",IF(P5304=2,"2016/2017-Genap",IF(P5304=3,"2017/2018-Ganjil",IF(P5304=4,"2017/2018-Genap",IF(P5304=5,"2018/2019-Ganjil",IF(P5304=6,"2018/2019-Genap",IF(P5304=7,"2019/2020-Ganjil",IF(P5304=8,"2019/2020-Genap",IF(P5304=9,"2020/2021-Ganjil",IF(P5304=10,"2020/2021-Genap",IF(P5304=11,"2021/2022-Ganjil",IF(P5304=12,"2021/2022-Genap",IF(P5304=13,"2022/2023-Ganjil","2022/2023-Genap")))))))))))))</f>
        <v>2016/2017-Ganjil</v>
      </c>
      <c r="R5304" s="8" t="s">
        <v>260</v>
      </c>
      <c r="S5304" t="str">
        <f t="shared" si="728"/>
        <v>PA</v>
      </c>
    </row>
    <row r="5305" spans="1:19" x14ac:dyDescent="0.3">
      <c r="A5305" t="s">
        <v>8</v>
      </c>
      <c r="B5305" t="s">
        <v>321</v>
      </c>
      <c r="C5305" t="s">
        <v>322</v>
      </c>
      <c r="E5305" t="s">
        <v>77</v>
      </c>
      <c r="F5305" s="1" t="s">
        <v>78</v>
      </c>
      <c r="G5305">
        <v>2</v>
      </c>
      <c r="H5305" t="s">
        <v>260</v>
      </c>
      <c r="I5305" s="4">
        <f t="shared" si="729"/>
        <v>4</v>
      </c>
      <c r="J5305">
        <f t="shared" si="725"/>
        <v>8</v>
      </c>
      <c r="K5305">
        <v>224</v>
      </c>
      <c r="L5305">
        <v>66</v>
      </c>
      <c r="M5305">
        <v>3.47</v>
      </c>
      <c r="N5305">
        <v>3.42</v>
      </c>
      <c r="O5305">
        <v>0</v>
      </c>
      <c r="P5305">
        <v>1</v>
      </c>
      <c r="Q5305" s="4" t="str">
        <f t="shared" si="730"/>
        <v>2016/2017-Ganjil</v>
      </c>
      <c r="R5305" s="8" t="s">
        <v>260</v>
      </c>
      <c r="S5305" t="str">
        <f t="shared" si="728"/>
        <v>PA</v>
      </c>
    </row>
    <row r="5306" spans="1:19" x14ac:dyDescent="0.3">
      <c r="A5306" t="s">
        <v>8</v>
      </c>
      <c r="B5306" t="s">
        <v>321</v>
      </c>
      <c r="C5306" t="s">
        <v>322</v>
      </c>
      <c r="E5306" t="s">
        <v>246</v>
      </c>
      <c r="F5306" s="1" t="s">
        <v>247</v>
      </c>
      <c r="G5306">
        <v>4</v>
      </c>
      <c r="H5306" t="s">
        <v>260</v>
      </c>
      <c r="I5306" s="4">
        <f t="shared" si="729"/>
        <v>4</v>
      </c>
      <c r="J5306">
        <f t="shared" si="725"/>
        <v>16</v>
      </c>
      <c r="K5306">
        <v>224</v>
      </c>
      <c r="L5306">
        <v>66</v>
      </c>
      <c r="M5306">
        <v>3.47</v>
      </c>
      <c r="N5306">
        <v>3.42</v>
      </c>
      <c r="O5306">
        <v>0</v>
      </c>
      <c r="P5306">
        <v>1</v>
      </c>
      <c r="Q5306" s="4" t="str">
        <f t="shared" si="730"/>
        <v>2016/2017-Ganjil</v>
      </c>
      <c r="R5306" s="8" t="s">
        <v>260</v>
      </c>
      <c r="S5306" t="str">
        <f t="shared" si="728"/>
        <v>PA</v>
      </c>
    </row>
    <row r="5307" spans="1:19" x14ac:dyDescent="0.3">
      <c r="A5307" t="s">
        <v>8</v>
      </c>
      <c r="B5307" t="s">
        <v>321</v>
      </c>
      <c r="C5307" t="s">
        <v>322</v>
      </c>
      <c r="E5307" t="s">
        <v>213</v>
      </c>
      <c r="F5307" s="1" t="s">
        <v>450</v>
      </c>
      <c r="G5307">
        <v>4</v>
      </c>
      <c r="H5307" t="s">
        <v>438</v>
      </c>
      <c r="I5307" s="4">
        <f t="shared" si="729"/>
        <v>3</v>
      </c>
      <c r="J5307">
        <f t="shared" si="725"/>
        <v>12</v>
      </c>
      <c r="K5307">
        <v>224</v>
      </c>
      <c r="L5307">
        <v>66</v>
      </c>
      <c r="M5307">
        <v>3.47</v>
      </c>
      <c r="N5307">
        <v>3.42</v>
      </c>
      <c r="O5307">
        <v>0</v>
      </c>
      <c r="P5307">
        <v>1</v>
      </c>
      <c r="Q5307" s="4" t="str">
        <f t="shared" si="730"/>
        <v>2016/2017-Ganjil</v>
      </c>
      <c r="R5307" s="8" t="s">
        <v>260</v>
      </c>
      <c r="S5307" t="str">
        <f t="shared" si="728"/>
        <v>PA</v>
      </c>
    </row>
    <row r="5308" spans="1:19" x14ac:dyDescent="0.3">
      <c r="A5308" t="s">
        <v>8</v>
      </c>
      <c r="B5308" t="s">
        <v>321</v>
      </c>
      <c r="C5308" t="s">
        <v>322</v>
      </c>
      <c r="E5308" t="s">
        <v>391</v>
      </c>
      <c r="F5308" t="s">
        <v>392</v>
      </c>
      <c r="G5308">
        <v>2</v>
      </c>
      <c r="H5308" t="s">
        <v>438</v>
      </c>
      <c r="I5308" s="4">
        <f t="shared" si="729"/>
        <v>3</v>
      </c>
      <c r="J5308">
        <f t="shared" si="725"/>
        <v>6</v>
      </c>
      <c r="K5308">
        <v>60</v>
      </c>
      <c r="L5308">
        <v>16</v>
      </c>
      <c r="M5308">
        <v>3.75</v>
      </c>
      <c r="N5308">
        <v>3.42</v>
      </c>
      <c r="O5308">
        <v>0</v>
      </c>
      <c r="P5308">
        <v>3</v>
      </c>
      <c r="Q5308" t="s">
        <v>563</v>
      </c>
      <c r="R5308" s="8" t="s">
        <v>260</v>
      </c>
      <c r="S5308" t="str">
        <f t="shared" si="728"/>
        <v>PA</v>
      </c>
    </row>
    <row r="5309" spans="1:19" x14ac:dyDescent="0.3">
      <c r="A5309" t="s">
        <v>8</v>
      </c>
      <c r="B5309" t="s">
        <v>321</v>
      </c>
      <c r="C5309" t="s">
        <v>322</v>
      </c>
      <c r="E5309" t="s">
        <v>44</v>
      </c>
      <c r="F5309" s="1" t="s">
        <v>45</v>
      </c>
      <c r="G5309">
        <v>2</v>
      </c>
      <c r="H5309" t="s">
        <v>438</v>
      </c>
      <c r="I5309" s="4">
        <f t="shared" si="729"/>
        <v>3</v>
      </c>
      <c r="J5309">
        <f t="shared" si="725"/>
        <v>6</v>
      </c>
      <c r="K5309">
        <v>224</v>
      </c>
      <c r="L5309">
        <v>66</v>
      </c>
      <c r="M5309">
        <v>3.47</v>
      </c>
      <c r="N5309">
        <v>3.42</v>
      </c>
      <c r="O5309">
        <v>0</v>
      </c>
      <c r="P5309">
        <v>1</v>
      </c>
      <c r="Q5309" s="4" t="str">
        <f t="shared" ref="Q5309:Q5311" si="731">IF(P5309=1,"2016/2017-Ganjil",IF(P5309=2,"2016/2017-Genap",IF(P5309=3,"2017/2018-Ganjil",IF(P5309=4,"2017/2018-Genap",IF(P5309=5,"2018/2019-Ganjil",IF(P5309=6,"2018/2019-Genap",IF(P5309=7,"2019/2020-Ganjil",IF(P5309=8,"2019/2020-Genap",IF(P5309=9,"2020/2021-Ganjil",IF(P5309=10,"2020/2021-Genap",IF(P5309=11,"2021/2022-Ganjil",IF(P5309=12,"2021/2022-Genap",IF(P5309=13,"2022/2023-Ganjil","2022/2023-Genap")))))))))))))</f>
        <v>2016/2017-Ganjil</v>
      </c>
      <c r="R5309" s="8" t="s">
        <v>260</v>
      </c>
      <c r="S5309" t="str">
        <f t="shared" si="728"/>
        <v>PA</v>
      </c>
    </row>
    <row r="5310" spans="1:19" x14ac:dyDescent="0.3">
      <c r="A5310" t="s">
        <v>8</v>
      </c>
      <c r="B5310" t="s">
        <v>321</v>
      </c>
      <c r="C5310" t="s">
        <v>322</v>
      </c>
      <c r="E5310" t="s">
        <v>125</v>
      </c>
      <c r="F5310" s="1" t="s">
        <v>126</v>
      </c>
      <c r="G5310">
        <v>4</v>
      </c>
      <c r="H5310" t="s">
        <v>438</v>
      </c>
      <c r="I5310" s="4">
        <f t="shared" si="729"/>
        <v>3</v>
      </c>
      <c r="J5310">
        <f t="shared" si="725"/>
        <v>12</v>
      </c>
      <c r="K5310">
        <v>224</v>
      </c>
      <c r="L5310">
        <v>66</v>
      </c>
      <c r="M5310">
        <v>3.47</v>
      </c>
      <c r="N5310">
        <v>3.42</v>
      </c>
      <c r="O5310">
        <v>0</v>
      </c>
      <c r="P5310">
        <v>1</v>
      </c>
      <c r="Q5310" s="4" t="str">
        <f t="shared" si="731"/>
        <v>2016/2017-Ganjil</v>
      </c>
      <c r="R5310" s="8" t="s">
        <v>260</v>
      </c>
      <c r="S5310" t="str">
        <f t="shared" si="728"/>
        <v>PA</v>
      </c>
    </row>
    <row r="5311" spans="1:19" x14ac:dyDescent="0.3">
      <c r="A5311" t="s">
        <v>8</v>
      </c>
      <c r="B5311" t="s">
        <v>321</v>
      </c>
      <c r="C5311" t="s">
        <v>322</v>
      </c>
      <c r="E5311" t="s">
        <v>93</v>
      </c>
      <c r="F5311" s="1" t="s">
        <v>94</v>
      </c>
      <c r="G5311">
        <v>4</v>
      </c>
      <c r="H5311" t="s">
        <v>438</v>
      </c>
      <c r="I5311" s="4">
        <f t="shared" si="729"/>
        <v>3</v>
      </c>
      <c r="J5311">
        <f t="shared" si="725"/>
        <v>12</v>
      </c>
      <c r="K5311">
        <v>224</v>
      </c>
      <c r="L5311">
        <v>66</v>
      </c>
      <c r="M5311">
        <v>3.47</v>
      </c>
      <c r="N5311">
        <v>3.42</v>
      </c>
      <c r="O5311">
        <v>0</v>
      </c>
      <c r="P5311">
        <v>1</v>
      </c>
      <c r="Q5311" s="4" t="str">
        <f t="shared" si="731"/>
        <v>2016/2017-Ganjil</v>
      </c>
      <c r="R5311" s="8" t="s">
        <v>260</v>
      </c>
      <c r="S5311" t="str">
        <f t="shared" si="728"/>
        <v>PA</v>
      </c>
    </row>
    <row r="5312" spans="1:19" x14ac:dyDescent="0.3">
      <c r="A5312" t="s">
        <v>8</v>
      </c>
      <c r="B5312" t="s">
        <v>321</v>
      </c>
      <c r="C5312" t="s">
        <v>322</v>
      </c>
      <c r="E5312" t="s">
        <v>188</v>
      </c>
      <c r="F5312" t="s">
        <v>189</v>
      </c>
      <c r="G5312">
        <v>4</v>
      </c>
      <c r="H5312" t="s">
        <v>438</v>
      </c>
      <c r="I5312" s="4">
        <f t="shared" si="729"/>
        <v>3</v>
      </c>
      <c r="J5312">
        <f t="shared" si="725"/>
        <v>12</v>
      </c>
      <c r="K5312">
        <v>104</v>
      </c>
      <c r="L5312">
        <v>30</v>
      </c>
      <c r="M5312">
        <v>3.47</v>
      </c>
      <c r="N5312">
        <v>3.42</v>
      </c>
      <c r="O5312">
        <v>0</v>
      </c>
      <c r="P5312">
        <v>1</v>
      </c>
      <c r="Q5312" s="4" t="str">
        <f>IF(P5312=1,"2016/2017-Ganjil",IF(P5312=2,"2016/2017-Genap",IF(P5312=3,"2017/2018-Ganjil",IF(P5312=4,"2017/2018-Genap",IF(P5312=5,"2018/2019-Ganjil",IF(P5312=6,"2018/2019-Genap",IF(P5312=7,"2019/2020-Ganjil",IF(P5312=8,"2019/2020-Genap",IF(P5312=9,"2020/2021-Ganjil",IF(P5312=10,"2020/2021-Genap",IF(P5312=11,"2021/2022-Ganjil",IF(P5312=12,"2021/2022-Genap",IF(P5312=13,"2022/2023-Ganjil","2022/2023-Genap")))))))))))))</f>
        <v>2016/2017-Ganjil</v>
      </c>
      <c r="R5312" s="8" t="s">
        <v>260</v>
      </c>
      <c r="S5312" t="str">
        <f t="shared" si="728"/>
        <v>PA</v>
      </c>
    </row>
    <row r="5313" spans="1:19" x14ac:dyDescent="0.3">
      <c r="A5313" t="s">
        <v>8</v>
      </c>
      <c r="B5313" t="s">
        <v>321</v>
      </c>
      <c r="C5313" t="s">
        <v>322</v>
      </c>
      <c r="E5313" t="s">
        <v>180</v>
      </c>
      <c r="F5313" s="1" t="s">
        <v>386</v>
      </c>
      <c r="G5313">
        <v>4</v>
      </c>
      <c r="H5313" t="s">
        <v>438</v>
      </c>
      <c r="I5313" s="4">
        <f t="shared" si="729"/>
        <v>3</v>
      </c>
      <c r="J5313">
        <f t="shared" si="725"/>
        <v>12</v>
      </c>
      <c r="K5313">
        <v>224</v>
      </c>
      <c r="L5313">
        <v>66</v>
      </c>
      <c r="M5313">
        <v>3.47</v>
      </c>
      <c r="N5313">
        <v>3.42</v>
      </c>
      <c r="O5313">
        <v>0</v>
      </c>
      <c r="P5313">
        <v>1</v>
      </c>
      <c r="Q5313" s="4" t="str">
        <f t="shared" ref="Q5313:Q5315" si="732">IF(P5313=1,"2016/2017-Ganjil",IF(P5313=2,"2016/2017-Genap",IF(P5313=3,"2017/2018-Ganjil",IF(P5313=4,"2017/2018-Genap",IF(P5313=5,"2018/2019-Ganjil",IF(P5313=6,"2018/2019-Genap",IF(P5313=7,"2019/2020-Ganjil",IF(P5313=8,"2019/2020-Genap",IF(P5313=9,"2020/2021-Ganjil",IF(P5313=10,"2020/2021-Genap",IF(P5313=11,"2021/2022-Ganjil",IF(P5313=12,"2021/2022-Genap",IF(P5313=13,"2022/2023-Ganjil","2022/2023-Genap")))))))))))))</f>
        <v>2016/2017-Ganjil</v>
      </c>
      <c r="R5313" s="8" t="s">
        <v>260</v>
      </c>
      <c r="S5313" t="str">
        <f t="shared" si="728"/>
        <v>PA</v>
      </c>
    </row>
    <row r="5314" spans="1:19" x14ac:dyDescent="0.3">
      <c r="A5314" t="s">
        <v>8</v>
      </c>
      <c r="B5314" t="s">
        <v>321</v>
      </c>
      <c r="C5314" t="s">
        <v>322</v>
      </c>
      <c r="E5314" t="s">
        <v>424</v>
      </c>
      <c r="F5314" s="1" t="s">
        <v>166</v>
      </c>
      <c r="G5314">
        <v>2</v>
      </c>
      <c r="H5314" t="s">
        <v>438</v>
      </c>
      <c r="I5314" s="4">
        <f t="shared" si="729"/>
        <v>3</v>
      </c>
      <c r="J5314">
        <f t="shared" si="725"/>
        <v>6</v>
      </c>
      <c r="K5314">
        <v>224</v>
      </c>
      <c r="L5314">
        <v>66</v>
      </c>
      <c r="M5314">
        <v>3.47</v>
      </c>
      <c r="N5314">
        <v>3.42</v>
      </c>
      <c r="O5314">
        <v>0</v>
      </c>
      <c r="P5314">
        <v>1</v>
      </c>
      <c r="Q5314" s="4" t="str">
        <f t="shared" si="732"/>
        <v>2016/2017-Ganjil</v>
      </c>
      <c r="R5314" s="8" t="s">
        <v>260</v>
      </c>
      <c r="S5314" t="str">
        <f t="shared" si="728"/>
        <v>PA</v>
      </c>
    </row>
    <row r="5315" spans="1:19" x14ac:dyDescent="0.3">
      <c r="A5315" t="s">
        <v>8</v>
      </c>
      <c r="B5315" t="s">
        <v>321</v>
      </c>
      <c r="C5315" t="s">
        <v>322</v>
      </c>
      <c r="E5315" t="s">
        <v>355</v>
      </c>
      <c r="F5315" s="1" t="s">
        <v>274</v>
      </c>
      <c r="G5315">
        <v>4</v>
      </c>
      <c r="H5315" t="s">
        <v>438</v>
      </c>
      <c r="I5315" s="4">
        <f t="shared" si="729"/>
        <v>3</v>
      </c>
      <c r="J5315">
        <f t="shared" si="725"/>
        <v>12</v>
      </c>
      <c r="K5315">
        <v>224</v>
      </c>
      <c r="L5315">
        <v>66</v>
      </c>
      <c r="M5315">
        <v>3.47</v>
      </c>
      <c r="N5315">
        <v>3.42</v>
      </c>
      <c r="O5315">
        <v>0</v>
      </c>
      <c r="P5315">
        <v>1</v>
      </c>
      <c r="Q5315" s="4" t="str">
        <f t="shared" si="732"/>
        <v>2016/2017-Ganjil</v>
      </c>
      <c r="R5315" s="8" t="s">
        <v>260</v>
      </c>
      <c r="S5315" t="str">
        <f t="shared" si="728"/>
        <v>PA</v>
      </c>
    </row>
    <row r="5316" spans="1:19" x14ac:dyDescent="0.3">
      <c r="A5316" t="s">
        <v>8</v>
      </c>
      <c r="B5316" t="s">
        <v>321</v>
      </c>
      <c r="C5316" t="s">
        <v>322</v>
      </c>
      <c r="E5316" t="s">
        <v>115</v>
      </c>
      <c r="F5316" t="s">
        <v>116</v>
      </c>
      <c r="G5316">
        <v>4</v>
      </c>
      <c r="H5316" t="s">
        <v>438</v>
      </c>
      <c r="I5316" s="4">
        <f t="shared" si="729"/>
        <v>3</v>
      </c>
      <c r="J5316">
        <f t="shared" si="725"/>
        <v>12</v>
      </c>
      <c r="K5316">
        <v>56</v>
      </c>
      <c r="L5316">
        <v>18</v>
      </c>
      <c r="M5316">
        <v>3.11</v>
      </c>
      <c r="N5316">
        <v>3.42</v>
      </c>
      <c r="O5316">
        <v>0</v>
      </c>
      <c r="P5316">
        <v>2</v>
      </c>
      <c r="Q5316" t="s">
        <v>559</v>
      </c>
      <c r="R5316" s="8" t="s">
        <v>260</v>
      </c>
      <c r="S5316" t="str">
        <f t="shared" si="728"/>
        <v>PA</v>
      </c>
    </row>
    <row r="5317" spans="1:19" x14ac:dyDescent="0.3">
      <c r="A5317" t="s">
        <v>8</v>
      </c>
      <c r="B5317" t="s">
        <v>321</v>
      </c>
      <c r="C5317" t="s">
        <v>322</v>
      </c>
      <c r="E5317" t="s">
        <v>202</v>
      </c>
      <c r="F5317" s="1" t="s">
        <v>203</v>
      </c>
      <c r="G5317">
        <v>4</v>
      </c>
      <c r="H5317" t="s">
        <v>438</v>
      </c>
      <c r="I5317" s="4">
        <f t="shared" si="729"/>
        <v>3</v>
      </c>
      <c r="J5317">
        <f t="shared" si="725"/>
        <v>12</v>
      </c>
      <c r="K5317">
        <v>224</v>
      </c>
      <c r="L5317">
        <v>66</v>
      </c>
      <c r="M5317">
        <v>3.47</v>
      </c>
      <c r="N5317">
        <v>3.42</v>
      </c>
      <c r="O5317">
        <v>0</v>
      </c>
      <c r="P5317">
        <v>1</v>
      </c>
      <c r="Q5317" s="4" t="str">
        <f>IF(P5317=1,"2016/2017-Ganjil",IF(P5317=2,"2016/2017-Genap",IF(P5317=3,"2017/2018-Ganjil",IF(P5317=4,"2017/2018-Genap",IF(P5317=5,"2018/2019-Ganjil",IF(P5317=6,"2018/2019-Genap",IF(P5317=7,"2019/2020-Ganjil",IF(P5317=8,"2019/2020-Genap",IF(P5317=9,"2020/2021-Ganjil",IF(P5317=10,"2020/2021-Genap",IF(P5317=11,"2021/2022-Ganjil",IF(P5317=12,"2021/2022-Genap",IF(P5317=13,"2022/2023-Ganjil","2022/2023-Genap")))))))))))))</f>
        <v>2016/2017-Ganjil</v>
      </c>
      <c r="R5317" s="8" t="s">
        <v>260</v>
      </c>
      <c r="S5317" t="str">
        <f t="shared" si="728"/>
        <v>PA</v>
      </c>
    </row>
    <row r="5318" spans="1:19" x14ac:dyDescent="0.3">
      <c r="A5318" t="s">
        <v>8</v>
      </c>
      <c r="B5318" t="s">
        <v>321</v>
      </c>
      <c r="C5318" t="s">
        <v>322</v>
      </c>
      <c r="E5318" t="s">
        <v>395</v>
      </c>
      <c r="F5318" t="s">
        <v>396</v>
      </c>
      <c r="G5318">
        <v>2</v>
      </c>
      <c r="H5318" t="s">
        <v>438</v>
      </c>
      <c r="I5318" s="4">
        <f t="shared" si="729"/>
        <v>3</v>
      </c>
      <c r="J5318">
        <f t="shared" si="725"/>
        <v>6</v>
      </c>
      <c r="K5318">
        <v>60</v>
      </c>
      <c r="L5318">
        <v>16</v>
      </c>
      <c r="M5318">
        <v>3.75</v>
      </c>
      <c r="N5318">
        <v>3.42</v>
      </c>
      <c r="O5318">
        <v>0</v>
      </c>
      <c r="P5318">
        <v>3</v>
      </c>
      <c r="Q5318" t="s">
        <v>563</v>
      </c>
      <c r="R5318" s="8" t="s">
        <v>260</v>
      </c>
      <c r="S5318" t="str">
        <f t="shared" si="728"/>
        <v>PA</v>
      </c>
    </row>
    <row r="5319" spans="1:19" x14ac:dyDescent="0.3">
      <c r="A5319" t="s">
        <v>8</v>
      </c>
      <c r="B5319" t="s">
        <v>321</v>
      </c>
      <c r="C5319" t="s">
        <v>322</v>
      </c>
      <c r="E5319" t="s">
        <v>266</v>
      </c>
      <c r="F5319" s="1" t="s">
        <v>91</v>
      </c>
      <c r="G5319">
        <v>2</v>
      </c>
      <c r="H5319" t="s">
        <v>438</v>
      </c>
      <c r="I5319" s="4">
        <f t="shared" si="729"/>
        <v>3</v>
      </c>
      <c r="J5319">
        <f t="shared" si="725"/>
        <v>6</v>
      </c>
      <c r="K5319">
        <v>224</v>
      </c>
      <c r="L5319">
        <v>66</v>
      </c>
      <c r="M5319">
        <v>3.47</v>
      </c>
      <c r="N5319">
        <v>3.42</v>
      </c>
      <c r="O5319">
        <v>0</v>
      </c>
      <c r="P5319">
        <v>1</v>
      </c>
      <c r="Q5319" s="4" t="str">
        <f>IF(P5319=1,"2016/2017-Ganjil",IF(P5319=2,"2016/2017-Genap",IF(P5319=3,"2017/2018-Ganjil",IF(P5319=4,"2017/2018-Genap",IF(P5319=5,"2018/2019-Ganjil",IF(P5319=6,"2018/2019-Genap",IF(P5319=7,"2019/2020-Ganjil",IF(P5319=8,"2019/2020-Genap",IF(P5319=9,"2020/2021-Ganjil",IF(P5319=10,"2020/2021-Genap",IF(P5319=11,"2021/2022-Ganjil",IF(P5319=12,"2021/2022-Genap",IF(P5319=13,"2022/2023-Ganjil","2022/2023-Genap")))))))))))))</f>
        <v>2016/2017-Ganjil</v>
      </c>
      <c r="R5319" s="8" t="s">
        <v>260</v>
      </c>
      <c r="S5319" t="str">
        <f t="shared" si="728"/>
        <v>PA</v>
      </c>
    </row>
    <row r="5320" spans="1:19" x14ac:dyDescent="0.3">
      <c r="A5320" t="s">
        <v>8</v>
      </c>
      <c r="B5320" t="s">
        <v>321</v>
      </c>
      <c r="C5320" t="s">
        <v>322</v>
      </c>
      <c r="E5320" t="s">
        <v>401</v>
      </c>
      <c r="F5320" t="s">
        <v>258</v>
      </c>
      <c r="G5320">
        <v>4</v>
      </c>
      <c r="H5320" t="s">
        <v>438</v>
      </c>
      <c r="I5320" s="4">
        <f t="shared" si="729"/>
        <v>3</v>
      </c>
      <c r="J5320">
        <f t="shared" si="725"/>
        <v>12</v>
      </c>
      <c r="K5320">
        <v>104</v>
      </c>
      <c r="L5320">
        <v>30</v>
      </c>
      <c r="M5320">
        <v>3.47</v>
      </c>
      <c r="N5320">
        <v>3.42</v>
      </c>
      <c r="O5320">
        <v>0</v>
      </c>
      <c r="P5320">
        <v>1</v>
      </c>
      <c r="Q5320" s="4" t="str">
        <f>IF(P5320=1,"2016/2017-Ganjil",IF(P5320=2,"2016/2017-Genap",IF(P5320=3,"2017/2018-Ganjil",IF(P5320=4,"2017/2018-Genap",IF(P5320=5,"2018/2019-Ganjil",IF(P5320=6,"2018/2019-Genap",IF(P5320=7,"2019/2020-Ganjil",IF(P5320=8,"2019/2020-Genap",IF(P5320=9,"2020/2021-Ganjil",IF(P5320=10,"2020/2021-Genap",IF(P5320=11,"2021/2022-Ganjil",IF(P5320=12,"2021/2022-Genap",IF(P5320=13,"2022/2023-Ganjil","2022/2023-Genap")))))))))))))</f>
        <v>2016/2017-Ganjil</v>
      </c>
      <c r="R5320" s="8" t="s">
        <v>260</v>
      </c>
      <c r="S5320" t="str">
        <f t="shared" si="728"/>
        <v>PA</v>
      </c>
    </row>
    <row r="5321" spans="1:19" x14ac:dyDescent="0.3">
      <c r="A5321" t="s">
        <v>8</v>
      </c>
      <c r="B5321" t="s">
        <v>321</v>
      </c>
      <c r="C5321" t="s">
        <v>322</v>
      </c>
      <c r="E5321" t="s">
        <v>112</v>
      </c>
      <c r="F5321" s="1" t="s">
        <v>487</v>
      </c>
      <c r="G5321">
        <v>4</v>
      </c>
      <c r="H5321" t="s">
        <v>438</v>
      </c>
      <c r="I5321" s="4">
        <f t="shared" si="729"/>
        <v>3</v>
      </c>
      <c r="J5321">
        <f t="shared" si="725"/>
        <v>12</v>
      </c>
      <c r="K5321">
        <v>224</v>
      </c>
      <c r="L5321">
        <v>66</v>
      </c>
      <c r="M5321">
        <v>3.47</v>
      </c>
      <c r="N5321">
        <v>3.42</v>
      </c>
      <c r="O5321">
        <v>0</v>
      </c>
      <c r="P5321">
        <v>1</v>
      </c>
      <c r="Q5321" s="4" t="str">
        <f>IF(P5321=1,"2016/2017-Ganjil",IF(P5321=2,"2016/2017-Genap",IF(P5321=3,"2017/2018-Ganjil",IF(P5321=4,"2017/2018-Genap",IF(P5321=5,"2018/2019-Ganjil",IF(P5321=6,"2018/2019-Genap",IF(P5321=7,"2019/2020-Ganjil",IF(P5321=8,"2019/2020-Genap",IF(P5321=9,"2020/2021-Ganjil",IF(P5321=10,"2020/2021-Genap",IF(P5321=11,"2021/2022-Ganjil",IF(P5321=12,"2021/2022-Genap",IF(P5321=13,"2022/2023-Ganjil","2022/2023-Genap")))))))))))))</f>
        <v>2016/2017-Ganjil</v>
      </c>
      <c r="R5321" s="8" t="s">
        <v>260</v>
      </c>
      <c r="S5321" t="str">
        <f t="shared" si="728"/>
        <v>PA</v>
      </c>
    </row>
    <row r="5322" spans="1:19" x14ac:dyDescent="0.3">
      <c r="A5322" t="s">
        <v>8</v>
      </c>
      <c r="B5322" t="s">
        <v>321</v>
      </c>
      <c r="C5322" t="s">
        <v>322</v>
      </c>
      <c r="E5322" t="s">
        <v>193</v>
      </c>
      <c r="F5322" t="s">
        <v>194</v>
      </c>
      <c r="G5322">
        <v>4</v>
      </c>
      <c r="H5322" t="s">
        <v>438</v>
      </c>
      <c r="I5322" s="4">
        <f t="shared" si="729"/>
        <v>3</v>
      </c>
      <c r="J5322">
        <f t="shared" si="725"/>
        <v>12</v>
      </c>
      <c r="K5322">
        <v>104</v>
      </c>
      <c r="L5322">
        <v>30</v>
      </c>
      <c r="M5322">
        <v>3.47</v>
      </c>
      <c r="N5322">
        <v>3.42</v>
      </c>
      <c r="O5322">
        <v>0</v>
      </c>
      <c r="P5322">
        <v>1</v>
      </c>
      <c r="Q5322" s="4" t="str">
        <f>IF(P5322=1,"2016/2017-Ganjil",IF(P5322=2,"2016/2017-Genap",IF(P5322=3,"2017/2018-Ganjil",IF(P5322=4,"2017/2018-Genap",IF(P5322=5,"2018/2019-Ganjil",IF(P5322=6,"2018/2019-Genap",IF(P5322=7,"2019/2020-Ganjil",IF(P5322=8,"2019/2020-Genap",IF(P5322=9,"2020/2021-Ganjil",IF(P5322=10,"2020/2021-Genap",IF(P5322=11,"2021/2022-Ganjil",IF(P5322=12,"2021/2022-Genap",IF(P5322=13,"2022/2023-Ganjil","2022/2023-Genap")))))))))))))</f>
        <v>2016/2017-Ganjil</v>
      </c>
      <c r="R5322" s="8" t="s">
        <v>260</v>
      </c>
      <c r="S5322" t="str">
        <f t="shared" si="728"/>
        <v>PA</v>
      </c>
    </row>
    <row r="5323" spans="1:19" x14ac:dyDescent="0.3">
      <c r="A5323" t="s">
        <v>8</v>
      </c>
      <c r="B5323" t="s">
        <v>321</v>
      </c>
      <c r="C5323" t="s">
        <v>322</v>
      </c>
      <c r="E5323" t="s">
        <v>19</v>
      </c>
      <c r="F5323" t="s">
        <v>20</v>
      </c>
      <c r="G5323">
        <v>6</v>
      </c>
      <c r="H5323" t="s">
        <v>438</v>
      </c>
      <c r="I5323" s="4">
        <f t="shared" si="729"/>
        <v>3</v>
      </c>
      <c r="J5323">
        <f t="shared" si="725"/>
        <v>18</v>
      </c>
      <c r="K5323">
        <v>50</v>
      </c>
      <c r="L5323">
        <v>14</v>
      </c>
      <c r="M5323">
        <v>3.57</v>
      </c>
      <c r="N5323">
        <v>3.42</v>
      </c>
      <c r="O5323">
        <v>0</v>
      </c>
      <c r="P5323">
        <v>4</v>
      </c>
      <c r="Q5323" t="s">
        <v>565</v>
      </c>
      <c r="R5323" t="s">
        <v>596</v>
      </c>
      <c r="S5323" t="str">
        <f t="shared" si="728"/>
        <v>PA</v>
      </c>
    </row>
    <row r="5324" spans="1:19" x14ac:dyDescent="0.3">
      <c r="A5324" t="s">
        <v>8</v>
      </c>
      <c r="B5324" t="s">
        <v>321</v>
      </c>
      <c r="C5324" t="s">
        <v>322</v>
      </c>
      <c r="E5324" t="s">
        <v>238</v>
      </c>
      <c r="F5324" t="s">
        <v>239</v>
      </c>
      <c r="G5324">
        <v>4</v>
      </c>
      <c r="H5324" t="s">
        <v>438</v>
      </c>
      <c r="I5324" s="4">
        <f t="shared" si="729"/>
        <v>3</v>
      </c>
      <c r="J5324">
        <f t="shared" si="725"/>
        <v>12</v>
      </c>
      <c r="K5324">
        <v>56</v>
      </c>
      <c r="L5324">
        <v>18</v>
      </c>
      <c r="M5324">
        <v>3.11</v>
      </c>
      <c r="N5324">
        <v>3.42</v>
      </c>
      <c r="O5324">
        <v>0</v>
      </c>
      <c r="P5324">
        <v>2</v>
      </c>
      <c r="Q5324" t="s">
        <v>559</v>
      </c>
      <c r="R5324" s="8" t="s">
        <v>260</v>
      </c>
      <c r="S5324" t="str">
        <f t="shared" si="728"/>
        <v>PA</v>
      </c>
    </row>
    <row r="5325" spans="1:19" x14ac:dyDescent="0.3">
      <c r="A5325" t="s">
        <v>8</v>
      </c>
      <c r="B5325" t="s">
        <v>321</v>
      </c>
      <c r="C5325" t="s">
        <v>322</v>
      </c>
      <c r="E5325" t="s">
        <v>369</v>
      </c>
      <c r="F5325" s="1" t="s">
        <v>307</v>
      </c>
      <c r="G5325">
        <v>2</v>
      </c>
      <c r="H5325" t="s">
        <v>438</v>
      </c>
      <c r="I5325" s="4">
        <f t="shared" si="729"/>
        <v>3</v>
      </c>
      <c r="J5325">
        <f t="shared" si="725"/>
        <v>6</v>
      </c>
      <c r="K5325">
        <v>224</v>
      </c>
      <c r="L5325">
        <v>66</v>
      </c>
      <c r="M5325">
        <v>3.47</v>
      </c>
      <c r="N5325">
        <v>3.42</v>
      </c>
      <c r="O5325">
        <v>0</v>
      </c>
      <c r="P5325">
        <v>1</v>
      </c>
      <c r="Q5325" s="4" t="str">
        <f>IF(P5325=1,"2016/2017-Ganjil",IF(P5325=2,"2016/2017-Genap",IF(P5325=3,"2017/2018-Ganjil",IF(P5325=4,"2017/2018-Genap",IF(P5325=5,"2018/2019-Ganjil",IF(P5325=6,"2018/2019-Genap",IF(P5325=7,"2019/2020-Ganjil",IF(P5325=8,"2019/2020-Genap",IF(P5325=9,"2020/2021-Ganjil",IF(P5325=10,"2020/2021-Genap",IF(P5325=11,"2021/2022-Ganjil",IF(P5325=12,"2021/2022-Genap",IF(P5325=13,"2022/2023-Ganjil","2022/2023-Genap")))))))))))))</f>
        <v>2016/2017-Ganjil</v>
      </c>
      <c r="R5325" s="8" t="s">
        <v>260</v>
      </c>
      <c r="S5325" t="str">
        <f t="shared" si="728"/>
        <v>PA</v>
      </c>
    </row>
    <row r="5326" spans="1:19" x14ac:dyDescent="0.3">
      <c r="A5326" t="s">
        <v>8</v>
      </c>
      <c r="B5326" t="s">
        <v>321</v>
      </c>
      <c r="C5326" t="s">
        <v>322</v>
      </c>
      <c r="E5326" t="s">
        <v>80</v>
      </c>
      <c r="F5326" t="s">
        <v>81</v>
      </c>
      <c r="G5326">
        <v>4</v>
      </c>
      <c r="H5326" t="s">
        <v>438</v>
      </c>
      <c r="I5326" s="4">
        <f t="shared" si="729"/>
        <v>3</v>
      </c>
      <c r="J5326">
        <f t="shared" si="725"/>
        <v>12</v>
      </c>
      <c r="K5326">
        <v>56</v>
      </c>
      <c r="L5326">
        <v>18</v>
      </c>
      <c r="M5326">
        <v>3.11</v>
      </c>
      <c r="N5326">
        <v>3.42</v>
      </c>
      <c r="O5326">
        <v>0</v>
      </c>
      <c r="P5326">
        <v>2</v>
      </c>
      <c r="Q5326" t="s">
        <v>559</v>
      </c>
      <c r="R5326" s="8" t="s">
        <v>260</v>
      </c>
      <c r="S5326" t="str">
        <f t="shared" si="728"/>
        <v>PA</v>
      </c>
    </row>
    <row r="5327" spans="1:19" x14ac:dyDescent="0.3">
      <c r="A5327" t="s">
        <v>8</v>
      </c>
      <c r="B5327" t="s">
        <v>321</v>
      </c>
      <c r="C5327" t="s">
        <v>322</v>
      </c>
      <c r="E5327" t="s">
        <v>163</v>
      </c>
      <c r="F5327" t="s">
        <v>164</v>
      </c>
      <c r="G5327">
        <v>2</v>
      </c>
      <c r="H5327" t="s">
        <v>438</v>
      </c>
      <c r="I5327" s="4">
        <f t="shared" si="729"/>
        <v>3</v>
      </c>
      <c r="J5327">
        <f t="shared" si="725"/>
        <v>6</v>
      </c>
      <c r="K5327">
        <v>104</v>
      </c>
      <c r="L5327">
        <v>30</v>
      </c>
      <c r="M5327">
        <v>3.47</v>
      </c>
      <c r="N5327">
        <v>3.42</v>
      </c>
      <c r="O5327">
        <v>0</v>
      </c>
      <c r="P5327">
        <v>1</v>
      </c>
      <c r="Q5327" s="4" t="str">
        <f>IF(P5327=1,"2016/2017-Ganjil",IF(P5327=2,"2016/2017-Genap",IF(P5327=3,"2017/2018-Ganjil",IF(P5327=4,"2017/2018-Genap",IF(P5327=5,"2018/2019-Ganjil",IF(P5327=6,"2018/2019-Genap",IF(P5327=7,"2019/2020-Ganjil",IF(P5327=8,"2019/2020-Genap",IF(P5327=9,"2020/2021-Ganjil",IF(P5327=10,"2020/2021-Genap",IF(P5327=11,"2021/2022-Ganjil",IF(P5327=12,"2021/2022-Genap",IF(P5327=13,"2022/2023-Ganjil","2022/2023-Genap")))))))))))))</f>
        <v>2016/2017-Ganjil</v>
      </c>
      <c r="R5327" s="8" t="s">
        <v>260</v>
      </c>
      <c r="S5327" t="str">
        <f t="shared" si="728"/>
        <v>PA</v>
      </c>
    </row>
    <row r="5328" spans="1:19" x14ac:dyDescent="0.3">
      <c r="A5328" t="s">
        <v>8</v>
      </c>
      <c r="B5328" t="s">
        <v>321</v>
      </c>
      <c r="C5328" t="s">
        <v>322</v>
      </c>
      <c r="E5328" t="s">
        <v>110</v>
      </c>
      <c r="F5328" s="1" t="s">
        <v>111</v>
      </c>
      <c r="G5328">
        <v>4</v>
      </c>
      <c r="H5328" t="s">
        <v>438</v>
      </c>
      <c r="I5328" s="4">
        <f t="shared" si="729"/>
        <v>3</v>
      </c>
      <c r="J5328">
        <f t="shared" si="725"/>
        <v>12</v>
      </c>
      <c r="K5328">
        <v>224</v>
      </c>
      <c r="L5328">
        <v>66</v>
      </c>
      <c r="M5328">
        <v>3.47</v>
      </c>
      <c r="N5328">
        <v>3.42</v>
      </c>
      <c r="O5328">
        <v>0</v>
      </c>
      <c r="P5328">
        <v>1</v>
      </c>
      <c r="Q5328" s="4" t="str">
        <f>IF(P5328=1,"2016/2017-Ganjil",IF(P5328=2,"2016/2017-Genap",IF(P5328=3,"2017/2018-Ganjil",IF(P5328=4,"2017/2018-Genap",IF(P5328=5,"2018/2019-Ganjil",IF(P5328=6,"2018/2019-Genap",IF(P5328=7,"2019/2020-Ganjil",IF(P5328=8,"2019/2020-Genap",IF(P5328=9,"2020/2021-Ganjil",IF(P5328=10,"2020/2021-Genap",IF(P5328=11,"2021/2022-Ganjil",IF(P5328=12,"2021/2022-Genap",IF(P5328=13,"2022/2023-Ganjil","2022/2023-Genap")))))))))))))</f>
        <v>2016/2017-Ganjil</v>
      </c>
      <c r="R5328" s="8" t="s">
        <v>260</v>
      </c>
      <c r="S5328" t="str">
        <f t="shared" si="728"/>
        <v>PA</v>
      </c>
    </row>
    <row r="5329" spans="1:19" x14ac:dyDescent="0.3">
      <c r="A5329" t="s">
        <v>8</v>
      </c>
      <c r="B5329" t="s">
        <v>321</v>
      </c>
      <c r="C5329" t="s">
        <v>322</v>
      </c>
      <c r="E5329" t="s">
        <v>449</v>
      </c>
      <c r="F5329" t="s">
        <v>460</v>
      </c>
      <c r="G5329">
        <v>4</v>
      </c>
      <c r="H5329" t="s">
        <v>438</v>
      </c>
      <c r="I5329" s="4">
        <f t="shared" si="729"/>
        <v>3</v>
      </c>
      <c r="J5329">
        <f t="shared" si="725"/>
        <v>12</v>
      </c>
      <c r="K5329">
        <v>56</v>
      </c>
      <c r="L5329">
        <v>18</v>
      </c>
      <c r="M5329">
        <v>3.11</v>
      </c>
      <c r="N5329">
        <v>3.42</v>
      </c>
      <c r="O5329">
        <v>0</v>
      </c>
      <c r="P5329">
        <v>2</v>
      </c>
      <c r="Q5329" s="4" t="str">
        <f>IF(P5329=1,"2016/2017-Ganjil",IF(P5329=2,"2016/2017-Genap",IF(P5329=3,"2017/2018-Ganjil",IF(P5329=4,"2017/2018-Genap",IF(P5329=5,"2018/2019-Ganjil",IF(P5329=6,"2018/2019-Genap",IF(P5329=7,"2019/2020-Ganjil",IF(P5329=8,"2019/2020-Genap",IF(P5329=9,"2020/2021-Ganjil",IF(P5329=10,"2020/2021-Genap",IF(P5329=11,"2021/2022-Ganjil",IF(P5329=12,"2021/2022-Genap",IF(P5329=13,"2022/2023-Ganjil","2022/2023-Genap")))))))))))))</f>
        <v>2016/2017-Genap</v>
      </c>
      <c r="R5329" s="8" t="s">
        <v>260</v>
      </c>
      <c r="S5329" t="str">
        <f t="shared" si="728"/>
        <v>PA</v>
      </c>
    </row>
    <row r="5330" spans="1:19" x14ac:dyDescent="0.3">
      <c r="A5330" t="s">
        <v>8</v>
      </c>
      <c r="B5330" t="s">
        <v>321</v>
      </c>
      <c r="C5330" t="s">
        <v>322</v>
      </c>
      <c r="E5330" t="s">
        <v>393</v>
      </c>
      <c r="F5330" t="s">
        <v>436</v>
      </c>
      <c r="G5330">
        <v>2</v>
      </c>
      <c r="H5330" t="s">
        <v>438</v>
      </c>
      <c r="I5330" s="4">
        <f t="shared" si="729"/>
        <v>3</v>
      </c>
      <c r="J5330">
        <f t="shared" si="725"/>
        <v>6</v>
      </c>
      <c r="K5330">
        <v>104</v>
      </c>
      <c r="L5330">
        <v>30</v>
      </c>
      <c r="M5330">
        <v>3.47</v>
      </c>
      <c r="N5330">
        <v>3.42</v>
      </c>
      <c r="O5330">
        <v>0</v>
      </c>
      <c r="P5330">
        <v>1</v>
      </c>
      <c r="Q5330" s="4" t="str">
        <f>IF(P5330=1,"2016/2017-Ganjil",IF(P5330=2,"2016/2017-Genap",IF(P5330=3,"2017/2018-Ganjil",IF(P5330=4,"2017/2018-Genap",IF(P5330=5,"2018/2019-Ganjil",IF(P5330=6,"2018/2019-Genap",IF(P5330=7,"2019/2020-Ganjil",IF(P5330=8,"2019/2020-Genap",IF(P5330=9,"2020/2021-Ganjil",IF(P5330=10,"2020/2021-Genap",IF(P5330=11,"2021/2022-Ganjil",IF(P5330=12,"2021/2022-Genap",IF(P5330=13,"2022/2023-Ganjil","2022/2023-Genap")))))))))))))</f>
        <v>2016/2017-Ganjil</v>
      </c>
      <c r="R5330" s="8" t="s">
        <v>260</v>
      </c>
      <c r="S5330" t="str">
        <f t="shared" si="728"/>
        <v>PA</v>
      </c>
    </row>
    <row r="5331" spans="1:19" x14ac:dyDescent="0.3">
      <c r="A5331" t="s">
        <v>8</v>
      </c>
      <c r="B5331" t="s">
        <v>321</v>
      </c>
      <c r="C5331" t="s">
        <v>322</v>
      </c>
      <c r="E5331" t="s">
        <v>131</v>
      </c>
      <c r="F5331" t="s">
        <v>132</v>
      </c>
      <c r="G5331">
        <v>2</v>
      </c>
      <c r="H5331" t="s">
        <v>260</v>
      </c>
      <c r="I5331" s="4">
        <f t="shared" si="729"/>
        <v>4</v>
      </c>
      <c r="J5331">
        <f t="shared" si="725"/>
        <v>8</v>
      </c>
      <c r="K5331">
        <v>60</v>
      </c>
      <c r="L5331">
        <v>16</v>
      </c>
      <c r="M5331">
        <v>3.75</v>
      </c>
      <c r="N5331">
        <v>3.42</v>
      </c>
      <c r="O5331">
        <v>0</v>
      </c>
      <c r="P5331">
        <v>3</v>
      </c>
      <c r="Q5331" t="s">
        <v>563</v>
      </c>
      <c r="R5331" s="8" t="s">
        <v>260</v>
      </c>
      <c r="S5331" t="str">
        <f t="shared" si="728"/>
        <v>PA</v>
      </c>
    </row>
    <row r="5332" spans="1:19" x14ac:dyDescent="0.3">
      <c r="A5332" t="s">
        <v>8</v>
      </c>
      <c r="B5332" t="s">
        <v>324</v>
      </c>
      <c r="C5332" t="s">
        <v>325</v>
      </c>
      <c r="E5332" t="s">
        <v>180</v>
      </c>
      <c r="F5332" t="s">
        <v>181</v>
      </c>
      <c r="G5332">
        <v>4</v>
      </c>
      <c r="H5332" t="s">
        <v>260</v>
      </c>
      <c r="I5332" s="4">
        <f t="shared" si="729"/>
        <v>4</v>
      </c>
      <c r="J5332">
        <f t="shared" si="725"/>
        <v>16</v>
      </c>
      <c r="K5332">
        <v>72</v>
      </c>
      <c r="L5332">
        <v>18</v>
      </c>
      <c r="M5332" s="2">
        <v>4</v>
      </c>
      <c r="N5332">
        <v>3.47</v>
      </c>
      <c r="O5332">
        <v>0</v>
      </c>
      <c r="P5332">
        <v>4</v>
      </c>
      <c r="Q5332" s="4" t="str">
        <f>IF(P5332=1,"2016/2017-Ganjil",IF(P5332=2,"2016/2017-Genap",IF(P5332=3,"2017/2018-Ganjil",IF(P5332=4,"2017/2018-Genap",IF(P5332=5,"2018/2019-Ganjil",IF(P5332=6,"2018/2019-Genap",IF(P5332=7,"2019/2020-Ganjil",IF(P5332=8,"2019/2020-Genap",IF(P5332=9,"2020/2021-Ganjil",IF(P5332=10,"2020/2021-Genap",IF(P5332=11,"2021/2022-Ganjil",IF(P5332=12,"2021/2022-Genap",IF(P5332=13,"2022/2023-Ganjil","2022/2023-Genap")))))))))))))</f>
        <v>2017/2018-Genap</v>
      </c>
      <c r="R5332" s="8" t="s">
        <v>260</v>
      </c>
      <c r="S5332" t="str">
        <f t="shared" si="728"/>
        <v>PA</v>
      </c>
    </row>
    <row r="5333" spans="1:19" x14ac:dyDescent="0.3">
      <c r="A5333" t="s">
        <v>8</v>
      </c>
      <c r="B5333" t="s">
        <v>324</v>
      </c>
      <c r="C5333" t="s">
        <v>325</v>
      </c>
      <c r="E5333" t="s">
        <v>253</v>
      </c>
      <c r="F5333" t="s">
        <v>254</v>
      </c>
      <c r="G5333">
        <v>2</v>
      </c>
      <c r="H5333" t="s">
        <v>260</v>
      </c>
      <c r="I5333" s="4">
        <f t="shared" si="729"/>
        <v>4</v>
      </c>
      <c r="J5333">
        <f t="shared" si="725"/>
        <v>8</v>
      </c>
      <c r="K5333">
        <v>72</v>
      </c>
      <c r="L5333">
        <v>18</v>
      </c>
      <c r="M5333" s="2">
        <v>4</v>
      </c>
      <c r="N5333">
        <v>3.47</v>
      </c>
      <c r="O5333">
        <v>0</v>
      </c>
      <c r="P5333">
        <v>4</v>
      </c>
      <c r="Q5333" s="4" t="str">
        <f>IF(P5333=1,"2016/2017-Ganjil",IF(P5333=2,"2016/2017-Genap",IF(P5333=3,"2017/2018-Ganjil",IF(P5333=4,"2017/2018-Genap",IF(P5333=5,"2018/2019-Ganjil",IF(P5333=6,"2018/2019-Genap",IF(P5333=7,"2019/2020-Ganjil",IF(P5333=8,"2019/2020-Genap",IF(P5333=9,"2020/2021-Ganjil",IF(P5333=10,"2020/2021-Genap",IF(P5333=11,"2021/2022-Ganjil",IF(P5333=12,"2021/2022-Genap",IF(P5333=13,"2022/2023-Ganjil","2022/2023-Genap")))))))))))))</f>
        <v>2017/2018-Genap</v>
      </c>
      <c r="R5333" s="8" t="s">
        <v>260</v>
      </c>
      <c r="S5333" t="str">
        <f t="shared" si="728"/>
        <v>PA</v>
      </c>
    </row>
    <row r="5334" spans="1:19" x14ac:dyDescent="0.3">
      <c r="A5334" t="s">
        <v>8</v>
      </c>
      <c r="B5334" t="s">
        <v>324</v>
      </c>
      <c r="C5334" t="s">
        <v>325</v>
      </c>
      <c r="E5334" t="s">
        <v>355</v>
      </c>
      <c r="F5334" t="s">
        <v>274</v>
      </c>
      <c r="G5334">
        <v>2</v>
      </c>
      <c r="H5334" t="s">
        <v>260</v>
      </c>
      <c r="I5334" s="4">
        <f t="shared" si="729"/>
        <v>4</v>
      </c>
      <c r="J5334">
        <f t="shared" si="725"/>
        <v>8</v>
      </c>
      <c r="K5334">
        <v>64</v>
      </c>
      <c r="L5334">
        <v>20</v>
      </c>
      <c r="M5334" s="2">
        <v>3.2</v>
      </c>
      <c r="N5334">
        <v>3.47</v>
      </c>
      <c r="O5334">
        <v>0</v>
      </c>
      <c r="P5334">
        <v>2</v>
      </c>
      <c r="Q5334" s="4" t="str">
        <f t="shared" ref="Q5334" si="733">IF(P5334=1,"2016/2017-Ganjil",IF(P5334=2,"2016/2017-Genap",IF(P5334=3,"2017/2018-Ganjil",IF(P5334=4,"2017/2018-Genap",IF(P5334=5,"2018/2019-Ganjil",IF(P5334=6,"2018/2019-Genap",IF(P5334=7,"2019/2020-Ganjil",IF(P5334=8,"2019/2020-Genap",IF(P5334=9,"2020/2021-Ganjil",IF(P5334=10,"2020/2021-Genap",IF(P5334=11,"2021/2022-Ganjil",IF(P5334=12,"2021/2022-Genap",IF(P5334=13,"2022/2023-Ganjil","2022/2023-Genap")))))))))))))</f>
        <v>2016/2017-Genap</v>
      </c>
      <c r="R5334" s="8" t="s">
        <v>260</v>
      </c>
      <c r="S5334" t="str">
        <f t="shared" si="728"/>
        <v>PA</v>
      </c>
    </row>
    <row r="5335" spans="1:19" x14ac:dyDescent="0.3">
      <c r="A5335" t="s">
        <v>8</v>
      </c>
      <c r="B5335" t="s">
        <v>324</v>
      </c>
      <c r="C5335" t="s">
        <v>325</v>
      </c>
      <c r="E5335" t="s">
        <v>119</v>
      </c>
      <c r="F5335" t="s">
        <v>120</v>
      </c>
      <c r="G5335">
        <v>2</v>
      </c>
      <c r="H5335" t="s">
        <v>260</v>
      </c>
      <c r="I5335" s="4">
        <f t="shared" si="729"/>
        <v>4</v>
      </c>
      <c r="J5335">
        <f t="shared" si="725"/>
        <v>8</v>
      </c>
      <c r="K5335">
        <v>72</v>
      </c>
      <c r="L5335">
        <v>18</v>
      </c>
      <c r="M5335" s="2">
        <v>4</v>
      </c>
      <c r="N5335">
        <v>3.47</v>
      </c>
      <c r="O5335">
        <v>0</v>
      </c>
      <c r="P5335">
        <v>4</v>
      </c>
      <c r="Q5335" s="4" t="str">
        <f t="shared" ref="Q5335:Q5364" si="734">IF(P5335=1,"2016/2017-Ganjil",IF(P5335=2,"2016/2017-Genap",IF(P5335=3,"2017/2018-Ganjil",IF(P5335=4,"2017/2018-Genap",IF(P5335=5,"2018/2019-Ganjil",IF(P5335=6,"2018/2019-Genap",IF(P5335=7,"2019/2020-Ganjil",IF(P5335=8,"2019/2020-Genap",IF(P5335=9,"2020/2021-Ganjil",IF(P5335=10,"2020/2021-Genap",IF(P5335=11,"2021/2022-Ganjil",IF(P5335=12,"2021/2022-Genap",IF(P5335=13,"2022/2023-Ganjil","2022/2023-Genap")))))))))))))</f>
        <v>2017/2018-Genap</v>
      </c>
      <c r="R5335" s="8" t="s">
        <v>260</v>
      </c>
      <c r="S5335" t="str">
        <f t="shared" si="728"/>
        <v>PA</v>
      </c>
    </row>
    <row r="5336" spans="1:19" x14ac:dyDescent="0.3">
      <c r="A5336" t="s">
        <v>8</v>
      </c>
      <c r="B5336" t="s">
        <v>324</v>
      </c>
      <c r="C5336" t="s">
        <v>325</v>
      </c>
      <c r="E5336" t="s">
        <v>136</v>
      </c>
      <c r="F5336" s="1" t="s">
        <v>137</v>
      </c>
      <c r="G5336">
        <v>4</v>
      </c>
      <c r="H5336" t="s">
        <v>260</v>
      </c>
      <c r="I5336" s="4">
        <f t="shared" si="729"/>
        <v>4</v>
      </c>
      <c r="J5336">
        <f t="shared" si="725"/>
        <v>16</v>
      </c>
      <c r="K5336">
        <v>178</v>
      </c>
      <c r="L5336">
        <v>52</v>
      </c>
      <c r="M5336">
        <v>3.58</v>
      </c>
      <c r="N5336">
        <v>3.47</v>
      </c>
      <c r="O5336">
        <v>0</v>
      </c>
      <c r="P5336">
        <v>1</v>
      </c>
      <c r="Q5336" s="4" t="str">
        <f t="shared" si="734"/>
        <v>2016/2017-Ganjil</v>
      </c>
      <c r="R5336" s="8" t="s">
        <v>260</v>
      </c>
      <c r="S5336" t="str">
        <f t="shared" si="728"/>
        <v>PA</v>
      </c>
    </row>
    <row r="5337" spans="1:19" x14ac:dyDescent="0.3">
      <c r="A5337" t="s">
        <v>8</v>
      </c>
      <c r="B5337" t="s">
        <v>324</v>
      </c>
      <c r="C5337" t="s">
        <v>325</v>
      </c>
      <c r="E5337" t="s">
        <v>238</v>
      </c>
      <c r="F5337" s="1" t="s">
        <v>239</v>
      </c>
      <c r="G5337">
        <v>4</v>
      </c>
      <c r="H5337" t="s">
        <v>260</v>
      </c>
      <c r="I5337" s="4">
        <f t="shared" si="729"/>
        <v>4</v>
      </c>
      <c r="J5337">
        <f t="shared" si="725"/>
        <v>16</v>
      </c>
      <c r="K5337">
        <v>178</v>
      </c>
      <c r="L5337">
        <v>52</v>
      </c>
      <c r="M5337">
        <v>3.58</v>
      </c>
      <c r="N5337">
        <v>3.47</v>
      </c>
      <c r="O5337">
        <v>0</v>
      </c>
      <c r="P5337">
        <v>1</v>
      </c>
      <c r="Q5337" s="4" t="str">
        <f t="shared" si="734"/>
        <v>2016/2017-Ganjil</v>
      </c>
      <c r="R5337" s="8" t="s">
        <v>260</v>
      </c>
      <c r="S5337" t="str">
        <f t="shared" si="728"/>
        <v>PA</v>
      </c>
    </row>
    <row r="5338" spans="1:19" x14ac:dyDescent="0.3">
      <c r="A5338" t="s">
        <v>8</v>
      </c>
      <c r="B5338" t="s">
        <v>324</v>
      </c>
      <c r="C5338" t="s">
        <v>325</v>
      </c>
      <c r="E5338" t="s">
        <v>597</v>
      </c>
      <c r="F5338" t="s">
        <v>275</v>
      </c>
      <c r="G5338">
        <v>2</v>
      </c>
      <c r="H5338" t="s">
        <v>260</v>
      </c>
      <c r="I5338" s="4">
        <f t="shared" si="729"/>
        <v>4</v>
      </c>
      <c r="J5338">
        <f t="shared" si="725"/>
        <v>8</v>
      </c>
      <c r="K5338">
        <v>72</v>
      </c>
      <c r="L5338">
        <v>18</v>
      </c>
      <c r="M5338" s="2">
        <v>4</v>
      </c>
      <c r="N5338">
        <v>3.47</v>
      </c>
      <c r="O5338">
        <v>0</v>
      </c>
      <c r="P5338">
        <v>4</v>
      </c>
      <c r="Q5338" s="4" t="str">
        <f t="shared" si="734"/>
        <v>2017/2018-Genap</v>
      </c>
      <c r="R5338" s="8" t="s">
        <v>260</v>
      </c>
      <c r="S5338" t="str">
        <f t="shared" si="728"/>
        <v>PA</v>
      </c>
    </row>
    <row r="5339" spans="1:19" x14ac:dyDescent="0.3">
      <c r="A5339" t="s">
        <v>8</v>
      </c>
      <c r="B5339" t="s">
        <v>324</v>
      </c>
      <c r="C5339" t="s">
        <v>325</v>
      </c>
      <c r="E5339" t="s">
        <v>163</v>
      </c>
      <c r="F5339" s="1" t="s">
        <v>164</v>
      </c>
      <c r="G5339">
        <v>2</v>
      </c>
      <c r="H5339" t="s">
        <v>260</v>
      </c>
      <c r="I5339" s="4">
        <f t="shared" si="729"/>
        <v>4</v>
      </c>
      <c r="J5339">
        <f t="shared" si="725"/>
        <v>8</v>
      </c>
      <c r="K5339">
        <v>178</v>
      </c>
      <c r="L5339">
        <v>52</v>
      </c>
      <c r="M5339">
        <v>3.58</v>
      </c>
      <c r="N5339">
        <v>3.47</v>
      </c>
      <c r="O5339">
        <v>0</v>
      </c>
      <c r="P5339">
        <v>1</v>
      </c>
      <c r="Q5339" s="4" t="str">
        <f t="shared" si="734"/>
        <v>2016/2017-Ganjil</v>
      </c>
      <c r="R5339" s="8" t="s">
        <v>260</v>
      </c>
      <c r="S5339" t="str">
        <f t="shared" si="728"/>
        <v>PA</v>
      </c>
    </row>
    <row r="5340" spans="1:19" x14ac:dyDescent="0.3">
      <c r="A5340" t="s">
        <v>8</v>
      </c>
      <c r="B5340" t="s">
        <v>324</v>
      </c>
      <c r="C5340" t="s">
        <v>325</v>
      </c>
      <c r="E5340" t="s">
        <v>391</v>
      </c>
      <c r="F5340" t="s">
        <v>392</v>
      </c>
      <c r="G5340">
        <v>2</v>
      </c>
      <c r="H5340" t="s">
        <v>260</v>
      </c>
      <c r="I5340" s="4">
        <f t="shared" si="729"/>
        <v>4</v>
      </c>
      <c r="J5340">
        <f t="shared" si="725"/>
        <v>8</v>
      </c>
      <c r="K5340">
        <v>54</v>
      </c>
      <c r="L5340">
        <v>16</v>
      </c>
      <c r="M5340">
        <v>3.38</v>
      </c>
      <c r="N5340">
        <v>3.47</v>
      </c>
      <c r="O5340">
        <v>0</v>
      </c>
      <c r="P5340">
        <v>5</v>
      </c>
      <c r="Q5340" s="4" t="str">
        <f t="shared" si="734"/>
        <v>2018/2019-Ganjil</v>
      </c>
      <c r="R5340" t="s">
        <v>596</v>
      </c>
      <c r="S5340" t="str">
        <f t="shared" si="728"/>
        <v>PA</v>
      </c>
    </row>
    <row r="5341" spans="1:19" x14ac:dyDescent="0.3">
      <c r="A5341" t="s">
        <v>8</v>
      </c>
      <c r="B5341" t="s">
        <v>324</v>
      </c>
      <c r="C5341" t="s">
        <v>325</v>
      </c>
      <c r="E5341" t="s">
        <v>105</v>
      </c>
      <c r="F5341" t="s">
        <v>106</v>
      </c>
      <c r="G5341">
        <v>2</v>
      </c>
      <c r="H5341" t="s">
        <v>260</v>
      </c>
      <c r="I5341" s="4">
        <f t="shared" si="729"/>
        <v>4</v>
      </c>
      <c r="J5341">
        <f t="shared" si="725"/>
        <v>8</v>
      </c>
      <c r="K5341">
        <v>86</v>
      </c>
      <c r="L5341">
        <v>24</v>
      </c>
      <c r="M5341">
        <v>3.58</v>
      </c>
      <c r="N5341">
        <v>3.47</v>
      </c>
      <c r="O5341">
        <v>0</v>
      </c>
      <c r="P5341">
        <v>1</v>
      </c>
      <c r="Q5341" s="4" t="str">
        <f t="shared" si="734"/>
        <v>2016/2017-Ganjil</v>
      </c>
      <c r="R5341" s="8" t="s">
        <v>260</v>
      </c>
      <c r="S5341" t="str">
        <f t="shared" si="728"/>
        <v>PA</v>
      </c>
    </row>
    <row r="5342" spans="1:19" x14ac:dyDescent="0.3">
      <c r="A5342" t="s">
        <v>8</v>
      </c>
      <c r="B5342" t="s">
        <v>324</v>
      </c>
      <c r="C5342" t="s">
        <v>325</v>
      </c>
      <c r="E5342" t="s">
        <v>250</v>
      </c>
      <c r="F5342" s="1" t="s">
        <v>410</v>
      </c>
      <c r="G5342">
        <v>2</v>
      </c>
      <c r="H5342" t="s">
        <v>260</v>
      </c>
      <c r="I5342" s="4">
        <f t="shared" si="729"/>
        <v>4</v>
      </c>
      <c r="J5342">
        <f t="shared" si="725"/>
        <v>8</v>
      </c>
      <c r="K5342">
        <v>178</v>
      </c>
      <c r="L5342">
        <v>52</v>
      </c>
      <c r="M5342">
        <v>3.58</v>
      </c>
      <c r="N5342">
        <v>3.47</v>
      </c>
      <c r="O5342">
        <v>0</v>
      </c>
      <c r="P5342">
        <v>1</v>
      </c>
      <c r="Q5342" s="4" t="str">
        <f t="shared" si="734"/>
        <v>2016/2017-Ganjil</v>
      </c>
      <c r="R5342" s="8" t="s">
        <v>260</v>
      </c>
      <c r="S5342" t="str">
        <f t="shared" si="728"/>
        <v>PA</v>
      </c>
    </row>
    <row r="5343" spans="1:19" x14ac:dyDescent="0.3">
      <c r="A5343" t="s">
        <v>8</v>
      </c>
      <c r="B5343" t="s">
        <v>324</v>
      </c>
      <c r="C5343" t="s">
        <v>325</v>
      </c>
      <c r="E5343" t="s">
        <v>311</v>
      </c>
      <c r="F5343" t="s">
        <v>312</v>
      </c>
      <c r="G5343">
        <v>2</v>
      </c>
      <c r="H5343" t="s">
        <v>260</v>
      </c>
      <c r="I5343" s="4">
        <f t="shared" si="729"/>
        <v>4</v>
      </c>
      <c r="J5343">
        <f t="shared" si="725"/>
        <v>8</v>
      </c>
      <c r="K5343">
        <v>60</v>
      </c>
      <c r="L5343">
        <v>18</v>
      </c>
      <c r="M5343">
        <v>3.33</v>
      </c>
      <c r="N5343">
        <v>3.47</v>
      </c>
      <c r="O5343">
        <v>0</v>
      </c>
      <c r="P5343">
        <v>3</v>
      </c>
      <c r="Q5343" s="4" t="str">
        <f t="shared" si="734"/>
        <v>2017/2018-Ganjil</v>
      </c>
      <c r="R5343" s="8" t="s">
        <v>260</v>
      </c>
      <c r="S5343" t="str">
        <f t="shared" si="728"/>
        <v>PA</v>
      </c>
    </row>
    <row r="5344" spans="1:19" x14ac:dyDescent="0.3">
      <c r="A5344" t="s">
        <v>8</v>
      </c>
      <c r="B5344" t="s">
        <v>324</v>
      </c>
      <c r="C5344" t="s">
        <v>325</v>
      </c>
      <c r="E5344" t="s">
        <v>112</v>
      </c>
      <c r="F5344" t="s">
        <v>113</v>
      </c>
      <c r="G5344">
        <v>4</v>
      </c>
      <c r="H5344" t="s">
        <v>260</v>
      </c>
      <c r="I5344" s="4">
        <f t="shared" si="729"/>
        <v>4</v>
      </c>
      <c r="J5344">
        <f t="shared" si="725"/>
        <v>16</v>
      </c>
      <c r="K5344">
        <v>86</v>
      </c>
      <c r="L5344">
        <v>24</v>
      </c>
      <c r="M5344">
        <v>3.58</v>
      </c>
      <c r="N5344">
        <v>3.47</v>
      </c>
      <c r="O5344">
        <v>0</v>
      </c>
      <c r="P5344">
        <v>1</v>
      </c>
      <c r="Q5344" s="4" t="str">
        <f t="shared" si="734"/>
        <v>2016/2017-Ganjil</v>
      </c>
      <c r="R5344" s="8" t="s">
        <v>260</v>
      </c>
      <c r="S5344" t="str">
        <f t="shared" si="728"/>
        <v>PA</v>
      </c>
    </row>
    <row r="5345" spans="1:19" x14ac:dyDescent="0.3">
      <c r="A5345" t="s">
        <v>8</v>
      </c>
      <c r="B5345" t="s">
        <v>324</v>
      </c>
      <c r="C5345" t="s">
        <v>325</v>
      </c>
      <c r="E5345" t="s">
        <v>395</v>
      </c>
      <c r="F5345" t="s">
        <v>396</v>
      </c>
      <c r="G5345">
        <v>2</v>
      </c>
      <c r="H5345" t="s">
        <v>260</v>
      </c>
      <c r="I5345" s="4">
        <f t="shared" si="729"/>
        <v>4</v>
      </c>
      <c r="J5345">
        <f t="shared" ref="J5345:J5408" si="735">G5345*I5345</f>
        <v>8</v>
      </c>
      <c r="K5345">
        <v>86</v>
      </c>
      <c r="L5345">
        <v>24</v>
      </c>
      <c r="M5345">
        <v>3.58</v>
      </c>
      <c r="N5345">
        <v>3.47</v>
      </c>
      <c r="O5345">
        <v>0</v>
      </c>
      <c r="P5345">
        <v>1</v>
      </c>
      <c r="Q5345" s="4" t="str">
        <f t="shared" si="734"/>
        <v>2016/2017-Ganjil</v>
      </c>
      <c r="R5345" s="8" t="s">
        <v>260</v>
      </c>
      <c r="S5345" t="str">
        <f t="shared" si="728"/>
        <v>PA</v>
      </c>
    </row>
    <row r="5346" spans="1:19" x14ac:dyDescent="0.3">
      <c r="A5346" t="s">
        <v>8</v>
      </c>
      <c r="B5346" t="s">
        <v>324</v>
      </c>
      <c r="C5346" t="s">
        <v>325</v>
      </c>
      <c r="E5346" t="s">
        <v>22</v>
      </c>
      <c r="F5346" t="s">
        <v>23</v>
      </c>
      <c r="G5346">
        <v>2</v>
      </c>
      <c r="H5346" t="s">
        <v>260</v>
      </c>
      <c r="I5346" s="4">
        <f t="shared" si="729"/>
        <v>4</v>
      </c>
      <c r="J5346">
        <f t="shared" si="735"/>
        <v>8</v>
      </c>
      <c r="K5346">
        <v>72</v>
      </c>
      <c r="L5346">
        <v>18</v>
      </c>
      <c r="M5346" s="2">
        <v>4</v>
      </c>
      <c r="N5346">
        <v>3.47</v>
      </c>
      <c r="O5346">
        <v>0</v>
      </c>
      <c r="P5346">
        <v>4</v>
      </c>
      <c r="Q5346" s="4" t="str">
        <f t="shared" si="734"/>
        <v>2017/2018-Genap</v>
      </c>
      <c r="R5346" s="8" t="s">
        <v>260</v>
      </c>
      <c r="S5346" t="str">
        <f t="shared" si="728"/>
        <v>PA</v>
      </c>
    </row>
    <row r="5347" spans="1:19" x14ac:dyDescent="0.3">
      <c r="A5347" t="s">
        <v>8</v>
      </c>
      <c r="B5347" t="s">
        <v>324</v>
      </c>
      <c r="C5347" t="s">
        <v>325</v>
      </c>
      <c r="E5347" t="s">
        <v>369</v>
      </c>
      <c r="F5347" s="1" t="s">
        <v>307</v>
      </c>
      <c r="G5347">
        <v>2</v>
      </c>
      <c r="H5347" t="s">
        <v>260</v>
      </c>
      <c r="I5347" s="4">
        <f t="shared" si="729"/>
        <v>4</v>
      </c>
      <c r="J5347">
        <f t="shared" si="735"/>
        <v>8</v>
      </c>
      <c r="K5347">
        <v>178</v>
      </c>
      <c r="L5347">
        <v>52</v>
      </c>
      <c r="M5347">
        <v>3.58</v>
      </c>
      <c r="N5347">
        <v>3.47</v>
      </c>
      <c r="O5347">
        <v>0</v>
      </c>
      <c r="P5347">
        <v>1</v>
      </c>
      <c r="Q5347" s="4" t="str">
        <f t="shared" si="734"/>
        <v>2016/2017-Ganjil</v>
      </c>
      <c r="R5347" s="8" t="s">
        <v>260</v>
      </c>
      <c r="S5347" t="str">
        <f t="shared" si="728"/>
        <v>PA</v>
      </c>
    </row>
    <row r="5348" spans="1:19" x14ac:dyDescent="0.3">
      <c r="A5348" t="s">
        <v>8</v>
      </c>
      <c r="B5348" t="s">
        <v>324</v>
      </c>
      <c r="C5348" t="s">
        <v>325</v>
      </c>
      <c r="E5348" t="s">
        <v>216</v>
      </c>
      <c r="F5348" t="s">
        <v>217</v>
      </c>
      <c r="G5348">
        <v>2</v>
      </c>
      <c r="H5348" t="s">
        <v>260</v>
      </c>
      <c r="I5348" s="4">
        <f t="shared" si="729"/>
        <v>4</v>
      </c>
      <c r="J5348">
        <f t="shared" si="735"/>
        <v>8</v>
      </c>
      <c r="K5348">
        <v>72</v>
      </c>
      <c r="L5348">
        <v>18</v>
      </c>
      <c r="M5348" s="2">
        <v>4</v>
      </c>
      <c r="N5348">
        <v>3.47</v>
      </c>
      <c r="O5348">
        <v>0</v>
      </c>
      <c r="P5348">
        <v>4</v>
      </c>
      <c r="Q5348" s="4" t="str">
        <f t="shared" si="734"/>
        <v>2017/2018-Genap</v>
      </c>
      <c r="R5348" s="8" t="s">
        <v>260</v>
      </c>
      <c r="S5348" t="str">
        <f t="shared" si="728"/>
        <v>PA</v>
      </c>
    </row>
    <row r="5349" spans="1:19" x14ac:dyDescent="0.3">
      <c r="A5349" t="s">
        <v>8</v>
      </c>
      <c r="B5349" t="s">
        <v>324</v>
      </c>
      <c r="C5349" t="s">
        <v>325</v>
      </c>
      <c r="E5349" t="s">
        <v>182</v>
      </c>
      <c r="F5349" s="1" t="s">
        <v>171</v>
      </c>
      <c r="G5349">
        <v>2</v>
      </c>
      <c r="H5349" t="s">
        <v>260</v>
      </c>
      <c r="I5349" s="4">
        <f t="shared" si="729"/>
        <v>4</v>
      </c>
      <c r="J5349">
        <f t="shared" si="735"/>
        <v>8</v>
      </c>
      <c r="K5349">
        <v>178</v>
      </c>
      <c r="L5349">
        <v>52</v>
      </c>
      <c r="M5349">
        <v>3.58</v>
      </c>
      <c r="N5349">
        <v>3.47</v>
      </c>
      <c r="O5349">
        <v>0</v>
      </c>
      <c r="P5349">
        <v>1</v>
      </c>
      <c r="Q5349" s="4" t="str">
        <f t="shared" si="734"/>
        <v>2016/2017-Ganjil</v>
      </c>
      <c r="R5349" s="8" t="s">
        <v>260</v>
      </c>
      <c r="S5349" t="str">
        <f t="shared" si="728"/>
        <v>PA</v>
      </c>
    </row>
    <row r="5350" spans="1:19" x14ac:dyDescent="0.3">
      <c r="A5350" t="s">
        <v>8</v>
      </c>
      <c r="B5350" t="s">
        <v>324</v>
      </c>
      <c r="C5350" t="s">
        <v>325</v>
      </c>
      <c r="E5350" t="s">
        <v>87</v>
      </c>
      <c r="F5350" t="s">
        <v>88</v>
      </c>
      <c r="G5350">
        <v>2</v>
      </c>
      <c r="H5350" t="s">
        <v>260</v>
      </c>
      <c r="I5350" s="4">
        <f t="shared" si="729"/>
        <v>4</v>
      </c>
      <c r="J5350">
        <f t="shared" si="735"/>
        <v>8</v>
      </c>
      <c r="K5350">
        <v>72</v>
      </c>
      <c r="L5350">
        <v>18</v>
      </c>
      <c r="M5350" s="2">
        <v>4</v>
      </c>
      <c r="N5350">
        <v>3.47</v>
      </c>
      <c r="O5350">
        <v>0</v>
      </c>
      <c r="P5350">
        <v>4</v>
      </c>
      <c r="Q5350" s="4" t="str">
        <f t="shared" si="734"/>
        <v>2017/2018-Genap</v>
      </c>
      <c r="R5350" s="8" t="s">
        <v>260</v>
      </c>
      <c r="S5350" t="str">
        <f t="shared" si="728"/>
        <v>PA</v>
      </c>
    </row>
    <row r="5351" spans="1:19" x14ac:dyDescent="0.3">
      <c r="A5351" t="s">
        <v>8</v>
      </c>
      <c r="B5351" t="s">
        <v>324</v>
      </c>
      <c r="C5351" t="s">
        <v>325</v>
      </c>
      <c r="E5351" t="s">
        <v>424</v>
      </c>
      <c r="F5351" t="s">
        <v>166</v>
      </c>
      <c r="G5351">
        <v>2</v>
      </c>
      <c r="H5351" t="s">
        <v>260</v>
      </c>
      <c r="I5351" s="4">
        <f t="shared" si="729"/>
        <v>4</v>
      </c>
      <c r="J5351">
        <f t="shared" si="735"/>
        <v>8</v>
      </c>
      <c r="K5351">
        <v>64</v>
      </c>
      <c r="L5351">
        <v>20</v>
      </c>
      <c r="M5351" s="2">
        <v>3.2</v>
      </c>
      <c r="N5351">
        <v>3.47</v>
      </c>
      <c r="O5351">
        <v>0</v>
      </c>
      <c r="P5351">
        <v>2</v>
      </c>
      <c r="Q5351" s="4" t="str">
        <f t="shared" si="734"/>
        <v>2016/2017-Genap</v>
      </c>
      <c r="R5351" s="8" t="s">
        <v>260</v>
      </c>
      <c r="S5351" t="str">
        <f t="shared" si="728"/>
        <v>PA</v>
      </c>
    </row>
    <row r="5352" spans="1:19" x14ac:dyDescent="0.3">
      <c r="A5352" t="s">
        <v>8</v>
      </c>
      <c r="B5352" t="s">
        <v>324</v>
      </c>
      <c r="C5352" t="s">
        <v>325</v>
      </c>
      <c r="E5352" t="s">
        <v>362</v>
      </c>
      <c r="F5352" s="1" t="s">
        <v>363</v>
      </c>
      <c r="G5352">
        <v>2</v>
      </c>
      <c r="H5352" t="s">
        <v>260</v>
      </c>
      <c r="I5352" s="4">
        <f t="shared" si="729"/>
        <v>4</v>
      </c>
      <c r="J5352">
        <f t="shared" si="735"/>
        <v>8</v>
      </c>
      <c r="K5352">
        <v>178</v>
      </c>
      <c r="L5352">
        <v>52</v>
      </c>
      <c r="M5352">
        <v>3.58</v>
      </c>
      <c r="N5352">
        <v>3.47</v>
      </c>
      <c r="O5352">
        <v>0</v>
      </c>
      <c r="P5352">
        <v>1</v>
      </c>
      <c r="Q5352" s="4" t="str">
        <f t="shared" si="734"/>
        <v>2016/2017-Ganjil</v>
      </c>
      <c r="R5352" s="8" t="s">
        <v>260</v>
      </c>
      <c r="S5352" t="str">
        <f t="shared" si="728"/>
        <v>PA</v>
      </c>
    </row>
    <row r="5353" spans="1:19" x14ac:dyDescent="0.3">
      <c r="A5353" t="s">
        <v>8</v>
      </c>
      <c r="B5353" t="s">
        <v>324</v>
      </c>
      <c r="C5353" t="s">
        <v>325</v>
      </c>
      <c r="E5353" t="s">
        <v>255</v>
      </c>
      <c r="F5353" t="s">
        <v>429</v>
      </c>
      <c r="G5353">
        <v>2</v>
      </c>
      <c r="H5353" t="s">
        <v>260</v>
      </c>
      <c r="I5353" s="4">
        <f t="shared" si="729"/>
        <v>4</v>
      </c>
      <c r="J5353">
        <f t="shared" si="735"/>
        <v>8</v>
      </c>
      <c r="K5353">
        <v>72</v>
      </c>
      <c r="L5353">
        <v>18</v>
      </c>
      <c r="M5353" s="2">
        <v>4</v>
      </c>
      <c r="N5353">
        <v>3.47</v>
      </c>
      <c r="O5353">
        <v>0</v>
      </c>
      <c r="P5353">
        <v>4</v>
      </c>
      <c r="Q5353" s="4" t="str">
        <f t="shared" si="734"/>
        <v>2017/2018-Genap</v>
      </c>
      <c r="R5353" s="8" t="s">
        <v>260</v>
      </c>
      <c r="S5353" t="str">
        <f t="shared" si="728"/>
        <v>PA</v>
      </c>
    </row>
    <row r="5354" spans="1:19" x14ac:dyDescent="0.3">
      <c r="A5354" t="s">
        <v>8</v>
      </c>
      <c r="B5354" t="s">
        <v>324</v>
      </c>
      <c r="C5354" t="s">
        <v>325</v>
      </c>
      <c r="E5354" t="s">
        <v>176</v>
      </c>
      <c r="F5354" t="s">
        <v>177</v>
      </c>
      <c r="G5354">
        <v>4</v>
      </c>
      <c r="H5354" t="s">
        <v>260</v>
      </c>
      <c r="I5354" s="4">
        <f t="shared" si="729"/>
        <v>4</v>
      </c>
      <c r="J5354">
        <f t="shared" si="735"/>
        <v>16</v>
      </c>
      <c r="K5354">
        <v>54</v>
      </c>
      <c r="L5354">
        <v>16</v>
      </c>
      <c r="M5354">
        <v>3.38</v>
      </c>
      <c r="N5354">
        <v>3.47</v>
      </c>
      <c r="O5354">
        <v>0</v>
      </c>
      <c r="P5354">
        <v>5</v>
      </c>
      <c r="Q5354" s="4" t="str">
        <f t="shared" si="734"/>
        <v>2018/2019-Ganjil</v>
      </c>
      <c r="R5354" t="s">
        <v>596</v>
      </c>
      <c r="S5354" t="str">
        <f t="shared" si="728"/>
        <v>PA</v>
      </c>
    </row>
    <row r="5355" spans="1:19" x14ac:dyDescent="0.3">
      <c r="A5355" t="s">
        <v>8</v>
      </c>
      <c r="B5355" t="s">
        <v>324</v>
      </c>
      <c r="C5355" t="s">
        <v>325</v>
      </c>
      <c r="E5355" t="s">
        <v>157</v>
      </c>
      <c r="F5355" t="s">
        <v>158</v>
      </c>
      <c r="G5355">
        <v>2</v>
      </c>
      <c r="H5355" t="s">
        <v>260</v>
      </c>
      <c r="I5355" s="4">
        <f t="shared" si="729"/>
        <v>4</v>
      </c>
      <c r="J5355">
        <f t="shared" si="735"/>
        <v>8</v>
      </c>
      <c r="K5355">
        <v>86</v>
      </c>
      <c r="L5355">
        <v>24</v>
      </c>
      <c r="M5355">
        <v>3.58</v>
      </c>
      <c r="N5355">
        <v>3.47</v>
      </c>
      <c r="O5355">
        <v>0</v>
      </c>
      <c r="P5355">
        <v>1</v>
      </c>
      <c r="Q5355" s="4" t="str">
        <f t="shared" si="734"/>
        <v>2016/2017-Ganjil</v>
      </c>
      <c r="R5355" s="8" t="s">
        <v>260</v>
      </c>
      <c r="S5355" t="str">
        <f t="shared" si="728"/>
        <v>PA</v>
      </c>
    </row>
    <row r="5356" spans="1:19" x14ac:dyDescent="0.3">
      <c r="A5356" t="s">
        <v>8</v>
      </c>
      <c r="B5356" t="s">
        <v>324</v>
      </c>
      <c r="C5356" t="s">
        <v>325</v>
      </c>
      <c r="E5356" t="s">
        <v>185</v>
      </c>
      <c r="F5356" t="s">
        <v>186</v>
      </c>
      <c r="G5356">
        <v>4</v>
      </c>
      <c r="H5356" t="s">
        <v>260</v>
      </c>
      <c r="I5356" s="4">
        <f t="shared" si="729"/>
        <v>4</v>
      </c>
      <c r="J5356">
        <f t="shared" si="735"/>
        <v>16</v>
      </c>
      <c r="K5356">
        <v>60</v>
      </c>
      <c r="L5356">
        <v>18</v>
      </c>
      <c r="M5356">
        <v>3.33</v>
      </c>
      <c r="N5356">
        <v>3.47</v>
      </c>
      <c r="O5356">
        <v>0</v>
      </c>
      <c r="P5356">
        <v>3</v>
      </c>
      <c r="Q5356" s="4" t="str">
        <f t="shared" si="734"/>
        <v>2017/2018-Ganjil</v>
      </c>
      <c r="R5356" s="8" t="s">
        <v>260</v>
      </c>
      <c r="S5356" t="str">
        <f t="shared" si="728"/>
        <v>PA</v>
      </c>
    </row>
    <row r="5357" spans="1:19" x14ac:dyDescent="0.3">
      <c r="A5357" t="s">
        <v>8</v>
      </c>
      <c r="B5357" t="s">
        <v>324</v>
      </c>
      <c r="C5357" t="s">
        <v>325</v>
      </c>
      <c r="E5357" t="s">
        <v>93</v>
      </c>
      <c r="F5357" t="s">
        <v>94</v>
      </c>
      <c r="G5357">
        <v>4</v>
      </c>
      <c r="H5357" t="s">
        <v>260</v>
      </c>
      <c r="I5357" s="4">
        <f t="shared" si="729"/>
        <v>4</v>
      </c>
      <c r="J5357">
        <f t="shared" si="735"/>
        <v>16</v>
      </c>
      <c r="K5357">
        <v>86</v>
      </c>
      <c r="L5357">
        <v>24</v>
      </c>
      <c r="M5357">
        <v>3.58</v>
      </c>
      <c r="N5357">
        <v>3.47</v>
      </c>
      <c r="O5357">
        <v>0</v>
      </c>
      <c r="P5357">
        <v>1</v>
      </c>
      <c r="Q5357" s="4" t="str">
        <f t="shared" si="734"/>
        <v>2016/2017-Ganjil</v>
      </c>
      <c r="R5357" s="8" t="s">
        <v>260</v>
      </c>
      <c r="S5357" t="str">
        <f t="shared" si="728"/>
        <v>PA</v>
      </c>
    </row>
    <row r="5358" spans="1:19" x14ac:dyDescent="0.3">
      <c r="A5358" t="s">
        <v>8</v>
      </c>
      <c r="B5358" t="s">
        <v>324</v>
      </c>
      <c r="C5358" t="s">
        <v>325</v>
      </c>
      <c r="E5358" t="s">
        <v>117</v>
      </c>
      <c r="F5358" s="1" t="s">
        <v>118</v>
      </c>
      <c r="G5358">
        <v>2</v>
      </c>
      <c r="H5358" t="s">
        <v>260</v>
      </c>
      <c r="I5358" s="4">
        <f t="shared" si="729"/>
        <v>4</v>
      </c>
      <c r="J5358">
        <f t="shared" si="735"/>
        <v>8</v>
      </c>
      <c r="K5358">
        <v>178</v>
      </c>
      <c r="L5358">
        <v>52</v>
      </c>
      <c r="M5358">
        <v>3.58</v>
      </c>
      <c r="N5358">
        <v>3.47</v>
      </c>
      <c r="O5358">
        <v>0</v>
      </c>
      <c r="P5358">
        <v>1</v>
      </c>
      <c r="Q5358" s="4" t="str">
        <f t="shared" si="734"/>
        <v>2016/2017-Ganjil</v>
      </c>
      <c r="R5358" s="8" t="s">
        <v>260</v>
      </c>
      <c r="S5358" t="str">
        <f t="shared" si="728"/>
        <v>PA</v>
      </c>
    </row>
    <row r="5359" spans="1:19" x14ac:dyDescent="0.3">
      <c r="A5359" t="s">
        <v>8</v>
      </c>
      <c r="B5359" t="s">
        <v>324</v>
      </c>
      <c r="C5359" t="s">
        <v>325</v>
      </c>
      <c r="E5359" t="s">
        <v>393</v>
      </c>
      <c r="F5359" t="s">
        <v>436</v>
      </c>
      <c r="G5359">
        <v>2</v>
      </c>
      <c r="H5359" t="s">
        <v>260</v>
      </c>
      <c r="I5359" s="4">
        <f t="shared" si="729"/>
        <v>4</v>
      </c>
      <c r="J5359">
        <f t="shared" si="735"/>
        <v>8</v>
      </c>
      <c r="K5359">
        <v>60</v>
      </c>
      <c r="L5359">
        <v>18</v>
      </c>
      <c r="M5359">
        <v>3.33</v>
      </c>
      <c r="N5359">
        <v>3.47</v>
      </c>
      <c r="O5359">
        <v>0</v>
      </c>
      <c r="P5359">
        <v>3</v>
      </c>
      <c r="Q5359" s="4" t="str">
        <f t="shared" si="734"/>
        <v>2017/2018-Ganjil</v>
      </c>
      <c r="R5359" s="8" t="s">
        <v>260</v>
      </c>
      <c r="S5359" t="str">
        <f t="shared" si="728"/>
        <v>PA</v>
      </c>
    </row>
    <row r="5360" spans="1:19" x14ac:dyDescent="0.3">
      <c r="A5360" t="s">
        <v>8</v>
      </c>
      <c r="B5360" t="s">
        <v>324</v>
      </c>
      <c r="C5360" t="s">
        <v>325</v>
      </c>
      <c r="E5360" t="s">
        <v>266</v>
      </c>
      <c r="F5360" s="1" t="s">
        <v>91</v>
      </c>
      <c r="G5360">
        <v>2</v>
      </c>
      <c r="H5360" t="s">
        <v>260</v>
      </c>
      <c r="I5360" s="4">
        <f t="shared" si="729"/>
        <v>4</v>
      </c>
      <c r="J5360">
        <f t="shared" si="735"/>
        <v>8</v>
      </c>
      <c r="K5360">
        <v>178</v>
      </c>
      <c r="L5360">
        <v>52</v>
      </c>
      <c r="M5360">
        <v>3.58</v>
      </c>
      <c r="N5360">
        <v>3.47</v>
      </c>
      <c r="O5360">
        <v>0</v>
      </c>
      <c r="P5360">
        <v>1</v>
      </c>
      <c r="Q5360" s="4" t="str">
        <f t="shared" si="734"/>
        <v>2016/2017-Ganjil</v>
      </c>
      <c r="R5360" s="8" t="s">
        <v>260</v>
      </c>
      <c r="S5360" t="str">
        <f t="shared" si="728"/>
        <v>PA</v>
      </c>
    </row>
    <row r="5361" spans="1:19" x14ac:dyDescent="0.3">
      <c r="A5361" t="s">
        <v>8</v>
      </c>
      <c r="B5361" t="s">
        <v>324</v>
      </c>
      <c r="C5361" t="s">
        <v>325</v>
      </c>
      <c r="E5361" t="s">
        <v>219</v>
      </c>
      <c r="F5361" t="s">
        <v>220</v>
      </c>
      <c r="G5361">
        <v>2</v>
      </c>
      <c r="H5361" t="s">
        <v>260</v>
      </c>
      <c r="I5361" s="4">
        <f t="shared" si="729"/>
        <v>4</v>
      </c>
      <c r="J5361">
        <f t="shared" si="735"/>
        <v>8</v>
      </c>
      <c r="K5361">
        <v>60</v>
      </c>
      <c r="L5361">
        <v>18</v>
      </c>
      <c r="M5361">
        <v>3.33</v>
      </c>
      <c r="N5361">
        <v>3.47</v>
      </c>
      <c r="O5361">
        <v>0</v>
      </c>
      <c r="P5361">
        <v>3</v>
      </c>
      <c r="Q5361" s="4" t="str">
        <f t="shared" si="734"/>
        <v>2017/2018-Ganjil</v>
      </c>
      <c r="R5361" s="8" t="s">
        <v>260</v>
      </c>
      <c r="S5361" t="str">
        <f t="shared" si="728"/>
        <v>PA</v>
      </c>
    </row>
    <row r="5362" spans="1:19" x14ac:dyDescent="0.3">
      <c r="A5362" t="s">
        <v>8</v>
      </c>
      <c r="B5362" t="s">
        <v>324</v>
      </c>
      <c r="C5362" t="s">
        <v>325</v>
      </c>
      <c r="E5362" t="s">
        <v>107</v>
      </c>
      <c r="F5362" t="s">
        <v>108</v>
      </c>
      <c r="G5362">
        <v>2</v>
      </c>
      <c r="H5362" t="s">
        <v>438</v>
      </c>
      <c r="I5362" s="4">
        <f t="shared" si="729"/>
        <v>3</v>
      </c>
      <c r="J5362">
        <f t="shared" si="735"/>
        <v>6</v>
      </c>
      <c r="K5362">
        <v>64</v>
      </c>
      <c r="L5362">
        <v>20</v>
      </c>
      <c r="M5362" s="2">
        <v>3.2</v>
      </c>
      <c r="N5362">
        <v>3.47</v>
      </c>
      <c r="O5362">
        <v>0</v>
      </c>
      <c r="P5362">
        <v>2</v>
      </c>
      <c r="Q5362" s="4" t="str">
        <f t="shared" si="734"/>
        <v>2016/2017-Genap</v>
      </c>
      <c r="R5362" s="8" t="s">
        <v>260</v>
      </c>
      <c r="S5362" t="str">
        <f t="shared" ref="S5362:S5425" si="736">IF(OR(H5362="A",H5362="B",H5362="C"),"PA","FA")</f>
        <v>PA</v>
      </c>
    </row>
    <row r="5363" spans="1:19" x14ac:dyDescent="0.3">
      <c r="A5363" t="s">
        <v>8</v>
      </c>
      <c r="B5363" t="s">
        <v>324</v>
      </c>
      <c r="C5363" t="s">
        <v>325</v>
      </c>
      <c r="E5363" t="s">
        <v>295</v>
      </c>
      <c r="F5363" s="1" t="s">
        <v>296</v>
      </c>
      <c r="G5363">
        <v>2</v>
      </c>
      <c r="H5363" t="s">
        <v>438</v>
      </c>
      <c r="I5363" s="4">
        <f t="shared" ref="I5363:I5426" si="737">IF(H5363="A",4,IF(H5363="B",3,IF(H5363="C",2,IF(H5363="D",1,0))))</f>
        <v>3</v>
      </c>
      <c r="J5363">
        <f t="shared" si="735"/>
        <v>6</v>
      </c>
      <c r="K5363">
        <v>178</v>
      </c>
      <c r="L5363">
        <v>52</v>
      </c>
      <c r="M5363">
        <v>3.58</v>
      </c>
      <c r="N5363">
        <v>3.47</v>
      </c>
      <c r="O5363">
        <v>0</v>
      </c>
      <c r="P5363">
        <v>1</v>
      </c>
      <c r="Q5363" s="4" t="str">
        <f t="shared" si="734"/>
        <v>2016/2017-Ganjil</v>
      </c>
      <c r="R5363" s="8" t="s">
        <v>260</v>
      </c>
      <c r="S5363" t="str">
        <f t="shared" si="736"/>
        <v>PA</v>
      </c>
    </row>
    <row r="5364" spans="1:19" x14ac:dyDescent="0.3">
      <c r="A5364" t="s">
        <v>8</v>
      </c>
      <c r="B5364" t="s">
        <v>324</v>
      </c>
      <c r="C5364" t="s">
        <v>325</v>
      </c>
      <c r="E5364" t="s">
        <v>80</v>
      </c>
      <c r="F5364" t="s">
        <v>81</v>
      </c>
      <c r="G5364">
        <v>4</v>
      </c>
      <c r="H5364" t="s">
        <v>438</v>
      </c>
      <c r="I5364" s="4">
        <f t="shared" si="737"/>
        <v>3</v>
      </c>
      <c r="J5364">
        <f t="shared" si="735"/>
        <v>12</v>
      </c>
      <c r="K5364">
        <v>64</v>
      </c>
      <c r="L5364">
        <v>20</v>
      </c>
      <c r="M5364" s="2">
        <v>3.2</v>
      </c>
      <c r="N5364">
        <v>3.47</v>
      </c>
      <c r="O5364">
        <v>0</v>
      </c>
      <c r="P5364">
        <v>2</v>
      </c>
      <c r="Q5364" s="4" t="str">
        <f t="shared" si="734"/>
        <v>2016/2017-Genap</v>
      </c>
      <c r="R5364" s="8" t="s">
        <v>260</v>
      </c>
      <c r="S5364" t="str">
        <f t="shared" si="736"/>
        <v>PA</v>
      </c>
    </row>
    <row r="5365" spans="1:19" x14ac:dyDescent="0.3">
      <c r="A5365" t="s">
        <v>8</v>
      </c>
      <c r="B5365" t="s">
        <v>324</v>
      </c>
      <c r="C5365" t="s">
        <v>325</v>
      </c>
      <c r="E5365" t="s">
        <v>279</v>
      </c>
      <c r="F5365" s="1" t="s">
        <v>280</v>
      </c>
      <c r="G5365">
        <v>2</v>
      </c>
      <c r="H5365" t="s">
        <v>438</v>
      </c>
      <c r="I5365" s="4">
        <f t="shared" si="737"/>
        <v>3</v>
      </c>
      <c r="J5365">
        <f t="shared" si="735"/>
        <v>6</v>
      </c>
      <c r="K5365">
        <v>178</v>
      </c>
      <c r="L5365">
        <v>52</v>
      </c>
      <c r="M5365">
        <v>3.58</v>
      </c>
      <c r="N5365">
        <v>3.47</v>
      </c>
      <c r="O5365">
        <v>0</v>
      </c>
      <c r="P5365">
        <v>1</v>
      </c>
      <c r="Q5365" s="4" t="str">
        <f t="shared" ref="Q5365:Q5367" si="738">IF(P5365=1,"2016/2017-Ganjil",IF(P5365=2,"2016/2017-Genap",IF(P5365=3,"2017/2018-Ganjil",IF(P5365=4,"2017/2018-Genap",IF(P5365=5,"2018/2019-Ganjil",IF(P5365=6,"2018/2019-Genap",IF(P5365=7,"2019/2020-Ganjil",IF(P5365=8,"2019/2020-Genap",IF(P5365=9,"2020/2021-Ganjil",IF(P5365=10,"2020/2021-Genap",IF(P5365=11,"2021/2022-Ganjil",IF(P5365=12,"2021/2022-Genap",IF(P5365=13,"2022/2023-Ganjil","2022/2023-Genap")))))))))))))</f>
        <v>2016/2017-Ganjil</v>
      </c>
      <c r="R5365" s="8" t="s">
        <v>260</v>
      </c>
      <c r="S5365" t="str">
        <f t="shared" si="736"/>
        <v>PA</v>
      </c>
    </row>
    <row r="5366" spans="1:19" x14ac:dyDescent="0.3">
      <c r="A5366" t="s">
        <v>8</v>
      </c>
      <c r="B5366" t="s">
        <v>324</v>
      </c>
      <c r="C5366" t="s">
        <v>325</v>
      </c>
      <c r="E5366" t="s">
        <v>213</v>
      </c>
      <c r="F5366" s="1" t="s">
        <v>450</v>
      </c>
      <c r="G5366">
        <v>4</v>
      </c>
      <c r="H5366" t="s">
        <v>438</v>
      </c>
      <c r="I5366" s="4">
        <f t="shared" si="737"/>
        <v>3</v>
      </c>
      <c r="J5366">
        <f t="shared" si="735"/>
        <v>12</v>
      </c>
      <c r="K5366">
        <v>178</v>
      </c>
      <c r="L5366">
        <v>52</v>
      </c>
      <c r="M5366">
        <v>3.58</v>
      </c>
      <c r="N5366">
        <v>3.47</v>
      </c>
      <c r="O5366">
        <v>0</v>
      </c>
      <c r="P5366">
        <v>1</v>
      </c>
      <c r="Q5366" s="4" t="str">
        <f t="shared" si="738"/>
        <v>2016/2017-Ganjil</v>
      </c>
      <c r="R5366" s="8" t="s">
        <v>260</v>
      </c>
      <c r="S5366" t="str">
        <f t="shared" si="736"/>
        <v>PA</v>
      </c>
    </row>
    <row r="5367" spans="1:19" x14ac:dyDescent="0.3">
      <c r="A5367" t="s">
        <v>8</v>
      </c>
      <c r="B5367" t="s">
        <v>324</v>
      </c>
      <c r="C5367" t="s">
        <v>325</v>
      </c>
      <c r="E5367" t="s">
        <v>131</v>
      </c>
      <c r="F5367" s="1" t="s">
        <v>132</v>
      </c>
      <c r="G5367">
        <v>2</v>
      </c>
      <c r="H5367" t="s">
        <v>438</v>
      </c>
      <c r="I5367" s="4">
        <f t="shared" si="737"/>
        <v>3</v>
      </c>
      <c r="J5367">
        <f t="shared" si="735"/>
        <v>6</v>
      </c>
      <c r="K5367">
        <v>178</v>
      </c>
      <c r="L5367">
        <v>52</v>
      </c>
      <c r="M5367">
        <v>3.58</v>
      </c>
      <c r="N5367">
        <v>3.47</v>
      </c>
      <c r="O5367">
        <v>0</v>
      </c>
      <c r="P5367">
        <v>1</v>
      </c>
      <c r="Q5367" s="4" t="str">
        <f t="shared" si="738"/>
        <v>2016/2017-Ganjil</v>
      </c>
      <c r="R5367" s="8" t="s">
        <v>260</v>
      </c>
      <c r="S5367" t="str">
        <f t="shared" si="736"/>
        <v>PA</v>
      </c>
    </row>
    <row r="5368" spans="1:19" x14ac:dyDescent="0.3">
      <c r="A5368" t="s">
        <v>8</v>
      </c>
      <c r="B5368" t="s">
        <v>324</v>
      </c>
      <c r="C5368" t="s">
        <v>325</v>
      </c>
      <c r="E5368" t="s">
        <v>352</v>
      </c>
      <c r="F5368" t="s">
        <v>419</v>
      </c>
      <c r="G5368">
        <v>2</v>
      </c>
      <c r="H5368" t="s">
        <v>438</v>
      </c>
      <c r="I5368" s="4">
        <f t="shared" si="737"/>
        <v>3</v>
      </c>
      <c r="J5368">
        <f t="shared" si="735"/>
        <v>6</v>
      </c>
      <c r="K5368">
        <v>86</v>
      </c>
      <c r="L5368">
        <v>24</v>
      </c>
      <c r="M5368">
        <v>3.58</v>
      </c>
      <c r="N5368">
        <v>3.47</v>
      </c>
      <c r="O5368">
        <v>0</v>
      </c>
      <c r="P5368">
        <v>1</v>
      </c>
      <c r="Q5368" s="4" t="str">
        <f t="shared" ref="Q5368:Q5377" si="739">IF(P5368=1,"2016/2017-Ganjil",IF(P5368=2,"2016/2017-Genap",IF(P5368=3,"2017/2018-Ganjil",IF(P5368=4,"2017/2018-Genap",IF(P5368=5,"2018/2019-Ganjil",IF(P5368=6,"2018/2019-Genap",IF(P5368=7,"2019/2020-Ganjil",IF(P5368=8,"2019/2020-Genap",IF(P5368=9,"2020/2021-Ganjil",IF(P5368=10,"2020/2021-Genap",IF(P5368=11,"2021/2022-Ganjil",IF(P5368=12,"2021/2022-Genap",IF(P5368=13,"2022/2023-Ganjil","2022/2023-Genap")))))))))))))</f>
        <v>2016/2017-Ganjil</v>
      </c>
      <c r="R5368" s="8" t="s">
        <v>260</v>
      </c>
      <c r="S5368" t="str">
        <f t="shared" si="736"/>
        <v>PA</v>
      </c>
    </row>
    <row r="5369" spans="1:19" x14ac:dyDescent="0.3">
      <c r="A5369" t="s">
        <v>8</v>
      </c>
      <c r="B5369" t="s">
        <v>324</v>
      </c>
      <c r="C5369" t="s">
        <v>325</v>
      </c>
      <c r="E5369" t="s">
        <v>202</v>
      </c>
      <c r="F5369" s="1" t="s">
        <v>203</v>
      </c>
      <c r="G5369">
        <v>4</v>
      </c>
      <c r="H5369" t="s">
        <v>438</v>
      </c>
      <c r="I5369" s="4">
        <f t="shared" si="737"/>
        <v>3</v>
      </c>
      <c r="J5369">
        <f t="shared" si="735"/>
        <v>12</v>
      </c>
      <c r="K5369">
        <v>178</v>
      </c>
      <c r="L5369">
        <v>52</v>
      </c>
      <c r="M5369">
        <v>3.58</v>
      </c>
      <c r="N5369">
        <v>3.47</v>
      </c>
      <c r="O5369">
        <v>0</v>
      </c>
      <c r="P5369">
        <v>1</v>
      </c>
      <c r="Q5369" s="4" t="str">
        <f t="shared" si="739"/>
        <v>2016/2017-Ganjil</v>
      </c>
      <c r="R5369" s="8" t="s">
        <v>260</v>
      </c>
      <c r="S5369" t="str">
        <f t="shared" si="736"/>
        <v>PA</v>
      </c>
    </row>
    <row r="5370" spans="1:19" x14ac:dyDescent="0.3">
      <c r="A5370" t="s">
        <v>8</v>
      </c>
      <c r="B5370" t="s">
        <v>324</v>
      </c>
      <c r="C5370" t="s">
        <v>325</v>
      </c>
      <c r="E5370" t="s">
        <v>227</v>
      </c>
      <c r="F5370" t="s">
        <v>228</v>
      </c>
      <c r="G5370">
        <v>2</v>
      </c>
      <c r="H5370" t="s">
        <v>438</v>
      </c>
      <c r="I5370" s="4">
        <f t="shared" si="737"/>
        <v>3</v>
      </c>
      <c r="J5370">
        <f t="shared" si="735"/>
        <v>6</v>
      </c>
      <c r="K5370">
        <v>60</v>
      </c>
      <c r="L5370">
        <v>18</v>
      </c>
      <c r="M5370">
        <v>3.33</v>
      </c>
      <c r="N5370">
        <v>3.47</v>
      </c>
      <c r="O5370">
        <v>0</v>
      </c>
      <c r="P5370">
        <v>3</v>
      </c>
      <c r="Q5370" s="4" t="str">
        <f t="shared" si="739"/>
        <v>2017/2018-Ganjil</v>
      </c>
      <c r="R5370" s="8" t="s">
        <v>260</v>
      </c>
      <c r="S5370" t="str">
        <f t="shared" si="736"/>
        <v>PA</v>
      </c>
    </row>
    <row r="5371" spans="1:19" x14ac:dyDescent="0.3">
      <c r="A5371" t="s">
        <v>8</v>
      </c>
      <c r="B5371" t="s">
        <v>324</v>
      </c>
      <c r="C5371" t="s">
        <v>325</v>
      </c>
      <c r="E5371" t="s">
        <v>19</v>
      </c>
      <c r="F5371" t="s">
        <v>20</v>
      </c>
      <c r="G5371">
        <v>6</v>
      </c>
      <c r="H5371" t="s">
        <v>438</v>
      </c>
      <c r="I5371" s="4">
        <f t="shared" si="737"/>
        <v>3</v>
      </c>
      <c r="J5371">
        <f t="shared" si="735"/>
        <v>18</v>
      </c>
      <c r="K5371">
        <v>54</v>
      </c>
      <c r="L5371">
        <v>16</v>
      </c>
      <c r="M5371">
        <v>3.38</v>
      </c>
      <c r="N5371">
        <v>3.47</v>
      </c>
      <c r="O5371">
        <v>0</v>
      </c>
      <c r="P5371">
        <v>5</v>
      </c>
      <c r="Q5371" s="4" t="str">
        <f t="shared" si="739"/>
        <v>2018/2019-Ganjil</v>
      </c>
      <c r="R5371" t="s">
        <v>596</v>
      </c>
      <c r="S5371" t="str">
        <f t="shared" si="736"/>
        <v>PA</v>
      </c>
    </row>
    <row r="5372" spans="1:19" x14ac:dyDescent="0.3">
      <c r="A5372" t="s">
        <v>8</v>
      </c>
      <c r="B5372" t="s">
        <v>324</v>
      </c>
      <c r="C5372" t="s">
        <v>325</v>
      </c>
      <c r="E5372" t="s">
        <v>44</v>
      </c>
      <c r="F5372" s="1" t="s">
        <v>45</v>
      </c>
      <c r="G5372">
        <v>2</v>
      </c>
      <c r="H5372" t="s">
        <v>438</v>
      </c>
      <c r="I5372" s="4">
        <f t="shared" si="737"/>
        <v>3</v>
      </c>
      <c r="J5372">
        <f t="shared" si="735"/>
        <v>6</v>
      </c>
      <c r="K5372">
        <v>178</v>
      </c>
      <c r="L5372">
        <v>52</v>
      </c>
      <c r="M5372">
        <v>3.58</v>
      </c>
      <c r="N5372">
        <v>3.47</v>
      </c>
      <c r="O5372">
        <v>0</v>
      </c>
      <c r="P5372">
        <v>1</v>
      </c>
      <c r="Q5372" s="4" t="str">
        <f t="shared" si="739"/>
        <v>2016/2017-Ganjil</v>
      </c>
      <c r="R5372" s="8" t="s">
        <v>260</v>
      </c>
      <c r="S5372" t="str">
        <f t="shared" si="736"/>
        <v>PA</v>
      </c>
    </row>
    <row r="5373" spans="1:19" x14ac:dyDescent="0.3">
      <c r="A5373" t="s">
        <v>8</v>
      </c>
      <c r="B5373" t="s">
        <v>324</v>
      </c>
      <c r="C5373" t="s">
        <v>325</v>
      </c>
      <c r="E5373" t="s">
        <v>10</v>
      </c>
      <c r="F5373" t="s">
        <v>11</v>
      </c>
      <c r="G5373">
        <v>2</v>
      </c>
      <c r="H5373" t="s">
        <v>438</v>
      </c>
      <c r="I5373" s="4">
        <f t="shared" si="737"/>
        <v>3</v>
      </c>
      <c r="J5373">
        <f t="shared" si="735"/>
        <v>6</v>
      </c>
      <c r="K5373">
        <v>60</v>
      </c>
      <c r="L5373">
        <v>18</v>
      </c>
      <c r="M5373">
        <v>3.33</v>
      </c>
      <c r="N5373">
        <v>3.47</v>
      </c>
      <c r="O5373">
        <v>0</v>
      </c>
      <c r="P5373">
        <v>3</v>
      </c>
      <c r="Q5373" s="4" t="str">
        <f t="shared" si="739"/>
        <v>2017/2018-Ganjil</v>
      </c>
      <c r="R5373" s="8" t="s">
        <v>260</v>
      </c>
      <c r="S5373" t="str">
        <f t="shared" si="736"/>
        <v>PA</v>
      </c>
    </row>
    <row r="5374" spans="1:19" x14ac:dyDescent="0.3">
      <c r="A5374" t="s">
        <v>8</v>
      </c>
      <c r="B5374" t="s">
        <v>324</v>
      </c>
      <c r="C5374" t="s">
        <v>325</v>
      </c>
      <c r="E5374" t="s">
        <v>125</v>
      </c>
      <c r="F5374" s="1" t="s">
        <v>126</v>
      </c>
      <c r="G5374">
        <v>4</v>
      </c>
      <c r="H5374" t="s">
        <v>438</v>
      </c>
      <c r="I5374" s="4">
        <f t="shared" si="737"/>
        <v>3</v>
      </c>
      <c r="J5374">
        <f t="shared" si="735"/>
        <v>12</v>
      </c>
      <c r="K5374">
        <v>178</v>
      </c>
      <c r="L5374">
        <v>52</v>
      </c>
      <c r="M5374">
        <v>3.58</v>
      </c>
      <c r="N5374">
        <v>3.47</v>
      </c>
      <c r="O5374">
        <v>0</v>
      </c>
      <c r="P5374">
        <v>1</v>
      </c>
      <c r="Q5374" s="4" t="str">
        <f t="shared" si="739"/>
        <v>2016/2017-Ganjil</v>
      </c>
      <c r="R5374" s="8" t="s">
        <v>260</v>
      </c>
      <c r="S5374" t="str">
        <f t="shared" si="736"/>
        <v>PA</v>
      </c>
    </row>
    <row r="5375" spans="1:19" x14ac:dyDescent="0.3">
      <c r="A5375" t="s">
        <v>8</v>
      </c>
      <c r="B5375" t="s">
        <v>324</v>
      </c>
      <c r="C5375" t="s">
        <v>325</v>
      </c>
      <c r="E5375" t="s">
        <v>115</v>
      </c>
      <c r="F5375" t="s">
        <v>116</v>
      </c>
      <c r="G5375">
        <v>4</v>
      </c>
      <c r="H5375" t="s">
        <v>438</v>
      </c>
      <c r="I5375" s="4">
        <f t="shared" si="737"/>
        <v>3</v>
      </c>
      <c r="J5375">
        <f t="shared" si="735"/>
        <v>12</v>
      </c>
      <c r="K5375">
        <v>64</v>
      </c>
      <c r="L5375">
        <v>20</v>
      </c>
      <c r="M5375" s="2">
        <v>3.2</v>
      </c>
      <c r="N5375">
        <v>3.47</v>
      </c>
      <c r="O5375">
        <v>0</v>
      </c>
      <c r="P5375">
        <v>2</v>
      </c>
      <c r="Q5375" s="4" t="str">
        <f t="shared" si="739"/>
        <v>2016/2017-Genap</v>
      </c>
      <c r="R5375" s="8" t="s">
        <v>260</v>
      </c>
      <c r="S5375" t="str">
        <f t="shared" si="736"/>
        <v>PA</v>
      </c>
    </row>
    <row r="5376" spans="1:19" x14ac:dyDescent="0.3">
      <c r="A5376" t="s">
        <v>8</v>
      </c>
      <c r="B5376" t="s">
        <v>324</v>
      </c>
      <c r="C5376" t="s">
        <v>325</v>
      </c>
      <c r="E5376" t="s">
        <v>403</v>
      </c>
      <c r="F5376" t="s">
        <v>404</v>
      </c>
      <c r="G5376">
        <v>2</v>
      </c>
      <c r="H5376" t="s">
        <v>438</v>
      </c>
      <c r="I5376" s="4">
        <f t="shared" si="737"/>
        <v>3</v>
      </c>
      <c r="J5376">
        <f t="shared" si="735"/>
        <v>6</v>
      </c>
      <c r="K5376">
        <v>64</v>
      </c>
      <c r="L5376">
        <v>20</v>
      </c>
      <c r="M5376" s="2">
        <v>3.2</v>
      </c>
      <c r="N5376">
        <v>3.47</v>
      </c>
      <c r="O5376">
        <v>0</v>
      </c>
      <c r="P5376">
        <v>2</v>
      </c>
      <c r="Q5376" s="4" t="str">
        <f t="shared" si="739"/>
        <v>2016/2017-Genap</v>
      </c>
      <c r="R5376" s="8" t="s">
        <v>260</v>
      </c>
      <c r="S5376" t="str">
        <f t="shared" si="736"/>
        <v>PA</v>
      </c>
    </row>
    <row r="5377" spans="1:19" x14ac:dyDescent="0.3">
      <c r="A5377" t="s">
        <v>8</v>
      </c>
      <c r="B5377" t="s">
        <v>324</v>
      </c>
      <c r="C5377" t="s">
        <v>325</v>
      </c>
      <c r="E5377" t="s">
        <v>401</v>
      </c>
      <c r="F5377" t="s">
        <v>258</v>
      </c>
      <c r="G5377">
        <v>4</v>
      </c>
      <c r="H5377" t="s">
        <v>438</v>
      </c>
      <c r="I5377" s="4">
        <f t="shared" si="737"/>
        <v>3</v>
      </c>
      <c r="J5377">
        <f t="shared" si="735"/>
        <v>12</v>
      </c>
      <c r="K5377">
        <v>86</v>
      </c>
      <c r="L5377">
        <v>24</v>
      </c>
      <c r="M5377">
        <v>3.58</v>
      </c>
      <c r="N5377">
        <v>3.47</v>
      </c>
      <c r="O5377">
        <v>0</v>
      </c>
      <c r="P5377">
        <v>1</v>
      </c>
      <c r="Q5377" s="4" t="str">
        <f t="shared" si="739"/>
        <v>2016/2017-Ganjil</v>
      </c>
      <c r="R5377" s="8" t="s">
        <v>260</v>
      </c>
      <c r="S5377" t="str">
        <f t="shared" si="736"/>
        <v>PA</v>
      </c>
    </row>
    <row r="5378" spans="1:19" x14ac:dyDescent="0.3">
      <c r="A5378" t="s">
        <v>8</v>
      </c>
      <c r="B5378" t="s">
        <v>324</v>
      </c>
      <c r="C5378" t="s">
        <v>325</v>
      </c>
      <c r="E5378" t="s">
        <v>246</v>
      </c>
      <c r="F5378" s="1" t="s">
        <v>247</v>
      </c>
      <c r="G5378">
        <v>4</v>
      </c>
      <c r="H5378" t="s">
        <v>438</v>
      </c>
      <c r="I5378" s="4">
        <f t="shared" si="737"/>
        <v>3</v>
      </c>
      <c r="J5378">
        <f t="shared" si="735"/>
        <v>12</v>
      </c>
      <c r="K5378">
        <v>178</v>
      </c>
      <c r="L5378">
        <v>52</v>
      </c>
      <c r="M5378">
        <v>3.58</v>
      </c>
      <c r="N5378">
        <v>3.47</v>
      </c>
      <c r="O5378">
        <v>0</v>
      </c>
      <c r="P5378">
        <v>1</v>
      </c>
      <c r="Q5378" s="4" t="str">
        <f t="shared" ref="Q5378:Q5379" si="740">IF(P5378=1,"2016/2017-Ganjil",IF(P5378=2,"2016/2017-Genap",IF(P5378=3,"2017/2018-Ganjil",IF(P5378=4,"2017/2018-Genap",IF(P5378=5,"2018/2019-Ganjil",IF(P5378=6,"2018/2019-Genap",IF(P5378=7,"2019/2020-Ganjil",IF(P5378=8,"2019/2020-Genap",IF(P5378=9,"2020/2021-Ganjil",IF(P5378=10,"2020/2021-Genap",IF(P5378=11,"2021/2022-Ganjil",IF(P5378=12,"2021/2022-Genap",IF(P5378=13,"2022/2023-Ganjil","2022/2023-Genap")))))))))))))</f>
        <v>2016/2017-Ganjil</v>
      </c>
      <c r="R5378" s="8" t="s">
        <v>260</v>
      </c>
      <c r="S5378" t="str">
        <f t="shared" si="736"/>
        <v>PA</v>
      </c>
    </row>
    <row r="5379" spans="1:19" x14ac:dyDescent="0.3">
      <c r="A5379" t="s">
        <v>8</v>
      </c>
      <c r="B5379" t="s">
        <v>324</v>
      </c>
      <c r="C5379" t="s">
        <v>325</v>
      </c>
      <c r="E5379" t="s">
        <v>77</v>
      </c>
      <c r="F5379" s="1" t="s">
        <v>78</v>
      </c>
      <c r="G5379">
        <v>2</v>
      </c>
      <c r="H5379" t="s">
        <v>438</v>
      </c>
      <c r="I5379" s="4">
        <f t="shared" si="737"/>
        <v>3</v>
      </c>
      <c r="J5379">
        <f t="shared" si="735"/>
        <v>6</v>
      </c>
      <c r="K5379">
        <v>178</v>
      </c>
      <c r="L5379">
        <v>52</v>
      </c>
      <c r="M5379">
        <v>3.58</v>
      </c>
      <c r="N5379">
        <v>3.47</v>
      </c>
      <c r="O5379">
        <v>0</v>
      </c>
      <c r="P5379">
        <v>1</v>
      </c>
      <c r="Q5379" s="4" t="str">
        <f t="shared" si="740"/>
        <v>2016/2017-Ganjil</v>
      </c>
      <c r="R5379" s="8" t="s">
        <v>260</v>
      </c>
      <c r="S5379" t="str">
        <f t="shared" si="736"/>
        <v>PA</v>
      </c>
    </row>
    <row r="5380" spans="1:19" x14ac:dyDescent="0.3">
      <c r="A5380" t="s">
        <v>8</v>
      </c>
      <c r="B5380" t="s">
        <v>324</v>
      </c>
      <c r="C5380" t="s">
        <v>325</v>
      </c>
      <c r="E5380" t="s">
        <v>193</v>
      </c>
      <c r="F5380" t="s">
        <v>194</v>
      </c>
      <c r="G5380">
        <v>4</v>
      </c>
      <c r="H5380" t="s">
        <v>438</v>
      </c>
      <c r="I5380" s="4">
        <f t="shared" si="737"/>
        <v>3</v>
      </c>
      <c r="J5380">
        <f t="shared" si="735"/>
        <v>12</v>
      </c>
      <c r="K5380">
        <v>54</v>
      </c>
      <c r="L5380">
        <v>16</v>
      </c>
      <c r="M5380">
        <v>3.38</v>
      </c>
      <c r="N5380">
        <v>3.47</v>
      </c>
      <c r="O5380">
        <v>0</v>
      </c>
      <c r="P5380">
        <v>5</v>
      </c>
      <c r="Q5380" s="4" t="str">
        <f t="shared" ref="Q5380:Q5393" si="741">IF(P5380=1,"2016/2017-Ganjil",IF(P5380=2,"2016/2017-Genap",IF(P5380=3,"2017/2018-Ganjil",IF(P5380=4,"2017/2018-Genap",IF(P5380=5,"2018/2019-Ganjil",IF(P5380=6,"2018/2019-Genap",IF(P5380=7,"2019/2020-Ganjil",IF(P5380=8,"2019/2020-Genap",IF(P5380=9,"2020/2021-Ganjil",IF(P5380=10,"2020/2021-Genap",IF(P5380=11,"2021/2022-Ganjil",IF(P5380=12,"2021/2022-Genap",IF(P5380=13,"2022/2023-Ganjil","2022/2023-Genap")))))))))))))</f>
        <v>2018/2019-Ganjil</v>
      </c>
      <c r="R5380" t="s">
        <v>596</v>
      </c>
      <c r="S5380" t="str">
        <f t="shared" si="736"/>
        <v>PA</v>
      </c>
    </row>
    <row r="5381" spans="1:19" x14ac:dyDescent="0.3">
      <c r="A5381" t="s">
        <v>8</v>
      </c>
      <c r="B5381" t="s">
        <v>324</v>
      </c>
      <c r="C5381" t="s">
        <v>325</v>
      </c>
      <c r="E5381" t="s">
        <v>147</v>
      </c>
      <c r="F5381" s="1" t="s">
        <v>148</v>
      </c>
      <c r="G5381">
        <v>4</v>
      </c>
      <c r="H5381" t="s">
        <v>438</v>
      </c>
      <c r="I5381" s="4">
        <f t="shared" si="737"/>
        <v>3</v>
      </c>
      <c r="J5381">
        <f t="shared" si="735"/>
        <v>12</v>
      </c>
      <c r="K5381">
        <v>178</v>
      </c>
      <c r="L5381">
        <v>52</v>
      </c>
      <c r="M5381">
        <v>3.58</v>
      </c>
      <c r="N5381">
        <v>3.47</v>
      </c>
      <c r="O5381">
        <v>0</v>
      </c>
      <c r="P5381">
        <v>1</v>
      </c>
      <c r="Q5381" s="4" t="str">
        <f t="shared" si="741"/>
        <v>2016/2017-Ganjil</v>
      </c>
      <c r="R5381" s="8" t="s">
        <v>260</v>
      </c>
      <c r="S5381" t="str">
        <f t="shared" si="736"/>
        <v>PA</v>
      </c>
    </row>
    <row r="5382" spans="1:19" x14ac:dyDescent="0.3">
      <c r="A5382" t="s">
        <v>8</v>
      </c>
      <c r="B5382" t="s">
        <v>324</v>
      </c>
      <c r="C5382" t="s">
        <v>325</v>
      </c>
      <c r="E5382" t="s">
        <v>188</v>
      </c>
      <c r="F5382" t="s">
        <v>189</v>
      </c>
      <c r="G5382">
        <v>4</v>
      </c>
      <c r="H5382" t="s">
        <v>438</v>
      </c>
      <c r="I5382" s="4">
        <f t="shared" si="737"/>
        <v>3</v>
      </c>
      <c r="J5382">
        <f t="shared" si="735"/>
        <v>12</v>
      </c>
      <c r="K5382">
        <v>86</v>
      </c>
      <c r="L5382">
        <v>24</v>
      </c>
      <c r="M5382">
        <v>3.58</v>
      </c>
      <c r="N5382">
        <v>3.47</v>
      </c>
      <c r="O5382">
        <v>0</v>
      </c>
      <c r="P5382">
        <v>1</v>
      </c>
      <c r="Q5382" s="4" t="str">
        <f t="shared" si="741"/>
        <v>2016/2017-Ganjil</v>
      </c>
      <c r="R5382" s="8" t="s">
        <v>260</v>
      </c>
      <c r="S5382" t="str">
        <f t="shared" si="736"/>
        <v>PA</v>
      </c>
    </row>
    <row r="5383" spans="1:19" x14ac:dyDescent="0.3">
      <c r="A5383" t="s">
        <v>8</v>
      </c>
      <c r="B5383" t="s">
        <v>324</v>
      </c>
      <c r="C5383" t="s">
        <v>325</v>
      </c>
      <c r="E5383" t="s">
        <v>110</v>
      </c>
      <c r="F5383" t="s">
        <v>111</v>
      </c>
      <c r="G5383">
        <v>4</v>
      </c>
      <c r="H5383" t="s">
        <v>524</v>
      </c>
      <c r="I5383" s="4">
        <f t="shared" si="737"/>
        <v>2</v>
      </c>
      <c r="J5383">
        <f t="shared" si="735"/>
        <v>8</v>
      </c>
      <c r="K5383">
        <v>60</v>
      </c>
      <c r="L5383">
        <v>18</v>
      </c>
      <c r="M5383">
        <v>3.33</v>
      </c>
      <c r="N5383">
        <v>3.47</v>
      </c>
      <c r="O5383">
        <v>0</v>
      </c>
      <c r="P5383">
        <v>3</v>
      </c>
      <c r="Q5383" s="4" t="str">
        <f t="shared" si="741"/>
        <v>2017/2018-Ganjil</v>
      </c>
      <c r="R5383" s="8" t="s">
        <v>260</v>
      </c>
      <c r="S5383" t="str">
        <f t="shared" si="736"/>
        <v>PA</v>
      </c>
    </row>
    <row r="5384" spans="1:19" x14ac:dyDescent="0.3">
      <c r="A5384" t="s">
        <v>8</v>
      </c>
      <c r="B5384" t="s">
        <v>324</v>
      </c>
      <c r="C5384" t="s">
        <v>325</v>
      </c>
      <c r="E5384" t="s">
        <v>449</v>
      </c>
      <c r="F5384" t="s">
        <v>460</v>
      </c>
      <c r="G5384">
        <v>4</v>
      </c>
      <c r="H5384" t="s">
        <v>438</v>
      </c>
      <c r="I5384" s="4">
        <f t="shared" si="737"/>
        <v>3</v>
      </c>
      <c r="J5384">
        <f t="shared" si="735"/>
        <v>12</v>
      </c>
      <c r="K5384">
        <v>64</v>
      </c>
      <c r="L5384">
        <v>20</v>
      </c>
      <c r="M5384" s="2">
        <v>3.2</v>
      </c>
      <c r="N5384">
        <v>3.47</v>
      </c>
      <c r="O5384">
        <v>0</v>
      </c>
      <c r="P5384">
        <v>2</v>
      </c>
      <c r="Q5384" s="4" t="str">
        <f t="shared" si="741"/>
        <v>2016/2017-Genap</v>
      </c>
      <c r="R5384" s="8" t="s">
        <v>260</v>
      </c>
      <c r="S5384" t="str">
        <f t="shared" si="736"/>
        <v>PA</v>
      </c>
    </row>
    <row r="5385" spans="1:19" x14ac:dyDescent="0.3">
      <c r="A5385" t="s">
        <v>8</v>
      </c>
      <c r="B5385" t="s">
        <v>268</v>
      </c>
      <c r="C5385" t="s">
        <v>269</v>
      </c>
      <c r="E5385" t="s">
        <v>193</v>
      </c>
      <c r="F5385" t="s">
        <v>194</v>
      </c>
      <c r="G5385">
        <v>4</v>
      </c>
      <c r="H5385" t="s">
        <v>260</v>
      </c>
      <c r="I5385" s="4">
        <f t="shared" si="737"/>
        <v>4</v>
      </c>
      <c r="J5385">
        <f t="shared" si="735"/>
        <v>16</v>
      </c>
      <c r="K5385">
        <v>56</v>
      </c>
      <c r="L5385">
        <v>16</v>
      </c>
      <c r="M5385" s="2">
        <v>3.5</v>
      </c>
      <c r="N5385">
        <v>3.12</v>
      </c>
      <c r="O5385">
        <v>0</v>
      </c>
      <c r="P5385">
        <v>3</v>
      </c>
      <c r="Q5385" s="4" t="str">
        <f t="shared" si="741"/>
        <v>2017/2018-Ganjil</v>
      </c>
      <c r="R5385" s="8" t="s">
        <v>260</v>
      </c>
      <c r="S5385" t="str">
        <f t="shared" si="736"/>
        <v>PA</v>
      </c>
    </row>
    <row r="5386" spans="1:19" x14ac:dyDescent="0.3">
      <c r="A5386" t="s">
        <v>8</v>
      </c>
      <c r="B5386" t="s">
        <v>268</v>
      </c>
      <c r="C5386" t="s">
        <v>269</v>
      </c>
      <c r="E5386" t="s">
        <v>246</v>
      </c>
      <c r="F5386" s="1" t="s">
        <v>247</v>
      </c>
      <c r="G5386">
        <v>4</v>
      </c>
      <c r="H5386" t="s">
        <v>260</v>
      </c>
      <c r="I5386" s="4">
        <f t="shared" si="737"/>
        <v>4</v>
      </c>
      <c r="J5386">
        <f t="shared" si="735"/>
        <v>16</v>
      </c>
      <c r="K5386">
        <v>246</v>
      </c>
      <c r="L5386">
        <v>78</v>
      </c>
      <c r="M5386" s="2">
        <v>3.2</v>
      </c>
      <c r="N5386">
        <v>3.12</v>
      </c>
      <c r="O5386">
        <v>0</v>
      </c>
      <c r="P5386">
        <v>1</v>
      </c>
      <c r="Q5386" s="4" t="str">
        <f t="shared" si="741"/>
        <v>2016/2017-Ganjil</v>
      </c>
      <c r="R5386" s="8" t="s">
        <v>260</v>
      </c>
      <c r="S5386" t="str">
        <f t="shared" si="736"/>
        <v>PA</v>
      </c>
    </row>
    <row r="5387" spans="1:19" x14ac:dyDescent="0.3">
      <c r="A5387" t="s">
        <v>8</v>
      </c>
      <c r="B5387" t="s">
        <v>268</v>
      </c>
      <c r="C5387" t="s">
        <v>269</v>
      </c>
      <c r="E5387" t="s">
        <v>219</v>
      </c>
      <c r="F5387" t="s">
        <v>220</v>
      </c>
      <c r="G5387">
        <v>2</v>
      </c>
      <c r="H5387" t="s">
        <v>260</v>
      </c>
      <c r="I5387" s="4">
        <f t="shared" si="737"/>
        <v>4</v>
      </c>
      <c r="J5387">
        <f t="shared" si="735"/>
        <v>8</v>
      </c>
      <c r="K5387">
        <v>56</v>
      </c>
      <c r="L5387">
        <v>16</v>
      </c>
      <c r="M5387" s="2">
        <v>3.5</v>
      </c>
      <c r="N5387">
        <v>3.12</v>
      </c>
      <c r="O5387">
        <v>0</v>
      </c>
      <c r="P5387">
        <v>3</v>
      </c>
      <c r="Q5387" s="4" t="str">
        <f t="shared" si="741"/>
        <v>2017/2018-Ganjil</v>
      </c>
      <c r="R5387" s="8" t="s">
        <v>260</v>
      </c>
      <c r="S5387" t="str">
        <f t="shared" si="736"/>
        <v>PA</v>
      </c>
    </row>
    <row r="5388" spans="1:19" x14ac:dyDescent="0.3">
      <c r="A5388" t="s">
        <v>8</v>
      </c>
      <c r="B5388" t="s">
        <v>268</v>
      </c>
      <c r="C5388" t="s">
        <v>269</v>
      </c>
      <c r="E5388" t="s">
        <v>355</v>
      </c>
      <c r="F5388" s="1" t="s">
        <v>274</v>
      </c>
      <c r="G5388">
        <v>4</v>
      </c>
      <c r="H5388" t="s">
        <v>260</v>
      </c>
      <c r="I5388" s="4">
        <f t="shared" si="737"/>
        <v>4</v>
      </c>
      <c r="J5388">
        <f t="shared" si="735"/>
        <v>16</v>
      </c>
      <c r="K5388">
        <v>246</v>
      </c>
      <c r="L5388">
        <v>78</v>
      </c>
      <c r="M5388" s="2">
        <v>3.2</v>
      </c>
      <c r="N5388">
        <v>3.12</v>
      </c>
      <c r="O5388">
        <v>0</v>
      </c>
      <c r="P5388">
        <v>1</v>
      </c>
      <c r="Q5388" s="4" t="str">
        <f t="shared" si="741"/>
        <v>2016/2017-Ganjil</v>
      </c>
      <c r="R5388" s="8" t="s">
        <v>260</v>
      </c>
      <c r="S5388" t="str">
        <f t="shared" si="736"/>
        <v>PA</v>
      </c>
    </row>
    <row r="5389" spans="1:19" x14ac:dyDescent="0.3">
      <c r="A5389" t="s">
        <v>8</v>
      </c>
      <c r="B5389" t="s">
        <v>268</v>
      </c>
      <c r="C5389" t="s">
        <v>269</v>
      </c>
      <c r="E5389" t="s">
        <v>352</v>
      </c>
      <c r="F5389" t="s">
        <v>353</v>
      </c>
      <c r="G5389">
        <v>2</v>
      </c>
      <c r="H5389" t="s">
        <v>260</v>
      </c>
      <c r="I5389" s="4">
        <f t="shared" si="737"/>
        <v>4</v>
      </c>
      <c r="J5389">
        <f t="shared" si="735"/>
        <v>8</v>
      </c>
      <c r="K5389">
        <v>32</v>
      </c>
      <c r="L5389">
        <v>10</v>
      </c>
      <c r="M5389" s="2">
        <v>3.2</v>
      </c>
      <c r="N5389">
        <v>3.12</v>
      </c>
      <c r="O5389">
        <v>0</v>
      </c>
      <c r="P5389">
        <v>1</v>
      </c>
      <c r="Q5389" s="4" t="str">
        <f t="shared" si="741"/>
        <v>2016/2017-Ganjil</v>
      </c>
      <c r="R5389" s="8" t="s">
        <v>260</v>
      </c>
      <c r="S5389" t="str">
        <f t="shared" si="736"/>
        <v>PA</v>
      </c>
    </row>
    <row r="5390" spans="1:19" x14ac:dyDescent="0.3">
      <c r="A5390" t="s">
        <v>8</v>
      </c>
      <c r="B5390" t="s">
        <v>268</v>
      </c>
      <c r="C5390" t="s">
        <v>269</v>
      </c>
      <c r="E5390" t="s">
        <v>391</v>
      </c>
      <c r="F5390" t="s">
        <v>392</v>
      </c>
      <c r="G5390">
        <v>2</v>
      </c>
      <c r="H5390" t="s">
        <v>260</v>
      </c>
      <c r="I5390" s="4">
        <f t="shared" si="737"/>
        <v>4</v>
      </c>
      <c r="J5390">
        <f t="shared" si="735"/>
        <v>8</v>
      </c>
      <c r="K5390">
        <v>42</v>
      </c>
      <c r="L5390">
        <v>16</v>
      </c>
      <c r="M5390">
        <v>2.63</v>
      </c>
      <c r="N5390">
        <v>3.12</v>
      </c>
      <c r="O5390">
        <v>0</v>
      </c>
      <c r="P5390">
        <v>5</v>
      </c>
      <c r="Q5390" s="4" t="str">
        <f t="shared" si="741"/>
        <v>2018/2019-Ganjil</v>
      </c>
      <c r="R5390" t="s">
        <v>596</v>
      </c>
      <c r="S5390" t="str">
        <f t="shared" si="736"/>
        <v>PA</v>
      </c>
    </row>
    <row r="5391" spans="1:19" x14ac:dyDescent="0.3">
      <c r="A5391" t="s">
        <v>8</v>
      </c>
      <c r="B5391" t="s">
        <v>268</v>
      </c>
      <c r="C5391" t="s">
        <v>269</v>
      </c>
      <c r="E5391" t="s">
        <v>77</v>
      </c>
      <c r="F5391" s="1" t="s">
        <v>78</v>
      </c>
      <c r="G5391">
        <v>2</v>
      </c>
      <c r="H5391" t="s">
        <v>260</v>
      </c>
      <c r="I5391" s="4">
        <f t="shared" si="737"/>
        <v>4</v>
      </c>
      <c r="J5391">
        <f t="shared" si="735"/>
        <v>8</v>
      </c>
      <c r="K5391">
        <v>246</v>
      </c>
      <c r="L5391">
        <v>78</v>
      </c>
      <c r="M5391" s="2">
        <v>3.2</v>
      </c>
      <c r="N5391">
        <v>3.12</v>
      </c>
      <c r="O5391">
        <v>0</v>
      </c>
      <c r="P5391">
        <v>1</v>
      </c>
      <c r="Q5391" s="4" t="str">
        <f t="shared" si="741"/>
        <v>2016/2017-Ganjil</v>
      </c>
      <c r="R5391" s="8" t="s">
        <v>260</v>
      </c>
      <c r="S5391" t="str">
        <f t="shared" si="736"/>
        <v>PA</v>
      </c>
    </row>
    <row r="5392" spans="1:19" x14ac:dyDescent="0.3">
      <c r="A5392" t="s">
        <v>8</v>
      </c>
      <c r="B5392" t="s">
        <v>268</v>
      </c>
      <c r="C5392" t="s">
        <v>269</v>
      </c>
      <c r="E5392" t="s">
        <v>311</v>
      </c>
      <c r="F5392" t="s">
        <v>312</v>
      </c>
      <c r="G5392">
        <v>2</v>
      </c>
      <c r="H5392" t="s">
        <v>260</v>
      </c>
      <c r="I5392" s="4">
        <f t="shared" si="737"/>
        <v>4</v>
      </c>
      <c r="J5392">
        <f t="shared" si="735"/>
        <v>8</v>
      </c>
      <c r="K5392">
        <v>56</v>
      </c>
      <c r="L5392">
        <v>16</v>
      </c>
      <c r="M5392" s="2">
        <v>3.5</v>
      </c>
      <c r="N5392">
        <v>3.12</v>
      </c>
      <c r="O5392">
        <v>0</v>
      </c>
      <c r="P5392">
        <v>3</v>
      </c>
      <c r="Q5392" s="4" t="str">
        <f t="shared" si="741"/>
        <v>2017/2018-Ganjil</v>
      </c>
      <c r="R5392" s="8" t="s">
        <v>260</v>
      </c>
      <c r="S5392" t="str">
        <f t="shared" si="736"/>
        <v>PA</v>
      </c>
    </row>
    <row r="5393" spans="1:19" x14ac:dyDescent="0.3">
      <c r="A5393" t="s">
        <v>8</v>
      </c>
      <c r="B5393" t="s">
        <v>268</v>
      </c>
      <c r="C5393" t="s">
        <v>269</v>
      </c>
      <c r="E5393" t="s">
        <v>295</v>
      </c>
      <c r="F5393" t="s">
        <v>296</v>
      </c>
      <c r="G5393">
        <v>2</v>
      </c>
      <c r="H5393" t="s">
        <v>260</v>
      </c>
      <c r="I5393" s="4">
        <f t="shared" si="737"/>
        <v>4</v>
      </c>
      <c r="J5393">
        <f t="shared" si="735"/>
        <v>8</v>
      </c>
      <c r="K5393">
        <v>32</v>
      </c>
      <c r="L5393">
        <v>10</v>
      </c>
      <c r="M5393" s="2">
        <v>3.2</v>
      </c>
      <c r="N5393">
        <v>3.12</v>
      </c>
      <c r="O5393">
        <v>0</v>
      </c>
      <c r="P5393">
        <v>1</v>
      </c>
      <c r="Q5393" s="4" t="str">
        <f t="shared" si="741"/>
        <v>2016/2017-Ganjil</v>
      </c>
      <c r="R5393" s="8" t="s">
        <v>260</v>
      </c>
      <c r="S5393" t="str">
        <f t="shared" si="736"/>
        <v>PA</v>
      </c>
    </row>
    <row r="5394" spans="1:19" x14ac:dyDescent="0.3">
      <c r="A5394" t="s">
        <v>8</v>
      </c>
      <c r="B5394" t="s">
        <v>268</v>
      </c>
      <c r="C5394" t="s">
        <v>269</v>
      </c>
      <c r="E5394" t="s">
        <v>424</v>
      </c>
      <c r="F5394" s="1" t="s">
        <v>166</v>
      </c>
      <c r="G5394">
        <v>2</v>
      </c>
      <c r="H5394" t="s">
        <v>260</v>
      </c>
      <c r="I5394" s="4">
        <f t="shared" si="737"/>
        <v>4</v>
      </c>
      <c r="J5394">
        <f t="shared" si="735"/>
        <v>8</v>
      </c>
      <c r="K5394">
        <v>246</v>
      </c>
      <c r="L5394">
        <v>78</v>
      </c>
      <c r="M5394" s="2">
        <v>3.2</v>
      </c>
      <c r="N5394">
        <v>3.12</v>
      </c>
      <c r="O5394">
        <v>0</v>
      </c>
      <c r="P5394">
        <v>1</v>
      </c>
      <c r="Q5394" s="4" t="str">
        <f t="shared" ref="Q5394:Q5397" si="742">IF(P5394=1,"2016/2017-Ganjil",IF(P5394=2,"2016/2017-Genap",IF(P5394=3,"2017/2018-Ganjil",IF(P5394=4,"2017/2018-Genap",IF(P5394=5,"2018/2019-Ganjil",IF(P5394=6,"2018/2019-Genap",IF(P5394=7,"2019/2020-Ganjil",IF(P5394=8,"2019/2020-Genap",IF(P5394=9,"2020/2021-Ganjil",IF(P5394=10,"2020/2021-Genap",IF(P5394=11,"2021/2022-Ganjil",IF(P5394=12,"2021/2022-Genap",IF(P5394=13,"2022/2023-Ganjil","2022/2023-Genap")))))))))))))</f>
        <v>2016/2017-Ganjil</v>
      </c>
      <c r="R5394" s="8" t="s">
        <v>260</v>
      </c>
      <c r="S5394" t="str">
        <f t="shared" si="736"/>
        <v>PA</v>
      </c>
    </row>
    <row r="5395" spans="1:19" x14ac:dyDescent="0.3">
      <c r="A5395" t="s">
        <v>8</v>
      </c>
      <c r="B5395" t="s">
        <v>268</v>
      </c>
      <c r="C5395" t="s">
        <v>269</v>
      </c>
      <c r="E5395" t="s">
        <v>202</v>
      </c>
      <c r="F5395" s="1" t="s">
        <v>203</v>
      </c>
      <c r="G5395">
        <v>4</v>
      </c>
      <c r="H5395" t="s">
        <v>260</v>
      </c>
      <c r="I5395" s="4">
        <f t="shared" si="737"/>
        <v>4</v>
      </c>
      <c r="J5395">
        <f t="shared" si="735"/>
        <v>16</v>
      </c>
      <c r="K5395">
        <v>246</v>
      </c>
      <c r="L5395">
        <v>78</v>
      </c>
      <c r="M5395" s="2">
        <v>3.2</v>
      </c>
      <c r="N5395">
        <v>3.12</v>
      </c>
      <c r="O5395">
        <v>0</v>
      </c>
      <c r="P5395">
        <v>1</v>
      </c>
      <c r="Q5395" s="4" t="str">
        <f t="shared" si="742"/>
        <v>2016/2017-Ganjil</v>
      </c>
      <c r="R5395" s="8" t="s">
        <v>260</v>
      </c>
      <c r="S5395" t="str">
        <f t="shared" si="736"/>
        <v>PA</v>
      </c>
    </row>
    <row r="5396" spans="1:19" x14ac:dyDescent="0.3">
      <c r="A5396" t="s">
        <v>8</v>
      </c>
      <c r="B5396" t="s">
        <v>268</v>
      </c>
      <c r="C5396" t="s">
        <v>269</v>
      </c>
      <c r="E5396" t="s">
        <v>147</v>
      </c>
      <c r="F5396" s="1" t="s">
        <v>148</v>
      </c>
      <c r="G5396">
        <v>4</v>
      </c>
      <c r="H5396" t="s">
        <v>438</v>
      </c>
      <c r="I5396" s="4">
        <f t="shared" si="737"/>
        <v>3</v>
      </c>
      <c r="J5396">
        <f t="shared" si="735"/>
        <v>12</v>
      </c>
      <c r="K5396">
        <v>246</v>
      </c>
      <c r="L5396">
        <v>78</v>
      </c>
      <c r="M5396" s="2">
        <v>3.2</v>
      </c>
      <c r="N5396">
        <v>3.12</v>
      </c>
      <c r="O5396">
        <v>0</v>
      </c>
      <c r="P5396">
        <v>1</v>
      </c>
      <c r="Q5396" s="4" t="str">
        <f t="shared" si="742"/>
        <v>2016/2017-Ganjil</v>
      </c>
      <c r="R5396" s="8" t="s">
        <v>260</v>
      </c>
      <c r="S5396" t="str">
        <f t="shared" si="736"/>
        <v>PA</v>
      </c>
    </row>
    <row r="5397" spans="1:19" x14ac:dyDescent="0.3">
      <c r="A5397" t="s">
        <v>8</v>
      </c>
      <c r="B5397" t="s">
        <v>268</v>
      </c>
      <c r="C5397" t="s">
        <v>269</v>
      </c>
      <c r="E5397" t="s">
        <v>250</v>
      </c>
      <c r="F5397" s="1" t="s">
        <v>410</v>
      </c>
      <c r="G5397">
        <v>2</v>
      </c>
      <c r="H5397" t="s">
        <v>260</v>
      </c>
      <c r="I5397" s="4">
        <f t="shared" si="737"/>
        <v>4</v>
      </c>
      <c r="J5397">
        <f t="shared" si="735"/>
        <v>8</v>
      </c>
      <c r="K5397">
        <v>246</v>
      </c>
      <c r="L5397">
        <v>78</v>
      </c>
      <c r="M5397" s="2">
        <v>3.2</v>
      </c>
      <c r="N5397">
        <v>3.12</v>
      </c>
      <c r="O5397">
        <v>0</v>
      </c>
      <c r="P5397">
        <v>1</v>
      </c>
      <c r="Q5397" s="4" t="str">
        <f t="shared" si="742"/>
        <v>2016/2017-Ganjil</v>
      </c>
      <c r="R5397" s="8" t="s">
        <v>260</v>
      </c>
      <c r="S5397" t="str">
        <f t="shared" si="736"/>
        <v>PA</v>
      </c>
    </row>
    <row r="5398" spans="1:19" x14ac:dyDescent="0.3">
      <c r="A5398" t="s">
        <v>8</v>
      </c>
      <c r="B5398" t="s">
        <v>268</v>
      </c>
      <c r="C5398" t="s">
        <v>269</v>
      </c>
      <c r="E5398" t="s">
        <v>393</v>
      </c>
      <c r="F5398" t="s">
        <v>436</v>
      </c>
      <c r="G5398">
        <v>2</v>
      </c>
      <c r="H5398" t="s">
        <v>438</v>
      </c>
      <c r="I5398" s="4">
        <f t="shared" si="737"/>
        <v>3</v>
      </c>
      <c r="J5398">
        <f t="shared" si="735"/>
        <v>6</v>
      </c>
      <c r="K5398">
        <v>56</v>
      </c>
      <c r="L5398">
        <v>16</v>
      </c>
      <c r="M5398" s="2">
        <v>3.5</v>
      </c>
      <c r="N5398">
        <v>3.12</v>
      </c>
      <c r="O5398">
        <v>0</v>
      </c>
      <c r="P5398">
        <v>3</v>
      </c>
      <c r="Q5398" s="4" t="str">
        <f>IF(P5398=1,"2016/2017-Ganjil",IF(P5398=2,"2016/2017-Genap",IF(P5398=3,"2017/2018-Ganjil",IF(P5398=4,"2017/2018-Genap",IF(P5398=5,"2018/2019-Ganjil",IF(P5398=6,"2018/2019-Genap",IF(P5398=7,"2019/2020-Ganjil",IF(P5398=8,"2019/2020-Genap",IF(P5398=9,"2020/2021-Ganjil",IF(P5398=10,"2020/2021-Genap",IF(P5398=11,"2021/2022-Ganjil",IF(P5398=12,"2021/2022-Genap",IF(P5398=13,"2022/2023-Ganjil","2022/2023-Genap")))))))))))))</f>
        <v>2017/2018-Ganjil</v>
      </c>
      <c r="R5398" s="8" t="s">
        <v>260</v>
      </c>
      <c r="S5398" t="str">
        <f t="shared" si="736"/>
        <v>PA</v>
      </c>
    </row>
    <row r="5399" spans="1:19" x14ac:dyDescent="0.3">
      <c r="A5399" t="s">
        <v>8</v>
      </c>
      <c r="B5399" t="s">
        <v>268</v>
      </c>
      <c r="C5399" t="s">
        <v>269</v>
      </c>
      <c r="E5399" t="s">
        <v>423</v>
      </c>
      <c r="F5399" s="1" t="s">
        <v>108</v>
      </c>
      <c r="G5399">
        <v>2</v>
      </c>
      <c r="H5399" t="s">
        <v>438</v>
      </c>
      <c r="I5399" s="4">
        <f t="shared" si="737"/>
        <v>3</v>
      </c>
      <c r="J5399">
        <f t="shared" si="735"/>
        <v>6</v>
      </c>
      <c r="K5399">
        <v>246</v>
      </c>
      <c r="L5399">
        <v>78</v>
      </c>
      <c r="M5399" s="2">
        <v>3.2</v>
      </c>
      <c r="N5399">
        <v>3.12</v>
      </c>
      <c r="O5399">
        <v>0</v>
      </c>
      <c r="P5399">
        <v>1</v>
      </c>
      <c r="Q5399" s="4" t="str">
        <f t="shared" ref="Q5399:Q5402" si="743">IF(P5399=1,"2016/2017-Ganjil",IF(P5399=2,"2016/2017-Genap",IF(P5399=3,"2017/2018-Ganjil",IF(P5399=4,"2017/2018-Genap",IF(P5399=5,"2018/2019-Ganjil",IF(P5399=6,"2018/2019-Genap",IF(P5399=7,"2019/2020-Ganjil",IF(P5399=8,"2019/2020-Genap",IF(P5399=9,"2020/2021-Ganjil",IF(P5399=10,"2020/2021-Genap",IF(P5399=11,"2021/2022-Ganjil",IF(P5399=12,"2021/2022-Genap",IF(P5399=13,"2022/2023-Ganjil","2022/2023-Genap")))))))))))))</f>
        <v>2016/2017-Ganjil</v>
      </c>
      <c r="R5399" s="8" t="s">
        <v>260</v>
      </c>
      <c r="S5399" t="str">
        <f t="shared" si="736"/>
        <v>PA</v>
      </c>
    </row>
    <row r="5400" spans="1:19" x14ac:dyDescent="0.3">
      <c r="A5400" t="s">
        <v>8</v>
      </c>
      <c r="B5400" t="s">
        <v>268</v>
      </c>
      <c r="C5400" t="s">
        <v>269</v>
      </c>
      <c r="E5400" t="s">
        <v>22</v>
      </c>
      <c r="F5400" s="1" t="s">
        <v>23</v>
      </c>
      <c r="G5400">
        <v>2</v>
      </c>
      <c r="H5400" t="s">
        <v>438</v>
      </c>
      <c r="I5400" s="4">
        <f t="shared" si="737"/>
        <v>3</v>
      </c>
      <c r="J5400">
        <f t="shared" si="735"/>
        <v>6</v>
      </c>
      <c r="K5400">
        <v>246</v>
      </c>
      <c r="L5400">
        <v>78</v>
      </c>
      <c r="M5400" s="2">
        <v>3.2</v>
      </c>
      <c r="N5400">
        <v>3.12</v>
      </c>
      <c r="O5400">
        <v>0</v>
      </c>
      <c r="P5400">
        <v>1</v>
      </c>
      <c r="Q5400" s="4" t="str">
        <f t="shared" si="743"/>
        <v>2016/2017-Ganjil</v>
      </c>
      <c r="R5400" s="8" t="s">
        <v>260</v>
      </c>
      <c r="S5400" t="str">
        <f t="shared" si="736"/>
        <v>PA</v>
      </c>
    </row>
    <row r="5401" spans="1:19" x14ac:dyDescent="0.3">
      <c r="A5401" t="s">
        <v>8</v>
      </c>
      <c r="B5401" t="s">
        <v>268</v>
      </c>
      <c r="C5401" t="s">
        <v>269</v>
      </c>
      <c r="E5401" t="s">
        <v>163</v>
      </c>
      <c r="F5401" s="1" t="s">
        <v>164</v>
      </c>
      <c r="G5401">
        <v>2</v>
      </c>
      <c r="H5401" t="s">
        <v>438</v>
      </c>
      <c r="I5401" s="4">
        <f t="shared" si="737"/>
        <v>3</v>
      </c>
      <c r="J5401">
        <f t="shared" si="735"/>
        <v>6</v>
      </c>
      <c r="K5401">
        <v>246</v>
      </c>
      <c r="L5401">
        <v>78</v>
      </c>
      <c r="M5401" s="2">
        <v>3.2</v>
      </c>
      <c r="N5401">
        <v>3.12</v>
      </c>
      <c r="O5401">
        <v>0</v>
      </c>
      <c r="P5401">
        <v>1</v>
      </c>
      <c r="Q5401" s="4" t="str">
        <f t="shared" si="743"/>
        <v>2016/2017-Ganjil</v>
      </c>
      <c r="R5401" s="8" t="s">
        <v>260</v>
      </c>
      <c r="S5401" t="str">
        <f t="shared" si="736"/>
        <v>PA</v>
      </c>
    </row>
    <row r="5402" spans="1:19" x14ac:dyDescent="0.3">
      <c r="A5402" t="s">
        <v>8</v>
      </c>
      <c r="B5402" t="s">
        <v>268</v>
      </c>
      <c r="C5402" t="s">
        <v>269</v>
      </c>
      <c r="E5402" t="s">
        <v>401</v>
      </c>
      <c r="F5402" s="1" t="s">
        <v>474</v>
      </c>
      <c r="G5402">
        <v>4</v>
      </c>
      <c r="H5402" t="s">
        <v>438</v>
      </c>
      <c r="I5402" s="4">
        <f t="shared" si="737"/>
        <v>3</v>
      </c>
      <c r="J5402">
        <f t="shared" si="735"/>
        <v>12</v>
      </c>
      <c r="K5402">
        <v>246</v>
      </c>
      <c r="L5402">
        <v>78</v>
      </c>
      <c r="M5402" s="2">
        <v>3.2</v>
      </c>
      <c r="N5402">
        <v>3.12</v>
      </c>
      <c r="O5402">
        <v>0</v>
      </c>
      <c r="P5402">
        <v>1</v>
      </c>
      <c r="Q5402" s="4" t="str">
        <f t="shared" si="743"/>
        <v>2016/2017-Ganjil</v>
      </c>
      <c r="R5402" s="8" t="s">
        <v>260</v>
      </c>
      <c r="S5402" t="str">
        <f t="shared" si="736"/>
        <v>PA</v>
      </c>
    </row>
    <row r="5403" spans="1:19" x14ac:dyDescent="0.3">
      <c r="A5403" t="s">
        <v>8</v>
      </c>
      <c r="B5403" t="s">
        <v>268</v>
      </c>
      <c r="C5403" t="s">
        <v>269</v>
      </c>
      <c r="E5403" t="s">
        <v>369</v>
      </c>
      <c r="F5403" t="s">
        <v>307</v>
      </c>
      <c r="G5403">
        <v>2</v>
      </c>
      <c r="H5403" t="s">
        <v>438</v>
      </c>
      <c r="I5403" s="4">
        <f t="shared" si="737"/>
        <v>3</v>
      </c>
      <c r="J5403">
        <f t="shared" si="735"/>
        <v>6</v>
      </c>
      <c r="K5403">
        <v>44</v>
      </c>
      <c r="L5403">
        <v>16</v>
      </c>
      <c r="M5403">
        <v>2.75</v>
      </c>
      <c r="N5403">
        <v>3.12</v>
      </c>
      <c r="O5403">
        <v>0</v>
      </c>
      <c r="P5403">
        <v>4</v>
      </c>
      <c r="Q5403" s="4" t="str">
        <f t="shared" ref="Q5403:Q5411" si="744">IF(P5403=1,"2016/2017-Ganjil",IF(P5403=2,"2016/2017-Genap",IF(P5403=3,"2017/2018-Ganjil",IF(P5403=4,"2017/2018-Genap",IF(P5403=5,"2018/2019-Ganjil",IF(P5403=6,"2018/2019-Genap",IF(P5403=7,"2019/2020-Ganjil",IF(P5403=8,"2019/2020-Genap",IF(P5403=9,"2020/2021-Ganjil",IF(P5403=10,"2020/2021-Genap",IF(P5403=11,"2021/2022-Ganjil",IF(P5403=12,"2021/2022-Genap",IF(P5403=13,"2022/2023-Ganjil","2022/2023-Genap")))))))))))))</f>
        <v>2017/2018-Genap</v>
      </c>
      <c r="R5403" s="8" t="s">
        <v>260</v>
      </c>
      <c r="S5403" t="str">
        <f t="shared" si="736"/>
        <v>PA</v>
      </c>
    </row>
    <row r="5404" spans="1:19" x14ac:dyDescent="0.3">
      <c r="A5404" t="s">
        <v>8</v>
      </c>
      <c r="B5404" t="s">
        <v>268</v>
      </c>
      <c r="C5404" t="s">
        <v>269</v>
      </c>
      <c r="E5404" t="s">
        <v>125</v>
      </c>
      <c r="F5404" t="s">
        <v>488</v>
      </c>
      <c r="G5404">
        <v>4</v>
      </c>
      <c r="H5404" t="s">
        <v>438</v>
      </c>
      <c r="I5404" s="4">
        <f t="shared" si="737"/>
        <v>3</v>
      </c>
      <c r="J5404">
        <f t="shared" si="735"/>
        <v>12</v>
      </c>
      <c r="K5404">
        <v>44</v>
      </c>
      <c r="L5404">
        <v>16</v>
      </c>
      <c r="M5404">
        <v>2.75</v>
      </c>
      <c r="N5404">
        <v>3.12</v>
      </c>
      <c r="O5404">
        <v>0</v>
      </c>
      <c r="P5404">
        <v>4</v>
      </c>
      <c r="Q5404" s="4" t="str">
        <f t="shared" si="744"/>
        <v>2017/2018-Genap</v>
      </c>
      <c r="R5404" s="8" t="s">
        <v>260</v>
      </c>
      <c r="S5404" t="str">
        <f t="shared" si="736"/>
        <v>PA</v>
      </c>
    </row>
    <row r="5405" spans="1:19" x14ac:dyDescent="0.3">
      <c r="A5405" t="s">
        <v>8</v>
      </c>
      <c r="B5405" t="s">
        <v>268</v>
      </c>
      <c r="C5405" t="s">
        <v>269</v>
      </c>
      <c r="E5405" t="s">
        <v>157</v>
      </c>
      <c r="F5405" s="1" t="s">
        <v>158</v>
      </c>
      <c r="G5405">
        <v>2</v>
      </c>
      <c r="H5405" t="s">
        <v>438</v>
      </c>
      <c r="I5405" s="4">
        <f t="shared" si="737"/>
        <v>3</v>
      </c>
      <c r="J5405">
        <f t="shared" si="735"/>
        <v>6</v>
      </c>
      <c r="K5405">
        <v>246</v>
      </c>
      <c r="L5405">
        <v>78</v>
      </c>
      <c r="M5405" s="2">
        <v>3.2</v>
      </c>
      <c r="N5405">
        <v>3.12</v>
      </c>
      <c r="O5405">
        <v>0</v>
      </c>
      <c r="P5405">
        <v>1</v>
      </c>
      <c r="Q5405" s="4" t="str">
        <f t="shared" si="744"/>
        <v>2016/2017-Ganjil</v>
      </c>
      <c r="R5405" s="8" t="s">
        <v>260</v>
      </c>
      <c r="S5405" t="str">
        <f t="shared" si="736"/>
        <v>PA</v>
      </c>
    </row>
    <row r="5406" spans="1:19" x14ac:dyDescent="0.3">
      <c r="A5406" t="s">
        <v>8</v>
      </c>
      <c r="B5406" t="s">
        <v>268</v>
      </c>
      <c r="C5406" t="s">
        <v>269</v>
      </c>
      <c r="E5406" t="s">
        <v>119</v>
      </c>
      <c r="F5406" t="s">
        <v>497</v>
      </c>
      <c r="G5406">
        <v>2</v>
      </c>
      <c r="H5406" t="s">
        <v>438</v>
      </c>
      <c r="I5406" s="4">
        <f t="shared" si="737"/>
        <v>3</v>
      </c>
      <c r="J5406">
        <f t="shared" si="735"/>
        <v>6</v>
      </c>
      <c r="K5406">
        <v>32</v>
      </c>
      <c r="L5406">
        <v>12</v>
      </c>
      <c r="M5406">
        <v>2.67</v>
      </c>
      <c r="N5406">
        <v>3.12</v>
      </c>
      <c r="O5406">
        <v>0</v>
      </c>
      <c r="P5406">
        <v>2</v>
      </c>
      <c r="Q5406" s="4" t="str">
        <f t="shared" si="744"/>
        <v>2016/2017-Genap</v>
      </c>
      <c r="R5406" s="8" t="s">
        <v>260</v>
      </c>
      <c r="S5406" t="str">
        <f t="shared" si="736"/>
        <v>PA</v>
      </c>
    </row>
    <row r="5407" spans="1:19" x14ac:dyDescent="0.3">
      <c r="A5407" t="s">
        <v>8</v>
      </c>
      <c r="B5407" t="s">
        <v>268</v>
      </c>
      <c r="C5407" t="s">
        <v>269</v>
      </c>
      <c r="E5407" t="s">
        <v>180</v>
      </c>
      <c r="F5407" s="1" t="s">
        <v>386</v>
      </c>
      <c r="G5407">
        <v>4</v>
      </c>
      <c r="H5407" t="s">
        <v>438</v>
      </c>
      <c r="I5407" s="4">
        <f t="shared" si="737"/>
        <v>3</v>
      </c>
      <c r="J5407">
        <f t="shared" si="735"/>
        <v>12</v>
      </c>
      <c r="K5407">
        <v>246</v>
      </c>
      <c r="L5407">
        <v>78</v>
      </c>
      <c r="M5407" s="2">
        <v>3.2</v>
      </c>
      <c r="N5407">
        <v>3.12</v>
      </c>
      <c r="O5407">
        <v>0</v>
      </c>
      <c r="P5407">
        <v>1</v>
      </c>
      <c r="Q5407" s="4" t="str">
        <f t="shared" si="744"/>
        <v>2016/2017-Ganjil</v>
      </c>
      <c r="R5407" s="8" t="s">
        <v>260</v>
      </c>
      <c r="S5407" t="str">
        <f t="shared" si="736"/>
        <v>PA</v>
      </c>
    </row>
    <row r="5408" spans="1:19" x14ac:dyDescent="0.3">
      <c r="A5408" t="s">
        <v>8</v>
      </c>
      <c r="B5408" t="s">
        <v>268</v>
      </c>
      <c r="C5408" t="s">
        <v>269</v>
      </c>
      <c r="E5408" t="s">
        <v>597</v>
      </c>
      <c r="F5408" t="s">
        <v>275</v>
      </c>
      <c r="G5408">
        <v>2</v>
      </c>
      <c r="H5408" t="s">
        <v>438</v>
      </c>
      <c r="I5408" s="4">
        <f t="shared" si="737"/>
        <v>3</v>
      </c>
      <c r="J5408">
        <f t="shared" si="735"/>
        <v>6</v>
      </c>
      <c r="K5408">
        <v>32</v>
      </c>
      <c r="L5408">
        <v>12</v>
      </c>
      <c r="M5408">
        <v>2.67</v>
      </c>
      <c r="N5408">
        <v>3.12</v>
      </c>
      <c r="O5408">
        <v>0</v>
      </c>
      <c r="P5408">
        <v>2</v>
      </c>
      <c r="Q5408" s="4" t="str">
        <f t="shared" si="744"/>
        <v>2016/2017-Genap</v>
      </c>
      <c r="R5408" s="8" t="s">
        <v>260</v>
      </c>
      <c r="S5408" t="str">
        <f t="shared" si="736"/>
        <v>PA</v>
      </c>
    </row>
    <row r="5409" spans="1:19" x14ac:dyDescent="0.3">
      <c r="A5409" t="s">
        <v>8</v>
      </c>
      <c r="B5409" t="s">
        <v>268</v>
      </c>
      <c r="C5409" t="s">
        <v>269</v>
      </c>
      <c r="E5409" t="s">
        <v>238</v>
      </c>
      <c r="F5409" s="1" t="s">
        <v>239</v>
      </c>
      <c r="G5409">
        <v>4</v>
      </c>
      <c r="H5409" t="s">
        <v>438</v>
      </c>
      <c r="I5409" s="4">
        <f t="shared" si="737"/>
        <v>3</v>
      </c>
      <c r="J5409">
        <f t="shared" ref="J5409:J5472" si="745">G5409*I5409</f>
        <v>12</v>
      </c>
      <c r="K5409">
        <v>246</v>
      </c>
      <c r="L5409">
        <v>78</v>
      </c>
      <c r="M5409" s="2">
        <v>3.2</v>
      </c>
      <c r="N5409">
        <v>3.12</v>
      </c>
      <c r="O5409">
        <v>0</v>
      </c>
      <c r="P5409">
        <v>1</v>
      </c>
      <c r="Q5409" s="4" t="str">
        <f t="shared" si="744"/>
        <v>2016/2017-Ganjil</v>
      </c>
      <c r="R5409" s="8" t="s">
        <v>260</v>
      </c>
      <c r="S5409" t="str">
        <f t="shared" si="736"/>
        <v>PA</v>
      </c>
    </row>
    <row r="5410" spans="1:19" x14ac:dyDescent="0.3">
      <c r="A5410" t="s">
        <v>8</v>
      </c>
      <c r="B5410" t="s">
        <v>268</v>
      </c>
      <c r="C5410" t="s">
        <v>269</v>
      </c>
      <c r="E5410" t="s">
        <v>185</v>
      </c>
      <c r="F5410" t="s">
        <v>186</v>
      </c>
      <c r="G5410">
        <v>4</v>
      </c>
      <c r="H5410" t="s">
        <v>438</v>
      </c>
      <c r="I5410" s="4">
        <f t="shared" si="737"/>
        <v>3</v>
      </c>
      <c r="J5410">
        <f t="shared" si="745"/>
        <v>12</v>
      </c>
      <c r="K5410">
        <v>56</v>
      </c>
      <c r="L5410">
        <v>16</v>
      </c>
      <c r="M5410" s="2">
        <v>3.5</v>
      </c>
      <c r="N5410">
        <v>3.12</v>
      </c>
      <c r="O5410">
        <v>0</v>
      </c>
      <c r="P5410">
        <v>3</v>
      </c>
      <c r="Q5410" s="4" t="str">
        <f t="shared" si="744"/>
        <v>2017/2018-Ganjil</v>
      </c>
      <c r="R5410" s="8" t="s">
        <v>260</v>
      </c>
      <c r="S5410" t="str">
        <f t="shared" si="736"/>
        <v>PA</v>
      </c>
    </row>
    <row r="5411" spans="1:19" x14ac:dyDescent="0.3">
      <c r="A5411" t="s">
        <v>8</v>
      </c>
      <c r="B5411" t="s">
        <v>268</v>
      </c>
      <c r="C5411" t="s">
        <v>269</v>
      </c>
      <c r="E5411" t="s">
        <v>227</v>
      </c>
      <c r="F5411" t="s">
        <v>228</v>
      </c>
      <c r="G5411">
        <v>2</v>
      </c>
      <c r="H5411" t="s">
        <v>438</v>
      </c>
      <c r="I5411" s="4">
        <f t="shared" si="737"/>
        <v>3</v>
      </c>
      <c r="J5411">
        <f t="shared" si="745"/>
        <v>6</v>
      </c>
      <c r="K5411">
        <v>56</v>
      </c>
      <c r="L5411">
        <v>16</v>
      </c>
      <c r="M5411" s="2">
        <v>3.5</v>
      </c>
      <c r="N5411">
        <v>3.12</v>
      </c>
      <c r="O5411">
        <v>0</v>
      </c>
      <c r="P5411">
        <v>3</v>
      </c>
      <c r="Q5411" s="4" t="str">
        <f t="shared" si="744"/>
        <v>2017/2018-Ganjil</v>
      </c>
      <c r="R5411" s="8" t="s">
        <v>260</v>
      </c>
      <c r="S5411" t="str">
        <f t="shared" si="736"/>
        <v>PA</v>
      </c>
    </row>
    <row r="5412" spans="1:19" x14ac:dyDescent="0.3">
      <c r="A5412" t="s">
        <v>8</v>
      </c>
      <c r="B5412" t="s">
        <v>268</v>
      </c>
      <c r="C5412" t="s">
        <v>269</v>
      </c>
      <c r="E5412" t="s">
        <v>449</v>
      </c>
      <c r="F5412" s="1" t="s">
        <v>460</v>
      </c>
      <c r="G5412">
        <v>4</v>
      </c>
      <c r="H5412" t="s">
        <v>438</v>
      </c>
      <c r="I5412" s="4">
        <f t="shared" si="737"/>
        <v>3</v>
      </c>
      <c r="J5412">
        <f t="shared" si="745"/>
        <v>12</v>
      </c>
      <c r="K5412">
        <v>246</v>
      </c>
      <c r="L5412">
        <v>78</v>
      </c>
      <c r="M5412" s="2">
        <v>3.2</v>
      </c>
      <c r="N5412">
        <v>3.12</v>
      </c>
      <c r="O5412">
        <v>0</v>
      </c>
      <c r="P5412">
        <v>1</v>
      </c>
      <c r="Q5412" s="4" t="str">
        <f t="shared" ref="Q5412:Q5414" si="746">IF(P5412=1,"2016/2017-Ganjil",IF(P5412=2,"2016/2017-Genap",IF(P5412=3,"2017/2018-Ganjil",IF(P5412=4,"2017/2018-Genap",IF(P5412=5,"2018/2019-Ganjil",IF(P5412=6,"2018/2019-Genap",IF(P5412=7,"2019/2020-Ganjil",IF(P5412=8,"2019/2020-Genap",IF(P5412=9,"2020/2021-Ganjil",IF(P5412=10,"2020/2021-Genap",IF(P5412=11,"2021/2022-Ganjil",IF(P5412=12,"2021/2022-Genap",IF(P5412=13,"2022/2023-Ganjil","2022/2023-Genap")))))))))))))</f>
        <v>2016/2017-Ganjil</v>
      </c>
      <c r="R5412" s="8" t="s">
        <v>260</v>
      </c>
      <c r="S5412" t="str">
        <f t="shared" si="736"/>
        <v>PA</v>
      </c>
    </row>
    <row r="5413" spans="1:19" x14ac:dyDescent="0.3">
      <c r="A5413" t="s">
        <v>8</v>
      </c>
      <c r="B5413" t="s">
        <v>268</v>
      </c>
      <c r="C5413" t="s">
        <v>269</v>
      </c>
      <c r="E5413" t="s">
        <v>136</v>
      </c>
      <c r="F5413" s="1" t="s">
        <v>137</v>
      </c>
      <c r="G5413">
        <v>4</v>
      </c>
      <c r="H5413" t="s">
        <v>438</v>
      </c>
      <c r="I5413" s="4">
        <f t="shared" si="737"/>
        <v>3</v>
      </c>
      <c r="J5413">
        <f t="shared" si="745"/>
        <v>12</v>
      </c>
      <c r="K5413">
        <v>246</v>
      </c>
      <c r="L5413">
        <v>78</v>
      </c>
      <c r="M5413" s="2">
        <v>3.2</v>
      </c>
      <c r="N5413">
        <v>3.12</v>
      </c>
      <c r="O5413">
        <v>0</v>
      </c>
      <c r="P5413">
        <v>1</v>
      </c>
      <c r="Q5413" s="4" t="str">
        <f t="shared" si="746"/>
        <v>2016/2017-Ganjil</v>
      </c>
      <c r="R5413" s="8" t="s">
        <v>260</v>
      </c>
      <c r="S5413" t="str">
        <f t="shared" si="736"/>
        <v>PA</v>
      </c>
    </row>
    <row r="5414" spans="1:19" x14ac:dyDescent="0.3">
      <c r="A5414" t="s">
        <v>8</v>
      </c>
      <c r="B5414" t="s">
        <v>268</v>
      </c>
      <c r="C5414" t="s">
        <v>269</v>
      </c>
      <c r="E5414" t="s">
        <v>266</v>
      </c>
      <c r="F5414" s="1" t="s">
        <v>91</v>
      </c>
      <c r="G5414">
        <v>2</v>
      </c>
      <c r="H5414" t="s">
        <v>438</v>
      </c>
      <c r="I5414" s="4">
        <f t="shared" si="737"/>
        <v>3</v>
      </c>
      <c r="J5414">
        <f t="shared" si="745"/>
        <v>6</v>
      </c>
      <c r="K5414">
        <v>246</v>
      </c>
      <c r="L5414">
        <v>78</v>
      </c>
      <c r="M5414" s="2">
        <v>3.2</v>
      </c>
      <c r="N5414">
        <v>3.12</v>
      </c>
      <c r="O5414">
        <v>0</v>
      </c>
      <c r="P5414">
        <v>1</v>
      </c>
      <c r="Q5414" s="4" t="str">
        <f t="shared" si="746"/>
        <v>2016/2017-Ganjil</v>
      </c>
      <c r="R5414" s="8" t="s">
        <v>260</v>
      </c>
      <c r="S5414" t="str">
        <f t="shared" si="736"/>
        <v>PA</v>
      </c>
    </row>
    <row r="5415" spans="1:19" x14ac:dyDescent="0.3">
      <c r="A5415" t="s">
        <v>8</v>
      </c>
      <c r="B5415" t="s">
        <v>268</v>
      </c>
      <c r="C5415" t="s">
        <v>269</v>
      </c>
      <c r="E5415" t="s">
        <v>115</v>
      </c>
      <c r="F5415" t="s">
        <v>116</v>
      </c>
      <c r="G5415">
        <v>4</v>
      </c>
      <c r="H5415" t="s">
        <v>438</v>
      </c>
      <c r="I5415" s="4">
        <f t="shared" si="737"/>
        <v>3</v>
      </c>
      <c r="J5415">
        <f t="shared" si="745"/>
        <v>12</v>
      </c>
      <c r="K5415">
        <v>44</v>
      </c>
      <c r="L5415">
        <v>16</v>
      </c>
      <c r="M5415">
        <v>2.75</v>
      </c>
      <c r="N5415">
        <v>3.12</v>
      </c>
      <c r="O5415">
        <v>0</v>
      </c>
      <c r="P5415">
        <v>4</v>
      </c>
      <c r="Q5415" s="4" t="str">
        <f>IF(P5415=1,"2016/2017-Ganjil",IF(P5415=2,"2016/2017-Genap",IF(P5415=3,"2017/2018-Ganjil",IF(P5415=4,"2017/2018-Genap",IF(P5415=5,"2018/2019-Ganjil",IF(P5415=6,"2018/2019-Genap",IF(P5415=7,"2019/2020-Ganjil",IF(P5415=8,"2019/2020-Genap",IF(P5415=9,"2020/2021-Ganjil",IF(P5415=10,"2020/2021-Genap",IF(P5415=11,"2021/2022-Ganjil",IF(P5415=12,"2021/2022-Genap",IF(P5415=13,"2022/2023-Ganjil","2022/2023-Genap")))))))))))))</f>
        <v>2017/2018-Genap</v>
      </c>
      <c r="R5415" s="8" t="s">
        <v>260</v>
      </c>
      <c r="S5415" t="str">
        <f t="shared" si="736"/>
        <v>PA</v>
      </c>
    </row>
    <row r="5416" spans="1:19" x14ac:dyDescent="0.3">
      <c r="A5416" t="s">
        <v>8</v>
      </c>
      <c r="B5416" t="s">
        <v>268</v>
      </c>
      <c r="C5416" t="s">
        <v>269</v>
      </c>
      <c r="E5416" t="s">
        <v>188</v>
      </c>
      <c r="F5416" t="s">
        <v>189</v>
      </c>
      <c r="G5416">
        <v>4</v>
      </c>
      <c r="H5416" t="s">
        <v>438</v>
      </c>
      <c r="I5416" s="4">
        <f t="shared" si="737"/>
        <v>3</v>
      </c>
      <c r="J5416">
        <f t="shared" si="745"/>
        <v>12</v>
      </c>
      <c r="K5416">
        <v>32</v>
      </c>
      <c r="L5416">
        <v>10</v>
      </c>
      <c r="M5416" s="2">
        <v>3.2</v>
      </c>
      <c r="N5416">
        <v>3.12</v>
      </c>
      <c r="O5416">
        <v>0</v>
      </c>
      <c r="P5416">
        <v>1</v>
      </c>
      <c r="Q5416" s="4" t="str">
        <f>IF(P5416=1,"2016/2017-Ganjil",IF(P5416=2,"2016/2017-Genap",IF(P5416=3,"2017/2018-Ganjil",IF(P5416=4,"2017/2018-Genap",IF(P5416=5,"2018/2019-Ganjil",IF(P5416=6,"2018/2019-Genap",IF(P5416=7,"2019/2020-Ganjil",IF(P5416=8,"2019/2020-Genap",IF(P5416=9,"2020/2021-Ganjil",IF(P5416=10,"2020/2021-Genap",IF(P5416=11,"2021/2022-Ganjil",IF(P5416=12,"2021/2022-Genap",IF(P5416=13,"2022/2023-Ganjil","2022/2023-Genap")))))))))))))</f>
        <v>2016/2017-Ganjil</v>
      </c>
      <c r="R5416" s="8" t="s">
        <v>260</v>
      </c>
      <c r="S5416" t="str">
        <f t="shared" si="736"/>
        <v>PA</v>
      </c>
    </row>
    <row r="5417" spans="1:19" x14ac:dyDescent="0.3">
      <c r="A5417" t="s">
        <v>8</v>
      </c>
      <c r="B5417" t="s">
        <v>268</v>
      </c>
      <c r="C5417" t="s">
        <v>269</v>
      </c>
      <c r="E5417" t="s">
        <v>112</v>
      </c>
      <c r="F5417" s="1" t="s">
        <v>487</v>
      </c>
      <c r="G5417">
        <v>4</v>
      </c>
      <c r="H5417" t="s">
        <v>438</v>
      </c>
      <c r="I5417" s="4">
        <f t="shared" si="737"/>
        <v>3</v>
      </c>
      <c r="J5417">
        <f t="shared" si="745"/>
        <v>12</v>
      </c>
      <c r="K5417">
        <v>246</v>
      </c>
      <c r="L5417">
        <v>78</v>
      </c>
      <c r="M5417" s="2">
        <v>3.2</v>
      </c>
      <c r="N5417">
        <v>3.12</v>
      </c>
      <c r="O5417">
        <v>0</v>
      </c>
      <c r="P5417">
        <v>1</v>
      </c>
      <c r="Q5417" s="4" t="str">
        <f t="shared" ref="Q5417:Q5418" si="747">IF(P5417=1,"2016/2017-Ganjil",IF(P5417=2,"2016/2017-Genap",IF(P5417=3,"2017/2018-Ganjil",IF(P5417=4,"2017/2018-Genap",IF(P5417=5,"2018/2019-Ganjil",IF(P5417=6,"2018/2019-Genap",IF(P5417=7,"2019/2020-Ganjil",IF(P5417=8,"2019/2020-Genap",IF(P5417=9,"2020/2021-Ganjil",IF(P5417=10,"2020/2021-Genap",IF(P5417=11,"2021/2022-Ganjil",IF(P5417=12,"2021/2022-Genap",IF(P5417=13,"2022/2023-Ganjil","2022/2023-Genap")))))))))))))</f>
        <v>2016/2017-Ganjil</v>
      </c>
      <c r="R5417" s="8" t="s">
        <v>260</v>
      </c>
      <c r="S5417" t="str">
        <f t="shared" si="736"/>
        <v>PA</v>
      </c>
    </row>
    <row r="5418" spans="1:19" x14ac:dyDescent="0.3">
      <c r="A5418" t="s">
        <v>8</v>
      </c>
      <c r="B5418" t="s">
        <v>268</v>
      </c>
      <c r="C5418" t="s">
        <v>269</v>
      </c>
      <c r="E5418" t="s">
        <v>253</v>
      </c>
      <c r="F5418" s="1" t="s">
        <v>418</v>
      </c>
      <c r="G5418">
        <v>2</v>
      </c>
      <c r="H5418" t="s">
        <v>438</v>
      </c>
      <c r="I5418" s="4">
        <f t="shared" si="737"/>
        <v>3</v>
      </c>
      <c r="J5418">
        <f t="shared" si="745"/>
        <v>6</v>
      </c>
      <c r="K5418">
        <v>246</v>
      </c>
      <c r="L5418">
        <v>78</v>
      </c>
      <c r="M5418" s="2">
        <v>3.2</v>
      </c>
      <c r="N5418">
        <v>3.12</v>
      </c>
      <c r="O5418">
        <v>0</v>
      </c>
      <c r="P5418">
        <v>1</v>
      </c>
      <c r="Q5418" s="4" t="str">
        <f t="shared" si="747"/>
        <v>2016/2017-Ganjil</v>
      </c>
      <c r="R5418" s="8" t="s">
        <v>260</v>
      </c>
      <c r="S5418" t="str">
        <f t="shared" si="736"/>
        <v>PA</v>
      </c>
    </row>
    <row r="5419" spans="1:19" x14ac:dyDescent="0.3">
      <c r="A5419" t="s">
        <v>8</v>
      </c>
      <c r="B5419" t="s">
        <v>268</v>
      </c>
      <c r="C5419" t="s">
        <v>269</v>
      </c>
      <c r="E5419" t="s">
        <v>182</v>
      </c>
      <c r="F5419" t="s">
        <v>171</v>
      </c>
      <c r="G5419">
        <v>2</v>
      </c>
      <c r="H5419" t="s">
        <v>438</v>
      </c>
      <c r="I5419" s="4">
        <f t="shared" si="737"/>
        <v>3</v>
      </c>
      <c r="J5419">
        <f t="shared" si="745"/>
        <v>6</v>
      </c>
      <c r="K5419">
        <v>42</v>
      </c>
      <c r="L5419">
        <v>16</v>
      </c>
      <c r="M5419">
        <v>2.63</v>
      </c>
      <c r="N5419">
        <v>3.12</v>
      </c>
      <c r="O5419">
        <v>0</v>
      </c>
      <c r="P5419">
        <v>5</v>
      </c>
      <c r="Q5419" s="4" t="str">
        <f t="shared" ref="Q5419:Q5426" si="748">IF(P5419=1,"2016/2017-Ganjil",IF(P5419=2,"2016/2017-Genap",IF(P5419=3,"2017/2018-Ganjil",IF(P5419=4,"2017/2018-Genap",IF(P5419=5,"2018/2019-Ganjil",IF(P5419=6,"2018/2019-Genap",IF(P5419=7,"2019/2020-Ganjil",IF(P5419=8,"2019/2020-Genap",IF(P5419=9,"2020/2021-Ganjil",IF(P5419=10,"2020/2021-Genap",IF(P5419=11,"2021/2022-Ganjil",IF(P5419=12,"2021/2022-Genap",IF(P5419=13,"2022/2023-Ganjil","2022/2023-Genap")))))))))))))</f>
        <v>2018/2019-Ganjil</v>
      </c>
      <c r="R5419" t="s">
        <v>596</v>
      </c>
      <c r="S5419" t="str">
        <f t="shared" si="736"/>
        <v>PA</v>
      </c>
    </row>
    <row r="5420" spans="1:19" x14ac:dyDescent="0.3">
      <c r="A5420" t="s">
        <v>8</v>
      </c>
      <c r="B5420" t="s">
        <v>268</v>
      </c>
      <c r="C5420" t="s">
        <v>269</v>
      </c>
      <c r="E5420" t="s">
        <v>131</v>
      </c>
      <c r="F5420" s="1" t="s">
        <v>132</v>
      </c>
      <c r="G5420">
        <v>2</v>
      </c>
      <c r="H5420" t="s">
        <v>438</v>
      </c>
      <c r="I5420" s="4">
        <f t="shared" si="737"/>
        <v>3</v>
      </c>
      <c r="J5420">
        <f t="shared" si="745"/>
        <v>6</v>
      </c>
      <c r="K5420">
        <v>246</v>
      </c>
      <c r="L5420">
        <v>78</v>
      </c>
      <c r="M5420" s="2">
        <v>3.2</v>
      </c>
      <c r="N5420">
        <v>3.12</v>
      </c>
      <c r="O5420">
        <v>0</v>
      </c>
      <c r="P5420">
        <v>1</v>
      </c>
      <c r="Q5420" s="4" t="str">
        <f t="shared" si="748"/>
        <v>2016/2017-Ganjil</v>
      </c>
      <c r="R5420" s="8" t="s">
        <v>260</v>
      </c>
      <c r="S5420" t="str">
        <f t="shared" si="736"/>
        <v>PA</v>
      </c>
    </row>
    <row r="5421" spans="1:19" x14ac:dyDescent="0.3">
      <c r="A5421" t="s">
        <v>8</v>
      </c>
      <c r="B5421" t="s">
        <v>268</v>
      </c>
      <c r="C5421" t="s">
        <v>269</v>
      </c>
      <c r="E5421" t="s">
        <v>87</v>
      </c>
      <c r="F5421" t="s">
        <v>88</v>
      </c>
      <c r="G5421">
        <v>2</v>
      </c>
      <c r="H5421" t="s">
        <v>438</v>
      </c>
      <c r="I5421" s="4">
        <f t="shared" si="737"/>
        <v>3</v>
      </c>
      <c r="J5421">
        <f t="shared" si="745"/>
        <v>6</v>
      </c>
      <c r="K5421">
        <v>32</v>
      </c>
      <c r="L5421">
        <v>12</v>
      </c>
      <c r="M5421">
        <v>2.67</v>
      </c>
      <c r="N5421">
        <v>3.12</v>
      </c>
      <c r="O5421">
        <v>0</v>
      </c>
      <c r="P5421">
        <v>2</v>
      </c>
      <c r="Q5421" s="4" t="str">
        <f t="shared" si="748"/>
        <v>2016/2017-Genap</v>
      </c>
      <c r="R5421" s="8" t="s">
        <v>260</v>
      </c>
      <c r="S5421" t="str">
        <f t="shared" si="736"/>
        <v>PA</v>
      </c>
    </row>
    <row r="5422" spans="1:19" x14ac:dyDescent="0.3">
      <c r="A5422" t="s">
        <v>8</v>
      </c>
      <c r="B5422" t="s">
        <v>268</v>
      </c>
      <c r="C5422" t="s">
        <v>269</v>
      </c>
      <c r="E5422" t="s">
        <v>213</v>
      </c>
      <c r="F5422" s="1" t="s">
        <v>450</v>
      </c>
      <c r="G5422">
        <v>4</v>
      </c>
      <c r="H5422" t="s">
        <v>438</v>
      </c>
      <c r="I5422" s="4">
        <f t="shared" si="737"/>
        <v>3</v>
      </c>
      <c r="J5422">
        <f t="shared" si="745"/>
        <v>12</v>
      </c>
      <c r="K5422">
        <v>246</v>
      </c>
      <c r="L5422">
        <v>78</v>
      </c>
      <c r="M5422" s="2">
        <v>3.2</v>
      </c>
      <c r="N5422">
        <v>3.12</v>
      </c>
      <c r="O5422">
        <v>0</v>
      </c>
      <c r="P5422">
        <v>1</v>
      </c>
      <c r="Q5422" s="4" t="str">
        <f t="shared" si="748"/>
        <v>2016/2017-Ganjil</v>
      </c>
      <c r="R5422" s="8" t="s">
        <v>260</v>
      </c>
      <c r="S5422" t="str">
        <f t="shared" si="736"/>
        <v>PA</v>
      </c>
    </row>
    <row r="5423" spans="1:19" x14ac:dyDescent="0.3">
      <c r="A5423" t="s">
        <v>8</v>
      </c>
      <c r="B5423" t="s">
        <v>268</v>
      </c>
      <c r="C5423" t="s">
        <v>269</v>
      </c>
      <c r="E5423" t="s">
        <v>93</v>
      </c>
      <c r="F5423" t="s">
        <v>94</v>
      </c>
      <c r="G5423">
        <v>4</v>
      </c>
      <c r="H5423" t="s">
        <v>438</v>
      </c>
      <c r="I5423" s="4">
        <f t="shared" si="737"/>
        <v>3</v>
      </c>
      <c r="J5423">
        <f t="shared" si="745"/>
        <v>12</v>
      </c>
      <c r="K5423">
        <v>42</v>
      </c>
      <c r="L5423">
        <v>16</v>
      </c>
      <c r="M5423">
        <v>2.63</v>
      </c>
      <c r="N5423">
        <v>3.12</v>
      </c>
      <c r="O5423">
        <v>0</v>
      </c>
      <c r="P5423">
        <v>5</v>
      </c>
      <c r="Q5423" s="4" t="str">
        <f t="shared" si="748"/>
        <v>2018/2019-Ganjil</v>
      </c>
      <c r="R5423" s="8" t="s">
        <v>260</v>
      </c>
      <c r="S5423" t="str">
        <f t="shared" si="736"/>
        <v>PA</v>
      </c>
    </row>
    <row r="5424" spans="1:19" x14ac:dyDescent="0.3">
      <c r="A5424" t="s">
        <v>8</v>
      </c>
      <c r="B5424" t="s">
        <v>268</v>
      </c>
      <c r="C5424" t="s">
        <v>269</v>
      </c>
      <c r="E5424" t="s">
        <v>176</v>
      </c>
      <c r="F5424" s="1" t="s">
        <v>177</v>
      </c>
      <c r="G5424">
        <v>4</v>
      </c>
      <c r="H5424" t="s">
        <v>438</v>
      </c>
      <c r="I5424" s="4">
        <f t="shared" si="737"/>
        <v>3</v>
      </c>
      <c r="J5424">
        <f t="shared" si="745"/>
        <v>12</v>
      </c>
      <c r="K5424">
        <v>246</v>
      </c>
      <c r="L5424">
        <v>78</v>
      </c>
      <c r="M5424" s="2">
        <v>3.2</v>
      </c>
      <c r="N5424">
        <v>3.12</v>
      </c>
      <c r="O5424">
        <v>0</v>
      </c>
      <c r="P5424">
        <v>1</v>
      </c>
      <c r="Q5424" s="4" t="str">
        <f t="shared" si="748"/>
        <v>2016/2017-Ganjil</v>
      </c>
      <c r="R5424" s="8" t="s">
        <v>260</v>
      </c>
      <c r="S5424" t="str">
        <f t="shared" si="736"/>
        <v>PA</v>
      </c>
    </row>
    <row r="5425" spans="1:19" x14ac:dyDescent="0.3">
      <c r="A5425" t="s">
        <v>8</v>
      </c>
      <c r="B5425" t="s">
        <v>268</v>
      </c>
      <c r="C5425" t="s">
        <v>269</v>
      </c>
      <c r="E5425" t="s">
        <v>105</v>
      </c>
      <c r="F5425" t="s">
        <v>106</v>
      </c>
      <c r="G5425">
        <v>2</v>
      </c>
      <c r="H5425" t="s">
        <v>524</v>
      </c>
      <c r="I5425" s="4">
        <f t="shared" si="737"/>
        <v>2</v>
      </c>
      <c r="J5425">
        <f t="shared" si="745"/>
        <v>4</v>
      </c>
      <c r="K5425">
        <v>32</v>
      </c>
      <c r="L5425">
        <v>10</v>
      </c>
      <c r="M5425" s="2">
        <v>3.2</v>
      </c>
      <c r="N5425">
        <v>3.12</v>
      </c>
      <c r="O5425">
        <v>0</v>
      </c>
      <c r="P5425">
        <v>1</v>
      </c>
      <c r="Q5425" s="4" t="str">
        <f t="shared" si="748"/>
        <v>2016/2017-Ganjil</v>
      </c>
      <c r="R5425" s="8" t="s">
        <v>260</v>
      </c>
      <c r="S5425" t="str">
        <f t="shared" si="736"/>
        <v>PA</v>
      </c>
    </row>
    <row r="5426" spans="1:19" x14ac:dyDescent="0.3">
      <c r="A5426" t="s">
        <v>8</v>
      </c>
      <c r="B5426" t="s">
        <v>268</v>
      </c>
      <c r="C5426" t="s">
        <v>269</v>
      </c>
      <c r="E5426" t="s">
        <v>395</v>
      </c>
      <c r="F5426" t="s">
        <v>396</v>
      </c>
      <c r="G5426">
        <v>2</v>
      </c>
      <c r="H5426" t="s">
        <v>524</v>
      </c>
      <c r="I5426" s="4">
        <f t="shared" si="737"/>
        <v>2</v>
      </c>
      <c r="J5426">
        <f t="shared" si="745"/>
        <v>4</v>
      </c>
      <c r="K5426">
        <v>42</v>
      </c>
      <c r="L5426">
        <v>16</v>
      </c>
      <c r="M5426">
        <v>2.63</v>
      </c>
      <c r="N5426">
        <v>3.12</v>
      </c>
      <c r="O5426">
        <v>0</v>
      </c>
      <c r="P5426">
        <v>5</v>
      </c>
      <c r="Q5426" s="4" t="str">
        <f t="shared" si="748"/>
        <v>2018/2019-Ganjil</v>
      </c>
      <c r="R5426" t="s">
        <v>596</v>
      </c>
      <c r="S5426" t="str">
        <f t="shared" ref="S5426:S5489" si="749">IF(OR(H5426="A",H5426="B",H5426="C"),"PA","FA")</f>
        <v>PA</v>
      </c>
    </row>
    <row r="5427" spans="1:19" x14ac:dyDescent="0.3">
      <c r="A5427" t="s">
        <v>8</v>
      </c>
      <c r="B5427" t="s">
        <v>268</v>
      </c>
      <c r="C5427" t="s">
        <v>269</v>
      </c>
      <c r="E5427" t="s">
        <v>110</v>
      </c>
      <c r="F5427" s="1" t="s">
        <v>111</v>
      </c>
      <c r="G5427">
        <v>4</v>
      </c>
      <c r="H5427" t="s">
        <v>438</v>
      </c>
      <c r="I5427" s="4">
        <f t="shared" ref="I5427:I5490" si="750">IF(H5427="A",4,IF(H5427="B",3,IF(H5427="C",2,IF(H5427="D",1,0))))</f>
        <v>3</v>
      </c>
      <c r="J5427">
        <f t="shared" si="745"/>
        <v>12</v>
      </c>
      <c r="K5427">
        <v>246</v>
      </c>
      <c r="L5427">
        <v>78</v>
      </c>
      <c r="M5427" s="2">
        <v>3.2</v>
      </c>
      <c r="N5427">
        <v>3.12</v>
      </c>
      <c r="O5427">
        <v>0</v>
      </c>
      <c r="P5427">
        <v>1</v>
      </c>
      <c r="Q5427" s="4" t="str">
        <f t="shared" ref="Q5427:Q5430" si="751">IF(P5427=1,"2016/2017-Ganjil",IF(P5427=2,"2016/2017-Genap",IF(P5427=3,"2017/2018-Ganjil",IF(P5427=4,"2017/2018-Genap",IF(P5427=5,"2018/2019-Ganjil",IF(P5427=6,"2018/2019-Genap",IF(P5427=7,"2019/2020-Ganjil",IF(P5427=8,"2019/2020-Genap",IF(P5427=9,"2020/2021-Ganjil",IF(P5427=10,"2020/2021-Genap",IF(P5427=11,"2021/2022-Ganjil",IF(P5427=12,"2021/2022-Genap",IF(P5427=13,"2022/2023-Ganjil","2022/2023-Genap")))))))))))))</f>
        <v>2016/2017-Ganjil</v>
      </c>
      <c r="R5427" s="8" t="s">
        <v>260</v>
      </c>
      <c r="S5427" t="str">
        <f t="shared" si="749"/>
        <v>PA</v>
      </c>
    </row>
    <row r="5428" spans="1:19" x14ac:dyDescent="0.3">
      <c r="A5428" t="s">
        <v>8</v>
      </c>
      <c r="B5428" t="s">
        <v>268</v>
      </c>
      <c r="C5428" t="s">
        <v>269</v>
      </c>
      <c r="E5428" t="s">
        <v>10</v>
      </c>
      <c r="F5428" s="1" t="s">
        <v>11</v>
      </c>
      <c r="G5428">
        <v>2</v>
      </c>
      <c r="H5428" t="s">
        <v>524</v>
      </c>
      <c r="I5428" s="4">
        <f t="shared" si="750"/>
        <v>2</v>
      </c>
      <c r="J5428">
        <f t="shared" si="745"/>
        <v>4</v>
      </c>
      <c r="K5428">
        <v>246</v>
      </c>
      <c r="L5428">
        <v>78</v>
      </c>
      <c r="M5428" s="2">
        <v>3.2</v>
      </c>
      <c r="N5428">
        <v>3.12</v>
      </c>
      <c r="O5428">
        <v>0</v>
      </c>
      <c r="P5428">
        <v>1</v>
      </c>
      <c r="Q5428" s="4" t="str">
        <f t="shared" si="751"/>
        <v>2016/2017-Ganjil</v>
      </c>
      <c r="R5428" s="8" t="s">
        <v>260</v>
      </c>
      <c r="S5428" t="str">
        <f t="shared" si="749"/>
        <v>PA</v>
      </c>
    </row>
    <row r="5429" spans="1:19" x14ac:dyDescent="0.3">
      <c r="A5429" t="s">
        <v>8</v>
      </c>
      <c r="B5429" t="s">
        <v>268</v>
      </c>
      <c r="C5429" t="s">
        <v>269</v>
      </c>
      <c r="E5429" t="s">
        <v>279</v>
      </c>
      <c r="F5429" s="1" t="s">
        <v>280</v>
      </c>
      <c r="G5429">
        <v>2</v>
      </c>
      <c r="H5429" t="s">
        <v>524</v>
      </c>
      <c r="I5429" s="4">
        <f t="shared" si="750"/>
        <v>2</v>
      </c>
      <c r="J5429">
        <f t="shared" si="745"/>
        <v>4</v>
      </c>
      <c r="K5429">
        <v>246</v>
      </c>
      <c r="L5429">
        <v>78</v>
      </c>
      <c r="M5429" s="2">
        <v>3.2</v>
      </c>
      <c r="N5429">
        <v>3.12</v>
      </c>
      <c r="O5429">
        <v>0</v>
      </c>
      <c r="P5429">
        <v>1</v>
      </c>
      <c r="Q5429" s="4" t="str">
        <f t="shared" si="751"/>
        <v>2016/2017-Ganjil</v>
      </c>
      <c r="R5429" s="8" t="s">
        <v>260</v>
      </c>
      <c r="S5429" t="str">
        <f t="shared" si="749"/>
        <v>PA</v>
      </c>
    </row>
    <row r="5430" spans="1:19" x14ac:dyDescent="0.3">
      <c r="A5430" t="s">
        <v>8</v>
      </c>
      <c r="B5430" t="s">
        <v>268</v>
      </c>
      <c r="C5430" t="s">
        <v>269</v>
      </c>
      <c r="E5430" t="s">
        <v>117</v>
      </c>
      <c r="F5430" s="1" t="s">
        <v>118</v>
      </c>
      <c r="G5430">
        <v>2</v>
      </c>
      <c r="H5430" t="s">
        <v>524</v>
      </c>
      <c r="I5430" s="4">
        <f t="shared" si="750"/>
        <v>2</v>
      </c>
      <c r="J5430">
        <f t="shared" si="745"/>
        <v>4</v>
      </c>
      <c r="K5430">
        <v>246</v>
      </c>
      <c r="L5430">
        <v>78</v>
      </c>
      <c r="M5430" s="2">
        <v>3.2</v>
      </c>
      <c r="N5430">
        <v>3.12</v>
      </c>
      <c r="O5430">
        <v>0</v>
      </c>
      <c r="P5430">
        <v>1</v>
      </c>
      <c r="Q5430" s="4" t="str">
        <f t="shared" si="751"/>
        <v>2016/2017-Ganjil</v>
      </c>
      <c r="R5430" s="8" t="s">
        <v>260</v>
      </c>
      <c r="S5430" t="str">
        <f t="shared" si="749"/>
        <v>PA</v>
      </c>
    </row>
    <row r="5431" spans="1:19" x14ac:dyDescent="0.3">
      <c r="A5431" t="s">
        <v>8</v>
      </c>
      <c r="B5431" t="s">
        <v>268</v>
      </c>
      <c r="C5431" t="s">
        <v>269</v>
      </c>
      <c r="E5431" t="s">
        <v>80</v>
      </c>
      <c r="F5431" t="s">
        <v>81</v>
      </c>
      <c r="G5431">
        <v>4</v>
      </c>
      <c r="H5431" t="s">
        <v>524</v>
      </c>
      <c r="I5431" s="4">
        <f t="shared" si="750"/>
        <v>2</v>
      </c>
      <c r="J5431">
        <f t="shared" si="745"/>
        <v>8</v>
      </c>
      <c r="K5431">
        <v>44</v>
      </c>
      <c r="L5431">
        <v>16</v>
      </c>
      <c r="M5431">
        <v>2.75</v>
      </c>
      <c r="N5431">
        <v>3.12</v>
      </c>
      <c r="O5431">
        <v>0</v>
      </c>
      <c r="P5431">
        <v>4</v>
      </c>
      <c r="Q5431" s="4" t="str">
        <f t="shared" ref="Q5431:Q5439" si="752">IF(P5431=1,"2016/2017-Ganjil",IF(P5431=2,"2016/2017-Genap",IF(P5431=3,"2017/2018-Ganjil",IF(P5431=4,"2017/2018-Genap",IF(P5431=5,"2018/2019-Ganjil",IF(P5431=6,"2018/2019-Genap",IF(P5431=7,"2019/2020-Ganjil",IF(P5431=8,"2019/2020-Genap",IF(P5431=9,"2020/2021-Ganjil",IF(P5431=10,"2020/2021-Genap",IF(P5431=11,"2021/2022-Ganjil",IF(P5431=12,"2021/2022-Genap",IF(P5431=13,"2022/2023-Ganjil","2022/2023-Genap")))))))))))))</f>
        <v>2017/2018-Genap</v>
      </c>
      <c r="R5431" s="8" t="s">
        <v>260</v>
      </c>
      <c r="S5431" t="str">
        <f t="shared" si="749"/>
        <v>PA</v>
      </c>
    </row>
    <row r="5432" spans="1:19" x14ac:dyDescent="0.3">
      <c r="A5432" t="s">
        <v>8</v>
      </c>
      <c r="B5432" t="s">
        <v>268</v>
      </c>
      <c r="C5432" t="s">
        <v>269</v>
      </c>
      <c r="E5432" t="s">
        <v>19</v>
      </c>
      <c r="F5432" t="s">
        <v>20</v>
      </c>
      <c r="G5432">
        <v>6</v>
      </c>
      <c r="H5432" t="s">
        <v>524</v>
      </c>
      <c r="I5432" s="4">
        <f t="shared" si="750"/>
        <v>2</v>
      </c>
      <c r="J5432">
        <f t="shared" si="745"/>
        <v>12</v>
      </c>
      <c r="K5432">
        <v>42</v>
      </c>
      <c r="L5432">
        <v>16</v>
      </c>
      <c r="M5432">
        <v>2.63</v>
      </c>
      <c r="N5432">
        <v>3.12</v>
      </c>
      <c r="O5432">
        <v>0</v>
      </c>
      <c r="P5432">
        <v>5</v>
      </c>
      <c r="Q5432" s="4" t="str">
        <f t="shared" si="752"/>
        <v>2018/2019-Ganjil</v>
      </c>
      <c r="R5432" t="s">
        <v>596</v>
      </c>
      <c r="S5432" t="str">
        <f t="shared" si="749"/>
        <v>PA</v>
      </c>
    </row>
    <row r="5433" spans="1:19" x14ac:dyDescent="0.3">
      <c r="A5433" t="s">
        <v>8</v>
      </c>
      <c r="B5433" t="s">
        <v>268</v>
      </c>
      <c r="C5433" t="s">
        <v>269</v>
      </c>
      <c r="E5433" t="s">
        <v>44</v>
      </c>
      <c r="F5433" t="s">
        <v>45</v>
      </c>
      <c r="G5433">
        <v>2</v>
      </c>
      <c r="H5433" t="s">
        <v>524</v>
      </c>
      <c r="I5433" s="4">
        <f t="shared" si="750"/>
        <v>2</v>
      </c>
      <c r="J5433">
        <f t="shared" si="745"/>
        <v>4</v>
      </c>
      <c r="K5433">
        <v>32</v>
      </c>
      <c r="L5433">
        <v>12</v>
      </c>
      <c r="M5433">
        <v>2.67</v>
      </c>
      <c r="N5433">
        <v>3.12</v>
      </c>
      <c r="O5433">
        <v>0</v>
      </c>
      <c r="P5433">
        <v>2</v>
      </c>
      <c r="Q5433" s="4" t="str">
        <f t="shared" si="752"/>
        <v>2016/2017-Genap</v>
      </c>
      <c r="R5433" s="8" t="s">
        <v>260</v>
      </c>
      <c r="S5433" t="str">
        <f t="shared" si="749"/>
        <v>PA</v>
      </c>
    </row>
    <row r="5434" spans="1:19" x14ac:dyDescent="0.3">
      <c r="A5434" t="s">
        <v>8</v>
      </c>
      <c r="B5434" t="s">
        <v>268</v>
      </c>
      <c r="C5434" t="s">
        <v>269</v>
      </c>
      <c r="E5434" t="s">
        <v>216</v>
      </c>
      <c r="F5434" t="s">
        <v>217</v>
      </c>
      <c r="G5434">
        <v>2</v>
      </c>
      <c r="H5434" t="s">
        <v>438</v>
      </c>
      <c r="I5434" s="4">
        <f t="shared" si="750"/>
        <v>3</v>
      </c>
      <c r="J5434">
        <f t="shared" si="745"/>
        <v>6</v>
      </c>
      <c r="K5434">
        <v>44</v>
      </c>
      <c r="L5434">
        <v>16</v>
      </c>
      <c r="M5434">
        <v>2.75</v>
      </c>
      <c r="N5434">
        <v>3.12</v>
      </c>
      <c r="O5434">
        <v>1</v>
      </c>
      <c r="P5434">
        <v>4</v>
      </c>
      <c r="Q5434" s="4" t="str">
        <f t="shared" si="752"/>
        <v>2017/2018-Genap</v>
      </c>
      <c r="R5434" s="8" t="s">
        <v>260</v>
      </c>
      <c r="S5434" t="str">
        <f t="shared" si="749"/>
        <v>PA</v>
      </c>
    </row>
    <row r="5435" spans="1:19" x14ac:dyDescent="0.3">
      <c r="A5435" t="s">
        <v>8</v>
      </c>
      <c r="B5435" t="s">
        <v>268</v>
      </c>
      <c r="C5435" t="s">
        <v>269</v>
      </c>
      <c r="E5435" t="s">
        <v>216</v>
      </c>
      <c r="F5435" t="s">
        <v>217</v>
      </c>
      <c r="G5435">
        <v>2</v>
      </c>
      <c r="H5435" t="s">
        <v>535</v>
      </c>
      <c r="I5435" s="4">
        <f t="shared" si="750"/>
        <v>1</v>
      </c>
      <c r="J5435">
        <f t="shared" si="745"/>
        <v>2</v>
      </c>
      <c r="K5435">
        <v>32</v>
      </c>
      <c r="L5435">
        <v>12</v>
      </c>
      <c r="M5435">
        <v>2.67</v>
      </c>
      <c r="N5435">
        <v>3.12</v>
      </c>
      <c r="O5435">
        <v>0</v>
      </c>
      <c r="P5435">
        <v>2</v>
      </c>
      <c r="Q5435" s="4" t="str">
        <f t="shared" si="752"/>
        <v>2016/2017-Genap</v>
      </c>
      <c r="R5435" s="8" t="s">
        <v>260</v>
      </c>
      <c r="S5435" t="str">
        <f t="shared" si="749"/>
        <v>FA</v>
      </c>
    </row>
    <row r="5436" spans="1:19" x14ac:dyDescent="0.3">
      <c r="A5436" t="s">
        <v>8</v>
      </c>
      <c r="B5436" t="s">
        <v>268</v>
      </c>
      <c r="C5436" t="s">
        <v>269</v>
      </c>
      <c r="E5436" t="s">
        <v>250</v>
      </c>
      <c r="F5436" t="s">
        <v>429</v>
      </c>
      <c r="G5436">
        <v>2</v>
      </c>
      <c r="H5436" t="s">
        <v>260</v>
      </c>
      <c r="I5436" s="4">
        <f t="shared" si="750"/>
        <v>4</v>
      </c>
      <c r="J5436">
        <f t="shared" si="745"/>
        <v>8</v>
      </c>
      <c r="K5436">
        <v>32</v>
      </c>
      <c r="L5436">
        <v>12</v>
      </c>
      <c r="M5436">
        <v>2.67</v>
      </c>
      <c r="N5436">
        <v>3.12</v>
      </c>
      <c r="O5436">
        <v>0</v>
      </c>
      <c r="P5436">
        <v>2</v>
      </c>
      <c r="Q5436" s="4" t="str">
        <f t="shared" si="752"/>
        <v>2016/2017-Genap</v>
      </c>
      <c r="R5436" s="8" t="s">
        <v>260</v>
      </c>
      <c r="S5436" t="str">
        <f t="shared" si="749"/>
        <v>PA</v>
      </c>
    </row>
    <row r="5437" spans="1:19" x14ac:dyDescent="0.3">
      <c r="A5437" t="s">
        <v>8</v>
      </c>
      <c r="B5437" t="s">
        <v>299</v>
      </c>
      <c r="C5437" t="s">
        <v>300</v>
      </c>
      <c r="E5437" t="s">
        <v>216</v>
      </c>
      <c r="F5437" t="s">
        <v>217</v>
      </c>
      <c r="G5437">
        <v>2</v>
      </c>
      <c r="H5437" t="s">
        <v>260</v>
      </c>
      <c r="I5437" s="4">
        <f t="shared" si="750"/>
        <v>4</v>
      </c>
      <c r="J5437">
        <f t="shared" si="745"/>
        <v>8</v>
      </c>
      <c r="K5437">
        <v>94</v>
      </c>
      <c r="L5437">
        <v>28</v>
      </c>
      <c r="M5437" s="2">
        <v>3.36</v>
      </c>
      <c r="N5437">
        <v>3.44</v>
      </c>
      <c r="O5437">
        <v>0</v>
      </c>
      <c r="P5437">
        <v>1</v>
      </c>
      <c r="Q5437" s="4" t="str">
        <f t="shared" si="752"/>
        <v>2016/2017-Ganjil</v>
      </c>
      <c r="R5437" s="8" t="s">
        <v>260</v>
      </c>
      <c r="S5437" t="str">
        <f t="shared" si="749"/>
        <v>PA</v>
      </c>
    </row>
    <row r="5438" spans="1:19" x14ac:dyDescent="0.3">
      <c r="A5438" t="s">
        <v>8</v>
      </c>
      <c r="B5438" t="s">
        <v>299</v>
      </c>
      <c r="C5438" t="s">
        <v>300</v>
      </c>
      <c r="E5438" t="s">
        <v>10</v>
      </c>
      <c r="F5438" t="s">
        <v>11</v>
      </c>
      <c r="G5438">
        <v>2</v>
      </c>
      <c r="H5438" t="s">
        <v>260</v>
      </c>
      <c r="I5438" s="4">
        <f t="shared" si="750"/>
        <v>4</v>
      </c>
      <c r="J5438">
        <f t="shared" si="745"/>
        <v>8</v>
      </c>
      <c r="K5438">
        <v>56</v>
      </c>
      <c r="L5438">
        <v>16</v>
      </c>
      <c r="M5438" s="2">
        <v>3.5</v>
      </c>
      <c r="N5438">
        <v>3.44</v>
      </c>
      <c r="O5438">
        <v>0</v>
      </c>
      <c r="P5438">
        <v>3</v>
      </c>
      <c r="Q5438" s="4" t="str">
        <f t="shared" si="752"/>
        <v>2017/2018-Ganjil</v>
      </c>
      <c r="R5438" s="8" t="s">
        <v>260</v>
      </c>
      <c r="S5438" t="str">
        <f t="shared" si="749"/>
        <v>PA</v>
      </c>
    </row>
    <row r="5439" spans="1:19" x14ac:dyDescent="0.3">
      <c r="A5439" t="s">
        <v>8</v>
      </c>
      <c r="B5439" t="s">
        <v>299</v>
      </c>
      <c r="C5439" t="s">
        <v>300</v>
      </c>
      <c r="E5439" t="s">
        <v>193</v>
      </c>
      <c r="F5439" t="s">
        <v>194</v>
      </c>
      <c r="G5439">
        <v>4</v>
      </c>
      <c r="H5439" t="s">
        <v>260</v>
      </c>
      <c r="I5439" s="4">
        <f t="shared" si="750"/>
        <v>4</v>
      </c>
      <c r="J5439">
        <f t="shared" si="745"/>
        <v>16</v>
      </c>
      <c r="K5439">
        <v>56</v>
      </c>
      <c r="L5439">
        <v>16</v>
      </c>
      <c r="M5439" s="2">
        <v>3.5</v>
      </c>
      <c r="N5439">
        <v>3.44</v>
      </c>
      <c r="O5439">
        <v>0</v>
      </c>
      <c r="P5439">
        <v>3</v>
      </c>
      <c r="Q5439" s="4" t="str">
        <f t="shared" si="752"/>
        <v>2017/2018-Ganjil</v>
      </c>
      <c r="R5439" s="8" t="s">
        <v>260</v>
      </c>
      <c r="S5439" t="str">
        <f t="shared" si="749"/>
        <v>PA</v>
      </c>
    </row>
    <row r="5440" spans="1:19" x14ac:dyDescent="0.3">
      <c r="A5440" t="s">
        <v>8</v>
      </c>
      <c r="B5440" t="s">
        <v>299</v>
      </c>
      <c r="C5440" t="s">
        <v>300</v>
      </c>
      <c r="E5440" t="s">
        <v>295</v>
      </c>
      <c r="F5440" s="1" t="s">
        <v>296</v>
      </c>
      <c r="G5440">
        <v>2</v>
      </c>
      <c r="H5440" t="s">
        <v>260</v>
      </c>
      <c r="I5440" s="4">
        <f t="shared" si="750"/>
        <v>4</v>
      </c>
      <c r="J5440">
        <f t="shared" si="745"/>
        <v>8</v>
      </c>
      <c r="K5440">
        <v>208</v>
      </c>
      <c r="L5440">
        <v>58</v>
      </c>
      <c r="M5440" s="2">
        <v>3.36</v>
      </c>
      <c r="N5440">
        <v>3.44</v>
      </c>
      <c r="O5440">
        <v>0</v>
      </c>
      <c r="P5440">
        <v>1</v>
      </c>
      <c r="Q5440" s="4" t="str">
        <f t="shared" ref="Q5440" si="753">IF(P5440=1,"2016/2017-Ganjil",IF(P5440=2,"2016/2017-Genap",IF(P5440=3,"2017/2018-Ganjil",IF(P5440=4,"2017/2018-Genap",IF(P5440=5,"2018/2019-Ganjil",IF(P5440=6,"2018/2019-Genap",IF(P5440=7,"2019/2020-Ganjil",IF(P5440=8,"2019/2020-Genap",IF(P5440=9,"2020/2021-Ganjil",IF(P5440=10,"2020/2021-Genap",IF(P5440=11,"2021/2022-Ganjil",IF(P5440=12,"2021/2022-Genap",IF(P5440=13,"2022/2023-Ganjil","2022/2023-Genap")))))))))))))</f>
        <v>2016/2017-Ganjil</v>
      </c>
      <c r="R5440" s="8" t="s">
        <v>260</v>
      </c>
      <c r="S5440" t="str">
        <f t="shared" si="749"/>
        <v>PA</v>
      </c>
    </row>
    <row r="5441" spans="1:19" x14ac:dyDescent="0.3">
      <c r="A5441" t="s">
        <v>8</v>
      </c>
      <c r="B5441" t="s">
        <v>299</v>
      </c>
      <c r="C5441" t="s">
        <v>300</v>
      </c>
      <c r="E5441" t="s">
        <v>311</v>
      </c>
      <c r="F5441" t="s">
        <v>312</v>
      </c>
      <c r="G5441">
        <v>2</v>
      </c>
      <c r="H5441" t="s">
        <v>260</v>
      </c>
      <c r="I5441" s="4">
        <f t="shared" si="750"/>
        <v>4</v>
      </c>
      <c r="J5441">
        <f t="shared" si="745"/>
        <v>8</v>
      </c>
      <c r="K5441">
        <v>56</v>
      </c>
      <c r="L5441">
        <v>16</v>
      </c>
      <c r="M5441" s="2">
        <v>3.5</v>
      </c>
      <c r="N5441">
        <v>3.44</v>
      </c>
      <c r="O5441">
        <v>0</v>
      </c>
      <c r="P5441">
        <v>3</v>
      </c>
      <c r="Q5441" s="4" t="str">
        <f>IF(P5441=1,"2016/2017-Ganjil",IF(P5441=2,"2016/2017-Genap",IF(P5441=3,"2017/2018-Ganjil",IF(P5441=4,"2017/2018-Genap",IF(P5441=5,"2018/2019-Ganjil",IF(P5441=6,"2018/2019-Genap",IF(P5441=7,"2019/2020-Ganjil",IF(P5441=8,"2019/2020-Genap",IF(P5441=9,"2020/2021-Ganjil",IF(P5441=10,"2020/2021-Genap",IF(P5441=11,"2021/2022-Ganjil",IF(P5441=12,"2021/2022-Genap",IF(P5441=13,"2022/2023-Ganjil","2022/2023-Genap")))))))))))))</f>
        <v>2017/2018-Ganjil</v>
      </c>
      <c r="R5441" s="8" t="s">
        <v>260</v>
      </c>
      <c r="S5441" t="str">
        <f t="shared" si="749"/>
        <v>PA</v>
      </c>
    </row>
    <row r="5442" spans="1:19" x14ac:dyDescent="0.3">
      <c r="A5442" t="s">
        <v>8</v>
      </c>
      <c r="B5442" t="s">
        <v>299</v>
      </c>
      <c r="C5442" t="s">
        <v>300</v>
      </c>
      <c r="E5442" t="s">
        <v>87</v>
      </c>
      <c r="F5442" t="s">
        <v>88</v>
      </c>
      <c r="G5442">
        <v>2</v>
      </c>
      <c r="H5442" t="s">
        <v>260</v>
      </c>
      <c r="I5442" s="4">
        <f t="shared" si="750"/>
        <v>4</v>
      </c>
      <c r="J5442">
        <f t="shared" si="745"/>
        <v>8</v>
      </c>
      <c r="K5442">
        <v>34</v>
      </c>
      <c r="L5442">
        <v>10</v>
      </c>
      <c r="M5442" s="2">
        <v>3.4</v>
      </c>
      <c r="N5442">
        <v>3.44</v>
      </c>
      <c r="O5442">
        <v>0</v>
      </c>
      <c r="P5442">
        <v>4</v>
      </c>
      <c r="Q5442" s="4" t="str">
        <f>IF(P5442=1,"2016/2017-Ganjil",IF(P5442=2,"2016/2017-Genap",IF(P5442=3,"2017/2018-Ganjil",IF(P5442=4,"2017/2018-Genap",IF(P5442=5,"2018/2019-Ganjil",IF(P5442=6,"2018/2019-Genap",IF(P5442=7,"2019/2020-Ganjil",IF(P5442=8,"2019/2020-Genap",IF(P5442=9,"2020/2021-Ganjil",IF(P5442=10,"2020/2021-Genap",IF(P5442=11,"2021/2022-Ganjil",IF(P5442=12,"2021/2022-Genap",IF(P5442=13,"2022/2023-Ganjil","2022/2023-Genap")))))))))))))</f>
        <v>2017/2018-Genap</v>
      </c>
      <c r="R5442" t="s">
        <v>596</v>
      </c>
      <c r="S5442" t="str">
        <f t="shared" si="749"/>
        <v>PA</v>
      </c>
    </row>
    <row r="5443" spans="1:19" x14ac:dyDescent="0.3">
      <c r="A5443" t="s">
        <v>8</v>
      </c>
      <c r="B5443" t="s">
        <v>299</v>
      </c>
      <c r="C5443" t="s">
        <v>300</v>
      </c>
      <c r="E5443" t="s">
        <v>395</v>
      </c>
      <c r="F5443" t="s">
        <v>396</v>
      </c>
      <c r="G5443">
        <v>2</v>
      </c>
      <c r="H5443" t="s">
        <v>260</v>
      </c>
      <c r="I5443" s="4">
        <f t="shared" si="750"/>
        <v>4</v>
      </c>
      <c r="J5443">
        <f t="shared" si="745"/>
        <v>8</v>
      </c>
      <c r="K5443">
        <v>94</v>
      </c>
      <c r="L5443">
        <v>28</v>
      </c>
      <c r="M5443" s="2">
        <v>3.36</v>
      </c>
      <c r="N5443">
        <v>3.44</v>
      </c>
      <c r="O5443">
        <v>0</v>
      </c>
      <c r="P5443">
        <v>1</v>
      </c>
      <c r="Q5443" s="4" t="str">
        <f>IF(P5443=1,"2016/2017-Ganjil",IF(P5443=2,"2016/2017-Genap",IF(P5443=3,"2017/2018-Ganjil",IF(P5443=4,"2017/2018-Genap",IF(P5443=5,"2018/2019-Ganjil",IF(P5443=6,"2018/2019-Genap",IF(P5443=7,"2019/2020-Ganjil",IF(P5443=8,"2019/2020-Genap",IF(P5443=9,"2020/2021-Ganjil",IF(P5443=10,"2020/2021-Genap",IF(P5443=11,"2021/2022-Ganjil",IF(P5443=12,"2021/2022-Genap",IF(P5443=13,"2022/2023-Ganjil","2022/2023-Genap")))))))))))))</f>
        <v>2016/2017-Ganjil</v>
      </c>
      <c r="R5443" s="8" t="s">
        <v>260</v>
      </c>
      <c r="S5443" t="str">
        <f t="shared" si="749"/>
        <v>PA</v>
      </c>
    </row>
    <row r="5444" spans="1:19" x14ac:dyDescent="0.3">
      <c r="A5444" t="s">
        <v>8</v>
      </c>
      <c r="B5444" t="s">
        <v>299</v>
      </c>
      <c r="C5444" t="s">
        <v>300</v>
      </c>
      <c r="E5444" t="s">
        <v>246</v>
      </c>
      <c r="F5444" s="1" t="s">
        <v>247</v>
      </c>
      <c r="G5444">
        <v>4</v>
      </c>
      <c r="H5444" t="s">
        <v>260</v>
      </c>
      <c r="I5444" s="4">
        <f t="shared" si="750"/>
        <v>4</v>
      </c>
      <c r="J5444">
        <f t="shared" si="745"/>
        <v>16</v>
      </c>
      <c r="K5444">
        <v>208</v>
      </c>
      <c r="L5444">
        <v>58</v>
      </c>
      <c r="M5444" s="2">
        <v>3.36</v>
      </c>
      <c r="N5444">
        <v>3.44</v>
      </c>
      <c r="O5444">
        <v>0</v>
      </c>
      <c r="P5444">
        <v>1</v>
      </c>
      <c r="Q5444" s="4" t="str">
        <f t="shared" ref="Q5444:Q5445" si="754">IF(P5444=1,"2016/2017-Ganjil",IF(P5444=2,"2016/2017-Genap",IF(P5444=3,"2017/2018-Ganjil",IF(P5444=4,"2017/2018-Genap",IF(P5444=5,"2018/2019-Ganjil",IF(P5444=6,"2018/2019-Genap",IF(P5444=7,"2019/2020-Ganjil",IF(P5444=8,"2019/2020-Genap",IF(P5444=9,"2020/2021-Ganjil",IF(P5444=10,"2020/2021-Genap",IF(P5444=11,"2021/2022-Ganjil",IF(P5444=12,"2021/2022-Genap",IF(P5444=13,"2022/2023-Ganjil","2022/2023-Genap")))))))))))))</f>
        <v>2016/2017-Ganjil</v>
      </c>
      <c r="R5444" s="8" t="s">
        <v>260</v>
      </c>
      <c r="S5444" t="str">
        <f t="shared" si="749"/>
        <v>PA</v>
      </c>
    </row>
    <row r="5445" spans="1:19" x14ac:dyDescent="0.3">
      <c r="A5445" t="s">
        <v>8</v>
      </c>
      <c r="B5445" t="s">
        <v>299</v>
      </c>
      <c r="C5445" t="s">
        <v>300</v>
      </c>
      <c r="E5445" t="s">
        <v>202</v>
      </c>
      <c r="F5445" s="1" t="s">
        <v>203</v>
      </c>
      <c r="G5445">
        <v>4</v>
      </c>
      <c r="H5445" t="s">
        <v>260</v>
      </c>
      <c r="I5445" s="4">
        <f t="shared" si="750"/>
        <v>4</v>
      </c>
      <c r="J5445">
        <f t="shared" si="745"/>
        <v>16</v>
      </c>
      <c r="K5445">
        <v>208</v>
      </c>
      <c r="L5445">
        <v>58</v>
      </c>
      <c r="M5445" s="2">
        <v>3.36</v>
      </c>
      <c r="N5445">
        <v>3.44</v>
      </c>
      <c r="O5445">
        <v>0</v>
      </c>
      <c r="P5445">
        <v>1</v>
      </c>
      <c r="Q5445" s="4" t="str">
        <f t="shared" si="754"/>
        <v>2016/2017-Ganjil</v>
      </c>
      <c r="R5445" s="8" t="s">
        <v>260</v>
      </c>
      <c r="S5445" t="str">
        <f t="shared" si="749"/>
        <v>PA</v>
      </c>
    </row>
    <row r="5446" spans="1:19" x14ac:dyDescent="0.3">
      <c r="A5446" t="s">
        <v>8</v>
      </c>
      <c r="B5446" t="s">
        <v>299</v>
      </c>
      <c r="C5446" t="s">
        <v>300</v>
      </c>
      <c r="E5446" t="s">
        <v>176</v>
      </c>
      <c r="F5446" t="s">
        <v>177</v>
      </c>
      <c r="G5446">
        <v>4</v>
      </c>
      <c r="H5446" t="s">
        <v>260</v>
      </c>
      <c r="I5446" s="4">
        <f t="shared" si="750"/>
        <v>4</v>
      </c>
      <c r="J5446">
        <f t="shared" si="745"/>
        <v>16</v>
      </c>
      <c r="K5446">
        <v>94</v>
      </c>
      <c r="L5446">
        <v>28</v>
      </c>
      <c r="M5446" s="2">
        <v>3.36</v>
      </c>
      <c r="N5446">
        <v>3.44</v>
      </c>
      <c r="O5446">
        <v>0</v>
      </c>
      <c r="P5446">
        <v>1</v>
      </c>
      <c r="Q5446" s="4" t="str">
        <f>IF(P5446=1,"2016/2017-Ganjil",IF(P5446=2,"2016/2017-Genap",IF(P5446=3,"2017/2018-Ganjil",IF(P5446=4,"2017/2018-Genap",IF(P5446=5,"2018/2019-Ganjil",IF(P5446=6,"2018/2019-Genap",IF(P5446=7,"2019/2020-Ganjil",IF(P5446=8,"2019/2020-Genap",IF(P5446=9,"2020/2021-Ganjil",IF(P5446=10,"2020/2021-Genap",IF(P5446=11,"2021/2022-Ganjil",IF(P5446=12,"2021/2022-Genap",IF(P5446=13,"2022/2023-Ganjil","2022/2023-Genap")))))))))))))</f>
        <v>2016/2017-Ganjil</v>
      </c>
      <c r="R5446" s="8" t="s">
        <v>260</v>
      </c>
      <c r="S5446" t="str">
        <f t="shared" si="749"/>
        <v>PA</v>
      </c>
    </row>
    <row r="5447" spans="1:19" x14ac:dyDescent="0.3">
      <c r="A5447" t="s">
        <v>8</v>
      </c>
      <c r="B5447" t="s">
        <v>299</v>
      </c>
      <c r="C5447" t="s">
        <v>300</v>
      </c>
      <c r="E5447" t="s">
        <v>136</v>
      </c>
      <c r="F5447" s="1" t="s">
        <v>137</v>
      </c>
      <c r="G5447">
        <v>4</v>
      </c>
      <c r="H5447" t="s">
        <v>260</v>
      </c>
      <c r="I5447" s="4">
        <f t="shared" si="750"/>
        <v>4</v>
      </c>
      <c r="J5447">
        <f t="shared" si="745"/>
        <v>16</v>
      </c>
      <c r="K5447">
        <v>208</v>
      </c>
      <c r="L5447">
        <v>58</v>
      </c>
      <c r="M5447" s="2">
        <v>3.36</v>
      </c>
      <c r="N5447">
        <v>3.44</v>
      </c>
      <c r="O5447">
        <v>0</v>
      </c>
      <c r="P5447">
        <v>1</v>
      </c>
      <c r="Q5447" s="4" t="str">
        <f t="shared" ref="Q5447:Q5448" si="755">IF(P5447=1,"2016/2017-Ganjil",IF(P5447=2,"2016/2017-Genap",IF(P5447=3,"2017/2018-Ganjil",IF(P5447=4,"2017/2018-Genap",IF(P5447=5,"2018/2019-Ganjil",IF(P5447=6,"2018/2019-Genap",IF(P5447=7,"2019/2020-Ganjil",IF(P5447=8,"2019/2020-Genap",IF(P5447=9,"2020/2021-Ganjil",IF(P5447=10,"2020/2021-Genap",IF(P5447=11,"2021/2022-Ganjil",IF(P5447=12,"2021/2022-Genap",IF(P5447=13,"2022/2023-Ganjil","2022/2023-Genap")))))))))))))</f>
        <v>2016/2017-Ganjil</v>
      </c>
      <c r="R5447" s="8" t="s">
        <v>260</v>
      </c>
      <c r="S5447" t="str">
        <f t="shared" si="749"/>
        <v>PA</v>
      </c>
    </row>
    <row r="5448" spans="1:19" x14ac:dyDescent="0.3">
      <c r="A5448" t="s">
        <v>8</v>
      </c>
      <c r="B5448" t="s">
        <v>299</v>
      </c>
      <c r="C5448" t="s">
        <v>300</v>
      </c>
      <c r="E5448" t="s">
        <v>147</v>
      </c>
      <c r="F5448" s="1" t="s">
        <v>148</v>
      </c>
      <c r="G5448">
        <v>4</v>
      </c>
      <c r="H5448" t="s">
        <v>260</v>
      </c>
      <c r="I5448" s="4">
        <f t="shared" si="750"/>
        <v>4</v>
      </c>
      <c r="J5448">
        <f t="shared" si="745"/>
        <v>16</v>
      </c>
      <c r="K5448">
        <v>208</v>
      </c>
      <c r="L5448">
        <v>58</v>
      </c>
      <c r="M5448" s="2">
        <v>3.36</v>
      </c>
      <c r="N5448">
        <v>3.44</v>
      </c>
      <c r="O5448">
        <v>0</v>
      </c>
      <c r="P5448">
        <v>1</v>
      </c>
      <c r="Q5448" s="4" t="str">
        <f t="shared" si="755"/>
        <v>2016/2017-Ganjil</v>
      </c>
      <c r="R5448" s="8" t="s">
        <v>260</v>
      </c>
      <c r="S5448" t="str">
        <f t="shared" si="749"/>
        <v>PA</v>
      </c>
    </row>
    <row r="5449" spans="1:19" x14ac:dyDescent="0.3">
      <c r="A5449" t="s">
        <v>8</v>
      </c>
      <c r="B5449" t="s">
        <v>299</v>
      </c>
      <c r="C5449" t="s">
        <v>300</v>
      </c>
      <c r="E5449" t="s">
        <v>352</v>
      </c>
      <c r="F5449" t="s">
        <v>353</v>
      </c>
      <c r="G5449">
        <v>2</v>
      </c>
      <c r="H5449" t="s">
        <v>260</v>
      </c>
      <c r="I5449" s="4">
        <f t="shared" si="750"/>
        <v>4</v>
      </c>
      <c r="J5449">
        <f t="shared" si="745"/>
        <v>8</v>
      </c>
      <c r="K5449">
        <v>94</v>
      </c>
      <c r="L5449">
        <v>28</v>
      </c>
      <c r="M5449" s="2">
        <v>3.36</v>
      </c>
      <c r="N5449">
        <v>3.44</v>
      </c>
      <c r="O5449">
        <v>0</v>
      </c>
      <c r="P5449">
        <v>1</v>
      </c>
      <c r="Q5449" s="4" t="str">
        <f>IF(P5449=1,"2016/2017-Ganjil",IF(P5449=2,"2016/2017-Genap",IF(P5449=3,"2017/2018-Ganjil",IF(P5449=4,"2017/2018-Genap",IF(P5449=5,"2018/2019-Ganjil",IF(P5449=6,"2018/2019-Genap",IF(P5449=7,"2019/2020-Ganjil",IF(P5449=8,"2019/2020-Genap",IF(P5449=9,"2020/2021-Ganjil",IF(P5449=10,"2020/2021-Genap",IF(P5449=11,"2021/2022-Ganjil",IF(P5449=12,"2021/2022-Genap",IF(P5449=13,"2022/2023-Ganjil","2022/2023-Genap")))))))))))))</f>
        <v>2016/2017-Ganjil</v>
      </c>
      <c r="R5449" s="8" t="s">
        <v>260</v>
      </c>
      <c r="S5449" t="str">
        <f t="shared" si="749"/>
        <v>PA</v>
      </c>
    </row>
    <row r="5450" spans="1:19" x14ac:dyDescent="0.3">
      <c r="A5450" t="s">
        <v>8</v>
      </c>
      <c r="B5450" t="s">
        <v>299</v>
      </c>
      <c r="C5450" t="s">
        <v>300</v>
      </c>
      <c r="E5450" t="s">
        <v>22</v>
      </c>
      <c r="F5450" s="1" t="s">
        <v>23</v>
      </c>
      <c r="G5450">
        <v>2</v>
      </c>
      <c r="H5450" t="s">
        <v>260</v>
      </c>
      <c r="I5450" s="4">
        <f t="shared" si="750"/>
        <v>4</v>
      </c>
      <c r="J5450">
        <f t="shared" si="745"/>
        <v>8</v>
      </c>
      <c r="K5450">
        <v>208</v>
      </c>
      <c r="L5450">
        <v>58</v>
      </c>
      <c r="M5450" s="2">
        <v>3.36</v>
      </c>
      <c r="N5450">
        <v>3.44</v>
      </c>
      <c r="O5450">
        <v>0</v>
      </c>
      <c r="P5450">
        <v>1</v>
      </c>
      <c r="Q5450" s="4" t="str">
        <f t="shared" ref="Q5450:Q5451" si="756">IF(P5450=1,"2016/2017-Ganjil",IF(P5450=2,"2016/2017-Genap",IF(P5450=3,"2017/2018-Ganjil",IF(P5450=4,"2017/2018-Genap",IF(P5450=5,"2018/2019-Ganjil",IF(P5450=6,"2018/2019-Genap",IF(P5450=7,"2019/2020-Ganjil",IF(P5450=8,"2019/2020-Genap",IF(P5450=9,"2020/2021-Ganjil",IF(P5450=10,"2020/2021-Genap",IF(P5450=11,"2021/2022-Ganjil",IF(P5450=12,"2021/2022-Genap",IF(P5450=13,"2022/2023-Ganjil","2022/2023-Genap")))))))))))))</f>
        <v>2016/2017-Ganjil</v>
      </c>
      <c r="R5450" s="8" t="s">
        <v>260</v>
      </c>
      <c r="S5450" t="str">
        <f t="shared" si="749"/>
        <v>PA</v>
      </c>
    </row>
    <row r="5451" spans="1:19" x14ac:dyDescent="0.3">
      <c r="A5451" t="s">
        <v>8</v>
      </c>
      <c r="B5451" t="s">
        <v>299</v>
      </c>
      <c r="C5451" t="s">
        <v>300</v>
      </c>
      <c r="E5451" t="s">
        <v>266</v>
      </c>
      <c r="F5451" s="1" t="s">
        <v>91</v>
      </c>
      <c r="G5451">
        <v>2</v>
      </c>
      <c r="H5451" t="s">
        <v>260</v>
      </c>
      <c r="I5451" s="4">
        <f t="shared" si="750"/>
        <v>4</v>
      </c>
      <c r="J5451">
        <f t="shared" si="745"/>
        <v>8</v>
      </c>
      <c r="K5451">
        <v>208</v>
      </c>
      <c r="L5451">
        <v>58</v>
      </c>
      <c r="M5451" s="2">
        <v>3.36</v>
      </c>
      <c r="N5451">
        <v>3.44</v>
      </c>
      <c r="O5451">
        <v>0</v>
      </c>
      <c r="P5451">
        <v>1</v>
      </c>
      <c r="Q5451" s="4" t="str">
        <f t="shared" si="756"/>
        <v>2016/2017-Ganjil</v>
      </c>
      <c r="R5451" s="8" t="s">
        <v>260</v>
      </c>
      <c r="S5451" t="str">
        <f t="shared" si="749"/>
        <v>PA</v>
      </c>
    </row>
    <row r="5452" spans="1:19" x14ac:dyDescent="0.3">
      <c r="A5452" t="s">
        <v>8</v>
      </c>
      <c r="B5452" t="s">
        <v>299</v>
      </c>
      <c r="C5452" t="s">
        <v>300</v>
      </c>
      <c r="E5452" t="s">
        <v>107</v>
      </c>
      <c r="F5452" t="s">
        <v>108</v>
      </c>
      <c r="G5452">
        <v>2</v>
      </c>
      <c r="H5452" t="s">
        <v>260</v>
      </c>
      <c r="I5452" s="4">
        <f t="shared" si="750"/>
        <v>4</v>
      </c>
      <c r="J5452">
        <f t="shared" si="745"/>
        <v>8</v>
      </c>
      <c r="K5452">
        <v>78</v>
      </c>
      <c r="L5452">
        <v>24</v>
      </c>
      <c r="M5452" s="2">
        <v>3.25</v>
      </c>
      <c r="N5452">
        <v>3.44</v>
      </c>
      <c r="O5452">
        <v>0</v>
      </c>
      <c r="P5452">
        <v>2</v>
      </c>
      <c r="Q5452" s="4" t="str">
        <f>IF(P5452=1,"2016/2017-Ganjil",IF(P5452=2,"2016/2017-Genap",IF(P5452=3,"2017/2018-Ganjil",IF(P5452=4,"2017/2018-Genap",IF(P5452=5,"2018/2019-Ganjil",IF(P5452=6,"2018/2019-Genap",IF(P5452=7,"2019/2020-Ganjil",IF(P5452=8,"2019/2020-Genap",IF(P5452=9,"2020/2021-Ganjil",IF(P5452=10,"2020/2021-Genap",IF(P5452=11,"2021/2022-Ganjil",IF(P5452=12,"2021/2022-Genap",IF(P5452=13,"2022/2023-Ganjil","2022/2023-Genap")))))))))))))</f>
        <v>2016/2017-Genap</v>
      </c>
      <c r="R5452" s="8" t="s">
        <v>260</v>
      </c>
      <c r="S5452" t="str">
        <f t="shared" si="749"/>
        <v>PA</v>
      </c>
    </row>
    <row r="5453" spans="1:19" x14ac:dyDescent="0.3">
      <c r="A5453" t="s">
        <v>8</v>
      </c>
      <c r="B5453" t="s">
        <v>299</v>
      </c>
      <c r="C5453" t="s">
        <v>300</v>
      </c>
      <c r="E5453" t="s">
        <v>125</v>
      </c>
      <c r="F5453" s="1" t="s">
        <v>126</v>
      </c>
      <c r="G5453">
        <v>4</v>
      </c>
      <c r="H5453" t="s">
        <v>260</v>
      </c>
      <c r="I5453" s="4">
        <f t="shared" si="750"/>
        <v>4</v>
      </c>
      <c r="J5453">
        <f t="shared" si="745"/>
        <v>16</v>
      </c>
      <c r="K5453">
        <v>208</v>
      </c>
      <c r="L5453">
        <v>58</v>
      </c>
      <c r="M5453" s="2">
        <v>3.36</v>
      </c>
      <c r="N5453">
        <v>3.44</v>
      </c>
      <c r="O5453">
        <v>0</v>
      </c>
      <c r="P5453">
        <v>1</v>
      </c>
      <c r="Q5453" s="4" t="str">
        <f t="shared" ref="Q5453" si="757">IF(P5453=1,"2016/2017-Ganjil",IF(P5453=2,"2016/2017-Genap",IF(P5453=3,"2017/2018-Ganjil",IF(P5453=4,"2017/2018-Genap",IF(P5453=5,"2018/2019-Ganjil",IF(P5453=6,"2018/2019-Genap",IF(P5453=7,"2019/2020-Ganjil",IF(P5453=8,"2019/2020-Genap",IF(P5453=9,"2020/2021-Ganjil",IF(P5453=10,"2020/2021-Genap",IF(P5453=11,"2021/2022-Ganjil",IF(P5453=12,"2021/2022-Genap",IF(P5453=13,"2022/2023-Ganjil","2022/2023-Genap")))))))))))))</f>
        <v>2016/2017-Ganjil</v>
      </c>
      <c r="R5453" s="8" t="s">
        <v>260</v>
      </c>
      <c r="S5453" t="str">
        <f t="shared" si="749"/>
        <v>PA</v>
      </c>
    </row>
    <row r="5454" spans="1:19" x14ac:dyDescent="0.3">
      <c r="A5454" t="s">
        <v>8</v>
      </c>
      <c r="B5454" t="s">
        <v>299</v>
      </c>
      <c r="C5454" t="s">
        <v>300</v>
      </c>
      <c r="E5454" t="s">
        <v>180</v>
      </c>
      <c r="F5454" t="s">
        <v>386</v>
      </c>
      <c r="G5454">
        <v>4</v>
      </c>
      <c r="H5454" t="s">
        <v>260</v>
      </c>
      <c r="I5454" s="4">
        <f t="shared" si="750"/>
        <v>4</v>
      </c>
      <c r="J5454">
        <f t="shared" si="745"/>
        <v>16</v>
      </c>
      <c r="K5454">
        <v>78</v>
      </c>
      <c r="L5454">
        <v>24</v>
      </c>
      <c r="M5454" s="2">
        <v>3.25</v>
      </c>
      <c r="N5454">
        <v>3.44</v>
      </c>
      <c r="O5454">
        <v>0</v>
      </c>
      <c r="P5454">
        <v>2</v>
      </c>
      <c r="Q5454" s="4" t="str">
        <f>IF(P5454=1,"2016/2017-Ganjil",IF(P5454=2,"2016/2017-Genap",IF(P5454=3,"2017/2018-Ganjil",IF(P5454=4,"2017/2018-Genap",IF(P5454=5,"2018/2019-Ganjil",IF(P5454=6,"2018/2019-Genap",IF(P5454=7,"2019/2020-Ganjil",IF(P5454=8,"2019/2020-Genap",IF(P5454=9,"2020/2021-Ganjil",IF(P5454=10,"2020/2021-Genap",IF(P5454=11,"2021/2022-Ganjil",IF(P5454=12,"2021/2022-Genap",IF(P5454=13,"2022/2023-Ganjil","2022/2023-Genap")))))))))))))</f>
        <v>2016/2017-Genap</v>
      </c>
      <c r="R5454" s="8" t="s">
        <v>260</v>
      </c>
      <c r="S5454" t="str">
        <f t="shared" si="749"/>
        <v>PA</v>
      </c>
    </row>
    <row r="5455" spans="1:19" x14ac:dyDescent="0.3">
      <c r="A5455" t="s">
        <v>8</v>
      </c>
      <c r="B5455" t="s">
        <v>299</v>
      </c>
      <c r="C5455" t="s">
        <v>300</v>
      </c>
      <c r="E5455" t="s">
        <v>597</v>
      </c>
      <c r="F5455" t="s">
        <v>275</v>
      </c>
      <c r="G5455">
        <v>2</v>
      </c>
      <c r="H5455" t="s">
        <v>260</v>
      </c>
      <c r="I5455" s="4">
        <f t="shared" si="750"/>
        <v>4</v>
      </c>
      <c r="J5455">
        <f t="shared" si="745"/>
        <v>8</v>
      </c>
      <c r="K5455">
        <v>34</v>
      </c>
      <c r="L5455">
        <v>10</v>
      </c>
      <c r="M5455" s="2">
        <v>3.4</v>
      </c>
      <c r="N5455">
        <v>3.44</v>
      </c>
      <c r="O5455">
        <v>0</v>
      </c>
      <c r="P5455">
        <v>4</v>
      </c>
      <c r="Q5455" s="4" t="str">
        <f>IF(P5455=1,"2016/2017-Ganjil",IF(P5455=2,"2016/2017-Genap",IF(P5455=3,"2017/2018-Ganjil",IF(P5455=4,"2017/2018-Genap",IF(P5455=5,"2018/2019-Ganjil",IF(P5455=6,"2018/2019-Genap",IF(P5455=7,"2019/2020-Ganjil",IF(P5455=8,"2019/2020-Genap",IF(P5455=9,"2020/2021-Ganjil",IF(P5455=10,"2020/2021-Genap",IF(P5455=11,"2021/2022-Ganjil",IF(P5455=12,"2021/2022-Genap",IF(P5455=13,"2022/2023-Ganjil","2022/2023-Genap")))))))))))))</f>
        <v>2017/2018-Genap</v>
      </c>
      <c r="R5455" t="s">
        <v>596</v>
      </c>
      <c r="S5455" t="str">
        <f t="shared" si="749"/>
        <v>PA</v>
      </c>
    </row>
    <row r="5456" spans="1:19" x14ac:dyDescent="0.3">
      <c r="A5456" t="s">
        <v>8</v>
      </c>
      <c r="B5456" t="s">
        <v>299</v>
      </c>
      <c r="C5456" t="s">
        <v>300</v>
      </c>
      <c r="E5456" t="s">
        <v>253</v>
      </c>
      <c r="F5456" s="1" t="s">
        <v>418</v>
      </c>
      <c r="G5456">
        <v>2</v>
      </c>
      <c r="H5456" t="s">
        <v>260</v>
      </c>
      <c r="I5456" s="4">
        <f t="shared" si="750"/>
        <v>4</v>
      </c>
      <c r="J5456">
        <f t="shared" si="745"/>
        <v>8</v>
      </c>
      <c r="K5456">
        <v>208</v>
      </c>
      <c r="L5456">
        <v>58</v>
      </c>
      <c r="M5456" s="2">
        <v>3.36</v>
      </c>
      <c r="N5456">
        <v>3.44</v>
      </c>
      <c r="O5456">
        <v>0</v>
      </c>
      <c r="P5456">
        <v>1</v>
      </c>
      <c r="Q5456" s="4" t="str">
        <f t="shared" ref="Q5456:Q5459" si="758">IF(P5456=1,"2016/2017-Ganjil",IF(P5456=2,"2016/2017-Genap",IF(P5456=3,"2017/2018-Ganjil",IF(P5456=4,"2017/2018-Genap",IF(P5456=5,"2018/2019-Ganjil",IF(P5456=6,"2018/2019-Genap",IF(P5456=7,"2019/2020-Ganjil",IF(P5456=8,"2019/2020-Genap",IF(P5456=9,"2020/2021-Ganjil",IF(P5456=10,"2020/2021-Genap",IF(P5456=11,"2021/2022-Ganjil",IF(P5456=12,"2021/2022-Genap",IF(P5456=13,"2022/2023-Ganjil","2022/2023-Genap")))))))))))))</f>
        <v>2016/2017-Ganjil</v>
      </c>
      <c r="R5456" s="8" t="s">
        <v>260</v>
      </c>
      <c r="S5456" t="str">
        <f t="shared" si="749"/>
        <v>PA</v>
      </c>
    </row>
    <row r="5457" spans="1:19" x14ac:dyDescent="0.3">
      <c r="A5457" t="s">
        <v>8</v>
      </c>
      <c r="B5457" t="s">
        <v>299</v>
      </c>
      <c r="C5457" t="s">
        <v>300</v>
      </c>
      <c r="E5457" t="s">
        <v>77</v>
      </c>
      <c r="F5457" s="1" t="s">
        <v>78</v>
      </c>
      <c r="G5457">
        <v>2</v>
      </c>
      <c r="H5457" t="s">
        <v>260</v>
      </c>
      <c r="I5457" s="4">
        <f t="shared" si="750"/>
        <v>4</v>
      </c>
      <c r="J5457">
        <f t="shared" si="745"/>
        <v>8</v>
      </c>
      <c r="K5457">
        <v>208</v>
      </c>
      <c r="L5457">
        <v>58</v>
      </c>
      <c r="M5457" s="2">
        <v>3.36</v>
      </c>
      <c r="N5457">
        <v>3.44</v>
      </c>
      <c r="O5457">
        <v>0</v>
      </c>
      <c r="P5457">
        <v>1</v>
      </c>
      <c r="Q5457" s="4" t="str">
        <f t="shared" si="758"/>
        <v>2016/2017-Ganjil</v>
      </c>
      <c r="R5457" s="8" t="s">
        <v>260</v>
      </c>
      <c r="S5457" t="str">
        <f t="shared" si="749"/>
        <v>PA</v>
      </c>
    </row>
    <row r="5458" spans="1:19" x14ac:dyDescent="0.3">
      <c r="A5458" t="s">
        <v>8</v>
      </c>
      <c r="B5458" t="s">
        <v>299</v>
      </c>
      <c r="C5458" t="s">
        <v>300</v>
      </c>
      <c r="E5458" t="s">
        <v>182</v>
      </c>
      <c r="F5458" s="1" t="s">
        <v>171</v>
      </c>
      <c r="G5458">
        <v>2</v>
      </c>
      <c r="H5458" t="s">
        <v>260</v>
      </c>
      <c r="I5458" s="4">
        <f t="shared" si="750"/>
        <v>4</v>
      </c>
      <c r="J5458">
        <f t="shared" si="745"/>
        <v>8</v>
      </c>
      <c r="K5458">
        <v>208</v>
      </c>
      <c r="L5458">
        <v>58</v>
      </c>
      <c r="M5458" s="2">
        <v>3.36</v>
      </c>
      <c r="N5458">
        <v>3.44</v>
      </c>
      <c r="O5458">
        <v>0</v>
      </c>
      <c r="P5458">
        <v>1</v>
      </c>
      <c r="Q5458" s="4" t="str">
        <f t="shared" si="758"/>
        <v>2016/2017-Ganjil</v>
      </c>
      <c r="R5458" s="8" t="s">
        <v>260</v>
      </c>
      <c r="S5458" t="str">
        <f t="shared" si="749"/>
        <v>PA</v>
      </c>
    </row>
    <row r="5459" spans="1:19" x14ac:dyDescent="0.3">
      <c r="A5459" t="s">
        <v>8</v>
      </c>
      <c r="B5459" t="s">
        <v>299</v>
      </c>
      <c r="C5459" t="s">
        <v>300</v>
      </c>
      <c r="E5459" t="s">
        <v>279</v>
      </c>
      <c r="F5459" s="1" t="s">
        <v>280</v>
      </c>
      <c r="G5459">
        <v>2</v>
      </c>
      <c r="H5459" t="s">
        <v>260</v>
      </c>
      <c r="I5459" s="4">
        <f t="shared" si="750"/>
        <v>4</v>
      </c>
      <c r="J5459">
        <f t="shared" si="745"/>
        <v>8</v>
      </c>
      <c r="K5459">
        <v>208</v>
      </c>
      <c r="L5459">
        <v>58</v>
      </c>
      <c r="M5459" s="2">
        <v>3.36</v>
      </c>
      <c r="N5459">
        <v>3.44</v>
      </c>
      <c r="O5459">
        <v>0</v>
      </c>
      <c r="P5459">
        <v>1</v>
      </c>
      <c r="Q5459" s="4" t="str">
        <f t="shared" si="758"/>
        <v>2016/2017-Ganjil</v>
      </c>
      <c r="R5459" s="8" t="s">
        <v>260</v>
      </c>
      <c r="S5459" t="str">
        <f t="shared" si="749"/>
        <v>PA</v>
      </c>
    </row>
    <row r="5460" spans="1:19" x14ac:dyDescent="0.3">
      <c r="A5460" t="s">
        <v>8</v>
      </c>
      <c r="B5460" t="s">
        <v>299</v>
      </c>
      <c r="C5460" t="s">
        <v>300</v>
      </c>
      <c r="E5460" t="s">
        <v>318</v>
      </c>
      <c r="F5460" t="s">
        <v>394</v>
      </c>
      <c r="G5460">
        <v>2</v>
      </c>
      <c r="H5460" t="s">
        <v>438</v>
      </c>
      <c r="I5460" s="4">
        <f t="shared" si="750"/>
        <v>3</v>
      </c>
      <c r="J5460">
        <f t="shared" si="745"/>
        <v>6</v>
      </c>
      <c r="K5460">
        <v>94</v>
      </c>
      <c r="L5460">
        <v>28</v>
      </c>
      <c r="M5460" s="2">
        <v>3.36</v>
      </c>
      <c r="N5460">
        <v>3.44</v>
      </c>
      <c r="O5460">
        <v>0</v>
      </c>
      <c r="P5460">
        <v>1</v>
      </c>
      <c r="Q5460" s="4" t="str">
        <f>IF(P5460=1,"2016/2017-Ganjil",IF(P5460=2,"2016/2017-Genap",IF(P5460=3,"2017/2018-Ganjil",IF(P5460=4,"2017/2018-Genap",IF(P5460=5,"2018/2019-Ganjil",IF(P5460=6,"2018/2019-Genap",IF(P5460=7,"2019/2020-Ganjil",IF(P5460=8,"2019/2020-Genap",IF(P5460=9,"2020/2021-Ganjil",IF(P5460=10,"2020/2021-Genap",IF(P5460=11,"2021/2022-Ganjil",IF(P5460=12,"2021/2022-Genap",IF(P5460=13,"2022/2023-Ganjil","2022/2023-Genap")))))))))))))</f>
        <v>2016/2017-Ganjil</v>
      </c>
      <c r="R5460" s="8" t="s">
        <v>260</v>
      </c>
      <c r="S5460" t="str">
        <f t="shared" si="749"/>
        <v>PA</v>
      </c>
    </row>
    <row r="5461" spans="1:19" x14ac:dyDescent="0.3">
      <c r="A5461" t="s">
        <v>8</v>
      </c>
      <c r="B5461" t="s">
        <v>299</v>
      </c>
      <c r="C5461" t="s">
        <v>300</v>
      </c>
      <c r="E5461" t="s">
        <v>115</v>
      </c>
      <c r="F5461" s="1" t="s">
        <v>116</v>
      </c>
      <c r="G5461">
        <v>4</v>
      </c>
      <c r="H5461" t="s">
        <v>438</v>
      </c>
      <c r="I5461" s="4">
        <f t="shared" si="750"/>
        <v>3</v>
      </c>
      <c r="J5461">
        <f t="shared" si="745"/>
        <v>12</v>
      </c>
      <c r="K5461">
        <v>208</v>
      </c>
      <c r="L5461">
        <v>58</v>
      </c>
      <c r="M5461" s="2">
        <v>3.36</v>
      </c>
      <c r="N5461">
        <v>3.44</v>
      </c>
      <c r="O5461">
        <v>0</v>
      </c>
      <c r="P5461">
        <v>1</v>
      </c>
      <c r="Q5461" s="4" t="str">
        <f t="shared" ref="Q5461" si="759">IF(P5461=1,"2016/2017-Ganjil",IF(P5461=2,"2016/2017-Genap",IF(P5461=3,"2017/2018-Ganjil",IF(P5461=4,"2017/2018-Genap",IF(P5461=5,"2018/2019-Ganjil",IF(P5461=6,"2018/2019-Genap",IF(P5461=7,"2019/2020-Ganjil",IF(P5461=8,"2019/2020-Genap",IF(P5461=9,"2020/2021-Ganjil",IF(P5461=10,"2020/2021-Genap",IF(P5461=11,"2021/2022-Ganjil",IF(P5461=12,"2021/2022-Genap",IF(P5461=13,"2022/2023-Ganjil","2022/2023-Genap")))))))))))))</f>
        <v>2016/2017-Ganjil</v>
      </c>
      <c r="R5461" s="8" t="s">
        <v>260</v>
      </c>
      <c r="S5461" t="str">
        <f t="shared" si="749"/>
        <v>PA</v>
      </c>
    </row>
    <row r="5462" spans="1:19" x14ac:dyDescent="0.3">
      <c r="A5462" t="s">
        <v>8</v>
      </c>
      <c r="B5462" t="s">
        <v>299</v>
      </c>
      <c r="C5462" t="s">
        <v>300</v>
      </c>
      <c r="E5462" t="s">
        <v>157</v>
      </c>
      <c r="F5462" t="s">
        <v>158</v>
      </c>
      <c r="G5462">
        <v>2</v>
      </c>
      <c r="H5462" t="s">
        <v>438</v>
      </c>
      <c r="I5462" s="4">
        <f t="shared" si="750"/>
        <v>3</v>
      </c>
      <c r="J5462">
        <f t="shared" si="745"/>
        <v>6</v>
      </c>
      <c r="K5462">
        <v>94</v>
      </c>
      <c r="L5462">
        <v>28</v>
      </c>
      <c r="M5462" s="2">
        <v>3.36</v>
      </c>
      <c r="N5462">
        <v>3.44</v>
      </c>
      <c r="O5462">
        <v>0</v>
      </c>
      <c r="P5462">
        <v>1</v>
      </c>
      <c r="Q5462" s="4" t="str">
        <f>IF(P5462=1,"2016/2017-Ganjil",IF(P5462=2,"2016/2017-Genap",IF(P5462=3,"2017/2018-Ganjil",IF(P5462=4,"2017/2018-Genap",IF(P5462=5,"2018/2019-Ganjil",IF(P5462=6,"2018/2019-Genap",IF(P5462=7,"2019/2020-Ganjil",IF(P5462=8,"2019/2020-Genap",IF(P5462=9,"2020/2021-Ganjil",IF(P5462=10,"2020/2021-Genap",IF(P5462=11,"2021/2022-Ganjil",IF(P5462=12,"2021/2022-Genap",IF(P5462=13,"2022/2023-Ganjil","2022/2023-Genap")))))))))))))</f>
        <v>2016/2017-Ganjil</v>
      </c>
      <c r="R5462" s="8" t="s">
        <v>260</v>
      </c>
      <c r="S5462" t="str">
        <f t="shared" si="749"/>
        <v>PA</v>
      </c>
    </row>
    <row r="5463" spans="1:19" x14ac:dyDescent="0.3">
      <c r="A5463" t="s">
        <v>8</v>
      </c>
      <c r="B5463" t="s">
        <v>299</v>
      </c>
      <c r="C5463" t="s">
        <v>300</v>
      </c>
      <c r="E5463" t="s">
        <v>44</v>
      </c>
      <c r="F5463" s="1" t="s">
        <v>45</v>
      </c>
      <c r="G5463">
        <v>2</v>
      </c>
      <c r="H5463" t="s">
        <v>438</v>
      </c>
      <c r="I5463" s="4">
        <f t="shared" si="750"/>
        <v>3</v>
      </c>
      <c r="J5463">
        <f t="shared" si="745"/>
        <v>6</v>
      </c>
      <c r="K5463">
        <v>208</v>
      </c>
      <c r="L5463">
        <v>58</v>
      </c>
      <c r="M5463" s="2">
        <v>3.36</v>
      </c>
      <c r="N5463">
        <v>3.44</v>
      </c>
      <c r="O5463">
        <v>0</v>
      </c>
      <c r="P5463">
        <v>1</v>
      </c>
      <c r="Q5463" s="4" t="str">
        <f t="shared" ref="Q5463" si="760">IF(P5463=1,"2016/2017-Ganjil",IF(P5463=2,"2016/2017-Genap",IF(P5463=3,"2017/2018-Ganjil",IF(P5463=4,"2017/2018-Genap",IF(P5463=5,"2018/2019-Ganjil",IF(P5463=6,"2018/2019-Genap",IF(P5463=7,"2019/2020-Ganjil",IF(P5463=8,"2019/2020-Genap",IF(P5463=9,"2020/2021-Ganjil",IF(P5463=10,"2020/2021-Genap",IF(P5463=11,"2021/2022-Ganjil",IF(P5463=12,"2021/2022-Genap",IF(P5463=13,"2022/2023-Ganjil","2022/2023-Genap")))))))))))))</f>
        <v>2016/2017-Ganjil</v>
      </c>
      <c r="R5463" s="8" t="s">
        <v>260</v>
      </c>
      <c r="S5463" t="str">
        <f t="shared" si="749"/>
        <v>PA</v>
      </c>
    </row>
    <row r="5464" spans="1:19" x14ac:dyDescent="0.3">
      <c r="A5464" t="s">
        <v>8</v>
      </c>
      <c r="B5464" t="s">
        <v>299</v>
      </c>
      <c r="C5464" t="s">
        <v>300</v>
      </c>
      <c r="E5464" t="s">
        <v>449</v>
      </c>
      <c r="F5464" t="s">
        <v>460</v>
      </c>
      <c r="G5464">
        <v>4</v>
      </c>
      <c r="H5464" t="s">
        <v>438</v>
      </c>
      <c r="I5464" s="4">
        <f t="shared" si="750"/>
        <v>3</v>
      </c>
      <c r="J5464">
        <f t="shared" si="745"/>
        <v>12</v>
      </c>
      <c r="K5464">
        <v>78</v>
      </c>
      <c r="L5464">
        <v>24</v>
      </c>
      <c r="M5464" s="2">
        <v>3.25</v>
      </c>
      <c r="N5464">
        <v>3.44</v>
      </c>
      <c r="O5464">
        <v>0</v>
      </c>
      <c r="P5464">
        <v>2</v>
      </c>
      <c r="Q5464" s="4" t="str">
        <f>IF(P5464=1,"2016/2017-Ganjil",IF(P5464=2,"2016/2017-Genap",IF(P5464=3,"2017/2018-Ganjil",IF(P5464=4,"2017/2018-Genap",IF(P5464=5,"2018/2019-Ganjil",IF(P5464=6,"2018/2019-Genap",IF(P5464=7,"2019/2020-Ganjil",IF(P5464=8,"2019/2020-Genap",IF(P5464=9,"2020/2021-Ganjil",IF(P5464=10,"2020/2021-Genap",IF(P5464=11,"2021/2022-Ganjil",IF(P5464=12,"2021/2022-Genap",IF(P5464=13,"2022/2023-Ganjil","2022/2023-Genap")))))))))))))</f>
        <v>2016/2017-Genap</v>
      </c>
      <c r="R5464" s="8" t="s">
        <v>260</v>
      </c>
      <c r="S5464" t="str">
        <f t="shared" si="749"/>
        <v>PA</v>
      </c>
    </row>
    <row r="5465" spans="1:19" x14ac:dyDescent="0.3">
      <c r="A5465" t="s">
        <v>8</v>
      </c>
      <c r="B5465" t="s">
        <v>299</v>
      </c>
      <c r="C5465" t="s">
        <v>300</v>
      </c>
      <c r="E5465" t="s">
        <v>238</v>
      </c>
      <c r="F5465" t="s">
        <v>239</v>
      </c>
      <c r="G5465">
        <v>4</v>
      </c>
      <c r="H5465" t="s">
        <v>438</v>
      </c>
      <c r="I5465" s="4">
        <f t="shared" si="750"/>
        <v>3</v>
      </c>
      <c r="J5465">
        <f t="shared" si="745"/>
        <v>12</v>
      </c>
      <c r="K5465">
        <v>78</v>
      </c>
      <c r="L5465">
        <v>24</v>
      </c>
      <c r="M5465" s="2">
        <v>3.25</v>
      </c>
      <c r="N5465">
        <v>3.44</v>
      </c>
      <c r="O5465">
        <v>0</v>
      </c>
      <c r="P5465">
        <v>2</v>
      </c>
      <c r="Q5465" s="4" t="str">
        <f>IF(P5465=1,"2016/2017-Ganjil",IF(P5465=2,"2016/2017-Genap",IF(P5465=3,"2017/2018-Ganjil",IF(P5465=4,"2017/2018-Genap",IF(P5465=5,"2018/2019-Ganjil",IF(P5465=6,"2018/2019-Genap",IF(P5465=7,"2019/2020-Ganjil",IF(P5465=8,"2019/2020-Genap",IF(P5465=9,"2020/2021-Ganjil",IF(P5465=10,"2020/2021-Genap",IF(P5465=11,"2021/2022-Ganjil",IF(P5465=12,"2021/2022-Genap",IF(P5465=13,"2022/2023-Ganjil","2022/2023-Genap")))))))))))))</f>
        <v>2016/2017-Genap</v>
      </c>
      <c r="R5465" s="8" t="s">
        <v>260</v>
      </c>
      <c r="S5465" t="str">
        <f t="shared" si="749"/>
        <v>PA</v>
      </c>
    </row>
    <row r="5466" spans="1:19" x14ac:dyDescent="0.3">
      <c r="A5466" t="s">
        <v>8</v>
      </c>
      <c r="B5466" t="s">
        <v>299</v>
      </c>
      <c r="C5466" t="s">
        <v>300</v>
      </c>
      <c r="E5466" t="s">
        <v>112</v>
      </c>
      <c r="F5466" s="1" t="s">
        <v>487</v>
      </c>
      <c r="G5466">
        <v>4</v>
      </c>
      <c r="H5466" t="s">
        <v>438</v>
      </c>
      <c r="I5466" s="4">
        <f t="shared" si="750"/>
        <v>3</v>
      </c>
      <c r="J5466">
        <f t="shared" si="745"/>
        <v>12</v>
      </c>
      <c r="K5466">
        <v>208</v>
      </c>
      <c r="L5466">
        <v>58</v>
      </c>
      <c r="M5466" s="2">
        <v>3.36</v>
      </c>
      <c r="N5466">
        <v>3.44</v>
      </c>
      <c r="O5466">
        <v>0</v>
      </c>
      <c r="P5466">
        <v>1</v>
      </c>
      <c r="Q5466" s="4" t="str">
        <f t="shared" ref="Q5466" si="761">IF(P5466=1,"2016/2017-Ganjil",IF(P5466=2,"2016/2017-Genap",IF(P5466=3,"2017/2018-Ganjil",IF(P5466=4,"2017/2018-Genap",IF(P5466=5,"2018/2019-Ganjil",IF(P5466=6,"2018/2019-Genap",IF(P5466=7,"2019/2020-Ganjil",IF(P5466=8,"2019/2020-Genap",IF(P5466=9,"2020/2021-Ganjil",IF(P5466=10,"2020/2021-Genap",IF(P5466=11,"2021/2022-Ganjil",IF(P5466=12,"2021/2022-Genap",IF(P5466=13,"2022/2023-Ganjil","2022/2023-Genap")))))))))))))</f>
        <v>2016/2017-Ganjil</v>
      </c>
      <c r="R5466" s="8" t="s">
        <v>260</v>
      </c>
      <c r="S5466" t="str">
        <f t="shared" si="749"/>
        <v>PA</v>
      </c>
    </row>
    <row r="5467" spans="1:19" x14ac:dyDescent="0.3">
      <c r="A5467" t="s">
        <v>8</v>
      </c>
      <c r="B5467" t="s">
        <v>299</v>
      </c>
      <c r="C5467" t="s">
        <v>300</v>
      </c>
      <c r="E5467" t="s">
        <v>355</v>
      </c>
      <c r="F5467" t="s">
        <v>274</v>
      </c>
      <c r="G5467">
        <v>2</v>
      </c>
      <c r="H5467" t="s">
        <v>438</v>
      </c>
      <c r="I5467" s="4">
        <f t="shared" si="750"/>
        <v>3</v>
      </c>
      <c r="J5467">
        <f t="shared" si="745"/>
        <v>6</v>
      </c>
      <c r="K5467">
        <v>78</v>
      </c>
      <c r="L5467">
        <v>24</v>
      </c>
      <c r="M5467" s="2">
        <v>3.25</v>
      </c>
      <c r="N5467">
        <v>3.44</v>
      </c>
      <c r="O5467">
        <v>0</v>
      </c>
      <c r="P5467">
        <v>2</v>
      </c>
      <c r="Q5467" s="4" t="str">
        <f>IF(P5467=1,"2016/2017-Ganjil",IF(P5467=2,"2016/2017-Genap",IF(P5467=3,"2017/2018-Ganjil",IF(P5467=4,"2017/2018-Genap",IF(P5467=5,"2018/2019-Ganjil",IF(P5467=6,"2018/2019-Genap",IF(P5467=7,"2019/2020-Ganjil",IF(P5467=8,"2019/2020-Genap",IF(P5467=9,"2020/2021-Ganjil",IF(P5467=10,"2020/2021-Genap",IF(P5467=11,"2021/2022-Ganjil",IF(P5467=12,"2021/2022-Genap",IF(P5467=13,"2022/2023-Ganjil","2022/2023-Genap")))))))))))))</f>
        <v>2016/2017-Genap</v>
      </c>
      <c r="R5467" s="8" t="s">
        <v>260</v>
      </c>
      <c r="S5467" t="str">
        <f t="shared" si="749"/>
        <v>PA</v>
      </c>
    </row>
    <row r="5468" spans="1:19" x14ac:dyDescent="0.3">
      <c r="A5468" t="s">
        <v>8</v>
      </c>
      <c r="B5468" t="s">
        <v>299</v>
      </c>
      <c r="C5468" t="s">
        <v>300</v>
      </c>
      <c r="E5468" t="s">
        <v>424</v>
      </c>
      <c r="F5468" s="1" t="s">
        <v>166</v>
      </c>
      <c r="G5468">
        <v>2</v>
      </c>
      <c r="H5468" t="s">
        <v>438</v>
      </c>
      <c r="I5468" s="4">
        <f t="shared" si="750"/>
        <v>3</v>
      </c>
      <c r="J5468">
        <f t="shared" si="745"/>
        <v>6</v>
      </c>
      <c r="K5468">
        <v>208</v>
      </c>
      <c r="L5468">
        <v>58</v>
      </c>
      <c r="M5468" s="2">
        <v>3.36</v>
      </c>
      <c r="N5468">
        <v>3.44</v>
      </c>
      <c r="O5468">
        <v>0</v>
      </c>
      <c r="P5468">
        <v>1</v>
      </c>
      <c r="Q5468" s="4" t="str">
        <f t="shared" ref="Q5468:Q5469" si="762">IF(P5468=1,"2016/2017-Ganjil",IF(P5468=2,"2016/2017-Genap",IF(P5468=3,"2017/2018-Ganjil",IF(P5468=4,"2017/2018-Genap",IF(P5468=5,"2018/2019-Ganjil",IF(P5468=6,"2018/2019-Genap",IF(P5468=7,"2019/2020-Ganjil",IF(P5468=8,"2019/2020-Genap",IF(P5468=9,"2020/2021-Ganjil",IF(P5468=10,"2020/2021-Genap",IF(P5468=11,"2021/2022-Ganjil",IF(P5468=12,"2021/2022-Genap",IF(P5468=13,"2022/2023-Ganjil","2022/2023-Genap")))))))))))))</f>
        <v>2016/2017-Ganjil</v>
      </c>
      <c r="R5468" s="8" t="s">
        <v>260</v>
      </c>
      <c r="S5468" t="str">
        <f t="shared" si="749"/>
        <v>PA</v>
      </c>
    </row>
    <row r="5469" spans="1:19" x14ac:dyDescent="0.3">
      <c r="A5469" t="s">
        <v>8</v>
      </c>
      <c r="B5469" t="s">
        <v>299</v>
      </c>
      <c r="C5469" t="s">
        <v>300</v>
      </c>
      <c r="E5469" t="s">
        <v>131</v>
      </c>
      <c r="F5469" s="1" t="s">
        <v>132</v>
      </c>
      <c r="G5469">
        <v>2</v>
      </c>
      <c r="H5469" t="s">
        <v>438</v>
      </c>
      <c r="I5469" s="4">
        <f t="shared" si="750"/>
        <v>3</v>
      </c>
      <c r="J5469">
        <f t="shared" si="745"/>
        <v>6</v>
      </c>
      <c r="K5469">
        <v>208</v>
      </c>
      <c r="L5469">
        <v>58</v>
      </c>
      <c r="M5469" s="2">
        <v>3.36</v>
      </c>
      <c r="N5469">
        <v>3.44</v>
      </c>
      <c r="O5469">
        <v>0</v>
      </c>
      <c r="P5469">
        <v>1</v>
      </c>
      <c r="Q5469" s="4" t="str">
        <f t="shared" si="762"/>
        <v>2016/2017-Ganjil</v>
      </c>
      <c r="R5469" s="8" t="s">
        <v>260</v>
      </c>
      <c r="S5469" t="str">
        <f t="shared" si="749"/>
        <v>PA</v>
      </c>
    </row>
    <row r="5470" spans="1:19" x14ac:dyDescent="0.3">
      <c r="A5470" t="s">
        <v>8</v>
      </c>
      <c r="B5470" t="s">
        <v>299</v>
      </c>
      <c r="C5470" t="s">
        <v>300</v>
      </c>
      <c r="E5470" t="s">
        <v>19</v>
      </c>
      <c r="F5470" t="s">
        <v>20</v>
      </c>
      <c r="G5470">
        <v>6</v>
      </c>
      <c r="H5470" t="s">
        <v>438</v>
      </c>
      <c r="I5470" s="4">
        <f t="shared" si="750"/>
        <v>3</v>
      </c>
      <c r="J5470">
        <f t="shared" si="745"/>
        <v>18</v>
      </c>
      <c r="K5470">
        <v>34</v>
      </c>
      <c r="L5470">
        <v>10</v>
      </c>
      <c r="M5470" s="2">
        <v>3.4</v>
      </c>
      <c r="N5470">
        <v>3.44</v>
      </c>
      <c r="O5470">
        <v>0</v>
      </c>
      <c r="P5470">
        <v>4</v>
      </c>
      <c r="Q5470" s="4" t="str">
        <f>IF(P5470=1,"2016/2017-Ganjil",IF(P5470=2,"2016/2017-Genap",IF(P5470=3,"2017/2018-Ganjil",IF(P5470=4,"2017/2018-Genap",IF(P5470=5,"2018/2019-Ganjil",IF(P5470=6,"2018/2019-Genap",IF(P5470=7,"2019/2020-Ganjil",IF(P5470=8,"2019/2020-Genap",IF(P5470=9,"2020/2021-Ganjil",IF(P5470=10,"2020/2021-Genap",IF(P5470=11,"2021/2022-Ganjil",IF(P5470=12,"2021/2022-Genap",IF(P5470=13,"2022/2023-Ganjil","2022/2023-Genap")))))))))))))</f>
        <v>2017/2018-Genap</v>
      </c>
      <c r="R5470" t="s">
        <v>596</v>
      </c>
      <c r="S5470" t="str">
        <f t="shared" si="749"/>
        <v>PA</v>
      </c>
    </row>
    <row r="5471" spans="1:19" x14ac:dyDescent="0.3">
      <c r="A5471" t="s">
        <v>8</v>
      </c>
      <c r="B5471" t="s">
        <v>299</v>
      </c>
      <c r="C5471" t="s">
        <v>300</v>
      </c>
      <c r="E5471" t="s">
        <v>401</v>
      </c>
      <c r="F5471" t="s">
        <v>258</v>
      </c>
      <c r="G5471">
        <v>4</v>
      </c>
      <c r="H5471" t="s">
        <v>438</v>
      </c>
      <c r="I5471" s="4">
        <f t="shared" si="750"/>
        <v>3</v>
      </c>
      <c r="J5471">
        <f t="shared" si="745"/>
        <v>12</v>
      </c>
      <c r="K5471">
        <v>94</v>
      </c>
      <c r="L5471">
        <v>28</v>
      </c>
      <c r="M5471" s="2">
        <v>3.36</v>
      </c>
      <c r="N5471">
        <v>3.44</v>
      </c>
      <c r="O5471">
        <v>0</v>
      </c>
      <c r="P5471">
        <v>1</v>
      </c>
      <c r="Q5471" s="4" t="str">
        <f>IF(P5471=1,"2016/2017-Ganjil",IF(P5471=2,"2016/2017-Genap",IF(P5471=3,"2017/2018-Ganjil",IF(P5471=4,"2017/2018-Genap",IF(P5471=5,"2018/2019-Ganjil",IF(P5471=6,"2018/2019-Genap",IF(P5471=7,"2019/2020-Ganjil",IF(P5471=8,"2019/2020-Genap",IF(P5471=9,"2020/2021-Ganjil",IF(P5471=10,"2020/2021-Genap",IF(P5471=11,"2021/2022-Ganjil",IF(P5471=12,"2021/2022-Genap",IF(P5471=13,"2022/2023-Ganjil","2022/2023-Genap")))))))))))))</f>
        <v>2016/2017-Ganjil</v>
      </c>
      <c r="R5471" s="8" t="s">
        <v>260</v>
      </c>
      <c r="S5471" t="str">
        <f t="shared" si="749"/>
        <v>PA</v>
      </c>
    </row>
    <row r="5472" spans="1:19" x14ac:dyDescent="0.3">
      <c r="A5472" t="s">
        <v>8</v>
      </c>
      <c r="B5472" t="s">
        <v>299</v>
      </c>
      <c r="C5472" t="s">
        <v>300</v>
      </c>
      <c r="E5472" t="s">
        <v>117</v>
      </c>
      <c r="F5472" s="1" t="s">
        <v>118</v>
      </c>
      <c r="G5472">
        <v>2</v>
      </c>
      <c r="H5472" t="s">
        <v>438</v>
      </c>
      <c r="I5472" s="4">
        <f t="shared" si="750"/>
        <v>3</v>
      </c>
      <c r="J5472">
        <f t="shared" si="745"/>
        <v>6</v>
      </c>
      <c r="K5472">
        <v>208</v>
      </c>
      <c r="L5472">
        <v>58</v>
      </c>
      <c r="M5472" s="2">
        <v>3.36</v>
      </c>
      <c r="N5472">
        <v>3.44</v>
      </c>
      <c r="O5472">
        <v>0</v>
      </c>
      <c r="P5472">
        <v>1</v>
      </c>
      <c r="Q5472" s="4" t="str">
        <f t="shared" ref="Q5472" si="763">IF(P5472=1,"2016/2017-Ganjil",IF(P5472=2,"2016/2017-Genap",IF(P5472=3,"2017/2018-Ganjil",IF(P5472=4,"2017/2018-Genap",IF(P5472=5,"2018/2019-Ganjil",IF(P5472=6,"2018/2019-Genap",IF(P5472=7,"2019/2020-Ganjil",IF(P5472=8,"2019/2020-Genap",IF(P5472=9,"2020/2021-Ganjil",IF(P5472=10,"2020/2021-Genap",IF(P5472=11,"2021/2022-Ganjil",IF(P5472=12,"2021/2022-Genap",IF(P5472=13,"2022/2023-Ganjil","2022/2023-Genap")))))))))))))</f>
        <v>2016/2017-Ganjil</v>
      </c>
      <c r="R5472" s="8" t="s">
        <v>260</v>
      </c>
      <c r="S5472" t="str">
        <f t="shared" si="749"/>
        <v>PA</v>
      </c>
    </row>
    <row r="5473" spans="1:19" x14ac:dyDescent="0.3">
      <c r="A5473" t="s">
        <v>8</v>
      </c>
      <c r="B5473" t="s">
        <v>299</v>
      </c>
      <c r="C5473" t="s">
        <v>300</v>
      </c>
      <c r="E5473" t="s">
        <v>510</v>
      </c>
      <c r="F5473" t="s">
        <v>511</v>
      </c>
      <c r="G5473">
        <v>2</v>
      </c>
      <c r="H5473" t="s">
        <v>438</v>
      </c>
      <c r="I5473" s="4">
        <f t="shared" si="750"/>
        <v>3</v>
      </c>
      <c r="J5473">
        <f t="shared" ref="J5473:J5534" si="764">G5473*I5473</f>
        <v>6</v>
      </c>
      <c r="K5473">
        <v>94</v>
      </c>
      <c r="L5473">
        <v>28</v>
      </c>
      <c r="M5473" s="2">
        <v>3.36</v>
      </c>
      <c r="N5473">
        <v>3.44</v>
      </c>
      <c r="O5473">
        <v>0</v>
      </c>
      <c r="P5473">
        <v>1</v>
      </c>
      <c r="Q5473" s="4" t="str">
        <f>IF(P5473=1,"2016/2017-Ganjil",IF(P5473=2,"2016/2017-Genap",IF(P5473=3,"2017/2018-Ganjil",IF(P5473=4,"2017/2018-Genap",IF(P5473=5,"2018/2019-Ganjil",IF(P5473=6,"2018/2019-Genap",IF(P5473=7,"2019/2020-Ganjil",IF(P5473=8,"2019/2020-Genap",IF(P5473=9,"2020/2021-Ganjil",IF(P5473=10,"2020/2021-Genap",IF(P5473=11,"2021/2022-Ganjil",IF(P5473=12,"2021/2022-Genap",IF(P5473=13,"2022/2023-Ganjil","2022/2023-Genap")))))))))))))</f>
        <v>2016/2017-Ganjil</v>
      </c>
      <c r="R5473" s="8" t="s">
        <v>260</v>
      </c>
      <c r="S5473" t="str">
        <f t="shared" si="749"/>
        <v>PA</v>
      </c>
    </row>
    <row r="5474" spans="1:19" x14ac:dyDescent="0.3">
      <c r="A5474" t="s">
        <v>8</v>
      </c>
      <c r="B5474" t="s">
        <v>299</v>
      </c>
      <c r="C5474" t="s">
        <v>300</v>
      </c>
      <c r="E5474" t="s">
        <v>232</v>
      </c>
      <c r="F5474" t="s">
        <v>245</v>
      </c>
      <c r="G5474">
        <v>2</v>
      </c>
      <c r="H5474" t="s">
        <v>438</v>
      </c>
      <c r="I5474" s="4">
        <f t="shared" si="750"/>
        <v>3</v>
      </c>
      <c r="J5474">
        <f t="shared" si="764"/>
        <v>6</v>
      </c>
      <c r="K5474">
        <v>78</v>
      </c>
      <c r="L5474">
        <v>24</v>
      </c>
      <c r="M5474" s="2">
        <v>3.25</v>
      </c>
      <c r="N5474">
        <v>3.44</v>
      </c>
      <c r="O5474">
        <v>0</v>
      </c>
      <c r="P5474">
        <v>2</v>
      </c>
      <c r="Q5474" s="4" t="str">
        <f>IF(P5474=1,"2016/2017-Ganjil",IF(P5474=2,"2016/2017-Genap",IF(P5474=3,"2017/2018-Ganjil",IF(P5474=4,"2017/2018-Genap",IF(P5474=5,"2018/2019-Ganjil",IF(P5474=6,"2018/2019-Genap",IF(P5474=7,"2019/2020-Ganjil",IF(P5474=8,"2019/2020-Genap",IF(P5474=9,"2020/2021-Ganjil",IF(P5474=10,"2020/2021-Genap",IF(P5474=11,"2021/2022-Ganjil",IF(P5474=12,"2021/2022-Genap",IF(P5474=13,"2022/2023-Ganjil","2022/2023-Genap")))))))))))))</f>
        <v>2016/2017-Genap</v>
      </c>
      <c r="R5474" s="8" t="s">
        <v>260</v>
      </c>
      <c r="S5474" t="str">
        <f t="shared" si="749"/>
        <v>PA</v>
      </c>
    </row>
    <row r="5475" spans="1:19" x14ac:dyDescent="0.3">
      <c r="A5475" t="s">
        <v>8</v>
      </c>
      <c r="B5475" t="s">
        <v>299</v>
      </c>
      <c r="C5475" t="s">
        <v>300</v>
      </c>
      <c r="E5475" t="s">
        <v>80</v>
      </c>
      <c r="F5475" t="s">
        <v>81</v>
      </c>
      <c r="G5475">
        <v>4</v>
      </c>
      <c r="H5475" t="s">
        <v>438</v>
      </c>
      <c r="I5475" s="4">
        <f t="shared" si="750"/>
        <v>3</v>
      </c>
      <c r="J5475">
        <f t="shared" si="764"/>
        <v>12</v>
      </c>
      <c r="K5475">
        <v>78</v>
      </c>
      <c r="L5475">
        <v>24</v>
      </c>
      <c r="M5475" s="2">
        <v>3.25</v>
      </c>
      <c r="N5475">
        <v>3.44</v>
      </c>
      <c r="O5475">
        <v>0</v>
      </c>
      <c r="P5475">
        <v>2</v>
      </c>
      <c r="Q5475" s="4" t="str">
        <f>IF(P5475=1,"2016/2017-Ganjil",IF(P5475=2,"2016/2017-Genap",IF(P5475=3,"2017/2018-Ganjil",IF(P5475=4,"2017/2018-Genap",IF(P5475=5,"2018/2019-Ganjil",IF(P5475=6,"2018/2019-Genap",IF(P5475=7,"2019/2020-Ganjil",IF(P5475=8,"2019/2020-Genap",IF(P5475=9,"2020/2021-Ganjil",IF(P5475=10,"2020/2021-Genap",IF(P5475=11,"2021/2022-Ganjil",IF(P5475=12,"2021/2022-Genap",IF(P5475=13,"2022/2023-Ganjil","2022/2023-Genap")))))))))))))</f>
        <v>2016/2017-Genap</v>
      </c>
      <c r="R5475" s="8" t="s">
        <v>260</v>
      </c>
      <c r="S5475" t="str">
        <f t="shared" si="749"/>
        <v>PA</v>
      </c>
    </row>
    <row r="5476" spans="1:19" x14ac:dyDescent="0.3">
      <c r="A5476" t="s">
        <v>8</v>
      </c>
      <c r="B5476" t="s">
        <v>299</v>
      </c>
      <c r="C5476" t="s">
        <v>300</v>
      </c>
      <c r="E5476" t="s">
        <v>391</v>
      </c>
      <c r="F5476" t="s">
        <v>392</v>
      </c>
      <c r="G5476">
        <v>2</v>
      </c>
      <c r="H5476" t="s">
        <v>438</v>
      </c>
      <c r="I5476" s="4">
        <f t="shared" si="750"/>
        <v>3</v>
      </c>
      <c r="J5476">
        <f t="shared" si="764"/>
        <v>6</v>
      </c>
      <c r="K5476">
        <v>56</v>
      </c>
      <c r="L5476">
        <v>16</v>
      </c>
      <c r="M5476" s="2">
        <v>3.5</v>
      </c>
      <c r="N5476">
        <v>3.44</v>
      </c>
      <c r="O5476">
        <v>0</v>
      </c>
      <c r="P5476">
        <v>3</v>
      </c>
      <c r="Q5476" s="4" t="str">
        <f>IF(P5476=1,"2016/2017-Ganjil",IF(P5476=2,"2016/2017-Genap",IF(P5476=3,"2017/2018-Ganjil",IF(P5476=4,"2017/2018-Genap",IF(P5476=5,"2018/2019-Ganjil",IF(P5476=6,"2018/2019-Genap",IF(P5476=7,"2019/2020-Ganjil",IF(P5476=8,"2019/2020-Genap",IF(P5476=9,"2020/2021-Ganjil",IF(P5476=10,"2020/2021-Genap",IF(P5476=11,"2021/2022-Ganjil",IF(P5476=12,"2021/2022-Genap",IF(P5476=13,"2022/2023-Ganjil","2022/2023-Genap")))))))))))))</f>
        <v>2017/2018-Ganjil</v>
      </c>
      <c r="R5476" s="8" t="s">
        <v>260</v>
      </c>
      <c r="S5476" t="str">
        <f t="shared" si="749"/>
        <v>PA</v>
      </c>
    </row>
    <row r="5477" spans="1:19" x14ac:dyDescent="0.3">
      <c r="A5477" t="s">
        <v>8</v>
      </c>
      <c r="B5477" t="s">
        <v>299</v>
      </c>
      <c r="C5477" t="s">
        <v>300</v>
      </c>
      <c r="E5477" t="s">
        <v>185</v>
      </c>
      <c r="F5477" t="s">
        <v>186</v>
      </c>
      <c r="G5477">
        <v>4</v>
      </c>
      <c r="H5477" t="s">
        <v>438</v>
      </c>
      <c r="I5477" s="4">
        <f t="shared" si="750"/>
        <v>3</v>
      </c>
      <c r="J5477">
        <f t="shared" si="764"/>
        <v>12</v>
      </c>
      <c r="K5477">
        <v>56</v>
      </c>
      <c r="L5477">
        <v>16</v>
      </c>
      <c r="M5477" s="2">
        <v>3.5</v>
      </c>
      <c r="N5477">
        <v>3.44</v>
      </c>
      <c r="O5477">
        <v>0</v>
      </c>
      <c r="P5477">
        <v>3</v>
      </c>
      <c r="Q5477" s="4" t="str">
        <f>IF(P5477=1,"2016/2017-Ganjil",IF(P5477=2,"2016/2017-Genap",IF(P5477=3,"2017/2018-Ganjil",IF(P5477=4,"2017/2018-Genap",IF(P5477=5,"2018/2019-Ganjil",IF(P5477=6,"2018/2019-Genap",IF(P5477=7,"2019/2020-Ganjil",IF(P5477=8,"2019/2020-Genap",IF(P5477=9,"2020/2021-Ganjil",IF(P5477=10,"2020/2021-Genap",IF(P5477=11,"2021/2022-Ganjil",IF(P5477=12,"2021/2022-Genap",IF(P5477=13,"2022/2023-Ganjil","2022/2023-Genap")))))))))))))</f>
        <v>2017/2018-Ganjil</v>
      </c>
      <c r="R5477" s="8" t="s">
        <v>260</v>
      </c>
      <c r="S5477" t="str">
        <f t="shared" si="749"/>
        <v>PA</v>
      </c>
    </row>
    <row r="5478" spans="1:19" x14ac:dyDescent="0.3">
      <c r="A5478" t="s">
        <v>8</v>
      </c>
      <c r="B5478" t="s">
        <v>299</v>
      </c>
      <c r="C5478" t="s">
        <v>300</v>
      </c>
      <c r="E5478" t="s">
        <v>93</v>
      </c>
      <c r="F5478" s="1" t="s">
        <v>94</v>
      </c>
      <c r="G5478">
        <v>4</v>
      </c>
      <c r="H5478" t="s">
        <v>438</v>
      </c>
      <c r="I5478" s="4">
        <f t="shared" si="750"/>
        <v>3</v>
      </c>
      <c r="J5478">
        <f t="shared" si="764"/>
        <v>12</v>
      </c>
      <c r="K5478">
        <v>208</v>
      </c>
      <c r="L5478">
        <v>58</v>
      </c>
      <c r="M5478" s="2">
        <v>3.36</v>
      </c>
      <c r="N5478">
        <v>3.44</v>
      </c>
      <c r="O5478">
        <v>0</v>
      </c>
      <c r="P5478">
        <v>1</v>
      </c>
      <c r="Q5478" s="4" t="str">
        <f t="shared" ref="Q5478" si="765">IF(P5478=1,"2016/2017-Ganjil",IF(P5478=2,"2016/2017-Genap",IF(P5478=3,"2017/2018-Ganjil",IF(P5478=4,"2017/2018-Genap",IF(P5478=5,"2018/2019-Ganjil",IF(P5478=6,"2018/2019-Genap",IF(P5478=7,"2019/2020-Ganjil",IF(P5478=8,"2019/2020-Genap",IF(P5478=9,"2020/2021-Ganjil",IF(P5478=10,"2020/2021-Genap",IF(P5478=11,"2021/2022-Ganjil",IF(P5478=12,"2021/2022-Genap",IF(P5478=13,"2022/2023-Ganjil","2022/2023-Genap")))))))))))))</f>
        <v>2016/2017-Ganjil</v>
      </c>
      <c r="R5478" s="8" t="s">
        <v>260</v>
      </c>
      <c r="S5478" t="str">
        <f t="shared" si="749"/>
        <v>PA</v>
      </c>
    </row>
    <row r="5479" spans="1:19" x14ac:dyDescent="0.3">
      <c r="A5479" t="s">
        <v>8</v>
      </c>
      <c r="B5479" t="s">
        <v>299</v>
      </c>
      <c r="C5479" t="s">
        <v>300</v>
      </c>
      <c r="E5479" t="s">
        <v>119</v>
      </c>
      <c r="F5479" t="s">
        <v>497</v>
      </c>
      <c r="G5479">
        <v>2</v>
      </c>
      <c r="H5479" t="s">
        <v>438</v>
      </c>
      <c r="I5479" s="4">
        <f t="shared" si="750"/>
        <v>3</v>
      </c>
      <c r="J5479">
        <f t="shared" si="764"/>
        <v>6</v>
      </c>
      <c r="K5479">
        <v>78</v>
      </c>
      <c r="L5479">
        <v>24</v>
      </c>
      <c r="M5479" s="2">
        <v>3.25</v>
      </c>
      <c r="N5479">
        <v>3.44</v>
      </c>
      <c r="O5479">
        <v>0</v>
      </c>
      <c r="P5479">
        <v>2</v>
      </c>
      <c r="Q5479" s="4" t="str">
        <f>IF(P5479=1,"2016/2017-Ganjil",IF(P5479=2,"2016/2017-Genap",IF(P5479=3,"2017/2018-Ganjil",IF(P5479=4,"2017/2018-Genap",IF(P5479=5,"2018/2019-Ganjil",IF(P5479=6,"2018/2019-Genap",IF(P5479=7,"2019/2020-Ganjil",IF(P5479=8,"2019/2020-Genap",IF(P5479=9,"2020/2021-Ganjil",IF(P5479=10,"2020/2021-Genap",IF(P5479=11,"2021/2022-Ganjil",IF(P5479=12,"2021/2022-Genap",IF(P5479=13,"2022/2023-Ganjil","2022/2023-Genap")))))))))))))</f>
        <v>2016/2017-Genap</v>
      </c>
      <c r="R5479" s="8" t="s">
        <v>260</v>
      </c>
      <c r="S5479" t="str">
        <f t="shared" si="749"/>
        <v>PA</v>
      </c>
    </row>
    <row r="5480" spans="1:19" x14ac:dyDescent="0.3">
      <c r="A5480" t="s">
        <v>8</v>
      </c>
      <c r="B5480" t="s">
        <v>299</v>
      </c>
      <c r="C5480" t="s">
        <v>300</v>
      </c>
      <c r="E5480" t="s">
        <v>250</v>
      </c>
      <c r="F5480" t="s">
        <v>429</v>
      </c>
      <c r="G5480">
        <v>2</v>
      </c>
      <c r="H5480" t="s">
        <v>438</v>
      </c>
      <c r="I5480" s="4">
        <f t="shared" si="750"/>
        <v>3</v>
      </c>
      <c r="J5480">
        <f t="shared" si="764"/>
        <v>6</v>
      </c>
      <c r="K5480">
        <v>56</v>
      </c>
      <c r="L5480">
        <v>16</v>
      </c>
      <c r="M5480" s="2">
        <v>3.5</v>
      </c>
      <c r="N5480">
        <v>3.44</v>
      </c>
      <c r="O5480">
        <v>0</v>
      </c>
      <c r="P5480">
        <v>3</v>
      </c>
      <c r="Q5480" s="4" t="str">
        <f>IF(P5480=1,"2016/2017-Ganjil",IF(P5480=2,"2016/2017-Genap",IF(P5480=3,"2017/2018-Ganjil",IF(P5480=4,"2017/2018-Genap",IF(P5480=5,"2018/2019-Ganjil",IF(P5480=6,"2018/2019-Genap",IF(P5480=7,"2019/2020-Ganjil",IF(P5480=8,"2019/2020-Genap",IF(P5480=9,"2020/2021-Ganjil",IF(P5480=10,"2020/2021-Genap",IF(P5480=11,"2021/2022-Ganjil",IF(P5480=12,"2021/2022-Genap",IF(P5480=13,"2022/2023-Ganjil","2022/2023-Genap")))))))))))))</f>
        <v>2017/2018-Ganjil</v>
      </c>
      <c r="R5480" s="8" t="s">
        <v>260</v>
      </c>
      <c r="S5480" t="str">
        <f t="shared" si="749"/>
        <v>PA</v>
      </c>
    </row>
    <row r="5481" spans="1:19" x14ac:dyDescent="0.3">
      <c r="A5481" t="s">
        <v>8</v>
      </c>
      <c r="B5481" t="s">
        <v>299</v>
      </c>
      <c r="C5481" t="s">
        <v>300</v>
      </c>
      <c r="E5481" t="s">
        <v>227</v>
      </c>
      <c r="F5481" t="s">
        <v>228</v>
      </c>
      <c r="G5481">
        <v>2</v>
      </c>
      <c r="H5481" t="s">
        <v>438</v>
      </c>
      <c r="I5481" s="4">
        <f t="shared" si="750"/>
        <v>3</v>
      </c>
      <c r="J5481">
        <f t="shared" si="764"/>
        <v>6</v>
      </c>
      <c r="K5481">
        <v>94</v>
      </c>
      <c r="L5481">
        <v>28</v>
      </c>
      <c r="M5481" s="2">
        <v>3.36</v>
      </c>
      <c r="N5481">
        <v>3.44</v>
      </c>
      <c r="O5481">
        <v>0</v>
      </c>
      <c r="P5481">
        <v>1</v>
      </c>
      <c r="Q5481" s="4" t="str">
        <f>IF(P5481=1,"2016/2017-Ganjil",IF(P5481=2,"2016/2017-Genap",IF(P5481=3,"2017/2018-Ganjil",IF(P5481=4,"2017/2018-Genap",IF(P5481=5,"2018/2019-Ganjil",IF(P5481=6,"2018/2019-Genap",IF(P5481=7,"2019/2020-Ganjil",IF(P5481=8,"2019/2020-Genap",IF(P5481=9,"2020/2021-Ganjil",IF(P5481=10,"2020/2021-Genap",IF(P5481=11,"2021/2022-Ganjil",IF(P5481=12,"2021/2022-Genap",IF(P5481=13,"2022/2023-Ganjil","2022/2023-Genap")))))))))))))</f>
        <v>2016/2017-Ganjil</v>
      </c>
      <c r="R5481" s="8" t="s">
        <v>260</v>
      </c>
      <c r="S5481" t="str">
        <f t="shared" si="749"/>
        <v>PA</v>
      </c>
    </row>
    <row r="5482" spans="1:19" x14ac:dyDescent="0.3">
      <c r="A5482" t="s">
        <v>8</v>
      </c>
      <c r="B5482" t="s">
        <v>299</v>
      </c>
      <c r="C5482" t="s">
        <v>300</v>
      </c>
      <c r="E5482" t="s">
        <v>110</v>
      </c>
      <c r="F5482" s="1" t="s">
        <v>111</v>
      </c>
      <c r="G5482">
        <v>4</v>
      </c>
      <c r="H5482" t="s">
        <v>438</v>
      </c>
      <c r="I5482" s="4">
        <f t="shared" si="750"/>
        <v>3</v>
      </c>
      <c r="J5482">
        <f t="shared" si="764"/>
        <v>12</v>
      </c>
      <c r="K5482">
        <v>208</v>
      </c>
      <c r="L5482">
        <v>58</v>
      </c>
      <c r="M5482" s="2">
        <v>3.36</v>
      </c>
      <c r="N5482">
        <v>3.44</v>
      </c>
      <c r="O5482">
        <v>0</v>
      </c>
      <c r="P5482">
        <v>1</v>
      </c>
      <c r="Q5482" s="4" t="str">
        <f t="shared" ref="Q5482" si="766">IF(P5482=1,"2016/2017-Ganjil",IF(P5482=2,"2016/2017-Genap",IF(P5482=3,"2017/2018-Ganjil",IF(P5482=4,"2017/2018-Genap",IF(P5482=5,"2018/2019-Ganjil",IF(P5482=6,"2018/2019-Genap",IF(P5482=7,"2019/2020-Ganjil",IF(P5482=8,"2019/2020-Genap",IF(P5482=9,"2020/2021-Ganjil",IF(P5482=10,"2020/2021-Genap",IF(P5482=11,"2021/2022-Ganjil",IF(P5482=12,"2021/2022-Genap",IF(P5482=13,"2022/2023-Ganjil","2022/2023-Genap")))))))))))))</f>
        <v>2016/2017-Ganjil</v>
      </c>
      <c r="R5482" s="8" t="s">
        <v>260</v>
      </c>
      <c r="S5482" t="str">
        <f t="shared" si="749"/>
        <v>PA</v>
      </c>
    </row>
    <row r="5483" spans="1:19" x14ac:dyDescent="0.3">
      <c r="A5483" t="s">
        <v>8</v>
      </c>
      <c r="B5483" t="s">
        <v>299</v>
      </c>
      <c r="C5483" t="s">
        <v>300</v>
      </c>
      <c r="E5483" t="s">
        <v>188</v>
      </c>
      <c r="F5483" t="s">
        <v>189</v>
      </c>
      <c r="G5483">
        <v>4</v>
      </c>
      <c r="H5483" t="s">
        <v>438</v>
      </c>
      <c r="I5483" s="4">
        <f t="shared" si="750"/>
        <v>3</v>
      </c>
      <c r="J5483">
        <f t="shared" si="764"/>
        <v>12</v>
      </c>
      <c r="K5483">
        <v>94</v>
      </c>
      <c r="L5483">
        <v>28</v>
      </c>
      <c r="M5483" s="2">
        <v>3.36</v>
      </c>
      <c r="N5483">
        <v>3.44</v>
      </c>
      <c r="O5483">
        <v>0</v>
      </c>
      <c r="P5483">
        <v>1</v>
      </c>
      <c r="Q5483" s="4" t="str">
        <f>IF(P5483=1,"2016/2017-Ganjil",IF(P5483=2,"2016/2017-Genap",IF(P5483=3,"2017/2018-Ganjil",IF(P5483=4,"2017/2018-Genap",IF(P5483=5,"2018/2019-Ganjil",IF(P5483=6,"2018/2019-Genap",IF(P5483=7,"2019/2020-Ganjil",IF(P5483=8,"2019/2020-Genap",IF(P5483=9,"2020/2021-Ganjil",IF(P5483=10,"2020/2021-Genap",IF(P5483=11,"2021/2022-Ganjil",IF(P5483=12,"2021/2022-Genap",IF(P5483=13,"2022/2023-Ganjil","2022/2023-Genap")))))))))))))</f>
        <v>2016/2017-Ganjil</v>
      </c>
      <c r="R5483" s="8" t="s">
        <v>260</v>
      </c>
      <c r="S5483" t="str">
        <f t="shared" si="749"/>
        <v>PA</v>
      </c>
    </row>
    <row r="5484" spans="1:19" x14ac:dyDescent="0.3">
      <c r="A5484" t="s">
        <v>8</v>
      </c>
      <c r="B5484" t="s">
        <v>299</v>
      </c>
      <c r="C5484" t="s">
        <v>300</v>
      </c>
      <c r="E5484" t="s">
        <v>105</v>
      </c>
      <c r="F5484" t="s">
        <v>106</v>
      </c>
      <c r="G5484">
        <v>2</v>
      </c>
      <c r="H5484" t="s">
        <v>438</v>
      </c>
      <c r="I5484" s="4">
        <f t="shared" si="750"/>
        <v>3</v>
      </c>
      <c r="J5484">
        <f t="shared" si="764"/>
        <v>6</v>
      </c>
      <c r="K5484">
        <v>94</v>
      </c>
      <c r="L5484">
        <v>28</v>
      </c>
      <c r="M5484" s="2">
        <v>3.36</v>
      </c>
      <c r="N5484">
        <v>3.44</v>
      </c>
      <c r="O5484">
        <v>0</v>
      </c>
      <c r="P5484">
        <v>1</v>
      </c>
      <c r="Q5484" s="4" t="str">
        <f>IF(P5484=1,"2016/2017-Ganjil",IF(P5484=2,"2016/2017-Genap",IF(P5484=3,"2017/2018-Ganjil",IF(P5484=4,"2017/2018-Genap",IF(P5484=5,"2018/2019-Ganjil",IF(P5484=6,"2018/2019-Genap",IF(P5484=7,"2019/2020-Ganjil",IF(P5484=8,"2019/2020-Genap",IF(P5484=9,"2020/2021-Ganjil",IF(P5484=10,"2020/2021-Genap",IF(P5484=11,"2021/2022-Ganjil",IF(P5484=12,"2021/2022-Genap",IF(P5484=13,"2022/2023-Ganjil","2022/2023-Genap")))))))))))))</f>
        <v>2016/2017-Ganjil</v>
      </c>
      <c r="R5484" s="8" t="s">
        <v>260</v>
      </c>
      <c r="S5484" t="str">
        <f t="shared" si="749"/>
        <v>PA</v>
      </c>
    </row>
    <row r="5485" spans="1:19" x14ac:dyDescent="0.3">
      <c r="A5485" t="s">
        <v>8</v>
      </c>
      <c r="B5485" t="s">
        <v>332</v>
      </c>
      <c r="C5485" t="s">
        <v>333</v>
      </c>
      <c r="E5485" t="s">
        <v>311</v>
      </c>
      <c r="F5485" t="s">
        <v>312</v>
      </c>
      <c r="G5485">
        <v>2</v>
      </c>
      <c r="H5485" t="s">
        <v>260</v>
      </c>
      <c r="I5485" s="4">
        <f t="shared" si="750"/>
        <v>4</v>
      </c>
      <c r="J5485">
        <f t="shared" si="764"/>
        <v>8</v>
      </c>
      <c r="K5485">
        <v>60</v>
      </c>
      <c r="L5485">
        <v>18</v>
      </c>
      <c r="M5485">
        <v>3.33</v>
      </c>
      <c r="N5485">
        <v>3.31</v>
      </c>
      <c r="O5485">
        <v>0</v>
      </c>
      <c r="P5485">
        <v>3</v>
      </c>
      <c r="Q5485" s="4" t="str">
        <f>IF(P5485=1,"2016/2017-Ganjil",IF(P5485=2,"2016/2017-Genap",IF(P5485=3,"2017/2018-Ganjil",IF(P5485=4,"2017/2018-Genap",IF(P5485=5,"2018/2019-Ganjil",IF(P5485=6,"2018/2019-Genap",IF(P5485=7,"2019/2020-Ganjil",IF(P5485=8,"2019/2020-Genap",IF(P5485=9,"2020/2021-Ganjil",IF(P5485=10,"2020/2021-Genap",IF(P5485=11,"2021/2022-Ganjil",IF(P5485=12,"2021/2022-Genap",IF(P5485=13,"2022/2023-Ganjil","2022/2023-Genap")))))))))))))</f>
        <v>2017/2018-Ganjil</v>
      </c>
      <c r="R5485" s="8" t="s">
        <v>260</v>
      </c>
      <c r="S5485" t="str">
        <f t="shared" si="749"/>
        <v>PA</v>
      </c>
    </row>
    <row r="5486" spans="1:19" x14ac:dyDescent="0.3">
      <c r="A5486" t="s">
        <v>8</v>
      </c>
      <c r="B5486" t="s">
        <v>332</v>
      </c>
      <c r="C5486" t="s">
        <v>333</v>
      </c>
      <c r="E5486" t="s">
        <v>295</v>
      </c>
      <c r="F5486" s="1" t="s">
        <v>296</v>
      </c>
      <c r="G5486">
        <v>2</v>
      </c>
      <c r="H5486" t="s">
        <v>260</v>
      </c>
      <c r="I5486" s="4">
        <f t="shared" si="750"/>
        <v>4</v>
      </c>
      <c r="J5486">
        <f t="shared" si="764"/>
        <v>8</v>
      </c>
      <c r="K5486">
        <v>206</v>
      </c>
      <c r="L5486">
        <v>60</v>
      </c>
      <c r="M5486">
        <v>3.31</v>
      </c>
      <c r="N5486">
        <v>3.31</v>
      </c>
      <c r="O5486">
        <v>0</v>
      </c>
      <c r="P5486">
        <v>1</v>
      </c>
      <c r="Q5486" s="4" t="str">
        <f>IF(P5486=1,"2016/2017-Ganjil",IF(P5486=2,"2016/2017-Genap",IF(P5486=3,"2017/2018-Ganjil",IF(P5486=4,"2017/2018-Genap",IF(P5486=5,"2018/2019-Ganjil",IF(P5486=6,"2018/2019-Genap",IF(P5486=7,"2019/2020-Ganjil",IF(P5486=8,"2019/2020-Genap",IF(P5486=9,"2020/2021-Ganjil",IF(P5486=10,"2020/2021-Genap",IF(P5486=11,"2021/2022-Ganjil",IF(P5486=12,"2021/2022-Genap",IF(P5486=13,"2022/2023-Ganjil","2022/2023-Genap")))))))))))))</f>
        <v>2016/2017-Ganjil</v>
      </c>
      <c r="R5486" s="8" t="s">
        <v>260</v>
      </c>
      <c r="S5486" t="str">
        <f t="shared" si="749"/>
        <v>PA</v>
      </c>
    </row>
    <row r="5487" spans="1:19" x14ac:dyDescent="0.3">
      <c r="A5487" t="s">
        <v>8</v>
      </c>
      <c r="B5487" t="s">
        <v>332</v>
      </c>
      <c r="C5487" t="s">
        <v>333</v>
      </c>
      <c r="E5487" t="s">
        <v>125</v>
      </c>
      <c r="F5487" s="1" t="s">
        <v>126</v>
      </c>
      <c r="G5487">
        <v>4</v>
      </c>
      <c r="H5487" t="s">
        <v>260</v>
      </c>
      <c r="I5487" s="4">
        <f t="shared" si="750"/>
        <v>4</v>
      </c>
      <c r="J5487">
        <f t="shared" si="764"/>
        <v>16</v>
      </c>
      <c r="K5487">
        <v>206</v>
      </c>
      <c r="L5487">
        <v>60</v>
      </c>
      <c r="M5487">
        <v>3.31</v>
      </c>
      <c r="N5487">
        <v>3.31</v>
      </c>
      <c r="O5487">
        <v>0</v>
      </c>
      <c r="P5487">
        <v>1</v>
      </c>
      <c r="Q5487" s="4" t="str">
        <f t="shared" ref="Q5487:Q5488" si="767">IF(P5487=1,"2016/2017-Ganjil",IF(P5487=2,"2016/2017-Genap",IF(P5487=3,"2017/2018-Ganjil",IF(P5487=4,"2017/2018-Genap",IF(P5487=5,"2018/2019-Ganjil",IF(P5487=6,"2018/2019-Genap",IF(P5487=7,"2019/2020-Ganjil",IF(P5487=8,"2019/2020-Genap",IF(P5487=9,"2020/2021-Ganjil",IF(P5487=10,"2020/2021-Genap",IF(P5487=11,"2021/2022-Ganjil",IF(P5487=12,"2021/2022-Genap",IF(P5487=13,"2022/2023-Ganjil","2022/2023-Genap")))))))))))))</f>
        <v>2016/2017-Ganjil</v>
      </c>
      <c r="R5487" s="8" t="s">
        <v>260</v>
      </c>
      <c r="S5487" t="str">
        <f t="shared" si="749"/>
        <v>PA</v>
      </c>
    </row>
    <row r="5488" spans="1:19" x14ac:dyDescent="0.3">
      <c r="A5488" t="s">
        <v>8</v>
      </c>
      <c r="B5488" t="s">
        <v>332</v>
      </c>
      <c r="C5488" t="s">
        <v>333</v>
      </c>
      <c r="E5488" t="s">
        <v>246</v>
      </c>
      <c r="F5488" s="1" t="s">
        <v>247</v>
      </c>
      <c r="G5488">
        <v>4</v>
      </c>
      <c r="H5488" t="s">
        <v>260</v>
      </c>
      <c r="I5488" s="4">
        <f t="shared" si="750"/>
        <v>4</v>
      </c>
      <c r="J5488">
        <f t="shared" si="764"/>
        <v>16</v>
      </c>
      <c r="K5488">
        <v>206</v>
      </c>
      <c r="L5488">
        <v>60</v>
      </c>
      <c r="M5488">
        <v>3.31</v>
      </c>
      <c r="N5488">
        <v>3.31</v>
      </c>
      <c r="O5488">
        <v>0</v>
      </c>
      <c r="P5488">
        <v>1</v>
      </c>
      <c r="Q5488" s="4" t="str">
        <f t="shared" si="767"/>
        <v>2016/2017-Ganjil</v>
      </c>
      <c r="R5488" s="8" t="s">
        <v>260</v>
      </c>
      <c r="S5488" t="str">
        <f t="shared" si="749"/>
        <v>PA</v>
      </c>
    </row>
    <row r="5489" spans="1:19" x14ac:dyDescent="0.3">
      <c r="A5489" t="s">
        <v>8</v>
      </c>
      <c r="B5489" t="s">
        <v>332</v>
      </c>
      <c r="C5489" t="s">
        <v>333</v>
      </c>
      <c r="E5489" t="s">
        <v>87</v>
      </c>
      <c r="F5489" t="s">
        <v>88</v>
      </c>
      <c r="G5489">
        <v>2</v>
      </c>
      <c r="H5489" t="s">
        <v>260</v>
      </c>
      <c r="I5489" s="4">
        <f t="shared" si="750"/>
        <v>4</v>
      </c>
      <c r="J5489">
        <f t="shared" si="764"/>
        <v>8</v>
      </c>
      <c r="K5489">
        <v>38</v>
      </c>
      <c r="L5489">
        <v>12</v>
      </c>
      <c r="M5489">
        <v>3.17</v>
      </c>
      <c r="N5489">
        <v>3.31</v>
      </c>
      <c r="O5489">
        <v>0</v>
      </c>
      <c r="P5489">
        <v>4</v>
      </c>
      <c r="Q5489" s="4" t="str">
        <f>IF(P5489=1,"2016/2017-Ganjil",IF(P5489=2,"2016/2017-Genap",IF(P5489=3,"2017/2018-Ganjil",IF(P5489=4,"2017/2018-Genap",IF(P5489=5,"2018/2019-Ganjil",IF(P5489=6,"2018/2019-Genap",IF(P5489=7,"2019/2020-Ganjil",IF(P5489=8,"2019/2020-Genap",IF(P5489=9,"2020/2021-Ganjil",IF(P5489=10,"2020/2021-Genap",IF(P5489=11,"2021/2022-Ganjil",IF(P5489=12,"2021/2022-Genap",IF(P5489=13,"2022/2023-Ganjil","2022/2023-Genap")))))))))))))</f>
        <v>2017/2018-Genap</v>
      </c>
      <c r="R5489" t="s">
        <v>596</v>
      </c>
      <c r="S5489" t="str">
        <f t="shared" si="749"/>
        <v>PA</v>
      </c>
    </row>
    <row r="5490" spans="1:19" x14ac:dyDescent="0.3">
      <c r="A5490" t="s">
        <v>8</v>
      </c>
      <c r="B5490" t="s">
        <v>332</v>
      </c>
      <c r="C5490" t="s">
        <v>333</v>
      </c>
      <c r="E5490" t="s">
        <v>180</v>
      </c>
      <c r="F5490" t="s">
        <v>386</v>
      </c>
      <c r="G5490">
        <v>4</v>
      </c>
      <c r="H5490" t="s">
        <v>260</v>
      </c>
      <c r="I5490" s="4">
        <f t="shared" si="750"/>
        <v>4</v>
      </c>
      <c r="J5490">
        <f t="shared" si="764"/>
        <v>16</v>
      </c>
      <c r="K5490">
        <v>74</v>
      </c>
      <c r="L5490">
        <v>24</v>
      </c>
      <c r="M5490">
        <v>3.08</v>
      </c>
      <c r="N5490">
        <v>3.31</v>
      </c>
      <c r="O5490">
        <v>0</v>
      </c>
      <c r="P5490">
        <v>2</v>
      </c>
      <c r="Q5490" s="4" t="str">
        <f>IF(P5490=1,"2016/2017-Ganjil",IF(P5490=2,"2016/2017-Genap",IF(P5490=3,"2017/2018-Ganjil",IF(P5490=4,"2017/2018-Genap",IF(P5490=5,"2018/2019-Ganjil",IF(P5490=6,"2018/2019-Genap",IF(P5490=7,"2019/2020-Ganjil",IF(P5490=8,"2019/2020-Genap",IF(P5490=9,"2020/2021-Ganjil",IF(P5490=10,"2020/2021-Genap",IF(P5490=11,"2021/2022-Ganjil",IF(P5490=12,"2021/2022-Genap",IF(P5490=13,"2022/2023-Ganjil","2022/2023-Genap")))))))))))))</f>
        <v>2016/2017-Genap</v>
      </c>
      <c r="R5490" s="8" t="s">
        <v>260</v>
      </c>
      <c r="S5490" t="str">
        <f t="shared" ref="S5490:S5534" si="768">IF(OR(H5490="A",H5490="B",H5490="C"),"PA","FA")</f>
        <v>PA</v>
      </c>
    </row>
    <row r="5491" spans="1:19" x14ac:dyDescent="0.3">
      <c r="A5491" t="s">
        <v>8</v>
      </c>
      <c r="B5491" t="s">
        <v>332</v>
      </c>
      <c r="C5491" t="s">
        <v>333</v>
      </c>
      <c r="E5491" t="s">
        <v>110</v>
      </c>
      <c r="F5491" s="1" t="s">
        <v>111</v>
      </c>
      <c r="G5491">
        <v>4</v>
      </c>
      <c r="H5491" t="s">
        <v>260</v>
      </c>
      <c r="I5491" s="4">
        <f t="shared" ref="I5491:I5534" si="769">IF(H5491="A",4,IF(H5491="B",3,IF(H5491="C",2,IF(H5491="D",1,0))))</f>
        <v>4</v>
      </c>
      <c r="J5491">
        <f t="shared" si="764"/>
        <v>16</v>
      </c>
      <c r="K5491">
        <v>206</v>
      </c>
      <c r="L5491">
        <v>60</v>
      </c>
      <c r="M5491">
        <v>3.31</v>
      </c>
      <c r="N5491">
        <v>3.31</v>
      </c>
      <c r="O5491">
        <v>0</v>
      </c>
      <c r="P5491">
        <v>1</v>
      </c>
      <c r="Q5491" s="4" t="str">
        <f t="shared" ref="Q5491:Q5492" si="770">IF(P5491=1,"2016/2017-Ganjil",IF(P5491=2,"2016/2017-Genap",IF(P5491=3,"2017/2018-Ganjil",IF(P5491=4,"2017/2018-Genap",IF(P5491=5,"2018/2019-Ganjil",IF(P5491=6,"2018/2019-Genap",IF(P5491=7,"2019/2020-Ganjil",IF(P5491=8,"2019/2020-Genap",IF(P5491=9,"2020/2021-Ganjil",IF(P5491=10,"2020/2021-Genap",IF(P5491=11,"2021/2022-Ganjil",IF(P5491=12,"2021/2022-Genap",IF(P5491=13,"2022/2023-Ganjil","2022/2023-Genap")))))))))))))</f>
        <v>2016/2017-Ganjil</v>
      </c>
      <c r="R5491" s="8" t="s">
        <v>260</v>
      </c>
      <c r="S5491" t="str">
        <f t="shared" si="768"/>
        <v>PA</v>
      </c>
    </row>
    <row r="5492" spans="1:19" x14ac:dyDescent="0.3">
      <c r="A5492" t="s">
        <v>8</v>
      </c>
      <c r="B5492" t="s">
        <v>332</v>
      </c>
      <c r="C5492" t="s">
        <v>333</v>
      </c>
      <c r="E5492" t="s">
        <v>115</v>
      </c>
      <c r="F5492" s="1" t="s">
        <v>116</v>
      </c>
      <c r="G5492">
        <v>4</v>
      </c>
      <c r="H5492" t="s">
        <v>260</v>
      </c>
      <c r="I5492" s="4">
        <f t="shared" si="769"/>
        <v>4</v>
      </c>
      <c r="J5492">
        <f t="shared" si="764"/>
        <v>16</v>
      </c>
      <c r="K5492">
        <v>206</v>
      </c>
      <c r="L5492">
        <v>60</v>
      </c>
      <c r="M5492">
        <v>3.31</v>
      </c>
      <c r="N5492">
        <v>3.31</v>
      </c>
      <c r="O5492">
        <v>0</v>
      </c>
      <c r="P5492">
        <v>1</v>
      </c>
      <c r="Q5492" s="4" t="str">
        <f t="shared" si="770"/>
        <v>2016/2017-Ganjil</v>
      </c>
      <c r="R5492" s="8" t="s">
        <v>260</v>
      </c>
      <c r="S5492" t="str">
        <f t="shared" si="768"/>
        <v>PA</v>
      </c>
    </row>
    <row r="5493" spans="1:19" x14ac:dyDescent="0.3">
      <c r="A5493" t="s">
        <v>8</v>
      </c>
      <c r="B5493" t="s">
        <v>332</v>
      </c>
      <c r="C5493" t="s">
        <v>333</v>
      </c>
      <c r="E5493" t="s">
        <v>193</v>
      </c>
      <c r="F5493" t="s">
        <v>194</v>
      </c>
      <c r="G5493">
        <v>4</v>
      </c>
      <c r="H5493" t="s">
        <v>260</v>
      </c>
      <c r="I5493" s="4">
        <f t="shared" si="769"/>
        <v>4</v>
      </c>
      <c r="J5493">
        <f t="shared" si="764"/>
        <v>16</v>
      </c>
      <c r="K5493">
        <v>60</v>
      </c>
      <c r="L5493">
        <v>18</v>
      </c>
      <c r="M5493">
        <v>3.33</v>
      </c>
      <c r="N5493">
        <v>3.31</v>
      </c>
      <c r="O5493">
        <v>0</v>
      </c>
      <c r="P5493">
        <v>3</v>
      </c>
      <c r="Q5493" s="4" t="str">
        <f t="shared" ref="Q5493:Q5508" si="771">IF(P5493=1,"2016/2017-Ganjil",IF(P5493=2,"2016/2017-Genap",IF(P5493=3,"2017/2018-Ganjil",IF(P5493=4,"2017/2018-Genap",IF(P5493=5,"2018/2019-Ganjil",IF(P5493=6,"2018/2019-Genap",IF(P5493=7,"2019/2020-Ganjil",IF(P5493=8,"2019/2020-Genap",IF(P5493=9,"2020/2021-Ganjil",IF(P5493=10,"2020/2021-Genap",IF(P5493=11,"2021/2022-Ganjil",IF(P5493=12,"2021/2022-Genap",IF(P5493=13,"2022/2023-Ganjil","2022/2023-Genap")))))))))))))</f>
        <v>2017/2018-Ganjil</v>
      </c>
      <c r="R5493" s="8" t="s">
        <v>260</v>
      </c>
      <c r="S5493" t="str">
        <f t="shared" si="768"/>
        <v>PA</v>
      </c>
    </row>
    <row r="5494" spans="1:19" x14ac:dyDescent="0.3">
      <c r="A5494" t="s">
        <v>8</v>
      </c>
      <c r="B5494" t="s">
        <v>332</v>
      </c>
      <c r="C5494" t="s">
        <v>333</v>
      </c>
      <c r="E5494" t="s">
        <v>266</v>
      </c>
      <c r="F5494" s="1" t="s">
        <v>91</v>
      </c>
      <c r="G5494">
        <v>2</v>
      </c>
      <c r="H5494" t="s">
        <v>260</v>
      </c>
      <c r="I5494" s="4">
        <f t="shared" si="769"/>
        <v>4</v>
      </c>
      <c r="J5494">
        <f t="shared" si="764"/>
        <v>8</v>
      </c>
      <c r="K5494">
        <v>206</v>
      </c>
      <c r="L5494">
        <v>60</v>
      </c>
      <c r="M5494">
        <v>3.31</v>
      </c>
      <c r="N5494">
        <v>3.31</v>
      </c>
      <c r="O5494">
        <v>0</v>
      </c>
      <c r="P5494">
        <v>1</v>
      </c>
      <c r="Q5494" s="4" t="str">
        <f t="shared" si="771"/>
        <v>2016/2017-Ganjil</v>
      </c>
      <c r="R5494" s="8" t="s">
        <v>260</v>
      </c>
      <c r="S5494" t="str">
        <f t="shared" si="768"/>
        <v>PA</v>
      </c>
    </row>
    <row r="5495" spans="1:19" x14ac:dyDescent="0.3">
      <c r="A5495" t="s">
        <v>8</v>
      </c>
      <c r="B5495" t="s">
        <v>332</v>
      </c>
      <c r="C5495" t="s">
        <v>333</v>
      </c>
      <c r="E5495" t="s">
        <v>597</v>
      </c>
      <c r="F5495" t="s">
        <v>275</v>
      </c>
      <c r="G5495">
        <v>2</v>
      </c>
      <c r="H5495" t="s">
        <v>260</v>
      </c>
      <c r="I5495" s="4">
        <f t="shared" si="769"/>
        <v>4</v>
      </c>
      <c r="J5495">
        <f t="shared" si="764"/>
        <v>8</v>
      </c>
      <c r="K5495">
        <v>38</v>
      </c>
      <c r="L5495">
        <v>12</v>
      </c>
      <c r="M5495">
        <v>3.17</v>
      </c>
      <c r="N5495">
        <v>3.31</v>
      </c>
      <c r="O5495">
        <v>0</v>
      </c>
      <c r="P5495">
        <v>4</v>
      </c>
      <c r="Q5495" s="4" t="str">
        <f t="shared" si="771"/>
        <v>2017/2018-Genap</v>
      </c>
      <c r="R5495" t="s">
        <v>596</v>
      </c>
      <c r="S5495" t="str">
        <f t="shared" si="768"/>
        <v>PA</v>
      </c>
    </row>
    <row r="5496" spans="1:19" x14ac:dyDescent="0.3">
      <c r="A5496" t="s">
        <v>8</v>
      </c>
      <c r="B5496" t="s">
        <v>332</v>
      </c>
      <c r="C5496" t="s">
        <v>333</v>
      </c>
      <c r="E5496" t="s">
        <v>395</v>
      </c>
      <c r="F5496" t="s">
        <v>396</v>
      </c>
      <c r="G5496">
        <v>2</v>
      </c>
      <c r="H5496" t="s">
        <v>260</v>
      </c>
      <c r="I5496" s="4">
        <f t="shared" si="769"/>
        <v>4</v>
      </c>
      <c r="J5496">
        <f t="shared" si="764"/>
        <v>8</v>
      </c>
      <c r="K5496">
        <v>86</v>
      </c>
      <c r="L5496">
        <v>26</v>
      </c>
      <c r="M5496">
        <v>3.31</v>
      </c>
      <c r="N5496">
        <v>3.31</v>
      </c>
      <c r="O5496">
        <v>0</v>
      </c>
      <c r="P5496">
        <v>1</v>
      </c>
      <c r="Q5496" s="4" t="str">
        <f t="shared" si="771"/>
        <v>2016/2017-Ganjil</v>
      </c>
      <c r="R5496" s="8" t="s">
        <v>260</v>
      </c>
      <c r="S5496" t="str">
        <f t="shared" si="768"/>
        <v>PA</v>
      </c>
    </row>
    <row r="5497" spans="1:19" x14ac:dyDescent="0.3">
      <c r="A5497" t="s">
        <v>8</v>
      </c>
      <c r="B5497" t="s">
        <v>332</v>
      </c>
      <c r="C5497" t="s">
        <v>333</v>
      </c>
      <c r="E5497" t="s">
        <v>163</v>
      </c>
      <c r="F5497" s="1" t="s">
        <v>164</v>
      </c>
      <c r="G5497">
        <v>2</v>
      </c>
      <c r="H5497" t="s">
        <v>260</v>
      </c>
      <c r="I5497" s="4">
        <f t="shared" si="769"/>
        <v>4</v>
      </c>
      <c r="J5497">
        <f t="shared" si="764"/>
        <v>8</v>
      </c>
      <c r="K5497">
        <v>206</v>
      </c>
      <c r="L5497">
        <v>60</v>
      </c>
      <c r="M5497">
        <v>3.31</v>
      </c>
      <c r="N5497">
        <v>3.31</v>
      </c>
      <c r="O5497">
        <v>0</v>
      </c>
      <c r="P5497">
        <v>1</v>
      </c>
      <c r="Q5497" s="4" t="str">
        <f t="shared" si="771"/>
        <v>2016/2017-Ganjil</v>
      </c>
      <c r="R5497" s="8" t="s">
        <v>260</v>
      </c>
      <c r="S5497" t="str">
        <f t="shared" si="768"/>
        <v>PA</v>
      </c>
    </row>
    <row r="5498" spans="1:19" x14ac:dyDescent="0.3">
      <c r="A5498" t="s">
        <v>8</v>
      </c>
      <c r="B5498" t="s">
        <v>332</v>
      </c>
      <c r="C5498" t="s">
        <v>333</v>
      </c>
      <c r="E5498" t="s">
        <v>176</v>
      </c>
      <c r="F5498" t="s">
        <v>177</v>
      </c>
      <c r="G5498">
        <v>4</v>
      </c>
      <c r="H5498" t="s">
        <v>260</v>
      </c>
      <c r="I5498" s="4">
        <f t="shared" si="769"/>
        <v>4</v>
      </c>
      <c r="J5498">
        <f t="shared" si="764"/>
        <v>16</v>
      </c>
      <c r="K5498">
        <v>86</v>
      </c>
      <c r="L5498">
        <v>26</v>
      </c>
      <c r="M5498">
        <v>3.31</v>
      </c>
      <c r="N5498">
        <v>3.31</v>
      </c>
      <c r="O5498">
        <v>0</v>
      </c>
      <c r="P5498">
        <v>1</v>
      </c>
      <c r="Q5498" s="4" t="str">
        <f t="shared" si="771"/>
        <v>2016/2017-Ganjil</v>
      </c>
      <c r="R5498" s="8" t="s">
        <v>260</v>
      </c>
      <c r="S5498" t="str">
        <f t="shared" si="768"/>
        <v>PA</v>
      </c>
    </row>
    <row r="5499" spans="1:19" x14ac:dyDescent="0.3">
      <c r="A5499" t="s">
        <v>8</v>
      </c>
      <c r="B5499" t="s">
        <v>332</v>
      </c>
      <c r="C5499" t="s">
        <v>333</v>
      </c>
      <c r="E5499" t="s">
        <v>147</v>
      </c>
      <c r="F5499" s="1" t="s">
        <v>148</v>
      </c>
      <c r="G5499">
        <v>4</v>
      </c>
      <c r="H5499" t="s">
        <v>260</v>
      </c>
      <c r="I5499" s="4">
        <f t="shared" si="769"/>
        <v>4</v>
      </c>
      <c r="J5499">
        <f t="shared" si="764"/>
        <v>16</v>
      </c>
      <c r="K5499">
        <v>206</v>
      </c>
      <c r="L5499">
        <v>60</v>
      </c>
      <c r="M5499">
        <v>3.31</v>
      </c>
      <c r="N5499">
        <v>3.31</v>
      </c>
      <c r="O5499">
        <v>0</v>
      </c>
      <c r="P5499">
        <v>1</v>
      </c>
      <c r="Q5499" s="4" t="str">
        <f t="shared" si="771"/>
        <v>2016/2017-Ganjil</v>
      </c>
      <c r="R5499" s="8" t="s">
        <v>260</v>
      </c>
      <c r="S5499" t="str">
        <f t="shared" si="768"/>
        <v>PA</v>
      </c>
    </row>
    <row r="5500" spans="1:19" x14ac:dyDescent="0.3">
      <c r="A5500" t="s">
        <v>8</v>
      </c>
      <c r="B5500" t="s">
        <v>332</v>
      </c>
      <c r="C5500" t="s">
        <v>333</v>
      </c>
      <c r="E5500" t="s">
        <v>352</v>
      </c>
      <c r="F5500" t="s">
        <v>353</v>
      </c>
      <c r="G5500">
        <v>2</v>
      </c>
      <c r="H5500" t="s">
        <v>260</v>
      </c>
      <c r="I5500" s="4">
        <f t="shared" si="769"/>
        <v>4</v>
      </c>
      <c r="J5500">
        <f t="shared" si="764"/>
        <v>8</v>
      </c>
      <c r="K5500">
        <v>86</v>
      </c>
      <c r="L5500">
        <v>26</v>
      </c>
      <c r="M5500">
        <v>3.31</v>
      </c>
      <c r="N5500">
        <v>3.31</v>
      </c>
      <c r="O5500">
        <v>0</v>
      </c>
      <c r="P5500">
        <v>1</v>
      </c>
      <c r="Q5500" s="4" t="str">
        <f t="shared" si="771"/>
        <v>2016/2017-Ganjil</v>
      </c>
      <c r="R5500" s="8" t="s">
        <v>260</v>
      </c>
      <c r="S5500" t="str">
        <f t="shared" si="768"/>
        <v>PA</v>
      </c>
    </row>
    <row r="5501" spans="1:19" x14ac:dyDescent="0.3">
      <c r="A5501" t="s">
        <v>8</v>
      </c>
      <c r="B5501" t="s">
        <v>332</v>
      </c>
      <c r="C5501" t="s">
        <v>333</v>
      </c>
      <c r="E5501" t="s">
        <v>117</v>
      </c>
      <c r="F5501" s="1" t="s">
        <v>118</v>
      </c>
      <c r="G5501">
        <v>2</v>
      </c>
      <c r="H5501" t="s">
        <v>438</v>
      </c>
      <c r="I5501" s="4">
        <f t="shared" si="769"/>
        <v>3</v>
      </c>
      <c r="J5501">
        <f t="shared" si="764"/>
        <v>6</v>
      </c>
      <c r="K5501">
        <v>206</v>
      </c>
      <c r="L5501">
        <v>60</v>
      </c>
      <c r="M5501">
        <v>3.31</v>
      </c>
      <c r="N5501">
        <v>3.31</v>
      </c>
      <c r="O5501">
        <v>0</v>
      </c>
      <c r="P5501">
        <v>1</v>
      </c>
      <c r="Q5501" s="4" t="str">
        <f t="shared" si="771"/>
        <v>2016/2017-Ganjil</v>
      </c>
      <c r="R5501" s="8" t="s">
        <v>260</v>
      </c>
      <c r="S5501" t="str">
        <f t="shared" si="768"/>
        <v>PA</v>
      </c>
    </row>
    <row r="5502" spans="1:19" x14ac:dyDescent="0.3">
      <c r="A5502" t="s">
        <v>8</v>
      </c>
      <c r="B5502" t="s">
        <v>332</v>
      </c>
      <c r="C5502" t="s">
        <v>333</v>
      </c>
      <c r="E5502" t="s">
        <v>10</v>
      </c>
      <c r="F5502" t="s">
        <v>11</v>
      </c>
      <c r="G5502">
        <v>2</v>
      </c>
      <c r="H5502" t="s">
        <v>438</v>
      </c>
      <c r="I5502" s="4">
        <f t="shared" si="769"/>
        <v>3</v>
      </c>
      <c r="J5502">
        <f t="shared" si="764"/>
        <v>6</v>
      </c>
      <c r="K5502">
        <v>60</v>
      </c>
      <c r="L5502">
        <v>18</v>
      </c>
      <c r="M5502">
        <v>3.33</v>
      </c>
      <c r="N5502">
        <v>3.31</v>
      </c>
      <c r="O5502">
        <v>0</v>
      </c>
      <c r="P5502">
        <v>3</v>
      </c>
      <c r="Q5502" s="4" t="str">
        <f t="shared" si="771"/>
        <v>2017/2018-Ganjil</v>
      </c>
      <c r="R5502" s="8" t="s">
        <v>260</v>
      </c>
      <c r="S5502" t="str">
        <f t="shared" si="768"/>
        <v>PA</v>
      </c>
    </row>
    <row r="5503" spans="1:19" x14ac:dyDescent="0.3">
      <c r="A5503" t="s">
        <v>8</v>
      </c>
      <c r="B5503" t="s">
        <v>332</v>
      </c>
      <c r="C5503" t="s">
        <v>333</v>
      </c>
      <c r="E5503" t="s">
        <v>157</v>
      </c>
      <c r="F5503" t="s">
        <v>158</v>
      </c>
      <c r="G5503">
        <v>2</v>
      </c>
      <c r="H5503" t="s">
        <v>438</v>
      </c>
      <c r="I5503" s="4">
        <f t="shared" si="769"/>
        <v>3</v>
      </c>
      <c r="J5503">
        <f t="shared" si="764"/>
        <v>6</v>
      </c>
      <c r="K5503">
        <v>86</v>
      </c>
      <c r="L5503">
        <v>26</v>
      </c>
      <c r="M5503">
        <v>3.31</v>
      </c>
      <c r="N5503">
        <v>3.31</v>
      </c>
      <c r="O5503">
        <v>0</v>
      </c>
      <c r="P5503">
        <v>1</v>
      </c>
      <c r="Q5503" s="4" t="str">
        <f t="shared" si="771"/>
        <v>2016/2017-Ganjil</v>
      </c>
      <c r="R5503" s="8" t="s">
        <v>260</v>
      </c>
      <c r="S5503" t="str">
        <f t="shared" si="768"/>
        <v>PA</v>
      </c>
    </row>
    <row r="5504" spans="1:19" x14ac:dyDescent="0.3">
      <c r="A5504" t="s">
        <v>8</v>
      </c>
      <c r="B5504" t="s">
        <v>332</v>
      </c>
      <c r="C5504" t="s">
        <v>333</v>
      </c>
      <c r="E5504" t="s">
        <v>22</v>
      </c>
      <c r="F5504" s="1" t="s">
        <v>23</v>
      </c>
      <c r="G5504">
        <v>2</v>
      </c>
      <c r="H5504" t="s">
        <v>438</v>
      </c>
      <c r="I5504" s="4">
        <f t="shared" si="769"/>
        <v>3</v>
      </c>
      <c r="J5504">
        <f t="shared" si="764"/>
        <v>6</v>
      </c>
      <c r="K5504">
        <v>206</v>
      </c>
      <c r="L5504">
        <v>60</v>
      </c>
      <c r="M5504">
        <v>3.31</v>
      </c>
      <c r="N5504">
        <v>3.31</v>
      </c>
      <c r="O5504">
        <v>0</v>
      </c>
      <c r="P5504">
        <v>1</v>
      </c>
      <c r="Q5504" s="4" t="str">
        <f t="shared" si="771"/>
        <v>2016/2017-Ganjil</v>
      </c>
      <c r="R5504" s="8" t="s">
        <v>260</v>
      </c>
      <c r="S5504" t="str">
        <f t="shared" si="768"/>
        <v>PA</v>
      </c>
    </row>
    <row r="5505" spans="1:19" x14ac:dyDescent="0.3">
      <c r="A5505" t="s">
        <v>8</v>
      </c>
      <c r="B5505" t="s">
        <v>332</v>
      </c>
      <c r="C5505" t="s">
        <v>333</v>
      </c>
      <c r="E5505" t="s">
        <v>449</v>
      </c>
      <c r="F5505" t="s">
        <v>460</v>
      </c>
      <c r="G5505">
        <v>4</v>
      </c>
      <c r="H5505" t="s">
        <v>438</v>
      </c>
      <c r="I5505" s="4">
        <f t="shared" si="769"/>
        <v>3</v>
      </c>
      <c r="J5505">
        <f t="shared" si="764"/>
        <v>12</v>
      </c>
      <c r="K5505">
        <v>74</v>
      </c>
      <c r="L5505">
        <v>24</v>
      </c>
      <c r="M5505">
        <v>3.08</v>
      </c>
      <c r="N5505">
        <v>3.31</v>
      </c>
      <c r="O5505">
        <v>0</v>
      </c>
      <c r="P5505">
        <v>2</v>
      </c>
      <c r="Q5505" s="4" t="str">
        <f t="shared" si="771"/>
        <v>2016/2017-Genap</v>
      </c>
      <c r="R5505" s="8" t="s">
        <v>260</v>
      </c>
      <c r="S5505" t="str">
        <f t="shared" si="768"/>
        <v>PA</v>
      </c>
    </row>
    <row r="5506" spans="1:19" x14ac:dyDescent="0.3">
      <c r="A5506" t="s">
        <v>8</v>
      </c>
      <c r="B5506" t="s">
        <v>332</v>
      </c>
      <c r="C5506" t="s">
        <v>333</v>
      </c>
      <c r="E5506" t="s">
        <v>391</v>
      </c>
      <c r="F5506" t="s">
        <v>392</v>
      </c>
      <c r="G5506">
        <v>2</v>
      </c>
      <c r="H5506" t="s">
        <v>438</v>
      </c>
      <c r="I5506" s="4">
        <f t="shared" si="769"/>
        <v>3</v>
      </c>
      <c r="J5506">
        <f t="shared" si="764"/>
        <v>6</v>
      </c>
      <c r="K5506">
        <v>60</v>
      </c>
      <c r="L5506">
        <v>18</v>
      </c>
      <c r="M5506">
        <v>3.33</v>
      </c>
      <c r="N5506">
        <v>3.31</v>
      </c>
      <c r="O5506">
        <v>0</v>
      </c>
      <c r="P5506">
        <v>3</v>
      </c>
      <c r="Q5506" s="4" t="str">
        <f t="shared" si="771"/>
        <v>2017/2018-Ganjil</v>
      </c>
      <c r="R5506" s="8" t="s">
        <v>260</v>
      </c>
      <c r="S5506" t="str">
        <f t="shared" si="768"/>
        <v>PA</v>
      </c>
    </row>
    <row r="5507" spans="1:19" x14ac:dyDescent="0.3">
      <c r="A5507" t="s">
        <v>8</v>
      </c>
      <c r="B5507" t="s">
        <v>332</v>
      </c>
      <c r="C5507" t="s">
        <v>333</v>
      </c>
      <c r="E5507" t="s">
        <v>403</v>
      </c>
      <c r="F5507" t="s">
        <v>404</v>
      </c>
      <c r="G5507">
        <v>2</v>
      </c>
      <c r="H5507" t="s">
        <v>438</v>
      </c>
      <c r="I5507" s="4">
        <f t="shared" si="769"/>
        <v>3</v>
      </c>
      <c r="J5507">
        <f t="shared" si="764"/>
        <v>6</v>
      </c>
      <c r="K5507">
        <v>74</v>
      </c>
      <c r="L5507">
        <v>24</v>
      </c>
      <c r="M5507">
        <v>3.08</v>
      </c>
      <c r="N5507">
        <v>3.31</v>
      </c>
      <c r="O5507">
        <v>0</v>
      </c>
      <c r="P5507">
        <v>2</v>
      </c>
      <c r="Q5507" s="4" t="str">
        <f t="shared" si="771"/>
        <v>2016/2017-Genap</v>
      </c>
      <c r="R5507" s="8" t="s">
        <v>260</v>
      </c>
      <c r="S5507" t="str">
        <f t="shared" si="768"/>
        <v>PA</v>
      </c>
    </row>
    <row r="5508" spans="1:19" x14ac:dyDescent="0.3">
      <c r="A5508" t="s">
        <v>8</v>
      </c>
      <c r="B5508" t="s">
        <v>332</v>
      </c>
      <c r="C5508" t="s">
        <v>333</v>
      </c>
      <c r="E5508" t="s">
        <v>250</v>
      </c>
      <c r="F5508" t="s">
        <v>429</v>
      </c>
      <c r="G5508">
        <v>2</v>
      </c>
      <c r="H5508" t="s">
        <v>438</v>
      </c>
      <c r="I5508" s="4">
        <f t="shared" si="769"/>
        <v>3</v>
      </c>
      <c r="J5508">
        <f t="shared" si="764"/>
        <v>6</v>
      </c>
      <c r="K5508">
        <v>60</v>
      </c>
      <c r="L5508">
        <v>18</v>
      </c>
      <c r="M5508">
        <v>3.33</v>
      </c>
      <c r="N5508">
        <v>3.31</v>
      </c>
      <c r="O5508">
        <v>0</v>
      </c>
      <c r="P5508">
        <v>3</v>
      </c>
      <c r="Q5508" s="4" t="str">
        <f t="shared" si="771"/>
        <v>2017/2018-Ganjil</v>
      </c>
      <c r="R5508" s="8" t="s">
        <v>260</v>
      </c>
      <c r="S5508" t="str">
        <f t="shared" si="768"/>
        <v>PA</v>
      </c>
    </row>
    <row r="5509" spans="1:19" x14ac:dyDescent="0.3">
      <c r="A5509" t="s">
        <v>8</v>
      </c>
      <c r="B5509" t="s">
        <v>332</v>
      </c>
      <c r="C5509" t="s">
        <v>333</v>
      </c>
      <c r="E5509" t="s">
        <v>253</v>
      </c>
      <c r="F5509" s="1" t="s">
        <v>418</v>
      </c>
      <c r="G5509">
        <v>2</v>
      </c>
      <c r="H5509" t="s">
        <v>438</v>
      </c>
      <c r="I5509" s="4">
        <f t="shared" si="769"/>
        <v>3</v>
      </c>
      <c r="J5509">
        <f t="shared" si="764"/>
        <v>6</v>
      </c>
      <c r="K5509">
        <v>206</v>
      </c>
      <c r="L5509">
        <v>60</v>
      </c>
      <c r="M5509">
        <v>3.31</v>
      </c>
      <c r="N5509">
        <v>3.31</v>
      </c>
      <c r="O5509">
        <v>0</v>
      </c>
      <c r="P5509">
        <v>1</v>
      </c>
      <c r="Q5509" s="4" t="str">
        <f t="shared" ref="Q5509:Q5510" si="772">IF(P5509=1,"2016/2017-Ganjil",IF(P5509=2,"2016/2017-Genap",IF(P5509=3,"2017/2018-Ganjil",IF(P5509=4,"2017/2018-Genap",IF(P5509=5,"2018/2019-Ganjil",IF(P5509=6,"2018/2019-Genap",IF(P5509=7,"2019/2020-Ganjil",IF(P5509=8,"2019/2020-Genap",IF(P5509=9,"2020/2021-Ganjil",IF(P5509=10,"2020/2021-Genap",IF(P5509=11,"2021/2022-Ganjil",IF(P5509=12,"2021/2022-Genap",IF(P5509=13,"2022/2023-Ganjil","2022/2023-Genap")))))))))))))</f>
        <v>2016/2017-Ganjil</v>
      </c>
      <c r="R5509" s="8" t="s">
        <v>260</v>
      </c>
      <c r="S5509" t="str">
        <f t="shared" si="768"/>
        <v>PA</v>
      </c>
    </row>
    <row r="5510" spans="1:19" x14ac:dyDescent="0.3">
      <c r="A5510" t="s">
        <v>8</v>
      </c>
      <c r="B5510" t="s">
        <v>332</v>
      </c>
      <c r="C5510" t="s">
        <v>333</v>
      </c>
      <c r="E5510" t="s">
        <v>77</v>
      </c>
      <c r="F5510" s="1" t="s">
        <v>78</v>
      </c>
      <c r="G5510">
        <v>2</v>
      </c>
      <c r="H5510" t="s">
        <v>438</v>
      </c>
      <c r="I5510" s="4">
        <f t="shared" si="769"/>
        <v>3</v>
      </c>
      <c r="J5510">
        <f t="shared" si="764"/>
        <v>6</v>
      </c>
      <c r="K5510">
        <v>206</v>
      </c>
      <c r="L5510">
        <v>60</v>
      </c>
      <c r="M5510">
        <v>3.31</v>
      </c>
      <c r="N5510">
        <v>3.31</v>
      </c>
      <c r="O5510">
        <v>0</v>
      </c>
      <c r="P5510">
        <v>1</v>
      </c>
      <c r="Q5510" s="4" t="str">
        <f t="shared" si="772"/>
        <v>2016/2017-Ganjil</v>
      </c>
      <c r="R5510" s="8" t="s">
        <v>260</v>
      </c>
      <c r="S5510" t="str">
        <f t="shared" si="768"/>
        <v>PA</v>
      </c>
    </row>
    <row r="5511" spans="1:19" x14ac:dyDescent="0.3">
      <c r="A5511" t="s">
        <v>8</v>
      </c>
      <c r="B5511" t="s">
        <v>332</v>
      </c>
      <c r="C5511" t="s">
        <v>333</v>
      </c>
      <c r="E5511" t="s">
        <v>227</v>
      </c>
      <c r="F5511" t="s">
        <v>228</v>
      </c>
      <c r="G5511">
        <v>2</v>
      </c>
      <c r="H5511" t="s">
        <v>438</v>
      </c>
      <c r="I5511" s="4">
        <f t="shared" si="769"/>
        <v>3</v>
      </c>
      <c r="J5511">
        <f t="shared" si="764"/>
        <v>6</v>
      </c>
      <c r="K5511">
        <v>86</v>
      </c>
      <c r="L5511">
        <v>26</v>
      </c>
      <c r="M5511">
        <v>3.31</v>
      </c>
      <c r="N5511">
        <v>3.31</v>
      </c>
      <c r="O5511">
        <v>0</v>
      </c>
      <c r="P5511">
        <v>1</v>
      </c>
      <c r="Q5511" s="4" t="str">
        <f>IF(P5511=1,"2016/2017-Ganjil",IF(P5511=2,"2016/2017-Genap",IF(P5511=3,"2017/2018-Ganjil",IF(P5511=4,"2017/2018-Genap",IF(P5511=5,"2018/2019-Ganjil",IF(P5511=6,"2018/2019-Genap",IF(P5511=7,"2019/2020-Ganjil",IF(P5511=8,"2019/2020-Genap",IF(P5511=9,"2020/2021-Ganjil",IF(P5511=10,"2020/2021-Genap",IF(P5511=11,"2021/2022-Ganjil",IF(P5511=12,"2021/2022-Genap",IF(P5511=13,"2022/2023-Ganjil","2022/2023-Genap")))))))))))))</f>
        <v>2016/2017-Ganjil</v>
      </c>
      <c r="R5511" s="8" t="s">
        <v>260</v>
      </c>
      <c r="S5511" t="str">
        <f t="shared" si="768"/>
        <v>PA</v>
      </c>
    </row>
    <row r="5512" spans="1:19" x14ac:dyDescent="0.3">
      <c r="A5512" t="s">
        <v>8</v>
      </c>
      <c r="B5512" t="s">
        <v>332</v>
      </c>
      <c r="C5512" t="s">
        <v>333</v>
      </c>
      <c r="E5512" t="s">
        <v>136</v>
      </c>
      <c r="F5512" s="1" t="s">
        <v>137</v>
      </c>
      <c r="G5512">
        <v>4</v>
      </c>
      <c r="H5512" t="s">
        <v>438</v>
      </c>
      <c r="I5512" s="4">
        <f t="shared" si="769"/>
        <v>3</v>
      </c>
      <c r="J5512">
        <f t="shared" si="764"/>
        <v>12</v>
      </c>
      <c r="K5512">
        <v>206</v>
      </c>
      <c r="L5512">
        <v>60</v>
      </c>
      <c r="M5512">
        <v>3.31</v>
      </c>
      <c r="N5512">
        <v>3.31</v>
      </c>
      <c r="O5512">
        <v>0</v>
      </c>
      <c r="P5512">
        <v>1</v>
      </c>
      <c r="Q5512" s="4" t="str">
        <f>IF(P5512=1,"2016/2017-Ganjil",IF(P5512=2,"2016/2017-Genap",IF(P5512=3,"2017/2018-Ganjil",IF(P5512=4,"2017/2018-Genap",IF(P5512=5,"2018/2019-Ganjil",IF(P5512=6,"2018/2019-Genap",IF(P5512=7,"2019/2020-Ganjil",IF(P5512=8,"2019/2020-Genap",IF(P5512=9,"2020/2021-Ganjil",IF(P5512=10,"2020/2021-Genap",IF(P5512=11,"2021/2022-Ganjil",IF(P5512=12,"2021/2022-Genap",IF(P5512=13,"2022/2023-Ganjil","2022/2023-Genap")))))))))))))</f>
        <v>2016/2017-Ganjil</v>
      </c>
      <c r="R5512" s="8" t="s">
        <v>260</v>
      </c>
      <c r="S5512" t="str">
        <f t="shared" si="768"/>
        <v>PA</v>
      </c>
    </row>
    <row r="5513" spans="1:19" x14ac:dyDescent="0.3">
      <c r="A5513" t="s">
        <v>8</v>
      </c>
      <c r="B5513" t="s">
        <v>332</v>
      </c>
      <c r="C5513" t="s">
        <v>333</v>
      </c>
      <c r="E5513" t="s">
        <v>401</v>
      </c>
      <c r="F5513" t="s">
        <v>258</v>
      </c>
      <c r="G5513">
        <v>4</v>
      </c>
      <c r="H5513" t="s">
        <v>438</v>
      </c>
      <c r="I5513" s="4">
        <f t="shared" si="769"/>
        <v>3</v>
      </c>
      <c r="J5513">
        <f t="shared" si="764"/>
        <v>12</v>
      </c>
      <c r="K5513">
        <v>86</v>
      </c>
      <c r="L5513">
        <v>26</v>
      </c>
      <c r="M5513">
        <v>3.31</v>
      </c>
      <c r="N5513">
        <v>3.31</v>
      </c>
      <c r="O5513">
        <v>0</v>
      </c>
      <c r="P5513">
        <v>1</v>
      </c>
      <c r="Q5513" s="4" t="str">
        <f>IF(P5513=1,"2016/2017-Ganjil",IF(P5513=2,"2016/2017-Genap",IF(P5513=3,"2017/2018-Ganjil",IF(P5513=4,"2017/2018-Genap",IF(P5513=5,"2018/2019-Ganjil",IF(P5513=6,"2018/2019-Genap",IF(P5513=7,"2019/2020-Ganjil",IF(P5513=8,"2019/2020-Genap",IF(P5513=9,"2020/2021-Ganjil",IF(P5513=10,"2020/2021-Genap",IF(P5513=11,"2021/2022-Ganjil",IF(P5513=12,"2021/2022-Genap",IF(P5513=13,"2022/2023-Ganjil","2022/2023-Genap")))))))))))))</f>
        <v>2016/2017-Ganjil</v>
      </c>
      <c r="R5513" s="8" t="s">
        <v>260</v>
      </c>
      <c r="S5513" t="str">
        <f t="shared" si="768"/>
        <v>PA</v>
      </c>
    </row>
    <row r="5514" spans="1:19" x14ac:dyDescent="0.3">
      <c r="A5514" t="s">
        <v>8</v>
      </c>
      <c r="B5514" t="s">
        <v>332</v>
      </c>
      <c r="C5514" t="s">
        <v>333</v>
      </c>
      <c r="E5514" t="s">
        <v>188</v>
      </c>
      <c r="F5514" t="s">
        <v>189</v>
      </c>
      <c r="G5514">
        <v>4</v>
      </c>
      <c r="H5514" t="s">
        <v>438</v>
      </c>
      <c r="I5514" s="4">
        <f t="shared" si="769"/>
        <v>3</v>
      </c>
      <c r="J5514">
        <f t="shared" si="764"/>
        <v>12</v>
      </c>
      <c r="K5514">
        <v>86</v>
      </c>
      <c r="L5514">
        <v>26</v>
      </c>
      <c r="M5514">
        <v>3.31</v>
      </c>
      <c r="N5514">
        <v>3.31</v>
      </c>
      <c r="O5514">
        <v>0</v>
      </c>
      <c r="P5514">
        <v>1</v>
      </c>
      <c r="Q5514" s="4" t="str">
        <f>IF(P5514=1,"2016/2017-Ganjil",IF(P5514=2,"2016/2017-Genap",IF(P5514=3,"2017/2018-Ganjil",IF(P5514=4,"2017/2018-Genap",IF(P5514=5,"2018/2019-Ganjil",IF(P5514=6,"2018/2019-Genap",IF(P5514=7,"2019/2020-Ganjil",IF(P5514=8,"2019/2020-Genap",IF(P5514=9,"2020/2021-Ganjil",IF(P5514=10,"2020/2021-Genap",IF(P5514=11,"2021/2022-Ganjil",IF(P5514=12,"2021/2022-Genap",IF(P5514=13,"2022/2023-Ganjil","2022/2023-Genap")))))))))))))</f>
        <v>2016/2017-Ganjil</v>
      </c>
      <c r="R5514" s="8" t="s">
        <v>260</v>
      </c>
      <c r="S5514" t="str">
        <f t="shared" si="768"/>
        <v>PA</v>
      </c>
    </row>
    <row r="5515" spans="1:19" x14ac:dyDescent="0.3">
      <c r="A5515" t="s">
        <v>8</v>
      </c>
      <c r="B5515" t="s">
        <v>332</v>
      </c>
      <c r="C5515" t="s">
        <v>333</v>
      </c>
      <c r="E5515" t="s">
        <v>279</v>
      </c>
      <c r="F5515" s="1" t="s">
        <v>280</v>
      </c>
      <c r="G5515">
        <v>2</v>
      </c>
      <c r="H5515" t="s">
        <v>438</v>
      </c>
      <c r="I5515" s="4">
        <f t="shared" si="769"/>
        <v>3</v>
      </c>
      <c r="J5515">
        <f t="shared" si="764"/>
        <v>6</v>
      </c>
      <c r="K5515">
        <v>206</v>
      </c>
      <c r="L5515">
        <v>60</v>
      </c>
      <c r="M5515">
        <v>3.31</v>
      </c>
      <c r="N5515">
        <v>3.31</v>
      </c>
      <c r="O5515">
        <v>0</v>
      </c>
      <c r="P5515">
        <v>1</v>
      </c>
      <c r="Q5515" s="4" t="str">
        <f t="shared" ref="Q5515:Q5516" si="773">IF(P5515=1,"2016/2017-Ganjil",IF(P5515=2,"2016/2017-Genap",IF(P5515=3,"2017/2018-Ganjil",IF(P5515=4,"2017/2018-Genap",IF(P5515=5,"2018/2019-Ganjil",IF(P5515=6,"2018/2019-Genap",IF(P5515=7,"2019/2020-Ganjil",IF(P5515=8,"2019/2020-Genap",IF(P5515=9,"2020/2021-Ganjil",IF(P5515=10,"2020/2021-Genap",IF(P5515=11,"2021/2022-Ganjil",IF(P5515=12,"2021/2022-Genap",IF(P5515=13,"2022/2023-Ganjil","2022/2023-Genap")))))))))))))</f>
        <v>2016/2017-Ganjil</v>
      </c>
      <c r="R5515" s="8" t="s">
        <v>260</v>
      </c>
      <c r="S5515" t="str">
        <f t="shared" si="768"/>
        <v>PA</v>
      </c>
    </row>
    <row r="5516" spans="1:19" x14ac:dyDescent="0.3">
      <c r="A5516" t="s">
        <v>8</v>
      </c>
      <c r="B5516" t="s">
        <v>332</v>
      </c>
      <c r="C5516" t="s">
        <v>333</v>
      </c>
      <c r="E5516" t="s">
        <v>105</v>
      </c>
      <c r="F5516" s="1" t="s">
        <v>106</v>
      </c>
      <c r="G5516">
        <v>2</v>
      </c>
      <c r="H5516" t="s">
        <v>438</v>
      </c>
      <c r="I5516" s="4">
        <f t="shared" si="769"/>
        <v>3</v>
      </c>
      <c r="J5516">
        <f t="shared" si="764"/>
        <v>6</v>
      </c>
      <c r="K5516">
        <v>206</v>
      </c>
      <c r="L5516">
        <v>60</v>
      </c>
      <c r="M5516">
        <v>3.31</v>
      </c>
      <c r="N5516">
        <v>3.31</v>
      </c>
      <c r="O5516">
        <v>0</v>
      </c>
      <c r="P5516">
        <v>1</v>
      </c>
      <c r="Q5516" s="4" t="str">
        <f t="shared" si="773"/>
        <v>2016/2017-Ganjil</v>
      </c>
      <c r="R5516" s="8" t="s">
        <v>260</v>
      </c>
      <c r="S5516" t="str">
        <f t="shared" si="768"/>
        <v>PA</v>
      </c>
    </row>
    <row r="5517" spans="1:19" x14ac:dyDescent="0.3">
      <c r="A5517" t="s">
        <v>8</v>
      </c>
      <c r="B5517" t="s">
        <v>332</v>
      </c>
      <c r="C5517" t="s">
        <v>333</v>
      </c>
      <c r="E5517" t="s">
        <v>318</v>
      </c>
      <c r="F5517" t="s">
        <v>394</v>
      </c>
      <c r="G5517">
        <v>2</v>
      </c>
      <c r="H5517" t="s">
        <v>438</v>
      </c>
      <c r="I5517" s="4">
        <f t="shared" si="769"/>
        <v>3</v>
      </c>
      <c r="J5517">
        <f t="shared" si="764"/>
        <v>6</v>
      </c>
      <c r="K5517">
        <v>86</v>
      </c>
      <c r="L5517">
        <v>26</v>
      </c>
      <c r="M5517">
        <v>3.31</v>
      </c>
      <c r="N5517">
        <v>3.31</v>
      </c>
      <c r="O5517">
        <v>0</v>
      </c>
      <c r="P5517">
        <v>1</v>
      </c>
      <c r="Q5517" s="4" t="str">
        <f t="shared" ref="Q5517:Q5526" si="774">IF(P5517=1,"2016/2017-Ganjil",IF(P5517=2,"2016/2017-Genap",IF(P5517=3,"2017/2018-Ganjil",IF(P5517=4,"2017/2018-Genap",IF(P5517=5,"2018/2019-Ganjil",IF(P5517=6,"2018/2019-Genap",IF(P5517=7,"2019/2020-Ganjil",IF(P5517=8,"2019/2020-Genap",IF(P5517=9,"2020/2021-Ganjil",IF(P5517=10,"2020/2021-Genap",IF(P5517=11,"2021/2022-Ganjil",IF(P5517=12,"2021/2022-Genap",IF(P5517=13,"2022/2023-Ganjil","2022/2023-Genap")))))))))))))</f>
        <v>2016/2017-Ganjil</v>
      </c>
      <c r="R5517" s="8" t="s">
        <v>260</v>
      </c>
      <c r="S5517" t="str">
        <f t="shared" si="768"/>
        <v>PA</v>
      </c>
    </row>
    <row r="5518" spans="1:19" x14ac:dyDescent="0.3">
      <c r="A5518" t="s">
        <v>8</v>
      </c>
      <c r="B5518" t="s">
        <v>332</v>
      </c>
      <c r="C5518" t="s">
        <v>333</v>
      </c>
      <c r="E5518" t="s">
        <v>238</v>
      </c>
      <c r="F5518" t="s">
        <v>239</v>
      </c>
      <c r="G5518">
        <v>4</v>
      </c>
      <c r="H5518" t="s">
        <v>438</v>
      </c>
      <c r="I5518" s="4">
        <f t="shared" si="769"/>
        <v>3</v>
      </c>
      <c r="J5518">
        <f t="shared" si="764"/>
        <v>12</v>
      </c>
      <c r="K5518">
        <v>74</v>
      </c>
      <c r="L5518">
        <v>24</v>
      </c>
      <c r="M5518">
        <v>3.08</v>
      </c>
      <c r="N5518">
        <v>3.31</v>
      </c>
      <c r="O5518">
        <v>0</v>
      </c>
      <c r="P5518">
        <v>2</v>
      </c>
      <c r="Q5518" s="4" t="str">
        <f t="shared" si="774"/>
        <v>2016/2017-Genap</v>
      </c>
      <c r="R5518" s="8" t="s">
        <v>260</v>
      </c>
      <c r="S5518" t="str">
        <f t="shared" si="768"/>
        <v>PA</v>
      </c>
    </row>
    <row r="5519" spans="1:19" x14ac:dyDescent="0.3">
      <c r="A5519" t="s">
        <v>8</v>
      </c>
      <c r="B5519" t="s">
        <v>332</v>
      </c>
      <c r="C5519" t="s">
        <v>333</v>
      </c>
      <c r="E5519" t="s">
        <v>185</v>
      </c>
      <c r="F5519" t="s">
        <v>186</v>
      </c>
      <c r="G5519">
        <v>4</v>
      </c>
      <c r="H5519" t="s">
        <v>438</v>
      </c>
      <c r="I5519" s="4">
        <f t="shared" si="769"/>
        <v>3</v>
      </c>
      <c r="J5519">
        <f t="shared" si="764"/>
        <v>12</v>
      </c>
      <c r="K5519">
        <v>60</v>
      </c>
      <c r="L5519">
        <v>18</v>
      </c>
      <c r="M5519">
        <v>3.33</v>
      </c>
      <c r="N5519">
        <v>3.31</v>
      </c>
      <c r="O5519">
        <v>0</v>
      </c>
      <c r="P5519">
        <v>3</v>
      </c>
      <c r="Q5519" s="4" t="str">
        <f t="shared" si="774"/>
        <v>2017/2018-Ganjil</v>
      </c>
      <c r="R5519" s="8" t="s">
        <v>260</v>
      </c>
      <c r="S5519" t="str">
        <f t="shared" si="768"/>
        <v>PA</v>
      </c>
    </row>
    <row r="5520" spans="1:19" x14ac:dyDescent="0.3">
      <c r="A5520" t="s">
        <v>8</v>
      </c>
      <c r="B5520" t="s">
        <v>332</v>
      </c>
      <c r="C5520" t="s">
        <v>333</v>
      </c>
      <c r="E5520" t="s">
        <v>80</v>
      </c>
      <c r="F5520" t="s">
        <v>81</v>
      </c>
      <c r="G5520">
        <v>4</v>
      </c>
      <c r="H5520" t="s">
        <v>438</v>
      </c>
      <c r="I5520" s="4">
        <f t="shared" si="769"/>
        <v>3</v>
      </c>
      <c r="J5520">
        <f t="shared" si="764"/>
        <v>12</v>
      </c>
      <c r="K5520">
        <v>74</v>
      </c>
      <c r="L5520">
        <v>24</v>
      </c>
      <c r="M5520">
        <v>3.08</v>
      </c>
      <c r="N5520">
        <v>3.31</v>
      </c>
      <c r="O5520">
        <v>0</v>
      </c>
      <c r="P5520">
        <v>2</v>
      </c>
      <c r="Q5520" s="4" t="str">
        <f t="shared" si="774"/>
        <v>2016/2017-Genap</v>
      </c>
      <c r="R5520" s="8" t="s">
        <v>260</v>
      </c>
      <c r="S5520" t="str">
        <f t="shared" si="768"/>
        <v>PA</v>
      </c>
    </row>
    <row r="5521" spans="1:19" x14ac:dyDescent="0.3">
      <c r="A5521" t="s">
        <v>8</v>
      </c>
      <c r="B5521" t="s">
        <v>332</v>
      </c>
      <c r="C5521" t="s">
        <v>333</v>
      </c>
      <c r="E5521" t="s">
        <v>93</v>
      </c>
      <c r="F5521" s="1" t="s">
        <v>94</v>
      </c>
      <c r="G5521">
        <v>4</v>
      </c>
      <c r="H5521" t="s">
        <v>438</v>
      </c>
      <c r="I5521" s="4">
        <f t="shared" si="769"/>
        <v>3</v>
      </c>
      <c r="J5521">
        <f t="shared" si="764"/>
        <v>12</v>
      </c>
      <c r="K5521">
        <v>206</v>
      </c>
      <c r="L5521">
        <v>60</v>
      </c>
      <c r="M5521">
        <v>3.31</v>
      </c>
      <c r="N5521">
        <v>3.31</v>
      </c>
      <c r="O5521">
        <v>0</v>
      </c>
      <c r="P5521">
        <v>1</v>
      </c>
      <c r="Q5521" s="4" t="str">
        <f t="shared" si="774"/>
        <v>2016/2017-Ganjil</v>
      </c>
      <c r="R5521" s="8" t="s">
        <v>260</v>
      </c>
      <c r="S5521" t="str">
        <f t="shared" si="768"/>
        <v>PA</v>
      </c>
    </row>
    <row r="5522" spans="1:19" x14ac:dyDescent="0.3">
      <c r="A5522" t="s">
        <v>8</v>
      </c>
      <c r="B5522" t="s">
        <v>332</v>
      </c>
      <c r="C5522" t="s">
        <v>333</v>
      </c>
      <c r="E5522" t="s">
        <v>182</v>
      </c>
      <c r="F5522" t="s">
        <v>171</v>
      </c>
      <c r="G5522">
        <v>2</v>
      </c>
      <c r="H5522" t="s">
        <v>438</v>
      </c>
      <c r="I5522" s="4">
        <f t="shared" si="769"/>
        <v>3</v>
      </c>
      <c r="J5522">
        <f t="shared" si="764"/>
        <v>6</v>
      </c>
      <c r="K5522">
        <v>60</v>
      </c>
      <c r="L5522">
        <v>18</v>
      </c>
      <c r="M5522">
        <v>3.33</v>
      </c>
      <c r="N5522">
        <v>3.31</v>
      </c>
      <c r="O5522">
        <v>0</v>
      </c>
      <c r="P5522">
        <v>3</v>
      </c>
      <c r="Q5522" s="4" t="str">
        <f t="shared" si="774"/>
        <v>2017/2018-Ganjil</v>
      </c>
      <c r="R5522" s="8" t="s">
        <v>260</v>
      </c>
      <c r="S5522" t="str">
        <f t="shared" si="768"/>
        <v>PA</v>
      </c>
    </row>
    <row r="5523" spans="1:19" x14ac:dyDescent="0.3">
      <c r="A5523" t="s">
        <v>8</v>
      </c>
      <c r="B5523" t="s">
        <v>332</v>
      </c>
      <c r="C5523" t="s">
        <v>333</v>
      </c>
      <c r="E5523" t="s">
        <v>107</v>
      </c>
      <c r="F5523" t="s">
        <v>108</v>
      </c>
      <c r="G5523">
        <v>2</v>
      </c>
      <c r="H5523" t="s">
        <v>438</v>
      </c>
      <c r="I5523" s="4">
        <f t="shared" si="769"/>
        <v>3</v>
      </c>
      <c r="J5523">
        <f t="shared" si="764"/>
        <v>6</v>
      </c>
      <c r="K5523">
        <v>74</v>
      </c>
      <c r="L5523">
        <v>24</v>
      </c>
      <c r="M5523">
        <v>3.08</v>
      </c>
      <c r="N5523">
        <v>3.31</v>
      </c>
      <c r="O5523">
        <v>0</v>
      </c>
      <c r="P5523">
        <v>2</v>
      </c>
      <c r="Q5523" s="4" t="str">
        <f t="shared" si="774"/>
        <v>2016/2017-Genap</v>
      </c>
      <c r="R5523" s="8" t="s">
        <v>260</v>
      </c>
      <c r="S5523" t="str">
        <f t="shared" si="768"/>
        <v>PA</v>
      </c>
    </row>
    <row r="5524" spans="1:19" x14ac:dyDescent="0.3">
      <c r="A5524" t="s">
        <v>8</v>
      </c>
      <c r="B5524" t="s">
        <v>332</v>
      </c>
      <c r="C5524" t="s">
        <v>333</v>
      </c>
      <c r="E5524" t="s">
        <v>424</v>
      </c>
      <c r="F5524" s="1" t="s">
        <v>166</v>
      </c>
      <c r="G5524">
        <v>2</v>
      </c>
      <c r="H5524" t="s">
        <v>438</v>
      </c>
      <c r="I5524" s="4">
        <f t="shared" si="769"/>
        <v>3</v>
      </c>
      <c r="J5524">
        <f t="shared" si="764"/>
        <v>6</v>
      </c>
      <c r="K5524">
        <v>206</v>
      </c>
      <c r="L5524">
        <v>60</v>
      </c>
      <c r="M5524">
        <v>3.31</v>
      </c>
      <c r="N5524">
        <v>3.31</v>
      </c>
      <c r="O5524">
        <v>0</v>
      </c>
      <c r="P5524">
        <v>1</v>
      </c>
      <c r="Q5524" s="4" t="str">
        <f t="shared" si="774"/>
        <v>2016/2017-Ganjil</v>
      </c>
      <c r="R5524" s="8" t="s">
        <v>260</v>
      </c>
      <c r="S5524" t="str">
        <f t="shared" si="768"/>
        <v>PA</v>
      </c>
    </row>
    <row r="5525" spans="1:19" x14ac:dyDescent="0.3">
      <c r="A5525" t="s">
        <v>8</v>
      </c>
      <c r="B5525" t="s">
        <v>332</v>
      </c>
      <c r="C5525" t="s">
        <v>333</v>
      </c>
      <c r="E5525" t="s">
        <v>19</v>
      </c>
      <c r="F5525" t="s">
        <v>20</v>
      </c>
      <c r="G5525">
        <v>6</v>
      </c>
      <c r="H5525" t="s">
        <v>438</v>
      </c>
      <c r="I5525" s="4">
        <f t="shared" si="769"/>
        <v>3</v>
      </c>
      <c r="J5525">
        <f t="shared" si="764"/>
        <v>18</v>
      </c>
      <c r="K5525">
        <v>38</v>
      </c>
      <c r="L5525">
        <v>12</v>
      </c>
      <c r="M5525">
        <v>3.17</v>
      </c>
      <c r="N5525">
        <v>3.31</v>
      </c>
      <c r="O5525">
        <v>0</v>
      </c>
      <c r="P5525">
        <v>4</v>
      </c>
      <c r="Q5525" s="4" t="str">
        <f t="shared" si="774"/>
        <v>2017/2018-Genap</v>
      </c>
      <c r="R5525" t="s">
        <v>596</v>
      </c>
      <c r="S5525" t="str">
        <f t="shared" si="768"/>
        <v>PA</v>
      </c>
    </row>
    <row r="5526" spans="1:19" x14ac:dyDescent="0.3">
      <c r="A5526" t="s">
        <v>8</v>
      </c>
      <c r="B5526" t="s">
        <v>332</v>
      </c>
      <c r="C5526" t="s">
        <v>333</v>
      </c>
      <c r="E5526" t="s">
        <v>355</v>
      </c>
      <c r="F5526" t="s">
        <v>274</v>
      </c>
      <c r="G5526">
        <v>2</v>
      </c>
      <c r="H5526" t="s">
        <v>438</v>
      </c>
      <c r="I5526" s="4">
        <f t="shared" si="769"/>
        <v>3</v>
      </c>
      <c r="J5526">
        <f t="shared" si="764"/>
        <v>6</v>
      </c>
      <c r="K5526">
        <v>74</v>
      </c>
      <c r="L5526">
        <v>24</v>
      </c>
      <c r="M5526">
        <v>3.08</v>
      </c>
      <c r="N5526">
        <v>3.31</v>
      </c>
      <c r="O5526">
        <v>0</v>
      </c>
      <c r="P5526">
        <v>2</v>
      </c>
      <c r="Q5526" s="4" t="str">
        <f t="shared" si="774"/>
        <v>2016/2017-Genap</v>
      </c>
      <c r="R5526" s="8" t="s">
        <v>260</v>
      </c>
      <c r="S5526" t="str">
        <f t="shared" si="768"/>
        <v>PA</v>
      </c>
    </row>
    <row r="5527" spans="1:19" x14ac:dyDescent="0.3">
      <c r="A5527" t="s">
        <v>8</v>
      </c>
      <c r="B5527" t="s">
        <v>332</v>
      </c>
      <c r="C5527" t="s">
        <v>333</v>
      </c>
      <c r="E5527" t="s">
        <v>112</v>
      </c>
      <c r="F5527" s="1" t="s">
        <v>487</v>
      </c>
      <c r="G5527">
        <v>4</v>
      </c>
      <c r="H5527" t="s">
        <v>438</v>
      </c>
      <c r="I5527" s="4">
        <f t="shared" si="769"/>
        <v>3</v>
      </c>
      <c r="J5527">
        <f t="shared" si="764"/>
        <v>12</v>
      </c>
      <c r="K5527">
        <v>206</v>
      </c>
      <c r="L5527">
        <v>60</v>
      </c>
      <c r="M5527">
        <v>3.31</v>
      </c>
      <c r="N5527">
        <v>3.31</v>
      </c>
      <c r="O5527">
        <v>0</v>
      </c>
      <c r="P5527">
        <v>1</v>
      </c>
      <c r="Q5527" s="4" t="str">
        <f t="shared" ref="Q5527:Q5530" si="775">IF(P5527=1,"2016/2017-Ganjil",IF(P5527=2,"2016/2017-Genap",IF(P5527=3,"2017/2018-Ganjil",IF(P5527=4,"2017/2018-Genap",IF(P5527=5,"2018/2019-Ganjil",IF(P5527=6,"2018/2019-Genap",IF(P5527=7,"2019/2020-Ganjil",IF(P5527=8,"2019/2020-Genap",IF(P5527=9,"2020/2021-Ganjil",IF(P5527=10,"2020/2021-Genap",IF(P5527=11,"2021/2022-Ganjil",IF(P5527=12,"2021/2022-Genap",IF(P5527=13,"2022/2023-Ganjil","2022/2023-Genap")))))))))))))</f>
        <v>2016/2017-Ganjil</v>
      </c>
      <c r="R5527" s="8" t="s">
        <v>260</v>
      </c>
      <c r="S5527" t="str">
        <f t="shared" si="768"/>
        <v>PA</v>
      </c>
    </row>
    <row r="5528" spans="1:19" x14ac:dyDescent="0.3">
      <c r="A5528" t="s">
        <v>8</v>
      </c>
      <c r="B5528" t="s">
        <v>332</v>
      </c>
      <c r="C5528" t="s">
        <v>333</v>
      </c>
      <c r="E5528" t="s">
        <v>131</v>
      </c>
      <c r="F5528" s="1" t="s">
        <v>132</v>
      </c>
      <c r="G5528">
        <v>2</v>
      </c>
      <c r="H5528" t="s">
        <v>438</v>
      </c>
      <c r="I5528" s="4">
        <f t="shared" si="769"/>
        <v>3</v>
      </c>
      <c r="J5528">
        <f t="shared" si="764"/>
        <v>6</v>
      </c>
      <c r="K5528">
        <v>206</v>
      </c>
      <c r="L5528">
        <v>60</v>
      </c>
      <c r="M5528">
        <v>3.31</v>
      </c>
      <c r="N5528">
        <v>3.31</v>
      </c>
      <c r="O5528">
        <v>0</v>
      </c>
      <c r="P5528">
        <v>1</v>
      </c>
      <c r="Q5528" s="4" t="str">
        <f t="shared" si="775"/>
        <v>2016/2017-Ganjil</v>
      </c>
      <c r="R5528" s="8" t="s">
        <v>260</v>
      </c>
      <c r="S5528" t="str">
        <f t="shared" si="768"/>
        <v>PA</v>
      </c>
    </row>
    <row r="5529" spans="1:19" x14ac:dyDescent="0.3">
      <c r="A5529" t="s">
        <v>8</v>
      </c>
      <c r="B5529" t="s">
        <v>332</v>
      </c>
      <c r="C5529" t="s">
        <v>333</v>
      </c>
      <c r="E5529" t="s">
        <v>44</v>
      </c>
      <c r="F5529" s="1" t="s">
        <v>45</v>
      </c>
      <c r="G5529">
        <v>2</v>
      </c>
      <c r="H5529" t="s">
        <v>438</v>
      </c>
      <c r="I5529" s="4">
        <f t="shared" si="769"/>
        <v>3</v>
      </c>
      <c r="J5529">
        <f t="shared" si="764"/>
        <v>6</v>
      </c>
      <c r="K5529">
        <v>206</v>
      </c>
      <c r="L5529">
        <v>60</v>
      </c>
      <c r="M5529">
        <v>3.31</v>
      </c>
      <c r="N5529">
        <v>3.31</v>
      </c>
      <c r="O5529">
        <v>0</v>
      </c>
      <c r="P5529">
        <v>1</v>
      </c>
      <c r="Q5529" s="4" t="str">
        <f t="shared" si="775"/>
        <v>2016/2017-Ganjil</v>
      </c>
      <c r="R5529" s="8" t="s">
        <v>260</v>
      </c>
      <c r="S5529" t="str">
        <f t="shared" si="768"/>
        <v>PA</v>
      </c>
    </row>
    <row r="5530" spans="1:19" x14ac:dyDescent="0.3">
      <c r="A5530" t="s">
        <v>8</v>
      </c>
      <c r="B5530" t="s">
        <v>332</v>
      </c>
      <c r="C5530" t="s">
        <v>333</v>
      </c>
      <c r="E5530" t="s">
        <v>202</v>
      </c>
      <c r="F5530" s="1" t="s">
        <v>203</v>
      </c>
      <c r="G5530">
        <v>4</v>
      </c>
      <c r="H5530" t="s">
        <v>438</v>
      </c>
      <c r="I5530" s="4">
        <f t="shared" si="769"/>
        <v>3</v>
      </c>
      <c r="J5530">
        <f t="shared" si="764"/>
        <v>12</v>
      </c>
      <c r="K5530">
        <v>206</v>
      </c>
      <c r="L5530">
        <v>60</v>
      </c>
      <c r="M5530">
        <v>3.31</v>
      </c>
      <c r="N5530">
        <v>3.31</v>
      </c>
      <c r="O5530">
        <v>0</v>
      </c>
      <c r="P5530">
        <v>1</v>
      </c>
      <c r="Q5530" s="4" t="str">
        <f t="shared" si="775"/>
        <v>2016/2017-Ganjil</v>
      </c>
      <c r="R5530" s="8" t="s">
        <v>260</v>
      </c>
      <c r="S5530" t="str">
        <f t="shared" si="768"/>
        <v>PA</v>
      </c>
    </row>
    <row r="5531" spans="1:19" x14ac:dyDescent="0.3">
      <c r="A5531" t="s">
        <v>8</v>
      </c>
      <c r="B5531" t="s">
        <v>332</v>
      </c>
      <c r="C5531" t="s">
        <v>333</v>
      </c>
      <c r="E5531" t="s">
        <v>216</v>
      </c>
      <c r="F5531" t="s">
        <v>217</v>
      </c>
      <c r="G5531">
        <v>2</v>
      </c>
      <c r="H5531" t="s">
        <v>438</v>
      </c>
      <c r="I5531" s="4">
        <f t="shared" si="769"/>
        <v>3</v>
      </c>
      <c r="J5531">
        <f t="shared" si="764"/>
        <v>6</v>
      </c>
      <c r="K5531">
        <v>86</v>
      </c>
      <c r="L5531">
        <v>26</v>
      </c>
      <c r="M5531">
        <v>3.31</v>
      </c>
      <c r="N5531">
        <v>3.31</v>
      </c>
      <c r="O5531">
        <v>0</v>
      </c>
      <c r="P5531">
        <v>1</v>
      </c>
      <c r="Q5531" s="4" t="str">
        <f t="shared" ref="Q5531:Q5563" si="776">IF(P5531=1,"2016/2017-Ganjil",IF(P5531=2,"2016/2017-Genap",IF(P5531=3,"2017/2018-Ganjil",IF(P5531=4,"2017/2018-Genap",IF(P5531=5,"2018/2019-Ganjil",IF(P5531=6,"2018/2019-Genap",IF(P5531=7,"2019/2020-Ganjil",IF(P5531=8,"2019/2020-Genap",IF(P5531=9,"2020/2021-Ganjil",IF(P5531=10,"2020/2021-Genap",IF(P5531=11,"2021/2022-Ganjil",IF(P5531=12,"2021/2022-Genap",IF(P5531=13,"2022/2023-Ganjil","2022/2023-Genap")))))))))))))</f>
        <v>2016/2017-Ganjil</v>
      </c>
      <c r="R5531" s="8" t="s">
        <v>260</v>
      </c>
      <c r="S5531" t="str">
        <f t="shared" si="768"/>
        <v>PA</v>
      </c>
    </row>
    <row r="5532" spans="1:19" x14ac:dyDescent="0.3">
      <c r="A5532" t="s">
        <v>8</v>
      </c>
      <c r="B5532" t="s">
        <v>332</v>
      </c>
      <c r="C5532" t="s">
        <v>333</v>
      </c>
      <c r="E5532" t="s">
        <v>232</v>
      </c>
      <c r="F5532" t="s">
        <v>233</v>
      </c>
      <c r="G5532">
        <v>2</v>
      </c>
      <c r="H5532" t="s">
        <v>438</v>
      </c>
      <c r="I5532" s="4">
        <f t="shared" si="769"/>
        <v>3</v>
      </c>
      <c r="J5532">
        <f t="shared" si="764"/>
        <v>6</v>
      </c>
      <c r="K5532">
        <v>86</v>
      </c>
      <c r="L5532">
        <v>26</v>
      </c>
      <c r="M5532">
        <v>3.31</v>
      </c>
      <c r="N5532">
        <v>3.31</v>
      </c>
      <c r="O5532">
        <v>0</v>
      </c>
      <c r="P5532">
        <v>1</v>
      </c>
      <c r="Q5532" s="4" t="str">
        <f t="shared" si="776"/>
        <v>2016/2017-Ganjil</v>
      </c>
      <c r="R5532" s="8" t="s">
        <v>260</v>
      </c>
      <c r="S5532" t="str">
        <f t="shared" si="768"/>
        <v>PA</v>
      </c>
    </row>
    <row r="5533" spans="1:19" x14ac:dyDescent="0.3">
      <c r="A5533" t="s">
        <v>8</v>
      </c>
      <c r="B5533" t="s">
        <v>332</v>
      </c>
      <c r="C5533" t="s">
        <v>333</v>
      </c>
      <c r="E5533" t="s">
        <v>119</v>
      </c>
      <c r="F5533" t="s">
        <v>497</v>
      </c>
      <c r="G5533">
        <v>2</v>
      </c>
      <c r="H5533" t="s">
        <v>524</v>
      </c>
      <c r="I5533" s="4">
        <f t="shared" si="769"/>
        <v>2</v>
      </c>
      <c r="J5533">
        <f t="shared" si="764"/>
        <v>4</v>
      </c>
      <c r="K5533">
        <v>74</v>
      </c>
      <c r="L5533">
        <v>24</v>
      </c>
      <c r="M5533">
        <v>3.08</v>
      </c>
      <c r="N5533">
        <v>3.31</v>
      </c>
      <c r="O5533">
        <v>0</v>
      </c>
      <c r="P5533">
        <v>2</v>
      </c>
      <c r="Q5533" s="4" t="str">
        <f t="shared" si="776"/>
        <v>2016/2017-Genap</v>
      </c>
      <c r="R5533" s="8" t="s">
        <v>260</v>
      </c>
      <c r="S5533" t="str">
        <f t="shared" si="768"/>
        <v>PA</v>
      </c>
    </row>
    <row r="5534" spans="1:19" x14ac:dyDescent="0.3">
      <c r="A5534" t="s">
        <v>8</v>
      </c>
      <c r="B5534" t="s">
        <v>332</v>
      </c>
      <c r="C5534" t="s">
        <v>333</v>
      </c>
      <c r="E5534" t="s">
        <v>369</v>
      </c>
      <c r="F5534" t="s">
        <v>307</v>
      </c>
      <c r="G5534">
        <v>2</v>
      </c>
      <c r="H5534" t="s">
        <v>524</v>
      </c>
      <c r="I5534" s="4">
        <f t="shared" si="769"/>
        <v>2</v>
      </c>
      <c r="J5534">
        <f t="shared" si="764"/>
        <v>4</v>
      </c>
      <c r="K5534">
        <v>38</v>
      </c>
      <c r="L5534">
        <v>12</v>
      </c>
      <c r="M5534">
        <v>3.17</v>
      </c>
      <c r="N5534">
        <v>3.31</v>
      </c>
      <c r="O5534">
        <v>0</v>
      </c>
      <c r="P5534">
        <v>4</v>
      </c>
      <c r="Q5534" s="4" t="str">
        <f t="shared" si="776"/>
        <v>2017/2018-Genap</v>
      </c>
      <c r="R5534" t="s">
        <v>596</v>
      </c>
      <c r="S5534" t="str">
        <f t="shared" si="768"/>
        <v>PA</v>
      </c>
    </row>
    <row r="5535" spans="1:19" x14ac:dyDescent="0.3">
      <c r="A5535" t="s">
        <v>24</v>
      </c>
      <c r="B5535">
        <v>2016310001</v>
      </c>
      <c r="C5535" t="s">
        <v>46</v>
      </c>
      <c r="E5535" t="s">
        <v>26</v>
      </c>
      <c r="F5535" t="s">
        <v>11</v>
      </c>
      <c r="G5535">
        <v>2</v>
      </c>
      <c r="I5535" s="4"/>
      <c r="J5535">
        <f t="shared" ref="J5535:J5554" si="777">G5535*I5535</f>
        <v>0</v>
      </c>
      <c r="K5535">
        <v>48</v>
      </c>
      <c r="L5535">
        <v>14</v>
      </c>
      <c r="M5535" s="2">
        <v>3.43</v>
      </c>
      <c r="N5535" s="2">
        <v>2.96</v>
      </c>
      <c r="O5535">
        <v>0</v>
      </c>
      <c r="P5535">
        <v>11</v>
      </c>
      <c r="Q5535" s="4" t="str">
        <f t="shared" si="776"/>
        <v>2021/2022-Ganjil</v>
      </c>
      <c r="R5535" s="8" t="s">
        <v>260</v>
      </c>
      <c r="S5535" t="s">
        <v>595</v>
      </c>
    </row>
    <row r="5536" spans="1:19" x14ac:dyDescent="0.3">
      <c r="A5536" t="s">
        <v>24</v>
      </c>
      <c r="B5536">
        <v>2016310001</v>
      </c>
      <c r="C5536" t="s">
        <v>46</v>
      </c>
      <c r="E5536" t="s">
        <v>376</v>
      </c>
      <c r="F5536" t="s">
        <v>11</v>
      </c>
      <c r="G5536">
        <v>2</v>
      </c>
      <c r="H5536" t="s">
        <v>438</v>
      </c>
      <c r="I5536" s="4">
        <f t="shared" ref="I5536:I5554" si="778">IF(H5536="A",4,IF(H5536="B",3,IF(H5536="C",2,IF(H5536="D",1,0))))</f>
        <v>3</v>
      </c>
      <c r="J5536">
        <f t="shared" si="777"/>
        <v>6</v>
      </c>
      <c r="K5536">
        <v>6</v>
      </c>
      <c r="L5536">
        <v>2</v>
      </c>
      <c r="M5536" s="2">
        <v>3</v>
      </c>
      <c r="N5536" s="2">
        <v>2.96</v>
      </c>
      <c r="O5536">
        <v>2</v>
      </c>
      <c r="P5536">
        <v>13</v>
      </c>
      <c r="Q5536" s="4" t="str">
        <f t="shared" si="776"/>
        <v>2022/2023-Ganjil</v>
      </c>
      <c r="R5536" s="8" t="s">
        <v>260</v>
      </c>
      <c r="S5536" t="str">
        <f>IF(OR(H5536="A",H5536="B",H5536="C"),"PA","FA")</f>
        <v>PA</v>
      </c>
    </row>
    <row r="5537" spans="1:19" x14ac:dyDescent="0.3">
      <c r="A5537" t="s">
        <v>24</v>
      </c>
      <c r="B5537">
        <v>2016310001</v>
      </c>
      <c r="C5537" t="s">
        <v>46</v>
      </c>
      <c r="E5537" t="s">
        <v>149</v>
      </c>
      <c r="F5537" t="s">
        <v>150</v>
      </c>
      <c r="G5537">
        <v>2</v>
      </c>
      <c r="I5537" s="4"/>
      <c r="J5537">
        <f t="shared" si="777"/>
        <v>0</v>
      </c>
      <c r="K5537">
        <v>20</v>
      </c>
      <c r="L5537">
        <v>12</v>
      </c>
      <c r="M5537" s="2">
        <v>1.67</v>
      </c>
      <c r="N5537" s="2">
        <v>2.96</v>
      </c>
      <c r="O5537">
        <v>0</v>
      </c>
      <c r="P5537">
        <v>5</v>
      </c>
      <c r="Q5537" s="4" t="str">
        <f t="shared" si="776"/>
        <v>2018/2019-Ganjil</v>
      </c>
      <c r="R5537" s="8" t="s">
        <v>260</v>
      </c>
      <c r="S5537" t="s">
        <v>595</v>
      </c>
    </row>
    <row r="5538" spans="1:19" x14ac:dyDescent="0.3">
      <c r="A5538" t="s">
        <v>24</v>
      </c>
      <c r="B5538">
        <v>2016310001</v>
      </c>
      <c r="C5538" t="s">
        <v>46</v>
      </c>
      <c r="E5538" t="s">
        <v>149</v>
      </c>
      <c r="F5538" t="s">
        <v>150</v>
      </c>
      <c r="G5538">
        <v>2</v>
      </c>
      <c r="H5538" t="s">
        <v>438</v>
      </c>
      <c r="I5538" s="4">
        <f t="shared" si="778"/>
        <v>3</v>
      </c>
      <c r="J5538">
        <f t="shared" si="777"/>
        <v>6</v>
      </c>
      <c r="K5538">
        <v>34</v>
      </c>
      <c r="L5538">
        <v>12</v>
      </c>
      <c r="M5538" s="2">
        <v>2.83</v>
      </c>
      <c r="N5538" s="2">
        <v>2.96</v>
      </c>
      <c r="O5538">
        <v>1</v>
      </c>
      <c r="P5538">
        <v>9</v>
      </c>
      <c r="Q5538" s="4" t="str">
        <f t="shared" si="776"/>
        <v>2020/2021-Ganjil</v>
      </c>
      <c r="R5538" s="8" t="s">
        <v>260</v>
      </c>
      <c r="S5538" t="str">
        <f>IF(OR(H5538="A",H5538="B",H5538="C"),"PA","FA")</f>
        <v>PA</v>
      </c>
    </row>
    <row r="5539" spans="1:19" x14ac:dyDescent="0.3">
      <c r="A5539" t="s">
        <v>24</v>
      </c>
      <c r="B5539">
        <v>2016310001</v>
      </c>
      <c r="C5539" t="s">
        <v>46</v>
      </c>
      <c r="E5539" t="s">
        <v>174</v>
      </c>
      <c r="F5539" t="s">
        <v>175</v>
      </c>
      <c r="G5539">
        <v>2</v>
      </c>
      <c r="I5539" s="4"/>
      <c r="J5539">
        <f t="shared" si="777"/>
        <v>0</v>
      </c>
      <c r="K5539">
        <v>20</v>
      </c>
      <c r="L5539">
        <v>12</v>
      </c>
      <c r="M5539" s="2">
        <v>1.67</v>
      </c>
      <c r="N5539" s="2">
        <v>2.96</v>
      </c>
      <c r="O5539">
        <v>0</v>
      </c>
      <c r="P5539">
        <v>5</v>
      </c>
      <c r="Q5539" s="4" t="str">
        <f t="shared" si="776"/>
        <v>2018/2019-Ganjil</v>
      </c>
      <c r="R5539" s="8" t="s">
        <v>260</v>
      </c>
      <c r="S5539" t="s">
        <v>595</v>
      </c>
    </row>
    <row r="5540" spans="1:19" x14ac:dyDescent="0.3">
      <c r="A5540" t="s">
        <v>24</v>
      </c>
      <c r="B5540">
        <v>2016310001</v>
      </c>
      <c r="C5540" t="s">
        <v>46</v>
      </c>
      <c r="E5540" t="s">
        <v>174</v>
      </c>
      <c r="F5540" t="s">
        <v>175</v>
      </c>
      <c r="G5540">
        <v>2</v>
      </c>
      <c r="H5540" t="s">
        <v>438</v>
      </c>
      <c r="I5540" s="4">
        <f t="shared" si="778"/>
        <v>3</v>
      </c>
      <c r="J5540">
        <f t="shared" si="777"/>
        <v>6</v>
      </c>
      <c r="K5540">
        <v>52</v>
      </c>
      <c r="L5540">
        <v>18</v>
      </c>
      <c r="M5540" s="2">
        <v>2.89</v>
      </c>
      <c r="N5540" s="2">
        <v>2.96</v>
      </c>
      <c r="O5540">
        <v>0</v>
      </c>
      <c r="P5540">
        <v>7</v>
      </c>
      <c r="Q5540" s="4" t="str">
        <f t="shared" si="776"/>
        <v>2019/2020-Ganjil</v>
      </c>
      <c r="R5540" s="8" t="s">
        <v>260</v>
      </c>
      <c r="S5540" t="str">
        <f>IF(OR(H5540="A",H5540="B",H5540="C"),"PA","FA")</f>
        <v>PA</v>
      </c>
    </row>
    <row r="5541" spans="1:19" x14ac:dyDescent="0.3">
      <c r="A5541" t="s">
        <v>24</v>
      </c>
      <c r="B5541">
        <v>2016310001</v>
      </c>
      <c r="C5541" t="s">
        <v>46</v>
      </c>
      <c r="E5541" t="s">
        <v>197</v>
      </c>
      <c r="F5541" t="s">
        <v>198</v>
      </c>
      <c r="G5541">
        <v>2</v>
      </c>
      <c r="I5541" s="4"/>
      <c r="J5541">
        <f t="shared" ref="J5541" si="779">G5541*I5541</f>
        <v>0</v>
      </c>
      <c r="K5541">
        <v>20</v>
      </c>
      <c r="L5541">
        <v>12</v>
      </c>
      <c r="M5541" s="2">
        <v>1.67</v>
      </c>
      <c r="N5541" s="2">
        <v>2.96</v>
      </c>
      <c r="O5541">
        <v>0</v>
      </c>
      <c r="P5541">
        <v>5</v>
      </c>
      <c r="Q5541" s="4" t="str">
        <f t="shared" ref="Q5541" si="780">IF(P5541=1,"2016/2017-Ganjil",IF(P5541=2,"2016/2017-Genap",IF(P5541=3,"2017/2018-Ganjil",IF(P5541=4,"2017/2018-Genap",IF(P5541=5,"2018/2019-Ganjil",IF(P5541=6,"2018/2019-Genap",IF(P5541=7,"2019/2020-Ganjil",IF(P5541=8,"2019/2020-Genap",IF(P5541=9,"2020/2021-Ganjil",IF(P5541=10,"2020/2021-Genap",IF(P5541=11,"2021/2022-Ganjil",IF(P5541=12,"2021/2022-Genap",IF(P5541=13,"2022/2023-Ganjil","2022/2023-Genap")))))))))))))</f>
        <v>2018/2019-Ganjil</v>
      </c>
      <c r="R5541" s="8" t="s">
        <v>260</v>
      </c>
      <c r="S5541" t="s">
        <v>595</v>
      </c>
    </row>
    <row r="5542" spans="1:19" x14ac:dyDescent="0.3">
      <c r="A5542" t="s">
        <v>24</v>
      </c>
      <c r="B5542">
        <v>2016310001</v>
      </c>
      <c r="C5542" t="s">
        <v>46</v>
      </c>
      <c r="E5542" t="s">
        <v>197</v>
      </c>
      <c r="F5542" t="s">
        <v>198</v>
      </c>
      <c r="G5542">
        <v>2</v>
      </c>
      <c r="H5542" t="s">
        <v>524</v>
      </c>
      <c r="I5542" s="4">
        <f t="shared" si="778"/>
        <v>2</v>
      </c>
      <c r="J5542">
        <f t="shared" si="777"/>
        <v>4</v>
      </c>
      <c r="K5542">
        <v>28</v>
      </c>
      <c r="L5542">
        <v>10</v>
      </c>
      <c r="M5542" s="2">
        <v>2.8</v>
      </c>
      <c r="N5542" s="2">
        <v>2.96</v>
      </c>
      <c r="O5542">
        <v>1</v>
      </c>
      <c r="P5542">
        <v>12</v>
      </c>
      <c r="Q5542" s="4" t="s">
        <v>577</v>
      </c>
      <c r="R5542" s="8" t="s">
        <v>260</v>
      </c>
      <c r="S5542" t="str">
        <f>IF(OR(H5542="A",H5542="B",H5542="C"),"PA","FA")</f>
        <v>PA</v>
      </c>
    </row>
    <row r="5543" spans="1:19" x14ac:dyDescent="0.3">
      <c r="A5543" t="s">
        <v>24</v>
      </c>
      <c r="B5543">
        <v>2016310001</v>
      </c>
      <c r="C5543" t="s">
        <v>46</v>
      </c>
      <c r="E5543" t="s">
        <v>215</v>
      </c>
      <c r="F5543" t="s">
        <v>186</v>
      </c>
      <c r="G5543">
        <v>4</v>
      </c>
      <c r="I5543" s="4"/>
      <c r="J5543">
        <f t="shared" si="777"/>
        <v>0</v>
      </c>
      <c r="K5543">
        <v>40</v>
      </c>
      <c r="L5543">
        <v>12</v>
      </c>
      <c r="M5543" s="2">
        <v>3.33</v>
      </c>
      <c r="N5543" s="2">
        <v>2.96</v>
      </c>
      <c r="O5543">
        <v>0</v>
      </c>
      <c r="P5543">
        <v>3</v>
      </c>
      <c r="Q5543" s="4" t="str">
        <f t="shared" si="776"/>
        <v>2017/2018-Ganjil</v>
      </c>
      <c r="R5543" s="8" t="s">
        <v>260</v>
      </c>
      <c r="S5543" t="s">
        <v>595</v>
      </c>
    </row>
    <row r="5544" spans="1:19" x14ac:dyDescent="0.3">
      <c r="A5544" t="s">
        <v>24</v>
      </c>
      <c r="B5544">
        <v>2016310001</v>
      </c>
      <c r="C5544" t="s">
        <v>46</v>
      </c>
      <c r="E5544" t="s">
        <v>215</v>
      </c>
      <c r="F5544" t="s">
        <v>186</v>
      </c>
      <c r="G5544">
        <v>4</v>
      </c>
      <c r="H5544" t="s">
        <v>438</v>
      </c>
      <c r="I5544" s="4">
        <f t="shared" si="778"/>
        <v>3</v>
      </c>
      <c r="J5544">
        <f t="shared" si="777"/>
        <v>12</v>
      </c>
      <c r="K5544">
        <v>48</v>
      </c>
      <c r="L5544">
        <v>14</v>
      </c>
      <c r="M5544" s="2">
        <v>3.43</v>
      </c>
      <c r="N5544" s="2">
        <v>2.96</v>
      </c>
      <c r="O5544">
        <v>1</v>
      </c>
      <c r="P5544">
        <v>11</v>
      </c>
      <c r="Q5544" s="4" t="str">
        <f t="shared" si="776"/>
        <v>2021/2022-Ganjil</v>
      </c>
      <c r="R5544" s="8" t="s">
        <v>260</v>
      </c>
      <c r="S5544" t="str">
        <f>IF(OR(H5544="A",H5544="B",H5544="C"),"PA","FA")</f>
        <v>PA</v>
      </c>
    </row>
    <row r="5545" spans="1:19" x14ac:dyDescent="0.3">
      <c r="A5545" t="s">
        <v>24</v>
      </c>
      <c r="B5545">
        <v>2016310001</v>
      </c>
      <c r="C5545" t="s">
        <v>46</v>
      </c>
      <c r="E5545" t="s">
        <v>252</v>
      </c>
      <c r="F5545" t="s">
        <v>78</v>
      </c>
      <c r="G5545">
        <v>2</v>
      </c>
      <c r="I5545" s="4"/>
      <c r="J5545">
        <f t="shared" si="777"/>
        <v>0</v>
      </c>
      <c r="K5545">
        <v>40</v>
      </c>
      <c r="L5545">
        <v>12</v>
      </c>
      <c r="M5545" s="2">
        <v>3.33</v>
      </c>
      <c r="N5545" s="2">
        <v>2.96</v>
      </c>
      <c r="O5545">
        <v>0</v>
      </c>
      <c r="P5545">
        <v>3</v>
      </c>
      <c r="Q5545" s="4" t="str">
        <f t="shared" si="776"/>
        <v>2017/2018-Ganjil</v>
      </c>
      <c r="R5545" s="8" t="s">
        <v>260</v>
      </c>
      <c r="S5545" t="s">
        <v>595</v>
      </c>
    </row>
    <row r="5546" spans="1:19" x14ac:dyDescent="0.3">
      <c r="A5546" t="s">
        <v>24</v>
      </c>
      <c r="B5546">
        <v>2016310001</v>
      </c>
      <c r="C5546" t="s">
        <v>46</v>
      </c>
      <c r="E5546" t="s">
        <v>365</v>
      </c>
      <c r="F5546" t="s">
        <v>366</v>
      </c>
      <c r="G5546">
        <v>2</v>
      </c>
      <c r="H5546" t="s">
        <v>260</v>
      </c>
      <c r="I5546" s="4">
        <f t="shared" si="778"/>
        <v>4</v>
      </c>
      <c r="J5546">
        <f t="shared" si="777"/>
        <v>8</v>
      </c>
      <c r="K5546">
        <v>48</v>
      </c>
      <c r="L5546">
        <v>14</v>
      </c>
      <c r="M5546" s="2">
        <v>3.43</v>
      </c>
      <c r="N5546" s="2">
        <v>2.96</v>
      </c>
      <c r="O5546">
        <v>0</v>
      </c>
      <c r="P5546">
        <v>11</v>
      </c>
      <c r="Q5546" s="4" t="str">
        <f t="shared" si="776"/>
        <v>2021/2022-Ganjil</v>
      </c>
      <c r="R5546" s="8" t="s">
        <v>260</v>
      </c>
      <c r="S5546" t="str">
        <f t="shared" ref="S5546:S5552" si="781">IF(OR(H5546="A",H5546="B",H5546="C"),"PA","FA")</f>
        <v>PA</v>
      </c>
    </row>
    <row r="5547" spans="1:19" x14ac:dyDescent="0.3">
      <c r="A5547" t="s">
        <v>24</v>
      </c>
      <c r="B5547">
        <v>2016310001</v>
      </c>
      <c r="C5547" t="s">
        <v>46</v>
      </c>
      <c r="E5547" t="s">
        <v>289</v>
      </c>
      <c r="F5547" t="s">
        <v>129</v>
      </c>
      <c r="G5547">
        <v>4</v>
      </c>
      <c r="H5547" t="s">
        <v>260</v>
      </c>
      <c r="I5547" s="4">
        <f t="shared" ref="I5547:I5552" si="782">IF(H5547="A",4,IF(H5547="B",3,IF(H5547="C",2,IF(H5547="D",1,0))))</f>
        <v>4</v>
      </c>
      <c r="J5547">
        <f t="shared" ref="J5547:J5552" si="783">G5547*I5547</f>
        <v>16</v>
      </c>
      <c r="K5547">
        <v>50</v>
      </c>
      <c r="L5547">
        <v>20</v>
      </c>
      <c r="M5547" s="2">
        <v>2.5</v>
      </c>
      <c r="N5547" s="2">
        <v>2.96</v>
      </c>
      <c r="O5547">
        <v>0</v>
      </c>
      <c r="P5547">
        <v>2</v>
      </c>
      <c r="Q5547" s="4" t="str">
        <f t="shared" si="776"/>
        <v>2016/2017-Genap</v>
      </c>
      <c r="R5547" s="8" t="s">
        <v>260</v>
      </c>
      <c r="S5547" t="str">
        <f t="shared" si="781"/>
        <v>PA</v>
      </c>
    </row>
    <row r="5548" spans="1:19" x14ac:dyDescent="0.3">
      <c r="A5548" t="s">
        <v>24</v>
      </c>
      <c r="B5548">
        <v>2016310001</v>
      </c>
      <c r="C5548" t="s">
        <v>46</v>
      </c>
      <c r="E5548" t="s">
        <v>351</v>
      </c>
      <c r="F5548" t="s">
        <v>243</v>
      </c>
      <c r="G5548">
        <v>2</v>
      </c>
      <c r="H5548" t="s">
        <v>260</v>
      </c>
      <c r="I5548" s="4">
        <f t="shared" si="782"/>
        <v>4</v>
      </c>
      <c r="J5548">
        <f t="shared" si="783"/>
        <v>8</v>
      </c>
      <c r="K5548">
        <v>40</v>
      </c>
      <c r="L5548">
        <v>12</v>
      </c>
      <c r="M5548" s="2">
        <v>3.33</v>
      </c>
      <c r="N5548" s="2">
        <v>2.96</v>
      </c>
      <c r="O5548">
        <v>0</v>
      </c>
      <c r="P5548">
        <v>3</v>
      </c>
      <c r="Q5548" s="4" t="str">
        <f t="shared" si="776"/>
        <v>2017/2018-Ganjil</v>
      </c>
      <c r="R5548" s="8" t="s">
        <v>260</v>
      </c>
      <c r="S5548" t="str">
        <f t="shared" si="781"/>
        <v>PA</v>
      </c>
    </row>
    <row r="5549" spans="1:19" x14ac:dyDescent="0.3">
      <c r="A5549" t="s">
        <v>24</v>
      </c>
      <c r="B5549">
        <v>2016310001</v>
      </c>
      <c r="C5549" t="s">
        <v>46</v>
      </c>
      <c r="E5549" t="s">
        <v>411</v>
      </c>
      <c r="F5549" t="s">
        <v>214</v>
      </c>
      <c r="G5549">
        <v>4</v>
      </c>
      <c r="H5549" t="s">
        <v>260</v>
      </c>
      <c r="I5549" s="4">
        <f t="shared" si="782"/>
        <v>4</v>
      </c>
      <c r="J5549">
        <f t="shared" si="783"/>
        <v>16</v>
      </c>
      <c r="K5549">
        <v>48</v>
      </c>
      <c r="L5549">
        <v>14</v>
      </c>
      <c r="M5549" s="2">
        <v>3.43</v>
      </c>
      <c r="N5549" s="2">
        <v>2.96</v>
      </c>
      <c r="O5549">
        <v>0</v>
      </c>
      <c r="P5549">
        <v>11</v>
      </c>
      <c r="Q5549" s="4" t="str">
        <f t="shared" si="776"/>
        <v>2021/2022-Ganjil</v>
      </c>
      <c r="R5549" s="8" t="s">
        <v>260</v>
      </c>
      <c r="S5549" t="str">
        <f t="shared" si="781"/>
        <v>PA</v>
      </c>
    </row>
    <row r="5550" spans="1:19" x14ac:dyDescent="0.3">
      <c r="A5550" t="s">
        <v>24</v>
      </c>
      <c r="B5550">
        <v>2016310001</v>
      </c>
      <c r="C5550" t="s">
        <v>46</v>
      </c>
      <c r="E5550" t="s">
        <v>397</v>
      </c>
      <c r="F5550" t="s">
        <v>398</v>
      </c>
      <c r="G5550">
        <v>4</v>
      </c>
      <c r="H5550" t="s">
        <v>260</v>
      </c>
      <c r="I5550" s="4">
        <f t="shared" si="782"/>
        <v>4</v>
      </c>
      <c r="J5550">
        <f t="shared" si="783"/>
        <v>16</v>
      </c>
      <c r="K5550">
        <v>40</v>
      </c>
      <c r="L5550">
        <v>12</v>
      </c>
      <c r="M5550" s="2">
        <v>3.33</v>
      </c>
      <c r="N5550" s="2">
        <v>2.96</v>
      </c>
      <c r="O5550">
        <v>0</v>
      </c>
      <c r="P5550">
        <v>3</v>
      </c>
      <c r="Q5550" s="4" t="str">
        <f t="shared" si="776"/>
        <v>2017/2018-Ganjil</v>
      </c>
      <c r="R5550" s="8" t="s">
        <v>260</v>
      </c>
      <c r="S5550" t="str">
        <f t="shared" si="781"/>
        <v>PA</v>
      </c>
    </row>
    <row r="5551" spans="1:19" x14ac:dyDescent="0.3">
      <c r="A5551" t="s">
        <v>24</v>
      </c>
      <c r="B5551">
        <v>2016310001</v>
      </c>
      <c r="C5551" t="s">
        <v>46</v>
      </c>
      <c r="E5551" t="s">
        <v>453</v>
      </c>
      <c r="F5551" t="s">
        <v>454</v>
      </c>
      <c r="G5551">
        <v>4</v>
      </c>
      <c r="H5551" t="s">
        <v>438</v>
      </c>
      <c r="I5551" s="4">
        <f t="shared" si="782"/>
        <v>3</v>
      </c>
      <c r="J5551">
        <f t="shared" si="783"/>
        <v>12</v>
      </c>
      <c r="K5551">
        <v>52</v>
      </c>
      <c r="L5551">
        <v>18</v>
      </c>
      <c r="M5551" s="2">
        <v>2.89</v>
      </c>
      <c r="N5551" s="2">
        <v>2.96</v>
      </c>
      <c r="O5551">
        <v>0</v>
      </c>
      <c r="P5551">
        <v>7</v>
      </c>
      <c r="Q5551" s="4" t="str">
        <f t="shared" si="776"/>
        <v>2019/2020-Ganjil</v>
      </c>
      <c r="R5551" s="8" t="s">
        <v>260</v>
      </c>
      <c r="S5551" t="str">
        <f t="shared" si="781"/>
        <v>PA</v>
      </c>
    </row>
    <row r="5552" spans="1:19" x14ac:dyDescent="0.3">
      <c r="A5552" t="s">
        <v>24</v>
      </c>
      <c r="B5552">
        <v>2016310001</v>
      </c>
      <c r="C5552" t="s">
        <v>46</v>
      </c>
      <c r="E5552" t="s">
        <v>443</v>
      </c>
      <c r="F5552" t="s">
        <v>140</v>
      </c>
      <c r="G5552">
        <v>2</v>
      </c>
      <c r="H5552" t="s">
        <v>438</v>
      </c>
      <c r="I5552" s="4">
        <f t="shared" si="782"/>
        <v>3</v>
      </c>
      <c r="J5552">
        <f t="shared" si="783"/>
        <v>6</v>
      </c>
      <c r="K5552">
        <v>52</v>
      </c>
      <c r="L5552">
        <v>18</v>
      </c>
      <c r="M5552" s="2">
        <v>2.89</v>
      </c>
      <c r="N5552" s="2">
        <v>2.96</v>
      </c>
      <c r="O5552">
        <v>0</v>
      </c>
      <c r="P5552">
        <v>7</v>
      </c>
      <c r="Q5552" s="4" t="str">
        <f t="shared" si="776"/>
        <v>2019/2020-Ganjil</v>
      </c>
      <c r="R5552" s="8" t="s">
        <v>260</v>
      </c>
      <c r="S5552" t="str">
        <f t="shared" si="781"/>
        <v>PA</v>
      </c>
    </row>
    <row r="5553" spans="1:19" x14ac:dyDescent="0.3">
      <c r="A5553" t="s">
        <v>24</v>
      </c>
      <c r="B5553">
        <v>2016310001</v>
      </c>
      <c r="C5553" t="s">
        <v>46</v>
      </c>
      <c r="E5553" t="s">
        <v>240</v>
      </c>
      <c r="F5553" t="s">
        <v>186</v>
      </c>
      <c r="G5553">
        <v>2</v>
      </c>
      <c r="I5553" s="4"/>
      <c r="J5553">
        <f t="shared" si="777"/>
        <v>0</v>
      </c>
      <c r="K5553">
        <v>6</v>
      </c>
      <c r="L5553">
        <v>2</v>
      </c>
      <c r="M5553" s="2">
        <v>3</v>
      </c>
      <c r="N5553" s="2">
        <v>2.96</v>
      </c>
      <c r="O5553">
        <v>2</v>
      </c>
      <c r="P5553">
        <v>13</v>
      </c>
      <c r="Q5553" s="4" t="str">
        <f t="shared" si="776"/>
        <v>2022/2023-Ganjil</v>
      </c>
      <c r="R5553" s="8" t="s">
        <v>260</v>
      </c>
      <c r="S5553" t="s">
        <v>595</v>
      </c>
    </row>
    <row r="5554" spans="1:19" x14ac:dyDescent="0.3">
      <c r="A5554" t="s">
        <v>24</v>
      </c>
      <c r="B5554">
        <v>2016310001</v>
      </c>
      <c r="C5554" t="s">
        <v>46</v>
      </c>
      <c r="E5554" t="s">
        <v>456</v>
      </c>
      <c r="F5554" t="s">
        <v>457</v>
      </c>
      <c r="G5554">
        <v>2</v>
      </c>
      <c r="H5554" t="s">
        <v>438</v>
      </c>
      <c r="I5554" s="4">
        <f t="shared" si="778"/>
        <v>3</v>
      </c>
      <c r="J5554">
        <f t="shared" si="777"/>
        <v>6</v>
      </c>
      <c r="K5554">
        <v>50</v>
      </c>
      <c r="L5554">
        <v>20</v>
      </c>
      <c r="M5554" s="2">
        <v>2.5</v>
      </c>
      <c r="N5554" s="2">
        <v>2.96</v>
      </c>
      <c r="O5554">
        <v>0</v>
      </c>
      <c r="P5554">
        <v>2</v>
      </c>
      <c r="Q5554" s="4" t="str">
        <f t="shared" si="776"/>
        <v>2016/2017-Genap</v>
      </c>
      <c r="R5554" s="8" t="s">
        <v>260</v>
      </c>
      <c r="S5554" t="str">
        <f t="shared" ref="S5554:S5574" si="784">IF(OR(H5554="A",H5554="B",H5554="C"),"PA","FA")</f>
        <v>PA</v>
      </c>
    </row>
    <row r="5555" spans="1:19" x14ac:dyDescent="0.3">
      <c r="A5555" t="s">
        <v>24</v>
      </c>
      <c r="B5555">
        <v>2016310001</v>
      </c>
      <c r="C5555" t="s">
        <v>46</v>
      </c>
      <c r="E5555" t="s">
        <v>476</v>
      </c>
      <c r="F5555" t="s">
        <v>477</v>
      </c>
      <c r="G5555">
        <v>2</v>
      </c>
      <c r="H5555" t="s">
        <v>438</v>
      </c>
      <c r="I5555" s="4">
        <f t="shared" ref="I5555:I5574" si="785">IF(H5555="A",4,IF(H5555="B",3,IF(H5555="C",2,IF(H5555="D",1,0))))</f>
        <v>3</v>
      </c>
      <c r="J5555">
        <f t="shared" ref="J5555:J5574" si="786">G5555*I5555</f>
        <v>6</v>
      </c>
      <c r="K5555">
        <v>20</v>
      </c>
      <c r="L5555">
        <v>12</v>
      </c>
      <c r="M5555" s="2">
        <v>1.67</v>
      </c>
      <c r="N5555" s="2">
        <v>2.96</v>
      </c>
      <c r="O5555">
        <v>0</v>
      </c>
      <c r="P5555">
        <v>5</v>
      </c>
      <c r="Q5555" s="4" t="str">
        <f t="shared" si="776"/>
        <v>2018/2019-Ganjil</v>
      </c>
      <c r="R5555" s="8" t="s">
        <v>260</v>
      </c>
      <c r="S5555" t="str">
        <f t="shared" si="784"/>
        <v>PA</v>
      </c>
    </row>
    <row r="5556" spans="1:19" x14ac:dyDescent="0.3">
      <c r="A5556" t="s">
        <v>24</v>
      </c>
      <c r="B5556">
        <v>2016310001</v>
      </c>
      <c r="C5556" t="s">
        <v>46</v>
      </c>
      <c r="E5556" t="s">
        <v>489</v>
      </c>
      <c r="F5556" t="s">
        <v>307</v>
      </c>
      <c r="G5556">
        <v>2</v>
      </c>
      <c r="H5556" t="s">
        <v>438</v>
      </c>
      <c r="I5556" s="4">
        <f t="shared" si="785"/>
        <v>3</v>
      </c>
      <c r="J5556">
        <f t="shared" si="786"/>
        <v>6</v>
      </c>
      <c r="K5556">
        <v>48</v>
      </c>
      <c r="L5556">
        <v>14</v>
      </c>
      <c r="M5556" s="2">
        <v>3.43</v>
      </c>
      <c r="N5556" s="2">
        <v>2.96</v>
      </c>
      <c r="O5556">
        <v>0</v>
      </c>
      <c r="P5556">
        <v>11</v>
      </c>
      <c r="Q5556" s="4" t="str">
        <f t="shared" si="776"/>
        <v>2021/2022-Ganjil</v>
      </c>
      <c r="R5556" s="8" t="s">
        <v>260</v>
      </c>
      <c r="S5556" t="str">
        <f t="shared" si="784"/>
        <v>PA</v>
      </c>
    </row>
    <row r="5557" spans="1:19" x14ac:dyDescent="0.3">
      <c r="A5557" t="s">
        <v>24</v>
      </c>
      <c r="B5557">
        <v>2016310001</v>
      </c>
      <c r="C5557" t="s">
        <v>46</v>
      </c>
      <c r="E5557" t="s">
        <v>380</v>
      </c>
      <c r="F5557" t="s">
        <v>381</v>
      </c>
      <c r="G5557">
        <v>2</v>
      </c>
      <c r="H5557" t="s">
        <v>438</v>
      </c>
      <c r="I5557" s="4">
        <f t="shared" si="785"/>
        <v>3</v>
      </c>
      <c r="J5557">
        <f t="shared" si="786"/>
        <v>6</v>
      </c>
      <c r="K5557">
        <v>34</v>
      </c>
      <c r="L5557">
        <v>12</v>
      </c>
      <c r="M5557" s="2">
        <v>2.83</v>
      </c>
      <c r="N5557" s="2">
        <v>2.96</v>
      </c>
      <c r="O5557">
        <v>0</v>
      </c>
      <c r="P5557">
        <v>9</v>
      </c>
      <c r="Q5557" s="4" t="str">
        <f t="shared" si="776"/>
        <v>2020/2021-Ganjil</v>
      </c>
      <c r="R5557" s="8" t="s">
        <v>260</v>
      </c>
      <c r="S5557" t="str">
        <f t="shared" si="784"/>
        <v>PA</v>
      </c>
    </row>
    <row r="5558" spans="1:19" x14ac:dyDescent="0.3">
      <c r="A5558" t="s">
        <v>24</v>
      </c>
      <c r="B5558">
        <v>2016310001</v>
      </c>
      <c r="C5558" t="s">
        <v>46</v>
      </c>
      <c r="E5558" t="s">
        <v>490</v>
      </c>
      <c r="F5558" t="s">
        <v>239</v>
      </c>
      <c r="G5558">
        <v>4</v>
      </c>
      <c r="H5558" t="s">
        <v>438</v>
      </c>
      <c r="I5558" s="4">
        <f t="shared" si="785"/>
        <v>3</v>
      </c>
      <c r="J5558">
        <f t="shared" si="786"/>
        <v>12</v>
      </c>
      <c r="K5558">
        <v>60</v>
      </c>
      <c r="L5558">
        <v>20</v>
      </c>
      <c r="M5558" s="2">
        <v>3</v>
      </c>
      <c r="N5558" s="2">
        <v>2.96</v>
      </c>
      <c r="O5558">
        <v>0</v>
      </c>
      <c r="P5558">
        <v>10</v>
      </c>
      <c r="Q5558" s="4" t="str">
        <f t="shared" si="776"/>
        <v>2020/2021-Genap</v>
      </c>
      <c r="R5558" s="8" t="s">
        <v>260</v>
      </c>
      <c r="S5558" t="str">
        <f t="shared" si="784"/>
        <v>PA</v>
      </c>
    </row>
    <row r="5559" spans="1:19" x14ac:dyDescent="0.3">
      <c r="A5559" t="s">
        <v>24</v>
      </c>
      <c r="B5559">
        <v>2016310001</v>
      </c>
      <c r="C5559" t="s">
        <v>46</v>
      </c>
      <c r="E5559" t="s">
        <v>131</v>
      </c>
      <c r="F5559" t="s">
        <v>132</v>
      </c>
      <c r="G5559">
        <v>2</v>
      </c>
      <c r="H5559" t="s">
        <v>438</v>
      </c>
      <c r="I5559" s="4">
        <f t="shared" si="785"/>
        <v>3</v>
      </c>
      <c r="J5559">
        <f t="shared" si="786"/>
        <v>6</v>
      </c>
      <c r="K5559">
        <v>52</v>
      </c>
      <c r="L5559">
        <v>20</v>
      </c>
      <c r="M5559" s="2">
        <v>2.6</v>
      </c>
      <c r="N5559" s="2">
        <v>2.96</v>
      </c>
      <c r="O5559">
        <v>0</v>
      </c>
      <c r="P5559">
        <v>1</v>
      </c>
      <c r="Q5559" s="4" t="str">
        <f t="shared" si="776"/>
        <v>2016/2017-Ganjil</v>
      </c>
      <c r="R5559" s="8" t="s">
        <v>260</v>
      </c>
      <c r="S5559" t="str">
        <f t="shared" si="784"/>
        <v>PA</v>
      </c>
    </row>
    <row r="5560" spans="1:19" x14ac:dyDescent="0.3">
      <c r="A5560" t="s">
        <v>24</v>
      </c>
      <c r="B5560">
        <v>2016310001</v>
      </c>
      <c r="C5560" t="s">
        <v>46</v>
      </c>
      <c r="E5560" t="s">
        <v>430</v>
      </c>
      <c r="F5560" t="s">
        <v>431</v>
      </c>
      <c r="G5560">
        <v>2</v>
      </c>
      <c r="H5560" t="s">
        <v>438</v>
      </c>
      <c r="I5560" s="4">
        <f t="shared" si="785"/>
        <v>3</v>
      </c>
      <c r="J5560">
        <f t="shared" si="786"/>
        <v>6</v>
      </c>
      <c r="K5560">
        <v>30</v>
      </c>
      <c r="L5560">
        <v>12</v>
      </c>
      <c r="M5560" s="2">
        <v>2.5</v>
      </c>
      <c r="N5560" s="2">
        <v>2.96</v>
      </c>
      <c r="O5560">
        <v>0</v>
      </c>
      <c r="P5560">
        <v>6</v>
      </c>
      <c r="Q5560" s="4" t="str">
        <f t="shared" si="776"/>
        <v>2018/2019-Genap</v>
      </c>
      <c r="R5560" s="8" t="s">
        <v>260</v>
      </c>
      <c r="S5560" t="str">
        <f t="shared" si="784"/>
        <v>PA</v>
      </c>
    </row>
    <row r="5561" spans="1:19" x14ac:dyDescent="0.3">
      <c r="A5561" t="s">
        <v>24</v>
      </c>
      <c r="B5561">
        <v>2016310001</v>
      </c>
      <c r="C5561" t="s">
        <v>46</v>
      </c>
      <c r="E5561" t="s">
        <v>491</v>
      </c>
      <c r="F5561" t="s">
        <v>20</v>
      </c>
      <c r="G5561">
        <v>6</v>
      </c>
      <c r="H5561" t="s">
        <v>438</v>
      </c>
      <c r="I5561" s="4">
        <f t="shared" si="785"/>
        <v>3</v>
      </c>
      <c r="J5561">
        <f t="shared" si="786"/>
        <v>18</v>
      </c>
      <c r="K5561">
        <v>18</v>
      </c>
      <c r="L5561">
        <v>6</v>
      </c>
      <c r="M5561" s="2">
        <v>3</v>
      </c>
      <c r="N5561" s="2">
        <v>2.96</v>
      </c>
      <c r="O5561">
        <v>0</v>
      </c>
      <c r="P5561">
        <v>14</v>
      </c>
      <c r="Q5561" s="4" t="str">
        <f t="shared" si="776"/>
        <v>2022/2023-Genap</v>
      </c>
      <c r="R5561" s="8" t="s">
        <v>596</v>
      </c>
      <c r="S5561" t="str">
        <f t="shared" si="784"/>
        <v>PA</v>
      </c>
    </row>
    <row r="5562" spans="1:19" x14ac:dyDescent="0.3">
      <c r="A5562" t="s">
        <v>24</v>
      </c>
      <c r="B5562">
        <v>2016310001</v>
      </c>
      <c r="C5562" t="s">
        <v>46</v>
      </c>
      <c r="E5562" t="s">
        <v>145</v>
      </c>
      <c r="F5562" t="s">
        <v>146</v>
      </c>
      <c r="G5562">
        <v>2</v>
      </c>
      <c r="H5562" t="s">
        <v>438</v>
      </c>
      <c r="I5562" s="4">
        <f t="shared" si="785"/>
        <v>3</v>
      </c>
      <c r="J5562">
        <f t="shared" si="786"/>
        <v>6</v>
      </c>
      <c r="K5562">
        <v>52</v>
      </c>
      <c r="L5562">
        <v>20</v>
      </c>
      <c r="M5562" s="2">
        <v>2.6</v>
      </c>
      <c r="N5562" s="2">
        <v>2.96</v>
      </c>
      <c r="O5562">
        <v>0</v>
      </c>
      <c r="P5562">
        <v>1</v>
      </c>
      <c r="Q5562" s="4" t="str">
        <f t="shared" si="776"/>
        <v>2016/2017-Ganjil</v>
      </c>
      <c r="R5562" s="8" t="s">
        <v>260</v>
      </c>
      <c r="S5562" t="str">
        <f t="shared" si="784"/>
        <v>PA</v>
      </c>
    </row>
    <row r="5563" spans="1:19" x14ac:dyDescent="0.3">
      <c r="A5563" t="s">
        <v>24</v>
      </c>
      <c r="B5563">
        <v>2016310001</v>
      </c>
      <c r="C5563" t="s">
        <v>46</v>
      </c>
      <c r="E5563" t="s">
        <v>484</v>
      </c>
      <c r="F5563" t="s">
        <v>485</v>
      </c>
      <c r="G5563">
        <v>2</v>
      </c>
      <c r="H5563" t="s">
        <v>438</v>
      </c>
      <c r="I5563" s="4">
        <f t="shared" si="785"/>
        <v>3</v>
      </c>
      <c r="J5563">
        <f t="shared" si="786"/>
        <v>6</v>
      </c>
      <c r="K5563">
        <v>30</v>
      </c>
      <c r="L5563">
        <v>12</v>
      </c>
      <c r="M5563" s="2">
        <v>2.5</v>
      </c>
      <c r="N5563" s="2">
        <v>2.96</v>
      </c>
      <c r="O5563">
        <v>0</v>
      </c>
      <c r="P5563">
        <v>6</v>
      </c>
      <c r="Q5563" s="4" t="str">
        <f t="shared" si="776"/>
        <v>2018/2019-Genap</v>
      </c>
      <c r="R5563" s="8" t="s">
        <v>260</v>
      </c>
      <c r="S5563" t="str">
        <f t="shared" si="784"/>
        <v>PA</v>
      </c>
    </row>
    <row r="5564" spans="1:19" x14ac:dyDescent="0.3">
      <c r="A5564" t="s">
        <v>24</v>
      </c>
      <c r="B5564">
        <v>2016310001</v>
      </c>
      <c r="C5564" t="s">
        <v>46</v>
      </c>
      <c r="E5564" t="s">
        <v>168</v>
      </c>
      <c r="F5564" t="s">
        <v>169</v>
      </c>
      <c r="G5564">
        <v>4</v>
      </c>
      <c r="H5564" t="s">
        <v>438</v>
      </c>
      <c r="I5564" s="4">
        <f t="shared" si="785"/>
        <v>3</v>
      </c>
      <c r="J5564">
        <f t="shared" si="786"/>
        <v>12</v>
      </c>
      <c r="K5564">
        <v>52</v>
      </c>
      <c r="L5564">
        <v>20</v>
      </c>
      <c r="M5564" s="2">
        <v>2.6</v>
      </c>
      <c r="N5564" s="2">
        <v>2.96</v>
      </c>
      <c r="O5564">
        <v>0</v>
      </c>
      <c r="P5564">
        <v>1</v>
      </c>
      <c r="Q5564" s="4" t="str">
        <f t="shared" ref="Q5564:Q5583" si="787">IF(P5564=1,"2016/2017-Ganjil",IF(P5564=2,"2016/2017-Genap",IF(P5564=3,"2017/2018-Ganjil",IF(P5564=4,"2017/2018-Genap",IF(P5564=5,"2018/2019-Ganjil",IF(P5564=6,"2018/2019-Genap",IF(P5564=7,"2019/2020-Ganjil",IF(P5564=8,"2019/2020-Genap",IF(P5564=9,"2020/2021-Ganjil",IF(P5564=10,"2020/2021-Genap",IF(P5564=11,"2021/2022-Ganjil",IF(P5564=12,"2021/2022-Genap",IF(P5564=13,"2022/2023-Ganjil","2022/2023-Genap")))))))))))))</f>
        <v>2016/2017-Ganjil</v>
      </c>
      <c r="R5564" s="8" t="s">
        <v>260</v>
      </c>
      <c r="S5564" t="str">
        <f t="shared" si="784"/>
        <v>PA</v>
      </c>
    </row>
    <row r="5565" spans="1:19" x14ac:dyDescent="0.3">
      <c r="A5565" t="s">
        <v>24</v>
      </c>
      <c r="B5565">
        <v>2016310001</v>
      </c>
      <c r="C5565" t="s">
        <v>46</v>
      </c>
      <c r="E5565" t="s">
        <v>377</v>
      </c>
      <c r="F5565" t="s">
        <v>378</v>
      </c>
      <c r="G5565">
        <v>2</v>
      </c>
      <c r="H5565" t="s">
        <v>438</v>
      </c>
      <c r="I5565" s="4">
        <f t="shared" si="785"/>
        <v>3</v>
      </c>
      <c r="J5565">
        <f t="shared" si="786"/>
        <v>6</v>
      </c>
      <c r="K5565">
        <v>50</v>
      </c>
      <c r="L5565">
        <v>20</v>
      </c>
      <c r="M5565" s="2">
        <v>2.5</v>
      </c>
      <c r="N5565" s="2">
        <v>2.96</v>
      </c>
      <c r="O5565">
        <v>0</v>
      </c>
      <c r="P5565">
        <v>2</v>
      </c>
      <c r="Q5565" s="4" t="str">
        <f t="shared" si="787"/>
        <v>2016/2017-Genap</v>
      </c>
      <c r="R5565" s="8" t="s">
        <v>260</v>
      </c>
      <c r="S5565" t="str">
        <f t="shared" si="784"/>
        <v>PA</v>
      </c>
    </row>
    <row r="5566" spans="1:19" x14ac:dyDescent="0.3">
      <c r="A5566" t="s">
        <v>24</v>
      </c>
      <c r="B5566">
        <v>2016310001</v>
      </c>
      <c r="C5566" t="s">
        <v>46</v>
      </c>
      <c r="E5566" t="s">
        <v>384</v>
      </c>
      <c r="F5566" t="s">
        <v>385</v>
      </c>
      <c r="G5566">
        <v>2</v>
      </c>
      <c r="H5566" t="s">
        <v>438</v>
      </c>
      <c r="I5566" s="4">
        <f t="shared" si="785"/>
        <v>3</v>
      </c>
      <c r="J5566">
        <f t="shared" si="786"/>
        <v>6</v>
      </c>
      <c r="K5566">
        <v>52</v>
      </c>
      <c r="L5566">
        <v>18</v>
      </c>
      <c r="M5566" s="2">
        <v>2.89</v>
      </c>
      <c r="N5566" s="2">
        <v>2.96</v>
      </c>
      <c r="O5566">
        <v>0</v>
      </c>
      <c r="P5566">
        <v>7</v>
      </c>
      <c r="Q5566" s="4" t="str">
        <f t="shared" si="787"/>
        <v>2019/2020-Ganjil</v>
      </c>
      <c r="R5566" s="8" t="s">
        <v>260</v>
      </c>
      <c r="S5566" t="str">
        <f t="shared" si="784"/>
        <v>PA</v>
      </c>
    </row>
    <row r="5567" spans="1:19" x14ac:dyDescent="0.3">
      <c r="A5567" t="s">
        <v>24</v>
      </c>
      <c r="B5567">
        <v>2016310001</v>
      </c>
      <c r="C5567" t="s">
        <v>46</v>
      </c>
      <c r="E5567" t="s">
        <v>379</v>
      </c>
      <c r="F5567" t="s">
        <v>137</v>
      </c>
      <c r="G5567">
        <v>4</v>
      </c>
      <c r="H5567" t="s">
        <v>438</v>
      </c>
      <c r="I5567" s="4">
        <f t="shared" si="785"/>
        <v>3</v>
      </c>
      <c r="J5567">
        <f t="shared" si="786"/>
        <v>12</v>
      </c>
      <c r="K5567">
        <v>24</v>
      </c>
      <c r="L5567">
        <v>14</v>
      </c>
      <c r="M5567" s="2">
        <v>1.71</v>
      </c>
      <c r="N5567" s="2">
        <v>2.96</v>
      </c>
      <c r="O5567">
        <v>0</v>
      </c>
      <c r="P5567">
        <v>8</v>
      </c>
      <c r="Q5567" s="4" t="str">
        <f t="shared" si="787"/>
        <v>2019/2020-Genap</v>
      </c>
      <c r="R5567" s="8" t="s">
        <v>260</v>
      </c>
      <c r="S5567" t="str">
        <f t="shared" si="784"/>
        <v>PA</v>
      </c>
    </row>
    <row r="5568" spans="1:19" x14ac:dyDescent="0.3">
      <c r="A5568" t="s">
        <v>24</v>
      </c>
      <c r="B5568">
        <v>2016310001</v>
      </c>
      <c r="C5568" t="s">
        <v>46</v>
      </c>
      <c r="E5568" t="s">
        <v>399</v>
      </c>
      <c r="F5568" t="s">
        <v>400</v>
      </c>
      <c r="G5568">
        <v>4</v>
      </c>
      <c r="H5568" t="s">
        <v>438</v>
      </c>
      <c r="I5568" s="4">
        <f t="shared" si="785"/>
        <v>3</v>
      </c>
      <c r="J5568">
        <f t="shared" si="786"/>
        <v>12</v>
      </c>
      <c r="K5568">
        <v>20</v>
      </c>
      <c r="L5568">
        <v>12</v>
      </c>
      <c r="M5568" s="2">
        <v>1.67</v>
      </c>
      <c r="N5568" s="2">
        <v>2.96</v>
      </c>
      <c r="O5568">
        <v>0</v>
      </c>
      <c r="P5568">
        <v>5</v>
      </c>
      <c r="Q5568" s="4" t="str">
        <f t="shared" si="787"/>
        <v>2018/2019-Ganjil</v>
      </c>
      <c r="R5568" s="8" t="s">
        <v>260</v>
      </c>
      <c r="S5568" t="str">
        <f t="shared" si="784"/>
        <v>PA</v>
      </c>
    </row>
    <row r="5569" spans="1:19" x14ac:dyDescent="0.3">
      <c r="A5569" t="s">
        <v>24</v>
      </c>
      <c r="B5569">
        <v>2016310001</v>
      </c>
      <c r="C5569" t="s">
        <v>46</v>
      </c>
      <c r="E5569" t="s">
        <v>515</v>
      </c>
      <c r="F5569" t="s">
        <v>78</v>
      </c>
      <c r="G5569">
        <v>2</v>
      </c>
      <c r="H5569" t="s">
        <v>438</v>
      </c>
      <c r="I5569" s="4">
        <f t="shared" si="785"/>
        <v>3</v>
      </c>
      <c r="J5569">
        <f t="shared" si="786"/>
        <v>6</v>
      </c>
      <c r="K5569">
        <v>48</v>
      </c>
      <c r="L5569">
        <v>14</v>
      </c>
      <c r="M5569" s="2">
        <v>3.43</v>
      </c>
      <c r="N5569" s="2">
        <v>2.96</v>
      </c>
      <c r="O5569">
        <v>0</v>
      </c>
      <c r="P5569">
        <v>11</v>
      </c>
      <c r="Q5569" s="4" t="str">
        <f t="shared" si="787"/>
        <v>2021/2022-Ganjil</v>
      </c>
      <c r="R5569" s="8" t="s">
        <v>260</v>
      </c>
      <c r="S5569" t="str">
        <f t="shared" si="784"/>
        <v>PA</v>
      </c>
    </row>
    <row r="5570" spans="1:19" x14ac:dyDescent="0.3">
      <c r="A5570" t="s">
        <v>24</v>
      </c>
      <c r="B5570">
        <v>2016310001</v>
      </c>
      <c r="C5570" t="s">
        <v>46</v>
      </c>
      <c r="E5570" t="s">
        <v>154</v>
      </c>
      <c r="F5570" t="s">
        <v>155</v>
      </c>
      <c r="G5570">
        <v>4</v>
      </c>
      <c r="H5570" t="s">
        <v>438</v>
      </c>
      <c r="I5570" s="4">
        <f t="shared" si="785"/>
        <v>3</v>
      </c>
      <c r="J5570">
        <f t="shared" si="786"/>
        <v>12</v>
      </c>
      <c r="K5570">
        <v>34</v>
      </c>
      <c r="L5570">
        <v>12</v>
      </c>
      <c r="M5570" s="2">
        <v>2.83</v>
      </c>
      <c r="N5570" s="2">
        <v>2.96</v>
      </c>
      <c r="O5570">
        <v>0</v>
      </c>
      <c r="P5570">
        <v>9</v>
      </c>
      <c r="Q5570" s="4" t="str">
        <f t="shared" si="787"/>
        <v>2020/2021-Ganjil</v>
      </c>
      <c r="R5570" s="8" t="s">
        <v>260</v>
      </c>
      <c r="S5570" t="str">
        <f t="shared" si="784"/>
        <v>PA</v>
      </c>
    </row>
    <row r="5571" spans="1:19" x14ac:dyDescent="0.3">
      <c r="A5571" t="s">
        <v>24</v>
      </c>
      <c r="B5571">
        <v>2016310001</v>
      </c>
      <c r="C5571" t="s">
        <v>46</v>
      </c>
      <c r="E5571" t="s">
        <v>482</v>
      </c>
      <c r="F5571" t="s">
        <v>483</v>
      </c>
      <c r="G5571">
        <v>2</v>
      </c>
      <c r="H5571" t="s">
        <v>438</v>
      </c>
      <c r="I5571" s="4">
        <f t="shared" si="785"/>
        <v>3</v>
      </c>
      <c r="J5571">
        <f t="shared" si="786"/>
        <v>6</v>
      </c>
      <c r="K5571">
        <v>34</v>
      </c>
      <c r="L5571">
        <v>12</v>
      </c>
      <c r="M5571" s="2">
        <v>2.83</v>
      </c>
      <c r="N5571" s="2">
        <v>2.96</v>
      </c>
      <c r="O5571">
        <v>0</v>
      </c>
      <c r="P5571">
        <v>9</v>
      </c>
      <c r="Q5571" s="4" t="str">
        <f t="shared" si="787"/>
        <v>2020/2021-Ganjil</v>
      </c>
      <c r="R5571" s="8" t="s">
        <v>260</v>
      </c>
      <c r="S5571" t="str">
        <f t="shared" si="784"/>
        <v>PA</v>
      </c>
    </row>
    <row r="5572" spans="1:19" x14ac:dyDescent="0.3">
      <c r="A5572" t="s">
        <v>24</v>
      </c>
      <c r="B5572">
        <v>2016310001</v>
      </c>
      <c r="C5572" t="s">
        <v>46</v>
      </c>
      <c r="E5572" t="s">
        <v>518</v>
      </c>
      <c r="F5572" t="s">
        <v>519</v>
      </c>
      <c r="G5572">
        <v>2</v>
      </c>
      <c r="H5572" t="s">
        <v>438</v>
      </c>
      <c r="I5572" s="4">
        <f t="shared" si="785"/>
        <v>3</v>
      </c>
      <c r="J5572">
        <f t="shared" si="786"/>
        <v>6</v>
      </c>
      <c r="K5572">
        <v>48</v>
      </c>
      <c r="L5572">
        <v>14</v>
      </c>
      <c r="M5572" s="2">
        <v>3.43</v>
      </c>
      <c r="N5572" s="2">
        <v>2.96</v>
      </c>
      <c r="O5572">
        <v>0</v>
      </c>
      <c r="P5572">
        <v>11</v>
      </c>
      <c r="Q5572" s="4" t="str">
        <f t="shared" si="787"/>
        <v>2021/2022-Ganjil</v>
      </c>
      <c r="R5572" s="8" t="s">
        <v>260</v>
      </c>
      <c r="S5572" t="str">
        <f t="shared" si="784"/>
        <v>PA</v>
      </c>
    </row>
    <row r="5573" spans="1:19" x14ac:dyDescent="0.3">
      <c r="A5573" t="s">
        <v>24</v>
      </c>
      <c r="B5573">
        <v>2016310001</v>
      </c>
      <c r="C5573" t="s">
        <v>46</v>
      </c>
      <c r="E5573" t="s">
        <v>496</v>
      </c>
      <c r="F5573" t="s">
        <v>291</v>
      </c>
      <c r="G5573">
        <v>2</v>
      </c>
      <c r="H5573" t="s">
        <v>438</v>
      </c>
      <c r="I5573" s="4">
        <f t="shared" si="785"/>
        <v>3</v>
      </c>
      <c r="J5573">
        <f t="shared" si="786"/>
        <v>6</v>
      </c>
      <c r="K5573">
        <v>60</v>
      </c>
      <c r="L5573">
        <v>20</v>
      </c>
      <c r="M5573" s="2">
        <v>3</v>
      </c>
      <c r="N5573" s="2">
        <v>2.96</v>
      </c>
      <c r="O5573">
        <v>0</v>
      </c>
      <c r="P5573">
        <v>10</v>
      </c>
      <c r="Q5573" s="4" t="str">
        <f t="shared" si="787"/>
        <v>2020/2021-Genap</v>
      </c>
      <c r="R5573" s="8" t="s">
        <v>260</v>
      </c>
      <c r="S5573" t="str">
        <f t="shared" si="784"/>
        <v>PA</v>
      </c>
    </row>
    <row r="5574" spans="1:19" x14ac:dyDescent="0.3">
      <c r="A5574" t="s">
        <v>24</v>
      </c>
      <c r="B5574">
        <v>2016310001</v>
      </c>
      <c r="C5574" t="s">
        <v>46</v>
      </c>
      <c r="E5574" t="s">
        <v>434</v>
      </c>
      <c r="F5574" t="s">
        <v>435</v>
      </c>
      <c r="G5574">
        <v>2</v>
      </c>
      <c r="H5574" t="s">
        <v>438</v>
      </c>
      <c r="I5574" s="4">
        <f t="shared" si="785"/>
        <v>3</v>
      </c>
      <c r="J5574">
        <f t="shared" si="786"/>
        <v>6</v>
      </c>
      <c r="K5574">
        <v>52</v>
      </c>
      <c r="L5574">
        <v>20</v>
      </c>
      <c r="M5574" s="2">
        <v>2.6</v>
      </c>
      <c r="N5574" s="2">
        <v>2.96</v>
      </c>
      <c r="O5574">
        <v>0</v>
      </c>
      <c r="P5574">
        <v>1</v>
      </c>
      <c r="Q5574" s="4" t="str">
        <f t="shared" si="787"/>
        <v>2016/2017-Ganjil</v>
      </c>
      <c r="R5574" s="8" t="s">
        <v>260</v>
      </c>
      <c r="S5574" t="str">
        <f t="shared" si="784"/>
        <v>PA</v>
      </c>
    </row>
    <row r="5575" spans="1:19" x14ac:dyDescent="0.3">
      <c r="A5575" t="s">
        <v>24</v>
      </c>
      <c r="B5575">
        <v>2016310001</v>
      </c>
      <c r="C5575" t="s">
        <v>46</v>
      </c>
      <c r="E5575" t="s">
        <v>26</v>
      </c>
      <c r="F5575" t="s">
        <v>11</v>
      </c>
      <c r="G5575">
        <v>2</v>
      </c>
      <c r="I5575" s="4"/>
      <c r="J5575">
        <f t="shared" ref="J5575:J5576" si="788">G5575*I5575</f>
        <v>0</v>
      </c>
      <c r="K5575">
        <v>6</v>
      </c>
      <c r="L5575">
        <v>2</v>
      </c>
      <c r="M5575" s="2">
        <v>3</v>
      </c>
      <c r="N5575" s="2">
        <v>2.96</v>
      </c>
      <c r="O5575">
        <v>1</v>
      </c>
      <c r="P5575">
        <v>12</v>
      </c>
      <c r="Q5575" s="4" t="str">
        <f t="shared" si="787"/>
        <v>2021/2022-Genap</v>
      </c>
      <c r="R5575" s="8" t="s">
        <v>260</v>
      </c>
      <c r="S5575" t="s">
        <v>595</v>
      </c>
    </row>
    <row r="5576" spans="1:19" x14ac:dyDescent="0.3">
      <c r="A5576" t="s">
        <v>24</v>
      </c>
      <c r="B5576">
        <v>2016310001</v>
      </c>
      <c r="C5576" t="s">
        <v>46</v>
      </c>
      <c r="E5576" t="s">
        <v>441</v>
      </c>
      <c r="F5576" t="s">
        <v>442</v>
      </c>
      <c r="G5576">
        <v>4</v>
      </c>
      <c r="H5576" t="s">
        <v>438</v>
      </c>
      <c r="I5576" s="4">
        <f t="shared" ref="I5576" si="789">IF(H5576="A",4,IF(H5576="B",3,IF(H5576="C",2,IF(H5576="D",1,0))))</f>
        <v>3</v>
      </c>
      <c r="J5576">
        <f t="shared" si="788"/>
        <v>12</v>
      </c>
      <c r="K5576">
        <v>40</v>
      </c>
      <c r="L5576">
        <v>12</v>
      </c>
      <c r="M5576" s="2">
        <v>3.33</v>
      </c>
      <c r="N5576" s="2">
        <v>2.96</v>
      </c>
      <c r="O5576">
        <v>0</v>
      </c>
      <c r="P5576">
        <v>3</v>
      </c>
      <c r="Q5576" s="4" t="str">
        <f t="shared" si="787"/>
        <v>2017/2018-Ganjil</v>
      </c>
      <c r="R5576" s="8" t="s">
        <v>260</v>
      </c>
      <c r="S5576" t="str">
        <f t="shared" ref="S5576:S5639" si="790">IF(OR(H5576="A",H5576="B",H5576="C"),"PA","FA")</f>
        <v>PA</v>
      </c>
    </row>
    <row r="5577" spans="1:19" x14ac:dyDescent="0.3">
      <c r="A5577" t="s">
        <v>24</v>
      </c>
      <c r="B5577">
        <v>2016310001</v>
      </c>
      <c r="C5577" t="s">
        <v>46</v>
      </c>
      <c r="E5577" t="s">
        <v>520</v>
      </c>
      <c r="F5577" t="s">
        <v>521</v>
      </c>
      <c r="G5577">
        <v>2</v>
      </c>
      <c r="H5577" t="s">
        <v>438</v>
      </c>
      <c r="I5577" s="4">
        <f t="shared" ref="I5577:I5640" si="791">IF(H5577="A",4,IF(H5577="B",3,IF(H5577="C",2,IF(H5577="D",1,0))))</f>
        <v>3</v>
      </c>
      <c r="J5577">
        <f t="shared" ref="J5577:J5640" si="792">G5577*I5577</f>
        <v>6</v>
      </c>
      <c r="K5577">
        <v>60</v>
      </c>
      <c r="L5577">
        <v>20</v>
      </c>
      <c r="M5577" s="2">
        <v>3</v>
      </c>
      <c r="N5577" s="2">
        <v>2.96</v>
      </c>
      <c r="O5577">
        <v>0</v>
      </c>
      <c r="P5577">
        <v>10</v>
      </c>
      <c r="Q5577" s="4" t="str">
        <f t="shared" si="787"/>
        <v>2020/2021-Genap</v>
      </c>
      <c r="R5577" s="8" t="s">
        <v>260</v>
      </c>
      <c r="S5577" t="str">
        <f t="shared" si="790"/>
        <v>PA</v>
      </c>
    </row>
    <row r="5578" spans="1:19" x14ac:dyDescent="0.3">
      <c r="A5578" t="s">
        <v>24</v>
      </c>
      <c r="B5578">
        <v>2016310001</v>
      </c>
      <c r="C5578" t="s">
        <v>46</v>
      </c>
      <c r="E5578" t="s">
        <v>128</v>
      </c>
      <c r="F5578" t="s">
        <v>129</v>
      </c>
      <c r="G5578">
        <v>4</v>
      </c>
      <c r="H5578" t="s">
        <v>438</v>
      </c>
      <c r="I5578" s="4">
        <f t="shared" si="791"/>
        <v>3</v>
      </c>
      <c r="J5578">
        <f t="shared" si="792"/>
        <v>12</v>
      </c>
      <c r="K5578">
        <v>52</v>
      </c>
      <c r="L5578">
        <v>20</v>
      </c>
      <c r="M5578" s="2">
        <v>2.6</v>
      </c>
      <c r="N5578" s="2">
        <v>2.96</v>
      </c>
      <c r="O5578">
        <v>0</v>
      </c>
      <c r="P5578">
        <v>1</v>
      </c>
      <c r="Q5578" s="4" t="str">
        <f t="shared" si="787"/>
        <v>2016/2017-Ganjil</v>
      </c>
      <c r="R5578" s="8" t="s">
        <v>260</v>
      </c>
      <c r="S5578" t="str">
        <f t="shared" si="790"/>
        <v>PA</v>
      </c>
    </row>
    <row r="5579" spans="1:19" x14ac:dyDescent="0.3">
      <c r="A5579" t="s">
        <v>24</v>
      </c>
      <c r="B5579">
        <v>2016310001</v>
      </c>
      <c r="C5579" t="s">
        <v>46</v>
      </c>
      <c r="E5579" t="s">
        <v>84</v>
      </c>
      <c r="F5579" t="s">
        <v>85</v>
      </c>
      <c r="G5579">
        <v>2</v>
      </c>
      <c r="H5579" t="s">
        <v>438</v>
      </c>
      <c r="I5579" s="4">
        <f t="shared" si="791"/>
        <v>3</v>
      </c>
      <c r="J5579">
        <f t="shared" si="792"/>
        <v>6</v>
      </c>
      <c r="K5579">
        <v>52</v>
      </c>
      <c r="L5579">
        <v>20</v>
      </c>
      <c r="M5579" s="2">
        <v>2.6</v>
      </c>
      <c r="N5579" s="2">
        <v>2.96</v>
      </c>
      <c r="O5579">
        <v>0</v>
      </c>
      <c r="P5579">
        <v>1</v>
      </c>
      <c r="Q5579" s="4" t="str">
        <f t="shared" si="787"/>
        <v>2016/2017-Ganjil</v>
      </c>
      <c r="R5579" s="8" t="s">
        <v>260</v>
      </c>
      <c r="S5579" t="str">
        <f t="shared" si="790"/>
        <v>PA</v>
      </c>
    </row>
    <row r="5580" spans="1:19" x14ac:dyDescent="0.3">
      <c r="A5580" t="s">
        <v>24</v>
      </c>
      <c r="B5580">
        <v>2016310001</v>
      </c>
      <c r="C5580" t="s">
        <v>46</v>
      </c>
      <c r="E5580" t="s">
        <v>458</v>
      </c>
      <c r="F5580" t="s">
        <v>459</v>
      </c>
      <c r="G5580">
        <v>2</v>
      </c>
      <c r="H5580" t="s">
        <v>438</v>
      </c>
      <c r="I5580" s="4">
        <f t="shared" si="791"/>
        <v>3</v>
      </c>
      <c r="J5580">
        <f t="shared" si="792"/>
        <v>6</v>
      </c>
      <c r="K5580">
        <v>30</v>
      </c>
      <c r="L5580">
        <v>12</v>
      </c>
      <c r="M5580" s="2">
        <v>2.5</v>
      </c>
      <c r="N5580" s="2">
        <v>2.96</v>
      </c>
      <c r="O5580">
        <v>0</v>
      </c>
      <c r="P5580">
        <v>6</v>
      </c>
      <c r="Q5580" s="4" t="str">
        <f t="shared" si="787"/>
        <v>2018/2019-Genap</v>
      </c>
      <c r="R5580" s="8" t="s">
        <v>260</v>
      </c>
      <c r="S5580" t="str">
        <f t="shared" si="790"/>
        <v>PA</v>
      </c>
    </row>
    <row r="5581" spans="1:19" x14ac:dyDescent="0.3">
      <c r="A5581" t="s">
        <v>24</v>
      </c>
      <c r="B5581">
        <v>2016310001</v>
      </c>
      <c r="C5581" t="s">
        <v>46</v>
      </c>
      <c r="E5581" t="s">
        <v>461</v>
      </c>
      <c r="F5581" t="s">
        <v>452</v>
      </c>
      <c r="G5581">
        <v>4</v>
      </c>
      <c r="H5581" t="s">
        <v>524</v>
      </c>
      <c r="I5581" s="4">
        <f t="shared" si="791"/>
        <v>2</v>
      </c>
      <c r="J5581">
        <f t="shared" si="792"/>
        <v>8</v>
      </c>
      <c r="K5581">
        <v>24</v>
      </c>
      <c r="L5581">
        <v>14</v>
      </c>
      <c r="M5581" s="2">
        <v>1.71</v>
      </c>
      <c r="N5581" s="2">
        <v>2.96</v>
      </c>
      <c r="O5581">
        <v>0</v>
      </c>
      <c r="P5581">
        <v>8</v>
      </c>
      <c r="Q5581" s="4" t="str">
        <f t="shared" si="787"/>
        <v>2019/2020-Genap</v>
      </c>
      <c r="R5581" s="8" t="s">
        <v>260</v>
      </c>
      <c r="S5581" t="str">
        <f t="shared" si="790"/>
        <v>PA</v>
      </c>
    </row>
    <row r="5582" spans="1:19" x14ac:dyDescent="0.3">
      <c r="A5582" t="s">
        <v>24</v>
      </c>
      <c r="B5582">
        <v>2016310001</v>
      </c>
      <c r="C5582" t="s">
        <v>46</v>
      </c>
      <c r="E5582" t="s">
        <v>478</v>
      </c>
      <c r="F5582" t="s">
        <v>375</v>
      </c>
      <c r="G5582">
        <v>2</v>
      </c>
      <c r="H5582" t="s">
        <v>524</v>
      </c>
      <c r="I5582" s="4">
        <f t="shared" si="791"/>
        <v>2</v>
      </c>
      <c r="J5582">
        <f t="shared" si="792"/>
        <v>4</v>
      </c>
      <c r="K5582">
        <v>34</v>
      </c>
      <c r="L5582">
        <v>12</v>
      </c>
      <c r="M5582" s="2">
        <v>2.83</v>
      </c>
      <c r="N5582" s="2">
        <v>2.96</v>
      </c>
      <c r="O5582">
        <v>0</v>
      </c>
      <c r="P5582">
        <v>9</v>
      </c>
      <c r="Q5582" s="4" t="str">
        <f t="shared" si="787"/>
        <v>2020/2021-Ganjil</v>
      </c>
      <c r="R5582" s="8" t="s">
        <v>260</v>
      </c>
      <c r="S5582" t="str">
        <f t="shared" si="790"/>
        <v>PA</v>
      </c>
    </row>
    <row r="5583" spans="1:19" x14ac:dyDescent="0.3">
      <c r="A5583" t="s">
        <v>24</v>
      </c>
      <c r="B5583">
        <v>2016310001</v>
      </c>
      <c r="C5583" t="s">
        <v>46</v>
      </c>
      <c r="E5583" t="s">
        <v>195</v>
      </c>
      <c r="F5583" t="s">
        <v>196</v>
      </c>
      <c r="G5583">
        <v>4</v>
      </c>
      <c r="H5583" t="s">
        <v>524</v>
      </c>
      <c r="I5583" s="4">
        <f t="shared" si="791"/>
        <v>2</v>
      </c>
      <c r="J5583">
        <f t="shared" si="792"/>
        <v>8</v>
      </c>
      <c r="K5583">
        <v>50</v>
      </c>
      <c r="L5583">
        <v>20</v>
      </c>
      <c r="M5583" s="2">
        <v>2.5</v>
      </c>
      <c r="N5583" s="2">
        <v>2.96</v>
      </c>
      <c r="O5583">
        <v>0</v>
      </c>
      <c r="P5583">
        <v>2</v>
      </c>
      <c r="Q5583" s="4" t="str">
        <f t="shared" si="787"/>
        <v>2016/2017-Genap</v>
      </c>
      <c r="R5583" s="8" t="s">
        <v>260</v>
      </c>
      <c r="S5583" t="str">
        <f t="shared" si="790"/>
        <v>PA</v>
      </c>
    </row>
    <row r="5584" spans="1:19" x14ac:dyDescent="0.3">
      <c r="A5584" t="s">
        <v>24</v>
      </c>
      <c r="B5584">
        <v>2016310001</v>
      </c>
      <c r="C5584" t="s">
        <v>46</v>
      </c>
      <c r="E5584" t="s">
        <v>195</v>
      </c>
      <c r="F5584" t="s">
        <v>196</v>
      </c>
      <c r="G5584">
        <v>4</v>
      </c>
      <c r="H5584" t="s">
        <v>438</v>
      </c>
      <c r="I5584" s="4">
        <f t="shared" si="791"/>
        <v>3</v>
      </c>
      <c r="J5584">
        <f t="shared" si="792"/>
        <v>12</v>
      </c>
      <c r="K5584">
        <v>28</v>
      </c>
      <c r="L5584">
        <v>10</v>
      </c>
      <c r="M5584" s="2">
        <v>2.8</v>
      </c>
      <c r="N5584" s="2">
        <v>2.96</v>
      </c>
      <c r="O5584">
        <v>1</v>
      </c>
      <c r="P5584">
        <v>12</v>
      </c>
      <c r="Q5584" s="4" t="s">
        <v>577</v>
      </c>
      <c r="R5584" s="8" t="s">
        <v>260</v>
      </c>
      <c r="S5584" t="str">
        <f t="shared" si="790"/>
        <v>PA</v>
      </c>
    </row>
    <row r="5585" spans="1:19" x14ac:dyDescent="0.3">
      <c r="A5585" t="s">
        <v>24</v>
      </c>
      <c r="B5585">
        <v>2016310001</v>
      </c>
      <c r="C5585" t="s">
        <v>46</v>
      </c>
      <c r="E5585" t="s">
        <v>480</v>
      </c>
      <c r="F5585" t="s">
        <v>481</v>
      </c>
      <c r="G5585">
        <v>2</v>
      </c>
      <c r="H5585" t="s">
        <v>524</v>
      </c>
      <c r="I5585" s="4">
        <f t="shared" si="791"/>
        <v>2</v>
      </c>
      <c r="J5585">
        <f t="shared" si="792"/>
        <v>4</v>
      </c>
      <c r="K5585">
        <v>40</v>
      </c>
      <c r="L5585">
        <v>12</v>
      </c>
      <c r="M5585" s="2">
        <v>3.33</v>
      </c>
      <c r="N5585" s="2">
        <v>2.96</v>
      </c>
      <c r="O5585">
        <v>0</v>
      </c>
      <c r="P5585">
        <v>3</v>
      </c>
      <c r="Q5585" s="4" t="str">
        <f t="shared" ref="Q5585:Q5595" si="793">IF(P5585=1,"2016/2017-Ganjil",IF(P5585=2,"2016/2017-Genap",IF(P5585=3,"2017/2018-Ganjil",IF(P5585=4,"2017/2018-Genap",IF(P5585=5,"2018/2019-Ganjil",IF(P5585=6,"2018/2019-Genap",IF(P5585=7,"2019/2020-Ganjil",IF(P5585=8,"2019/2020-Genap",IF(P5585=9,"2020/2021-Ganjil",IF(P5585=10,"2020/2021-Genap",IF(P5585=11,"2021/2022-Ganjil",IF(P5585=12,"2021/2022-Genap",IF(P5585=13,"2022/2023-Ganjil","2022/2023-Genap")))))))))))))</f>
        <v>2017/2018-Ganjil</v>
      </c>
      <c r="R5585" s="8" t="s">
        <v>260</v>
      </c>
      <c r="S5585" t="str">
        <f t="shared" si="790"/>
        <v>PA</v>
      </c>
    </row>
    <row r="5586" spans="1:19" x14ac:dyDescent="0.3">
      <c r="A5586" t="s">
        <v>24</v>
      </c>
      <c r="B5586">
        <v>2016310001</v>
      </c>
      <c r="C5586" t="s">
        <v>46</v>
      </c>
      <c r="E5586" t="s">
        <v>480</v>
      </c>
      <c r="F5586" t="s">
        <v>481</v>
      </c>
      <c r="G5586">
        <v>2</v>
      </c>
      <c r="H5586" t="s">
        <v>539</v>
      </c>
      <c r="I5586" s="4">
        <f t="shared" si="791"/>
        <v>0</v>
      </c>
      <c r="J5586">
        <f t="shared" si="792"/>
        <v>0</v>
      </c>
      <c r="K5586">
        <v>20</v>
      </c>
      <c r="L5586">
        <v>12</v>
      </c>
      <c r="M5586" s="2">
        <v>1.67</v>
      </c>
      <c r="N5586" s="2">
        <v>2.96</v>
      </c>
      <c r="O5586">
        <v>1</v>
      </c>
      <c r="P5586">
        <v>5</v>
      </c>
      <c r="Q5586" s="4" t="str">
        <f t="shared" si="793"/>
        <v>2018/2019-Ganjil</v>
      </c>
      <c r="R5586" s="8" t="s">
        <v>260</v>
      </c>
      <c r="S5586" t="str">
        <f t="shared" si="790"/>
        <v>FA</v>
      </c>
    </row>
    <row r="5587" spans="1:19" x14ac:dyDescent="0.3">
      <c r="A5587" t="s">
        <v>24</v>
      </c>
      <c r="B5587">
        <v>2016310001</v>
      </c>
      <c r="C5587" t="s">
        <v>46</v>
      </c>
      <c r="E5587" t="s">
        <v>469</v>
      </c>
      <c r="F5587" t="s">
        <v>470</v>
      </c>
      <c r="G5587">
        <v>2</v>
      </c>
      <c r="H5587" t="s">
        <v>524</v>
      </c>
      <c r="I5587" s="4">
        <f t="shared" si="791"/>
        <v>2</v>
      </c>
      <c r="J5587">
        <f t="shared" si="792"/>
        <v>4</v>
      </c>
      <c r="K5587">
        <v>52</v>
      </c>
      <c r="L5587">
        <v>18</v>
      </c>
      <c r="M5587" s="2">
        <v>2.89</v>
      </c>
      <c r="N5587" s="2">
        <v>2.96</v>
      </c>
      <c r="O5587">
        <v>0</v>
      </c>
      <c r="P5587">
        <v>7</v>
      </c>
      <c r="Q5587" s="4" t="str">
        <f t="shared" si="793"/>
        <v>2019/2020-Ganjil</v>
      </c>
      <c r="R5587" s="8" t="s">
        <v>260</v>
      </c>
      <c r="S5587" t="str">
        <f t="shared" si="790"/>
        <v>PA</v>
      </c>
    </row>
    <row r="5588" spans="1:19" x14ac:dyDescent="0.3">
      <c r="A5588" t="s">
        <v>24</v>
      </c>
      <c r="B5588">
        <v>2016310001</v>
      </c>
      <c r="C5588" t="s">
        <v>46</v>
      </c>
      <c r="E5588" t="s">
        <v>494</v>
      </c>
      <c r="F5588" t="s">
        <v>495</v>
      </c>
      <c r="G5588">
        <v>4</v>
      </c>
      <c r="H5588" t="s">
        <v>524</v>
      </c>
      <c r="I5588" s="4">
        <f t="shared" si="791"/>
        <v>2</v>
      </c>
      <c r="J5588">
        <f t="shared" si="792"/>
        <v>8</v>
      </c>
      <c r="K5588">
        <v>8</v>
      </c>
      <c r="L5588">
        <v>14</v>
      </c>
      <c r="M5588" s="2">
        <v>0.56999999999999995</v>
      </c>
      <c r="N5588" s="2">
        <v>2.96</v>
      </c>
      <c r="O5588">
        <v>0</v>
      </c>
      <c r="P5588">
        <v>4</v>
      </c>
      <c r="Q5588" s="4" t="str">
        <f t="shared" si="793"/>
        <v>2017/2018-Genap</v>
      </c>
      <c r="R5588" s="8" t="s">
        <v>260</v>
      </c>
      <c r="S5588" t="str">
        <f t="shared" si="790"/>
        <v>PA</v>
      </c>
    </row>
    <row r="5589" spans="1:19" x14ac:dyDescent="0.3">
      <c r="A5589" t="s">
        <v>24</v>
      </c>
      <c r="B5589">
        <v>2016310001</v>
      </c>
      <c r="C5589" t="s">
        <v>46</v>
      </c>
      <c r="E5589" t="s">
        <v>494</v>
      </c>
      <c r="F5589" t="s">
        <v>495</v>
      </c>
      <c r="G5589">
        <v>4</v>
      </c>
      <c r="H5589" t="s">
        <v>260</v>
      </c>
      <c r="I5589" s="4">
        <f t="shared" si="791"/>
        <v>4</v>
      </c>
      <c r="J5589">
        <f t="shared" si="792"/>
        <v>16</v>
      </c>
      <c r="K5589">
        <v>60</v>
      </c>
      <c r="L5589">
        <v>20</v>
      </c>
      <c r="M5589" s="2">
        <v>3</v>
      </c>
      <c r="N5589" s="2">
        <v>2.96</v>
      </c>
      <c r="O5589">
        <v>1</v>
      </c>
      <c r="P5589">
        <v>10</v>
      </c>
      <c r="Q5589" s="4" t="str">
        <f t="shared" si="793"/>
        <v>2020/2021-Genap</v>
      </c>
      <c r="R5589" s="8" t="s">
        <v>260</v>
      </c>
      <c r="S5589" t="str">
        <f t="shared" si="790"/>
        <v>PA</v>
      </c>
    </row>
    <row r="5590" spans="1:19" x14ac:dyDescent="0.3">
      <c r="A5590" t="s">
        <v>24</v>
      </c>
      <c r="B5590">
        <v>2016310001</v>
      </c>
      <c r="C5590" t="s">
        <v>46</v>
      </c>
      <c r="E5590" t="s">
        <v>389</v>
      </c>
      <c r="F5590" t="s">
        <v>390</v>
      </c>
      <c r="G5590">
        <v>2</v>
      </c>
      <c r="H5590" t="s">
        <v>524</v>
      </c>
      <c r="I5590" s="4">
        <f t="shared" si="791"/>
        <v>2</v>
      </c>
      <c r="J5590">
        <f t="shared" si="792"/>
        <v>4</v>
      </c>
      <c r="K5590">
        <v>50</v>
      </c>
      <c r="L5590">
        <v>20</v>
      </c>
      <c r="M5590" s="2">
        <v>2.5</v>
      </c>
      <c r="N5590" s="2">
        <v>2.96</v>
      </c>
      <c r="O5590">
        <v>0</v>
      </c>
      <c r="P5590">
        <v>2</v>
      </c>
      <c r="Q5590" s="4" t="str">
        <f t="shared" si="793"/>
        <v>2016/2017-Genap</v>
      </c>
      <c r="R5590" s="8" t="s">
        <v>260</v>
      </c>
      <c r="S5590" t="str">
        <f t="shared" si="790"/>
        <v>PA</v>
      </c>
    </row>
    <row r="5591" spans="1:19" x14ac:dyDescent="0.3">
      <c r="A5591" t="s">
        <v>24</v>
      </c>
      <c r="B5591">
        <v>2016310001</v>
      </c>
      <c r="C5591" t="s">
        <v>46</v>
      </c>
      <c r="E5591" t="s">
        <v>422</v>
      </c>
      <c r="F5591" t="s">
        <v>45</v>
      </c>
      <c r="G5591">
        <v>2</v>
      </c>
      <c r="H5591" t="s">
        <v>524</v>
      </c>
      <c r="I5591" s="4">
        <f t="shared" si="791"/>
        <v>2</v>
      </c>
      <c r="J5591">
        <f t="shared" si="792"/>
        <v>4</v>
      </c>
      <c r="K5591">
        <v>50</v>
      </c>
      <c r="L5591">
        <v>20</v>
      </c>
      <c r="M5591" s="2">
        <v>2.5</v>
      </c>
      <c r="N5591" s="2">
        <v>2.96</v>
      </c>
      <c r="O5591">
        <v>0</v>
      </c>
      <c r="P5591">
        <v>2</v>
      </c>
      <c r="Q5591" s="4" t="str">
        <f t="shared" si="793"/>
        <v>2016/2017-Genap</v>
      </c>
      <c r="R5591" s="8" t="s">
        <v>260</v>
      </c>
      <c r="S5591" t="str">
        <f t="shared" si="790"/>
        <v>PA</v>
      </c>
    </row>
    <row r="5592" spans="1:19" x14ac:dyDescent="0.3">
      <c r="A5592" t="s">
        <v>24</v>
      </c>
      <c r="B5592">
        <v>2016310001</v>
      </c>
      <c r="C5592" t="s">
        <v>46</v>
      </c>
      <c r="E5592" t="s">
        <v>455</v>
      </c>
      <c r="F5592" t="s">
        <v>280</v>
      </c>
      <c r="G5592">
        <v>2</v>
      </c>
      <c r="H5592" t="s">
        <v>524</v>
      </c>
      <c r="I5592" s="4">
        <f t="shared" si="791"/>
        <v>2</v>
      </c>
      <c r="J5592">
        <f t="shared" si="792"/>
        <v>4</v>
      </c>
      <c r="K5592">
        <v>50</v>
      </c>
      <c r="L5592">
        <v>20</v>
      </c>
      <c r="M5592" s="2">
        <v>2.5</v>
      </c>
      <c r="N5592" s="2">
        <v>2.96</v>
      </c>
      <c r="O5592">
        <v>0</v>
      </c>
      <c r="P5592">
        <v>2</v>
      </c>
      <c r="Q5592" s="4" t="str">
        <f t="shared" si="793"/>
        <v>2016/2017-Genap</v>
      </c>
      <c r="R5592" s="8" t="s">
        <v>260</v>
      </c>
      <c r="S5592" t="str">
        <f t="shared" si="790"/>
        <v>PA</v>
      </c>
    </row>
    <row r="5593" spans="1:19" x14ac:dyDescent="0.3">
      <c r="A5593" t="s">
        <v>24</v>
      </c>
      <c r="B5593">
        <v>2016310001</v>
      </c>
      <c r="C5593" t="s">
        <v>46</v>
      </c>
      <c r="E5593" t="s">
        <v>486</v>
      </c>
      <c r="F5593" t="s">
        <v>428</v>
      </c>
      <c r="G5593">
        <v>4</v>
      </c>
      <c r="H5593" t="s">
        <v>524</v>
      </c>
      <c r="I5593" s="4">
        <f t="shared" si="791"/>
        <v>2</v>
      </c>
      <c r="J5593">
        <f t="shared" si="792"/>
        <v>8</v>
      </c>
      <c r="K5593">
        <v>30</v>
      </c>
      <c r="L5593">
        <v>12</v>
      </c>
      <c r="M5593" s="2">
        <v>2.5</v>
      </c>
      <c r="N5593" s="2">
        <v>2.96</v>
      </c>
      <c r="O5593">
        <v>0</v>
      </c>
      <c r="P5593">
        <v>6</v>
      </c>
      <c r="Q5593" s="4" t="str">
        <f t="shared" si="793"/>
        <v>2018/2019-Genap</v>
      </c>
      <c r="R5593" s="8" t="s">
        <v>260</v>
      </c>
      <c r="S5593" t="str">
        <f t="shared" si="790"/>
        <v>PA</v>
      </c>
    </row>
    <row r="5594" spans="1:19" x14ac:dyDescent="0.3">
      <c r="A5594" t="s">
        <v>24</v>
      </c>
      <c r="B5594">
        <v>2016310001</v>
      </c>
      <c r="C5594" t="s">
        <v>46</v>
      </c>
      <c r="E5594" t="s">
        <v>346</v>
      </c>
      <c r="F5594" t="s">
        <v>347</v>
      </c>
      <c r="G5594">
        <v>2</v>
      </c>
      <c r="H5594" t="s">
        <v>524</v>
      </c>
      <c r="I5594" s="4">
        <f t="shared" si="791"/>
        <v>2</v>
      </c>
      <c r="J5594">
        <f t="shared" si="792"/>
        <v>4</v>
      </c>
      <c r="K5594">
        <v>30</v>
      </c>
      <c r="L5594">
        <v>12</v>
      </c>
      <c r="M5594" s="2">
        <v>2.5</v>
      </c>
      <c r="N5594" s="2">
        <v>2.96</v>
      </c>
      <c r="O5594">
        <v>0</v>
      </c>
      <c r="P5594">
        <v>6</v>
      </c>
      <c r="Q5594" s="4" t="str">
        <f t="shared" si="793"/>
        <v>2018/2019-Genap</v>
      </c>
      <c r="R5594" s="8" t="s">
        <v>260</v>
      </c>
      <c r="S5594" t="str">
        <f t="shared" si="790"/>
        <v>PA</v>
      </c>
    </row>
    <row r="5595" spans="1:19" x14ac:dyDescent="0.3">
      <c r="A5595" t="s">
        <v>24</v>
      </c>
      <c r="B5595">
        <v>2016310001</v>
      </c>
      <c r="C5595" t="s">
        <v>46</v>
      </c>
      <c r="E5595" t="s">
        <v>224</v>
      </c>
      <c r="F5595" t="s">
        <v>225</v>
      </c>
      <c r="G5595">
        <v>4</v>
      </c>
      <c r="H5595" t="s">
        <v>535</v>
      </c>
      <c r="I5595" s="4">
        <f t="shared" si="791"/>
        <v>1</v>
      </c>
      <c r="J5595">
        <f t="shared" si="792"/>
        <v>4</v>
      </c>
      <c r="K5595">
        <v>52</v>
      </c>
      <c r="L5595">
        <v>20</v>
      </c>
      <c r="M5595" s="2">
        <v>2.6</v>
      </c>
      <c r="N5595" s="2">
        <v>2.96</v>
      </c>
      <c r="O5595">
        <v>0</v>
      </c>
      <c r="P5595">
        <v>1</v>
      </c>
      <c r="Q5595" s="4" t="str">
        <f t="shared" si="793"/>
        <v>2016/2017-Ganjil</v>
      </c>
      <c r="R5595" s="8" t="s">
        <v>260</v>
      </c>
      <c r="S5595" t="str">
        <f t="shared" si="790"/>
        <v>FA</v>
      </c>
    </row>
    <row r="5596" spans="1:19" x14ac:dyDescent="0.3">
      <c r="A5596" t="s">
        <v>24</v>
      </c>
      <c r="B5596">
        <v>2016310001</v>
      </c>
      <c r="C5596" t="s">
        <v>46</v>
      </c>
      <c r="E5596" t="s">
        <v>224</v>
      </c>
      <c r="F5596" t="s">
        <v>225</v>
      </c>
      <c r="G5596">
        <v>4</v>
      </c>
      <c r="H5596" t="s">
        <v>438</v>
      </c>
      <c r="I5596" s="4">
        <f t="shared" si="791"/>
        <v>3</v>
      </c>
      <c r="J5596">
        <f t="shared" si="792"/>
        <v>12</v>
      </c>
      <c r="K5596">
        <v>28</v>
      </c>
      <c r="L5596">
        <v>10</v>
      </c>
      <c r="M5596" s="2">
        <v>2.8</v>
      </c>
      <c r="N5596" s="2">
        <v>2.96</v>
      </c>
      <c r="O5596">
        <v>1</v>
      </c>
      <c r="P5596">
        <v>12</v>
      </c>
      <c r="Q5596" s="4" t="s">
        <v>577</v>
      </c>
      <c r="R5596" s="8" t="s">
        <v>260</v>
      </c>
      <c r="S5596" t="str">
        <f t="shared" si="790"/>
        <v>PA</v>
      </c>
    </row>
    <row r="5597" spans="1:19" x14ac:dyDescent="0.3">
      <c r="A5597" t="s">
        <v>24</v>
      </c>
      <c r="B5597">
        <v>2016310001</v>
      </c>
      <c r="C5597" t="s">
        <v>46</v>
      </c>
      <c r="E5597" t="s">
        <v>462</v>
      </c>
      <c r="F5597" t="s">
        <v>291</v>
      </c>
      <c r="G5597">
        <v>2</v>
      </c>
      <c r="H5597" t="s">
        <v>535</v>
      </c>
      <c r="I5597" s="4">
        <f t="shared" si="791"/>
        <v>1</v>
      </c>
      <c r="J5597">
        <f t="shared" si="792"/>
        <v>2</v>
      </c>
      <c r="K5597">
        <v>50</v>
      </c>
      <c r="L5597">
        <v>20</v>
      </c>
      <c r="M5597" s="2">
        <v>2.5</v>
      </c>
      <c r="N5597" s="2">
        <v>2.96</v>
      </c>
      <c r="O5597">
        <v>0</v>
      </c>
      <c r="P5597">
        <v>2</v>
      </c>
      <c r="Q5597" s="4" t="str">
        <f t="shared" ref="Q5597:Q5628" si="794">IF(P5597=1,"2016/2017-Ganjil",IF(P5597=2,"2016/2017-Genap",IF(P5597=3,"2017/2018-Ganjil",IF(P5597=4,"2017/2018-Genap",IF(P5597=5,"2018/2019-Ganjil",IF(P5597=6,"2018/2019-Genap",IF(P5597=7,"2019/2020-Ganjil",IF(P5597=8,"2019/2020-Genap",IF(P5597=9,"2020/2021-Ganjil",IF(P5597=10,"2020/2021-Genap",IF(P5597=11,"2021/2022-Ganjil",IF(P5597=12,"2021/2022-Genap",IF(P5597=13,"2022/2023-Ganjil","2022/2023-Genap")))))))))))))</f>
        <v>2016/2017-Genap</v>
      </c>
      <c r="R5597" s="8" t="s">
        <v>260</v>
      </c>
      <c r="S5597" t="str">
        <f t="shared" si="790"/>
        <v>FA</v>
      </c>
    </row>
    <row r="5598" spans="1:19" x14ac:dyDescent="0.3">
      <c r="A5598" t="s">
        <v>24</v>
      </c>
      <c r="B5598">
        <v>2016310001</v>
      </c>
      <c r="C5598" t="s">
        <v>46</v>
      </c>
      <c r="E5598" t="s">
        <v>464</v>
      </c>
      <c r="F5598" t="s">
        <v>108</v>
      </c>
      <c r="G5598">
        <v>2</v>
      </c>
      <c r="H5598" t="s">
        <v>535</v>
      </c>
      <c r="I5598" s="4">
        <f t="shared" si="791"/>
        <v>1</v>
      </c>
      <c r="J5598">
        <f t="shared" si="792"/>
        <v>2</v>
      </c>
      <c r="K5598">
        <v>20</v>
      </c>
      <c r="L5598">
        <v>12</v>
      </c>
      <c r="M5598" s="2">
        <v>1.67</v>
      </c>
      <c r="N5598" s="2">
        <v>2.96</v>
      </c>
      <c r="O5598">
        <v>0</v>
      </c>
      <c r="P5598">
        <v>5</v>
      </c>
      <c r="Q5598" s="4" t="str">
        <f t="shared" si="794"/>
        <v>2018/2019-Ganjil</v>
      </c>
      <c r="R5598" s="8" t="s">
        <v>260</v>
      </c>
      <c r="S5598" t="str">
        <f t="shared" si="790"/>
        <v>FA</v>
      </c>
    </row>
    <row r="5599" spans="1:19" x14ac:dyDescent="0.3">
      <c r="A5599" t="s">
        <v>24</v>
      </c>
      <c r="B5599">
        <v>2016310001</v>
      </c>
      <c r="C5599" t="s">
        <v>46</v>
      </c>
      <c r="E5599" t="s">
        <v>464</v>
      </c>
      <c r="F5599" t="s">
        <v>108</v>
      </c>
      <c r="G5599">
        <v>2</v>
      </c>
      <c r="H5599" t="s">
        <v>438</v>
      </c>
      <c r="I5599" s="4">
        <f t="shared" si="791"/>
        <v>3</v>
      </c>
      <c r="J5599">
        <f t="shared" si="792"/>
        <v>6</v>
      </c>
      <c r="K5599">
        <v>52</v>
      </c>
      <c r="L5599">
        <v>18</v>
      </c>
      <c r="M5599" s="2">
        <v>2.89</v>
      </c>
      <c r="N5599" s="2">
        <v>2.96</v>
      </c>
      <c r="O5599">
        <v>1</v>
      </c>
      <c r="P5599">
        <v>7</v>
      </c>
      <c r="Q5599" s="4" t="str">
        <f t="shared" si="794"/>
        <v>2019/2020-Ganjil</v>
      </c>
      <c r="R5599" s="8" t="s">
        <v>260</v>
      </c>
      <c r="S5599" t="str">
        <f t="shared" si="790"/>
        <v>PA</v>
      </c>
    </row>
    <row r="5600" spans="1:19" x14ac:dyDescent="0.3">
      <c r="A5600" t="s">
        <v>24</v>
      </c>
      <c r="B5600">
        <v>2016310001</v>
      </c>
      <c r="C5600" t="s">
        <v>46</v>
      </c>
      <c r="E5600" t="s">
        <v>417</v>
      </c>
      <c r="F5600" t="s">
        <v>418</v>
      </c>
      <c r="G5600">
        <v>4</v>
      </c>
      <c r="H5600" t="s">
        <v>539</v>
      </c>
      <c r="I5600" s="4">
        <f t="shared" si="791"/>
        <v>0</v>
      </c>
      <c r="J5600">
        <f t="shared" si="792"/>
        <v>0</v>
      </c>
      <c r="K5600">
        <v>8</v>
      </c>
      <c r="L5600">
        <v>14</v>
      </c>
      <c r="M5600" s="2">
        <v>0.56999999999999995</v>
      </c>
      <c r="N5600" s="2">
        <v>2.96</v>
      </c>
      <c r="O5600">
        <v>0</v>
      </c>
      <c r="P5600">
        <v>4</v>
      </c>
      <c r="Q5600" s="4" t="str">
        <f t="shared" si="794"/>
        <v>2017/2018-Genap</v>
      </c>
      <c r="R5600" s="8" t="s">
        <v>260</v>
      </c>
      <c r="S5600" t="str">
        <f t="shared" si="790"/>
        <v>FA</v>
      </c>
    </row>
    <row r="5601" spans="1:19" x14ac:dyDescent="0.3">
      <c r="A5601" t="s">
        <v>24</v>
      </c>
      <c r="B5601">
        <v>2016310001</v>
      </c>
      <c r="C5601" t="s">
        <v>46</v>
      </c>
      <c r="E5601" t="s">
        <v>417</v>
      </c>
      <c r="F5601" t="s">
        <v>418</v>
      </c>
      <c r="G5601">
        <v>4</v>
      </c>
      <c r="H5601" t="s">
        <v>438</v>
      </c>
      <c r="I5601" s="4">
        <f t="shared" si="791"/>
        <v>3</v>
      </c>
      <c r="J5601">
        <f t="shared" si="792"/>
        <v>12</v>
      </c>
      <c r="K5601">
        <v>60</v>
      </c>
      <c r="L5601">
        <v>20</v>
      </c>
      <c r="M5601" s="2">
        <v>3</v>
      </c>
      <c r="N5601" s="2">
        <v>2.96</v>
      </c>
      <c r="O5601">
        <v>1</v>
      </c>
      <c r="P5601">
        <v>10</v>
      </c>
      <c r="Q5601" s="4" t="str">
        <f t="shared" si="794"/>
        <v>2020/2021-Genap</v>
      </c>
      <c r="R5601" s="8" t="s">
        <v>260</v>
      </c>
      <c r="S5601" t="str">
        <f t="shared" si="790"/>
        <v>PA</v>
      </c>
    </row>
    <row r="5602" spans="1:19" x14ac:dyDescent="0.3">
      <c r="A5602" t="s">
        <v>24</v>
      </c>
      <c r="B5602">
        <v>2016310001</v>
      </c>
      <c r="C5602" t="s">
        <v>46</v>
      </c>
      <c r="E5602" t="s">
        <v>526</v>
      </c>
      <c r="F5602" t="s">
        <v>258</v>
      </c>
      <c r="G5602">
        <v>4</v>
      </c>
      <c r="H5602" t="s">
        <v>539</v>
      </c>
      <c r="I5602" s="4">
        <f t="shared" si="791"/>
        <v>0</v>
      </c>
      <c r="J5602">
        <f t="shared" si="792"/>
        <v>0</v>
      </c>
      <c r="K5602">
        <v>8</v>
      </c>
      <c r="L5602">
        <v>14</v>
      </c>
      <c r="M5602" s="2">
        <v>0.56999999999999995</v>
      </c>
      <c r="N5602" s="2">
        <v>2.96</v>
      </c>
      <c r="O5602">
        <v>0</v>
      </c>
      <c r="P5602">
        <v>4</v>
      </c>
      <c r="Q5602" s="4" t="str">
        <f t="shared" si="794"/>
        <v>2017/2018-Genap</v>
      </c>
      <c r="R5602" s="8" t="s">
        <v>260</v>
      </c>
      <c r="S5602" t="str">
        <f t="shared" si="790"/>
        <v>FA</v>
      </c>
    </row>
    <row r="5603" spans="1:19" x14ac:dyDescent="0.3">
      <c r="A5603" t="s">
        <v>24</v>
      </c>
      <c r="B5603">
        <v>2016310001</v>
      </c>
      <c r="C5603" t="s">
        <v>46</v>
      </c>
      <c r="E5603" t="s">
        <v>526</v>
      </c>
      <c r="F5603" t="s">
        <v>258</v>
      </c>
      <c r="G5603">
        <v>4</v>
      </c>
      <c r="H5603" t="s">
        <v>539</v>
      </c>
      <c r="I5603" s="4">
        <f t="shared" si="791"/>
        <v>0</v>
      </c>
      <c r="J5603">
        <f t="shared" si="792"/>
        <v>0</v>
      </c>
      <c r="K5603">
        <v>24</v>
      </c>
      <c r="L5603">
        <v>14</v>
      </c>
      <c r="M5603" s="2">
        <v>1.71</v>
      </c>
      <c r="N5603" s="2">
        <v>2.96</v>
      </c>
      <c r="O5603">
        <v>1</v>
      </c>
      <c r="P5603">
        <v>8</v>
      </c>
      <c r="Q5603" s="4" t="str">
        <f t="shared" si="794"/>
        <v>2019/2020-Genap</v>
      </c>
      <c r="R5603" s="8" t="s">
        <v>260</v>
      </c>
      <c r="S5603" t="str">
        <f t="shared" si="790"/>
        <v>FA</v>
      </c>
    </row>
    <row r="5604" spans="1:19" x14ac:dyDescent="0.3">
      <c r="A5604" t="s">
        <v>24</v>
      </c>
      <c r="B5604">
        <v>2016310001</v>
      </c>
      <c r="C5604" t="s">
        <v>46</v>
      </c>
      <c r="E5604" t="s">
        <v>526</v>
      </c>
      <c r="F5604" t="s">
        <v>258</v>
      </c>
      <c r="G5604">
        <v>4</v>
      </c>
      <c r="H5604" t="s">
        <v>524</v>
      </c>
      <c r="I5604" s="4">
        <f t="shared" si="791"/>
        <v>2</v>
      </c>
      <c r="J5604">
        <f t="shared" si="792"/>
        <v>8</v>
      </c>
      <c r="K5604">
        <v>60</v>
      </c>
      <c r="L5604">
        <v>20</v>
      </c>
      <c r="M5604" s="2">
        <v>3</v>
      </c>
      <c r="N5604" s="2">
        <v>2.96</v>
      </c>
      <c r="O5604">
        <v>2</v>
      </c>
      <c r="P5604">
        <v>10</v>
      </c>
      <c r="Q5604" s="4" t="str">
        <f t="shared" si="794"/>
        <v>2020/2021-Genap</v>
      </c>
      <c r="R5604" s="8" t="s">
        <v>260</v>
      </c>
      <c r="S5604" t="str">
        <f t="shared" si="790"/>
        <v>PA</v>
      </c>
    </row>
    <row r="5605" spans="1:19" x14ac:dyDescent="0.3">
      <c r="A5605" t="s">
        <v>24</v>
      </c>
      <c r="B5605">
        <v>2016310001</v>
      </c>
      <c r="C5605" t="s">
        <v>46</v>
      </c>
      <c r="E5605" t="s">
        <v>444</v>
      </c>
      <c r="F5605" t="s">
        <v>445</v>
      </c>
      <c r="G5605">
        <v>2</v>
      </c>
      <c r="H5605" t="s">
        <v>539</v>
      </c>
      <c r="I5605" s="4">
        <f t="shared" si="791"/>
        <v>0</v>
      </c>
      <c r="J5605">
        <f t="shared" si="792"/>
        <v>0</v>
      </c>
      <c r="K5605">
        <v>8</v>
      </c>
      <c r="L5605">
        <v>14</v>
      </c>
      <c r="M5605" s="2">
        <v>0.56999999999999995</v>
      </c>
      <c r="N5605" s="2">
        <v>2.96</v>
      </c>
      <c r="O5605">
        <v>0</v>
      </c>
      <c r="P5605">
        <v>4</v>
      </c>
      <c r="Q5605" s="4" t="str">
        <f t="shared" si="794"/>
        <v>2017/2018-Genap</v>
      </c>
      <c r="R5605" s="8" t="s">
        <v>260</v>
      </c>
      <c r="S5605" t="str">
        <f t="shared" si="790"/>
        <v>FA</v>
      </c>
    </row>
    <row r="5606" spans="1:19" x14ac:dyDescent="0.3">
      <c r="A5606" t="s">
        <v>24</v>
      </c>
      <c r="B5606">
        <v>2016310001</v>
      </c>
      <c r="C5606" t="s">
        <v>46</v>
      </c>
      <c r="E5606" t="s">
        <v>444</v>
      </c>
      <c r="F5606" t="s">
        <v>445</v>
      </c>
      <c r="G5606">
        <v>2</v>
      </c>
      <c r="H5606" t="s">
        <v>524</v>
      </c>
      <c r="I5606" s="4">
        <f t="shared" si="791"/>
        <v>2</v>
      </c>
      <c r="J5606">
        <f t="shared" si="792"/>
        <v>4</v>
      </c>
      <c r="K5606">
        <v>24</v>
      </c>
      <c r="L5606">
        <v>14</v>
      </c>
      <c r="M5606" s="2">
        <v>1.71</v>
      </c>
      <c r="N5606" s="2">
        <v>2.96</v>
      </c>
      <c r="O5606">
        <v>1</v>
      </c>
      <c r="P5606">
        <v>8</v>
      </c>
      <c r="Q5606" s="4" t="str">
        <f t="shared" si="794"/>
        <v>2019/2020-Genap</v>
      </c>
      <c r="R5606" s="8" t="s">
        <v>260</v>
      </c>
      <c r="S5606" t="str">
        <f t="shared" si="790"/>
        <v>PA</v>
      </c>
    </row>
    <row r="5607" spans="1:19" x14ac:dyDescent="0.3">
      <c r="A5607" t="s">
        <v>24</v>
      </c>
      <c r="B5607">
        <v>2016310001</v>
      </c>
      <c r="C5607" t="s">
        <v>46</v>
      </c>
      <c r="E5607" t="s">
        <v>444</v>
      </c>
      <c r="F5607" t="s">
        <v>445</v>
      </c>
      <c r="G5607">
        <v>2</v>
      </c>
      <c r="H5607" t="s">
        <v>438</v>
      </c>
      <c r="I5607" s="4">
        <f t="shared" si="791"/>
        <v>3</v>
      </c>
      <c r="J5607">
        <f t="shared" si="792"/>
        <v>6</v>
      </c>
      <c r="K5607">
        <v>6</v>
      </c>
      <c r="L5607">
        <v>2</v>
      </c>
      <c r="M5607" s="2">
        <v>3</v>
      </c>
      <c r="N5607" s="2">
        <v>2.96</v>
      </c>
      <c r="O5607">
        <v>2</v>
      </c>
      <c r="P5607">
        <v>12</v>
      </c>
      <c r="Q5607" s="4" t="str">
        <f t="shared" si="794"/>
        <v>2021/2022-Genap</v>
      </c>
      <c r="R5607" s="8" t="s">
        <v>260</v>
      </c>
      <c r="S5607" t="str">
        <f t="shared" si="790"/>
        <v>PA</v>
      </c>
    </row>
    <row r="5608" spans="1:19" x14ac:dyDescent="0.3">
      <c r="A5608" t="s">
        <v>24</v>
      </c>
      <c r="B5608">
        <v>2016310001</v>
      </c>
      <c r="C5608" t="s">
        <v>46</v>
      </c>
      <c r="E5608" t="s">
        <v>542</v>
      </c>
      <c r="F5608" t="s">
        <v>169</v>
      </c>
      <c r="G5608">
        <v>2</v>
      </c>
      <c r="H5608" t="s">
        <v>539</v>
      </c>
      <c r="I5608" s="4">
        <f t="shared" si="791"/>
        <v>0</v>
      </c>
      <c r="J5608">
        <f t="shared" si="792"/>
        <v>0</v>
      </c>
      <c r="K5608">
        <v>20</v>
      </c>
      <c r="L5608">
        <v>12</v>
      </c>
      <c r="M5608" s="2">
        <v>1.67</v>
      </c>
      <c r="N5608" s="2">
        <v>2.96</v>
      </c>
      <c r="O5608">
        <v>0</v>
      </c>
      <c r="P5608">
        <v>5</v>
      </c>
      <c r="Q5608" s="4" t="str">
        <f t="shared" si="794"/>
        <v>2018/2019-Ganjil</v>
      </c>
      <c r="R5608" s="8" t="s">
        <v>260</v>
      </c>
      <c r="S5608" t="str">
        <f t="shared" si="790"/>
        <v>FA</v>
      </c>
    </row>
    <row r="5609" spans="1:19" x14ac:dyDescent="0.3">
      <c r="A5609" t="s">
        <v>24</v>
      </c>
      <c r="B5609">
        <v>2016310001</v>
      </c>
      <c r="C5609" t="s">
        <v>46</v>
      </c>
      <c r="E5609" t="s">
        <v>215</v>
      </c>
      <c r="F5609" t="s">
        <v>583</v>
      </c>
      <c r="G5609">
        <v>4</v>
      </c>
      <c r="H5609" t="s">
        <v>438</v>
      </c>
      <c r="I5609" s="4">
        <f t="shared" si="791"/>
        <v>3</v>
      </c>
      <c r="J5609">
        <f t="shared" si="792"/>
        <v>12</v>
      </c>
      <c r="K5609">
        <v>52</v>
      </c>
      <c r="L5609">
        <v>18</v>
      </c>
      <c r="M5609" s="2">
        <v>2.89</v>
      </c>
      <c r="N5609" s="2">
        <v>2.96</v>
      </c>
      <c r="O5609">
        <v>0</v>
      </c>
      <c r="P5609">
        <v>7</v>
      </c>
      <c r="Q5609" s="4" t="str">
        <f t="shared" si="794"/>
        <v>2019/2020-Ganjil</v>
      </c>
      <c r="R5609" s="8" t="s">
        <v>260</v>
      </c>
      <c r="S5609" t="str">
        <f t="shared" si="790"/>
        <v>PA</v>
      </c>
    </row>
    <row r="5610" spans="1:19" x14ac:dyDescent="0.3">
      <c r="A5610" t="s">
        <v>24</v>
      </c>
      <c r="B5610">
        <v>2016310003</v>
      </c>
      <c r="C5610" t="s">
        <v>288</v>
      </c>
      <c r="E5610" t="s">
        <v>289</v>
      </c>
      <c r="F5610" t="s">
        <v>129</v>
      </c>
      <c r="G5610">
        <v>4</v>
      </c>
      <c r="H5610" t="s">
        <v>260</v>
      </c>
      <c r="I5610" s="4">
        <f t="shared" si="791"/>
        <v>4</v>
      </c>
      <c r="J5610">
        <f t="shared" si="792"/>
        <v>16</v>
      </c>
      <c r="K5610">
        <v>70</v>
      </c>
      <c r="L5610">
        <v>20</v>
      </c>
      <c r="M5610" s="2">
        <v>2.83</v>
      </c>
      <c r="N5610">
        <v>3.07</v>
      </c>
      <c r="O5610">
        <v>0</v>
      </c>
      <c r="P5610">
        <v>2</v>
      </c>
      <c r="Q5610" s="4" t="str">
        <f t="shared" si="794"/>
        <v>2016/2017-Genap</v>
      </c>
      <c r="R5610" s="8" t="s">
        <v>260</v>
      </c>
      <c r="S5610" t="str">
        <f t="shared" si="790"/>
        <v>PA</v>
      </c>
    </row>
    <row r="5611" spans="1:19" x14ac:dyDescent="0.3">
      <c r="A5611" t="s">
        <v>24</v>
      </c>
      <c r="B5611">
        <v>2016310003</v>
      </c>
      <c r="C5611" t="s">
        <v>288</v>
      </c>
      <c r="E5611" t="s">
        <v>195</v>
      </c>
      <c r="F5611" t="s">
        <v>196</v>
      </c>
      <c r="G5611">
        <v>4</v>
      </c>
      <c r="H5611" t="s">
        <v>260</v>
      </c>
      <c r="I5611" s="4">
        <f t="shared" si="791"/>
        <v>4</v>
      </c>
      <c r="J5611">
        <f t="shared" si="792"/>
        <v>16</v>
      </c>
      <c r="K5611">
        <v>70</v>
      </c>
      <c r="L5611">
        <v>20</v>
      </c>
      <c r="M5611" s="2">
        <v>2.83</v>
      </c>
      <c r="N5611">
        <v>3.07</v>
      </c>
      <c r="O5611">
        <v>0</v>
      </c>
      <c r="P5611">
        <v>2</v>
      </c>
      <c r="Q5611" s="4" t="str">
        <f t="shared" si="794"/>
        <v>2016/2017-Genap</v>
      </c>
      <c r="R5611" s="8" t="s">
        <v>260</v>
      </c>
      <c r="S5611" t="str">
        <f t="shared" si="790"/>
        <v>PA</v>
      </c>
    </row>
    <row r="5612" spans="1:19" x14ac:dyDescent="0.3">
      <c r="A5612" t="s">
        <v>24</v>
      </c>
      <c r="B5612">
        <v>2016310003</v>
      </c>
      <c r="C5612" t="s">
        <v>288</v>
      </c>
      <c r="E5612" t="s">
        <v>128</v>
      </c>
      <c r="F5612" t="s">
        <v>129</v>
      </c>
      <c r="G5612">
        <v>4</v>
      </c>
      <c r="H5612" t="s">
        <v>260</v>
      </c>
      <c r="I5612" s="4">
        <f t="shared" si="791"/>
        <v>4</v>
      </c>
      <c r="J5612">
        <f t="shared" si="792"/>
        <v>16</v>
      </c>
      <c r="K5612">
        <v>62</v>
      </c>
      <c r="L5612">
        <v>20</v>
      </c>
      <c r="M5612" s="2">
        <v>3.1</v>
      </c>
      <c r="N5612">
        <v>3.07</v>
      </c>
      <c r="O5612">
        <v>0</v>
      </c>
      <c r="P5612">
        <v>1</v>
      </c>
      <c r="Q5612" s="4" t="str">
        <f t="shared" si="794"/>
        <v>2016/2017-Ganjil</v>
      </c>
      <c r="R5612" s="8" t="s">
        <v>260</v>
      </c>
      <c r="S5612" t="str">
        <f t="shared" si="790"/>
        <v>PA</v>
      </c>
    </row>
    <row r="5613" spans="1:19" x14ac:dyDescent="0.3">
      <c r="A5613" t="s">
        <v>24</v>
      </c>
      <c r="B5613">
        <v>2016310003</v>
      </c>
      <c r="C5613" t="s">
        <v>288</v>
      </c>
      <c r="E5613" t="s">
        <v>380</v>
      </c>
      <c r="F5613" t="s">
        <v>381</v>
      </c>
      <c r="G5613">
        <v>2</v>
      </c>
      <c r="H5613" t="s">
        <v>260</v>
      </c>
      <c r="I5613" s="4">
        <f t="shared" si="791"/>
        <v>4</v>
      </c>
      <c r="J5613">
        <f t="shared" si="792"/>
        <v>8</v>
      </c>
      <c r="K5613">
        <v>84</v>
      </c>
      <c r="L5613">
        <v>26</v>
      </c>
      <c r="M5613" s="2">
        <v>3.1</v>
      </c>
      <c r="N5613">
        <v>3.07</v>
      </c>
      <c r="O5613">
        <v>0</v>
      </c>
      <c r="P5613">
        <v>3</v>
      </c>
      <c r="Q5613" s="4" t="str">
        <f t="shared" si="794"/>
        <v>2017/2018-Ganjil</v>
      </c>
      <c r="R5613" s="8" t="s">
        <v>260</v>
      </c>
      <c r="S5613" t="str">
        <f t="shared" si="790"/>
        <v>PA</v>
      </c>
    </row>
    <row r="5614" spans="1:19" x14ac:dyDescent="0.3">
      <c r="A5614" t="s">
        <v>24</v>
      </c>
      <c r="B5614">
        <v>2016310003</v>
      </c>
      <c r="C5614" t="s">
        <v>288</v>
      </c>
      <c r="E5614" t="s">
        <v>377</v>
      </c>
      <c r="F5614" t="s">
        <v>378</v>
      </c>
      <c r="G5614">
        <v>2</v>
      </c>
      <c r="H5614" t="s">
        <v>260</v>
      </c>
      <c r="I5614" s="4">
        <f t="shared" si="791"/>
        <v>4</v>
      </c>
      <c r="J5614">
        <f t="shared" si="792"/>
        <v>8</v>
      </c>
      <c r="K5614">
        <v>70</v>
      </c>
      <c r="L5614">
        <v>20</v>
      </c>
      <c r="M5614" s="2">
        <v>2.83</v>
      </c>
      <c r="N5614">
        <v>3.07</v>
      </c>
      <c r="O5614">
        <v>0</v>
      </c>
      <c r="P5614">
        <v>2</v>
      </c>
      <c r="Q5614" s="4" t="str">
        <f t="shared" si="794"/>
        <v>2016/2017-Genap</v>
      </c>
      <c r="R5614" s="8" t="s">
        <v>260</v>
      </c>
      <c r="S5614" t="str">
        <f t="shared" si="790"/>
        <v>PA</v>
      </c>
    </row>
    <row r="5615" spans="1:19" x14ac:dyDescent="0.3">
      <c r="A5615" t="s">
        <v>24</v>
      </c>
      <c r="B5615">
        <v>2016310003</v>
      </c>
      <c r="C5615" t="s">
        <v>288</v>
      </c>
      <c r="E5615" t="s">
        <v>389</v>
      </c>
      <c r="F5615" t="s">
        <v>390</v>
      </c>
      <c r="G5615">
        <v>2</v>
      </c>
      <c r="H5615" t="s">
        <v>260</v>
      </c>
      <c r="I5615" s="4">
        <f t="shared" si="791"/>
        <v>4</v>
      </c>
      <c r="J5615">
        <f t="shared" si="792"/>
        <v>8</v>
      </c>
      <c r="K5615">
        <v>70</v>
      </c>
      <c r="L5615">
        <v>20</v>
      </c>
      <c r="M5615" s="2">
        <v>2.83</v>
      </c>
      <c r="N5615">
        <v>3.07</v>
      </c>
      <c r="O5615">
        <v>0</v>
      </c>
      <c r="P5615">
        <v>2</v>
      </c>
      <c r="Q5615" s="4" t="str">
        <f t="shared" si="794"/>
        <v>2016/2017-Genap</v>
      </c>
      <c r="R5615" s="8" t="s">
        <v>260</v>
      </c>
      <c r="S5615" t="str">
        <f t="shared" si="790"/>
        <v>PA</v>
      </c>
    </row>
    <row r="5616" spans="1:19" x14ac:dyDescent="0.3">
      <c r="A5616" t="s">
        <v>24</v>
      </c>
      <c r="B5616">
        <v>2016310003</v>
      </c>
      <c r="C5616" t="s">
        <v>288</v>
      </c>
      <c r="E5616" t="s">
        <v>26</v>
      </c>
      <c r="F5616" t="s">
        <v>11</v>
      </c>
      <c r="G5616">
        <v>2</v>
      </c>
      <c r="H5616" t="s">
        <v>260</v>
      </c>
      <c r="I5616" s="4">
        <f t="shared" si="791"/>
        <v>4</v>
      </c>
      <c r="J5616">
        <f t="shared" si="792"/>
        <v>8</v>
      </c>
      <c r="K5616">
        <v>44</v>
      </c>
      <c r="L5616">
        <v>18</v>
      </c>
      <c r="M5616" s="2">
        <v>2.44</v>
      </c>
      <c r="N5616">
        <v>3.07</v>
      </c>
      <c r="O5616">
        <v>0</v>
      </c>
      <c r="P5616">
        <v>6</v>
      </c>
      <c r="Q5616" s="4" t="str">
        <f t="shared" si="794"/>
        <v>2018/2019-Genap</v>
      </c>
      <c r="R5616" s="8" t="s">
        <v>260</v>
      </c>
      <c r="S5616" t="str">
        <f t="shared" si="790"/>
        <v>PA</v>
      </c>
    </row>
    <row r="5617" spans="1:19" x14ac:dyDescent="0.3">
      <c r="A5617" t="s">
        <v>24</v>
      </c>
      <c r="B5617">
        <v>2016310003</v>
      </c>
      <c r="C5617" t="s">
        <v>288</v>
      </c>
      <c r="E5617" t="s">
        <v>397</v>
      </c>
      <c r="F5617" t="s">
        <v>398</v>
      </c>
      <c r="G5617">
        <v>4</v>
      </c>
      <c r="H5617" t="s">
        <v>260</v>
      </c>
      <c r="I5617" s="4">
        <f t="shared" si="791"/>
        <v>4</v>
      </c>
      <c r="J5617">
        <f t="shared" si="792"/>
        <v>16</v>
      </c>
      <c r="K5617">
        <v>84</v>
      </c>
      <c r="L5617">
        <v>26</v>
      </c>
      <c r="M5617" s="2">
        <v>3.1</v>
      </c>
      <c r="N5617">
        <v>3.07</v>
      </c>
      <c r="O5617">
        <v>0</v>
      </c>
      <c r="P5617">
        <v>3</v>
      </c>
      <c r="Q5617" s="4" t="str">
        <f t="shared" si="794"/>
        <v>2017/2018-Ganjil</v>
      </c>
      <c r="R5617" s="8" t="s">
        <v>260</v>
      </c>
      <c r="S5617" t="str">
        <f t="shared" si="790"/>
        <v>PA</v>
      </c>
    </row>
    <row r="5618" spans="1:19" x14ac:dyDescent="0.3">
      <c r="A5618" t="s">
        <v>24</v>
      </c>
      <c r="B5618">
        <v>2016310003</v>
      </c>
      <c r="C5618" t="s">
        <v>288</v>
      </c>
      <c r="E5618" t="s">
        <v>145</v>
      </c>
      <c r="F5618" t="s">
        <v>146</v>
      </c>
      <c r="G5618">
        <v>2</v>
      </c>
      <c r="H5618" t="s">
        <v>260</v>
      </c>
      <c r="I5618" s="4">
        <f t="shared" si="791"/>
        <v>4</v>
      </c>
      <c r="J5618">
        <f t="shared" si="792"/>
        <v>8</v>
      </c>
      <c r="K5618">
        <v>62</v>
      </c>
      <c r="L5618">
        <v>20</v>
      </c>
      <c r="M5618" s="2">
        <v>3.1</v>
      </c>
      <c r="N5618">
        <v>3.07</v>
      </c>
      <c r="O5618">
        <v>0</v>
      </c>
      <c r="P5618">
        <v>1</v>
      </c>
      <c r="Q5618" s="4" t="str">
        <f t="shared" si="794"/>
        <v>2016/2017-Ganjil</v>
      </c>
      <c r="R5618" s="8" t="s">
        <v>260</v>
      </c>
      <c r="S5618" t="str">
        <f t="shared" si="790"/>
        <v>PA</v>
      </c>
    </row>
    <row r="5619" spans="1:19" x14ac:dyDescent="0.3">
      <c r="A5619" t="s">
        <v>24</v>
      </c>
      <c r="B5619">
        <v>2016310003</v>
      </c>
      <c r="C5619" t="s">
        <v>288</v>
      </c>
      <c r="E5619" t="s">
        <v>252</v>
      </c>
      <c r="F5619" t="s">
        <v>78</v>
      </c>
      <c r="G5619">
        <v>2</v>
      </c>
      <c r="H5619" t="s">
        <v>260</v>
      </c>
      <c r="I5619" s="4">
        <f t="shared" si="791"/>
        <v>4</v>
      </c>
      <c r="J5619">
        <f t="shared" si="792"/>
        <v>8</v>
      </c>
      <c r="K5619">
        <v>84</v>
      </c>
      <c r="L5619">
        <v>26</v>
      </c>
      <c r="M5619" s="2">
        <v>3.1</v>
      </c>
      <c r="N5619">
        <v>3.07</v>
      </c>
      <c r="O5619">
        <v>0</v>
      </c>
      <c r="P5619">
        <v>3</v>
      </c>
      <c r="Q5619" s="4" t="str">
        <f t="shared" si="794"/>
        <v>2017/2018-Ganjil</v>
      </c>
      <c r="R5619" s="8" t="s">
        <v>260</v>
      </c>
      <c r="S5619" t="str">
        <f t="shared" si="790"/>
        <v>PA</v>
      </c>
    </row>
    <row r="5620" spans="1:19" x14ac:dyDescent="0.3">
      <c r="A5620" t="s">
        <v>24</v>
      </c>
      <c r="B5620">
        <v>2016310003</v>
      </c>
      <c r="C5620" t="s">
        <v>288</v>
      </c>
      <c r="E5620" t="s">
        <v>351</v>
      </c>
      <c r="F5620" t="s">
        <v>243</v>
      </c>
      <c r="G5620">
        <v>2</v>
      </c>
      <c r="H5620" t="s">
        <v>260</v>
      </c>
      <c r="I5620" s="4">
        <f t="shared" si="791"/>
        <v>4</v>
      </c>
      <c r="J5620">
        <f t="shared" si="792"/>
        <v>8</v>
      </c>
      <c r="K5620">
        <v>84</v>
      </c>
      <c r="L5620">
        <v>26</v>
      </c>
      <c r="M5620" s="2">
        <v>3.1</v>
      </c>
      <c r="N5620">
        <v>3.07</v>
      </c>
      <c r="O5620">
        <v>0</v>
      </c>
      <c r="P5620">
        <v>3</v>
      </c>
      <c r="Q5620" s="4" t="str">
        <f t="shared" si="794"/>
        <v>2017/2018-Ganjil</v>
      </c>
      <c r="R5620" s="8" t="s">
        <v>260</v>
      </c>
      <c r="S5620" t="str">
        <f t="shared" si="790"/>
        <v>PA</v>
      </c>
    </row>
    <row r="5621" spans="1:19" x14ac:dyDescent="0.3">
      <c r="A5621" t="s">
        <v>24</v>
      </c>
      <c r="B5621">
        <v>2016310003</v>
      </c>
      <c r="C5621" t="s">
        <v>288</v>
      </c>
      <c r="E5621" t="s">
        <v>405</v>
      </c>
      <c r="F5621" t="s">
        <v>406</v>
      </c>
      <c r="G5621">
        <v>2</v>
      </c>
      <c r="H5621" t="s">
        <v>438</v>
      </c>
      <c r="I5621" s="4">
        <f t="shared" si="791"/>
        <v>3</v>
      </c>
      <c r="J5621">
        <f t="shared" si="792"/>
        <v>6</v>
      </c>
      <c r="K5621">
        <v>62</v>
      </c>
      <c r="L5621">
        <v>22</v>
      </c>
      <c r="M5621" s="2">
        <v>2.82</v>
      </c>
      <c r="N5621">
        <v>3.07</v>
      </c>
      <c r="O5621">
        <v>0</v>
      </c>
      <c r="P5621">
        <v>4</v>
      </c>
      <c r="Q5621" s="4" t="str">
        <f t="shared" si="794"/>
        <v>2017/2018-Genap</v>
      </c>
      <c r="R5621" s="8" t="s">
        <v>260</v>
      </c>
      <c r="S5621" t="str">
        <f t="shared" si="790"/>
        <v>PA</v>
      </c>
    </row>
    <row r="5622" spans="1:19" x14ac:dyDescent="0.3">
      <c r="A5622" t="s">
        <v>24</v>
      </c>
      <c r="B5622">
        <v>2016310003</v>
      </c>
      <c r="C5622" t="s">
        <v>288</v>
      </c>
      <c r="E5622" t="s">
        <v>453</v>
      </c>
      <c r="F5622" t="s">
        <v>454</v>
      </c>
      <c r="G5622">
        <v>4</v>
      </c>
      <c r="H5622" t="s">
        <v>438</v>
      </c>
      <c r="I5622" s="4">
        <f t="shared" si="791"/>
        <v>3</v>
      </c>
      <c r="J5622">
        <f t="shared" si="792"/>
        <v>12</v>
      </c>
      <c r="K5622">
        <v>50</v>
      </c>
      <c r="L5622">
        <v>18</v>
      </c>
      <c r="M5622" s="2">
        <v>2.78</v>
      </c>
      <c r="N5622">
        <v>3.07</v>
      </c>
      <c r="O5622">
        <v>0</v>
      </c>
      <c r="P5622">
        <v>7</v>
      </c>
      <c r="Q5622" s="4" t="str">
        <f t="shared" si="794"/>
        <v>2019/2020-Ganjil</v>
      </c>
      <c r="R5622" s="8" t="s">
        <v>260</v>
      </c>
      <c r="S5622" t="str">
        <f t="shared" si="790"/>
        <v>PA</v>
      </c>
    </row>
    <row r="5623" spans="1:19" x14ac:dyDescent="0.3">
      <c r="A5623" t="s">
        <v>24</v>
      </c>
      <c r="B5623">
        <v>2016310003</v>
      </c>
      <c r="C5623" t="s">
        <v>288</v>
      </c>
      <c r="E5623" t="s">
        <v>154</v>
      </c>
      <c r="F5623" t="s">
        <v>155</v>
      </c>
      <c r="G5623">
        <v>4</v>
      </c>
      <c r="H5623" t="s">
        <v>438</v>
      </c>
      <c r="I5623" s="4">
        <f t="shared" si="791"/>
        <v>3</v>
      </c>
      <c r="J5623">
        <f t="shared" si="792"/>
        <v>12</v>
      </c>
      <c r="K5623">
        <v>58</v>
      </c>
      <c r="L5623">
        <v>20</v>
      </c>
      <c r="M5623" s="2">
        <v>2.9</v>
      </c>
      <c r="N5623">
        <v>3.07</v>
      </c>
      <c r="O5623">
        <v>0</v>
      </c>
      <c r="P5623">
        <v>5</v>
      </c>
      <c r="Q5623" s="4" t="str">
        <f t="shared" si="794"/>
        <v>2018/2019-Ganjil</v>
      </c>
      <c r="R5623" s="8" t="s">
        <v>260</v>
      </c>
      <c r="S5623" t="str">
        <f t="shared" si="790"/>
        <v>PA</v>
      </c>
    </row>
    <row r="5624" spans="1:19" x14ac:dyDescent="0.3">
      <c r="A5624" t="s">
        <v>24</v>
      </c>
      <c r="B5624">
        <v>2016310003</v>
      </c>
      <c r="C5624" t="s">
        <v>288</v>
      </c>
      <c r="E5624" t="s">
        <v>441</v>
      </c>
      <c r="F5624" t="s">
        <v>442</v>
      </c>
      <c r="G5624">
        <v>4</v>
      </c>
      <c r="H5624" t="s">
        <v>438</v>
      </c>
      <c r="I5624" s="4">
        <f t="shared" si="791"/>
        <v>3</v>
      </c>
      <c r="J5624">
        <f t="shared" si="792"/>
        <v>12</v>
      </c>
      <c r="K5624">
        <v>84</v>
      </c>
      <c r="L5624">
        <v>26</v>
      </c>
      <c r="M5624" s="2">
        <v>3.1</v>
      </c>
      <c r="N5624">
        <v>3.07</v>
      </c>
      <c r="O5624">
        <v>0</v>
      </c>
      <c r="P5624">
        <v>3</v>
      </c>
      <c r="Q5624" s="4" t="str">
        <f t="shared" si="794"/>
        <v>2017/2018-Ganjil</v>
      </c>
      <c r="R5624" s="8" t="s">
        <v>260</v>
      </c>
      <c r="S5624" t="str">
        <f t="shared" si="790"/>
        <v>PA</v>
      </c>
    </row>
    <row r="5625" spans="1:19" x14ac:dyDescent="0.3">
      <c r="A5625" t="s">
        <v>24</v>
      </c>
      <c r="B5625">
        <v>2016310003</v>
      </c>
      <c r="C5625" t="s">
        <v>288</v>
      </c>
      <c r="E5625" t="s">
        <v>443</v>
      </c>
      <c r="F5625" t="s">
        <v>140</v>
      </c>
      <c r="G5625">
        <v>2</v>
      </c>
      <c r="H5625" t="s">
        <v>438</v>
      </c>
      <c r="I5625" s="4">
        <f t="shared" si="791"/>
        <v>3</v>
      </c>
      <c r="J5625">
        <f t="shared" si="792"/>
        <v>6</v>
      </c>
      <c r="K5625">
        <v>50</v>
      </c>
      <c r="L5625">
        <v>18</v>
      </c>
      <c r="M5625" s="2">
        <v>2.78</v>
      </c>
      <c r="N5625">
        <v>3.07</v>
      </c>
      <c r="O5625">
        <v>0</v>
      </c>
      <c r="P5625">
        <v>7</v>
      </c>
      <c r="Q5625" s="4" t="str">
        <f t="shared" si="794"/>
        <v>2019/2020-Ganjil</v>
      </c>
      <c r="R5625" s="8" t="s">
        <v>260</v>
      </c>
      <c r="S5625" t="str">
        <f t="shared" si="790"/>
        <v>PA</v>
      </c>
    </row>
    <row r="5626" spans="1:19" x14ac:dyDescent="0.3">
      <c r="A5626" t="s">
        <v>24</v>
      </c>
      <c r="B5626">
        <v>2016310003</v>
      </c>
      <c r="C5626" t="s">
        <v>288</v>
      </c>
      <c r="E5626" t="s">
        <v>131</v>
      </c>
      <c r="F5626" t="s">
        <v>132</v>
      </c>
      <c r="G5626">
        <v>2</v>
      </c>
      <c r="H5626" t="s">
        <v>438</v>
      </c>
      <c r="I5626" s="4">
        <f t="shared" si="791"/>
        <v>3</v>
      </c>
      <c r="J5626">
        <f t="shared" si="792"/>
        <v>6</v>
      </c>
      <c r="K5626">
        <v>62</v>
      </c>
      <c r="L5626">
        <v>20</v>
      </c>
      <c r="M5626" s="2">
        <v>3.1</v>
      </c>
      <c r="N5626">
        <v>3.07</v>
      </c>
      <c r="O5626">
        <v>0</v>
      </c>
      <c r="P5626">
        <v>1</v>
      </c>
      <c r="Q5626" s="4" t="str">
        <f t="shared" si="794"/>
        <v>2016/2017-Ganjil</v>
      </c>
      <c r="R5626" s="8" t="s">
        <v>260</v>
      </c>
      <c r="S5626" t="str">
        <f t="shared" si="790"/>
        <v>PA</v>
      </c>
    </row>
    <row r="5627" spans="1:19" x14ac:dyDescent="0.3">
      <c r="A5627" t="s">
        <v>24</v>
      </c>
      <c r="B5627">
        <v>2016310003</v>
      </c>
      <c r="C5627" t="s">
        <v>288</v>
      </c>
      <c r="E5627" t="s">
        <v>384</v>
      </c>
      <c r="F5627" t="s">
        <v>385</v>
      </c>
      <c r="G5627">
        <v>2</v>
      </c>
      <c r="H5627" t="s">
        <v>438</v>
      </c>
      <c r="I5627" s="4">
        <f t="shared" si="791"/>
        <v>3</v>
      </c>
      <c r="J5627">
        <f t="shared" si="792"/>
        <v>6</v>
      </c>
      <c r="K5627">
        <v>58</v>
      </c>
      <c r="L5627">
        <v>20</v>
      </c>
      <c r="M5627" s="2">
        <v>2.9</v>
      </c>
      <c r="N5627">
        <v>3.07</v>
      </c>
      <c r="O5627">
        <v>0</v>
      </c>
      <c r="P5627">
        <v>5</v>
      </c>
      <c r="Q5627" s="4" t="str">
        <f t="shared" si="794"/>
        <v>2018/2019-Ganjil</v>
      </c>
      <c r="R5627" s="8" t="s">
        <v>260</v>
      </c>
      <c r="S5627" t="str">
        <f t="shared" si="790"/>
        <v>PA</v>
      </c>
    </row>
    <row r="5628" spans="1:19" x14ac:dyDescent="0.3">
      <c r="A5628" t="s">
        <v>24</v>
      </c>
      <c r="B5628">
        <v>2016310003</v>
      </c>
      <c r="C5628" t="s">
        <v>288</v>
      </c>
      <c r="E5628" t="s">
        <v>480</v>
      </c>
      <c r="F5628" t="s">
        <v>481</v>
      </c>
      <c r="G5628">
        <v>2</v>
      </c>
      <c r="H5628" t="s">
        <v>438</v>
      </c>
      <c r="I5628" s="4">
        <f t="shared" si="791"/>
        <v>3</v>
      </c>
      <c r="J5628">
        <f t="shared" si="792"/>
        <v>6</v>
      </c>
      <c r="K5628">
        <v>84</v>
      </c>
      <c r="L5628">
        <v>26</v>
      </c>
      <c r="M5628" s="2">
        <v>3.1</v>
      </c>
      <c r="N5628">
        <v>3.07</v>
      </c>
      <c r="O5628">
        <v>0</v>
      </c>
      <c r="P5628">
        <v>3</v>
      </c>
      <c r="Q5628" s="4" t="str">
        <f t="shared" si="794"/>
        <v>2017/2018-Ganjil</v>
      </c>
      <c r="R5628" s="8" t="s">
        <v>260</v>
      </c>
      <c r="S5628" t="str">
        <f t="shared" si="790"/>
        <v>PA</v>
      </c>
    </row>
    <row r="5629" spans="1:19" x14ac:dyDescent="0.3">
      <c r="A5629" t="s">
        <v>24</v>
      </c>
      <c r="B5629">
        <v>2016310003</v>
      </c>
      <c r="C5629" t="s">
        <v>288</v>
      </c>
      <c r="E5629" t="s">
        <v>482</v>
      </c>
      <c r="F5629" t="s">
        <v>483</v>
      </c>
      <c r="G5629">
        <v>2</v>
      </c>
      <c r="H5629" t="s">
        <v>438</v>
      </c>
      <c r="I5629" s="4">
        <f t="shared" si="791"/>
        <v>3</v>
      </c>
      <c r="J5629">
        <f t="shared" si="792"/>
        <v>6</v>
      </c>
      <c r="K5629">
        <v>50</v>
      </c>
      <c r="L5629">
        <v>18</v>
      </c>
      <c r="M5629" s="2">
        <v>2.78</v>
      </c>
      <c r="N5629">
        <v>3.07</v>
      </c>
      <c r="O5629">
        <v>0</v>
      </c>
      <c r="P5629">
        <v>7</v>
      </c>
      <c r="Q5629" s="4" t="str">
        <f t="shared" ref="Q5629:Q5657" si="795">IF(P5629=1,"2016/2017-Ganjil",IF(P5629=2,"2016/2017-Genap",IF(P5629=3,"2017/2018-Ganjil",IF(P5629=4,"2017/2018-Genap",IF(P5629=5,"2018/2019-Ganjil",IF(P5629=6,"2018/2019-Genap",IF(P5629=7,"2019/2020-Ganjil",IF(P5629=8,"2019/2020-Genap",IF(P5629=9,"2020/2021-Ganjil",IF(P5629=10,"2020/2021-Genap",IF(P5629=11,"2021/2022-Ganjil",IF(P5629=12,"2021/2022-Genap",IF(P5629=13,"2022/2023-Ganjil","2022/2023-Genap")))))))))))))</f>
        <v>2019/2020-Ganjil</v>
      </c>
      <c r="R5629" s="8" t="s">
        <v>260</v>
      </c>
      <c r="S5629" t="str">
        <f t="shared" si="790"/>
        <v>PA</v>
      </c>
    </row>
    <row r="5630" spans="1:19" x14ac:dyDescent="0.3">
      <c r="A5630" t="s">
        <v>24</v>
      </c>
      <c r="B5630">
        <v>2016310003</v>
      </c>
      <c r="C5630" t="s">
        <v>288</v>
      </c>
      <c r="E5630" t="s">
        <v>399</v>
      </c>
      <c r="F5630" t="s">
        <v>400</v>
      </c>
      <c r="G5630">
        <v>4</v>
      </c>
      <c r="H5630" t="s">
        <v>438</v>
      </c>
      <c r="I5630" s="4">
        <f t="shared" si="791"/>
        <v>3</v>
      </c>
      <c r="J5630">
        <f t="shared" si="792"/>
        <v>12</v>
      </c>
      <c r="K5630">
        <v>58</v>
      </c>
      <c r="L5630">
        <v>20</v>
      </c>
      <c r="M5630" s="2">
        <v>2.9</v>
      </c>
      <c r="N5630">
        <v>3.07</v>
      </c>
      <c r="O5630">
        <v>0</v>
      </c>
      <c r="P5630">
        <v>5</v>
      </c>
      <c r="Q5630" s="4" t="str">
        <f t="shared" si="795"/>
        <v>2018/2019-Ganjil</v>
      </c>
      <c r="R5630" s="8" t="s">
        <v>260</v>
      </c>
      <c r="S5630" t="str">
        <f t="shared" si="790"/>
        <v>PA</v>
      </c>
    </row>
    <row r="5631" spans="1:19" x14ac:dyDescent="0.3">
      <c r="A5631" t="s">
        <v>24</v>
      </c>
      <c r="B5631">
        <v>2016310003</v>
      </c>
      <c r="C5631" t="s">
        <v>288</v>
      </c>
      <c r="E5631" t="s">
        <v>215</v>
      </c>
      <c r="F5631" t="s">
        <v>583</v>
      </c>
      <c r="G5631">
        <v>4</v>
      </c>
      <c r="H5631" t="s">
        <v>438</v>
      </c>
      <c r="I5631" s="4">
        <f t="shared" si="791"/>
        <v>3</v>
      </c>
      <c r="J5631">
        <f t="shared" si="792"/>
        <v>12</v>
      </c>
      <c r="K5631">
        <v>50</v>
      </c>
      <c r="L5631">
        <v>18</v>
      </c>
      <c r="M5631" s="2">
        <v>2.78</v>
      </c>
      <c r="N5631">
        <v>3.07</v>
      </c>
      <c r="O5631">
        <v>0</v>
      </c>
      <c r="P5631">
        <v>7</v>
      </c>
      <c r="Q5631" s="4" t="str">
        <f t="shared" si="795"/>
        <v>2019/2020-Ganjil</v>
      </c>
      <c r="R5631" s="8" t="s">
        <v>260</v>
      </c>
      <c r="S5631" t="str">
        <f t="shared" si="790"/>
        <v>PA</v>
      </c>
    </row>
    <row r="5632" spans="1:19" x14ac:dyDescent="0.3">
      <c r="A5632" t="s">
        <v>24</v>
      </c>
      <c r="B5632">
        <v>2016310003</v>
      </c>
      <c r="C5632" t="s">
        <v>288</v>
      </c>
      <c r="E5632" t="s">
        <v>476</v>
      </c>
      <c r="F5632" t="s">
        <v>477</v>
      </c>
      <c r="G5632">
        <v>2</v>
      </c>
      <c r="H5632" t="s">
        <v>438</v>
      </c>
      <c r="I5632" s="4">
        <f t="shared" si="791"/>
        <v>3</v>
      </c>
      <c r="J5632">
        <f t="shared" si="792"/>
        <v>6</v>
      </c>
      <c r="K5632">
        <v>58</v>
      </c>
      <c r="L5632">
        <v>20</v>
      </c>
      <c r="M5632" s="2">
        <v>2.9</v>
      </c>
      <c r="N5632">
        <v>3.07</v>
      </c>
      <c r="O5632">
        <v>0</v>
      </c>
      <c r="P5632">
        <v>5</v>
      </c>
      <c r="Q5632" s="4" t="str">
        <f t="shared" si="795"/>
        <v>2018/2019-Ganjil</v>
      </c>
      <c r="R5632" s="8" t="s">
        <v>260</v>
      </c>
      <c r="S5632" t="str">
        <f t="shared" si="790"/>
        <v>PA</v>
      </c>
    </row>
    <row r="5633" spans="1:19" x14ac:dyDescent="0.3">
      <c r="A5633" t="s">
        <v>24</v>
      </c>
      <c r="B5633">
        <v>2016310003</v>
      </c>
      <c r="C5633" t="s">
        <v>288</v>
      </c>
      <c r="E5633" t="s">
        <v>215</v>
      </c>
      <c r="F5633" t="s">
        <v>186</v>
      </c>
      <c r="G5633">
        <v>4</v>
      </c>
      <c r="H5633" t="s">
        <v>438</v>
      </c>
      <c r="I5633" s="4">
        <f t="shared" si="791"/>
        <v>3</v>
      </c>
      <c r="J5633">
        <f t="shared" si="792"/>
        <v>12</v>
      </c>
      <c r="K5633">
        <v>84</v>
      </c>
      <c r="L5633">
        <v>26</v>
      </c>
      <c r="M5633" s="2">
        <v>3.1</v>
      </c>
      <c r="N5633">
        <v>3.07</v>
      </c>
      <c r="O5633">
        <v>0</v>
      </c>
      <c r="P5633">
        <v>3</v>
      </c>
      <c r="Q5633" s="4" t="str">
        <f t="shared" si="795"/>
        <v>2017/2018-Ganjil</v>
      </c>
      <c r="R5633" s="8" t="s">
        <v>260</v>
      </c>
      <c r="S5633" t="str">
        <f t="shared" si="790"/>
        <v>PA</v>
      </c>
    </row>
    <row r="5634" spans="1:19" x14ac:dyDescent="0.3">
      <c r="A5634" t="s">
        <v>24</v>
      </c>
      <c r="B5634">
        <v>2016310003</v>
      </c>
      <c r="C5634" t="s">
        <v>288</v>
      </c>
      <c r="E5634" t="s">
        <v>486</v>
      </c>
      <c r="F5634" t="s">
        <v>428</v>
      </c>
      <c r="G5634">
        <v>4</v>
      </c>
      <c r="H5634" t="s">
        <v>438</v>
      </c>
      <c r="I5634" s="4">
        <f t="shared" si="791"/>
        <v>3</v>
      </c>
      <c r="J5634">
        <f t="shared" si="792"/>
        <v>12</v>
      </c>
      <c r="K5634">
        <v>44</v>
      </c>
      <c r="L5634">
        <v>18</v>
      </c>
      <c r="M5634" s="2">
        <v>2.44</v>
      </c>
      <c r="N5634">
        <v>3.07</v>
      </c>
      <c r="O5634">
        <v>0</v>
      </c>
      <c r="P5634">
        <v>6</v>
      </c>
      <c r="Q5634" s="4" t="str">
        <f t="shared" si="795"/>
        <v>2018/2019-Genap</v>
      </c>
      <c r="R5634" s="8" t="s">
        <v>260</v>
      </c>
      <c r="S5634" t="str">
        <f t="shared" si="790"/>
        <v>PA</v>
      </c>
    </row>
    <row r="5635" spans="1:19" x14ac:dyDescent="0.3">
      <c r="A5635" t="s">
        <v>24</v>
      </c>
      <c r="B5635">
        <v>2016310003</v>
      </c>
      <c r="C5635" t="s">
        <v>288</v>
      </c>
      <c r="E5635" t="s">
        <v>417</v>
      </c>
      <c r="F5635" t="s">
        <v>418</v>
      </c>
      <c r="G5635">
        <v>4</v>
      </c>
      <c r="H5635" t="s">
        <v>438</v>
      </c>
      <c r="I5635" s="4">
        <f t="shared" si="791"/>
        <v>3</v>
      </c>
      <c r="J5635">
        <f t="shared" si="792"/>
        <v>12</v>
      </c>
      <c r="K5635">
        <v>62</v>
      </c>
      <c r="L5635">
        <v>22</v>
      </c>
      <c r="M5635" s="2">
        <v>2.82</v>
      </c>
      <c r="N5635">
        <v>3.07</v>
      </c>
      <c r="O5635">
        <v>0</v>
      </c>
      <c r="P5635">
        <v>4</v>
      </c>
      <c r="Q5635" s="4" t="str">
        <f t="shared" si="795"/>
        <v>2017/2018-Genap</v>
      </c>
      <c r="R5635" s="8" t="s">
        <v>260</v>
      </c>
      <c r="S5635" t="str">
        <f t="shared" si="790"/>
        <v>PA</v>
      </c>
    </row>
    <row r="5636" spans="1:19" x14ac:dyDescent="0.3">
      <c r="A5636" t="s">
        <v>24</v>
      </c>
      <c r="B5636">
        <v>2016310003</v>
      </c>
      <c r="C5636" t="s">
        <v>288</v>
      </c>
      <c r="E5636" t="s">
        <v>346</v>
      </c>
      <c r="F5636" t="s">
        <v>347</v>
      </c>
      <c r="G5636">
        <v>2</v>
      </c>
      <c r="H5636" t="s">
        <v>438</v>
      </c>
      <c r="I5636" s="4">
        <f t="shared" si="791"/>
        <v>3</v>
      </c>
      <c r="J5636">
        <f t="shared" si="792"/>
        <v>6</v>
      </c>
      <c r="K5636">
        <v>44</v>
      </c>
      <c r="L5636">
        <v>18</v>
      </c>
      <c r="M5636" s="2">
        <v>2.44</v>
      </c>
      <c r="N5636">
        <v>3.07</v>
      </c>
      <c r="O5636">
        <v>0</v>
      </c>
      <c r="P5636">
        <v>6</v>
      </c>
      <c r="Q5636" s="4" t="str">
        <f t="shared" si="795"/>
        <v>2018/2019-Genap</v>
      </c>
      <c r="R5636" s="8" t="s">
        <v>260</v>
      </c>
      <c r="S5636" t="str">
        <f t="shared" si="790"/>
        <v>PA</v>
      </c>
    </row>
    <row r="5637" spans="1:19" x14ac:dyDescent="0.3">
      <c r="A5637" t="s">
        <v>24</v>
      </c>
      <c r="B5637">
        <v>2016310003</v>
      </c>
      <c r="C5637" t="s">
        <v>288</v>
      </c>
      <c r="E5637" t="s">
        <v>444</v>
      </c>
      <c r="F5637" t="s">
        <v>445</v>
      </c>
      <c r="G5637">
        <v>2</v>
      </c>
      <c r="H5637" t="s">
        <v>438</v>
      </c>
      <c r="I5637" s="4">
        <f t="shared" si="791"/>
        <v>3</v>
      </c>
      <c r="J5637">
        <f t="shared" si="792"/>
        <v>6</v>
      </c>
      <c r="K5637">
        <v>62</v>
      </c>
      <c r="L5637">
        <v>22</v>
      </c>
      <c r="M5637" s="2">
        <v>2.82</v>
      </c>
      <c r="N5637">
        <v>3.07</v>
      </c>
      <c r="O5637">
        <v>0</v>
      </c>
      <c r="P5637">
        <v>4</v>
      </c>
      <c r="Q5637" s="4" t="str">
        <f t="shared" si="795"/>
        <v>2017/2018-Genap</v>
      </c>
      <c r="R5637" s="8" t="s">
        <v>260</v>
      </c>
      <c r="S5637" t="str">
        <f t="shared" si="790"/>
        <v>PA</v>
      </c>
    </row>
    <row r="5638" spans="1:19" x14ac:dyDescent="0.3">
      <c r="A5638" t="s">
        <v>24</v>
      </c>
      <c r="B5638">
        <v>2016310003</v>
      </c>
      <c r="C5638" t="s">
        <v>288</v>
      </c>
      <c r="E5638" t="s">
        <v>458</v>
      </c>
      <c r="F5638" t="s">
        <v>459</v>
      </c>
      <c r="G5638">
        <v>2</v>
      </c>
      <c r="H5638" t="s">
        <v>438</v>
      </c>
      <c r="I5638" s="4">
        <f t="shared" si="791"/>
        <v>3</v>
      </c>
      <c r="J5638">
        <f t="shared" si="792"/>
        <v>6</v>
      </c>
      <c r="K5638">
        <v>44</v>
      </c>
      <c r="L5638">
        <v>18</v>
      </c>
      <c r="M5638" s="2">
        <v>2.44</v>
      </c>
      <c r="N5638">
        <v>3.07</v>
      </c>
      <c r="O5638">
        <v>0</v>
      </c>
      <c r="P5638">
        <v>6</v>
      </c>
      <c r="Q5638" s="4" t="str">
        <f t="shared" si="795"/>
        <v>2018/2019-Genap</v>
      </c>
      <c r="R5638" s="8" t="s">
        <v>260</v>
      </c>
      <c r="S5638" t="str">
        <f t="shared" si="790"/>
        <v>PA</v>
      </c>
    </row>
    <row r="5639" spans="1:19" x14ac:dyDescent="0.3">
      <c r="A5639" t="s">
        <v>24</v>
      </c>
      <c r="B5639">
        <v>2016310003</v>
      </c>
      <c r="C5639" t="s">
        <v>288</v>
      </c>
      <c r="E5639" t="s">
        <v>455</v>
      </c>
      <c r="F5639" t="s">
        <v>280</v>
      </c>
      <c r="G5639">
        <v>2</v>
      </c>
      <c r="H5639" t="s">
        <v>438</v>
      </c>
      <c r="I5639" s="4">
        <f t="shared" si="791"/>
        <v>3</v>
      </c>
      <c r="J5639">
        <f t="shared" si="792"/>
        <v>6</v>
      </c>
      <c r="K5639">
        <v>70</v>
      </c>
      <c r="L5639">
        <v>20</v>
      </c>
      <c r="M5639" s="2">
        <v>2.83</v>
      </c>
      <c r="N5639">
        <v>3.07</v>
      </c>
      <c r="O5639">
        <v>0</v>
      </c>
      <c r="P5639">
        <v>2</v>
      </c>
      <c r="Q5639" s="4" t="str">
        <f t="shared" si="795"/>
        <v>2016/2017-Genap</v>
      </c>
      <c r="R5639" s="8" t="s">
        <v>260</v>
      </c>
      <c r="S5639" t="str">
        <f t="shared" si="790"/>
        <v>PA</v>
      </c>
    </row>
    <row r="5640" spans="1:19" x14ac:dyDescent="0.3">
      <c r="A5640" t="s">
        <v>24</v>
      </c>
      <c r="B5640">
        <v>2016310003</v>
      </c>
      <c r="C5640" t="s">
        <v>288</v>
      </c>
      <c r="E5640" t="s">
        <v>461</v>
      </c>
      <c r="F5640" t="s">
        <v>452</v>
      </c>
      <c r="G5640">
        <v>2</v>
      </c>
      <c r="H5640" t="s">
        <v>438</v>
      </c>
      <c r="I5640" s="4">
        <f t="shared" si="791"/>
        <v>3</v>
      </c>
      <c r="J5640">
        <f t="shared" si="792"/>
        <v>6</v>
      </c>
      <c r="K5640">
        <v>62</v>
      </c>
      <c r="L5640">
        <v>22</v>
      </c>
      <c r="M5640" s="2">
        <v>2.82</v>
      </c>
      <c r="N5640">
        <v>3.07</v>
      </c>
      <c r="O5640">
        <v>0</v>
      </c>
      <c r="P5640">
        <v>4</v>
      </c>
      <c r="Q5640" s="4" t="str">
        <f t="shared" si="795"/>
        <v>2017/2018-Genap</v>
      </c>
      <c r="R5640" s="8" t="s">
        <v>260</v>
      </c>
      <c r="S5640" t="str">
        <f t="shared" ref="S5640:S5666" si="796">IF(OR(H5640="A",H5640="B",H5640="C"),"PA","FA")</f>
        <v>PA</v>
      </c>
    </row>
    <row r="5641" spans="1:19" x14ac:dyDescent="0.3">
      <c r="A5641" t="s">
        <v>24</v>
      </c>
      <c r="B5641">
        <v>2016310003</v>
      </c>
      <c r="C5641" t="s">
        <v>288</v>
      </c>
      <c r="E5641" t="s">
        <v>426</v>
      </c>
      <c r="F5641" t="s">
        <v>307</v>
      </c>
      <c r="G5641">
        <v>2</v>
      </c>
      <c r="H5641" t="s">
        <v>438</v>
      </c>
      <c r="I5641" s="4">
        <f t="shared" ref="I5641:I5666" si="797">IF(H5641="A",4,IF(H5641="B",3,IF(H5641="C",2,IF(H5641="D",1,0))))</f>
        <v>3</v>
      </c>
      <c r="J5641">
        <f t="shared" ref="J5641:J5666" si="798">G5641*I5641</f>
        <v>6</v>
      </c>
      <c r="K5641">
        <v>84</v>
      </c>
      <c r="L5641">
        <v>26</v>
      </c>
      <c r="M5641" s="2">
        <v>3.1</v>
      </c>
      <c r="N5641">
        <v>3.07</v>
      </c>
      <c r="O5641">
        <v>0</v>
      </c>
      <c r="P5641">
        <v>3</v>
      </c>
      <c r="Q5641" s="4" t="str">
        <f t="shared" si="795"/>
        <v>2017/2018-Ganjil</v>
      </c>
      <c r="R5641" s="8" t="s">
        <v>260</v>
      </c>
      <c r="S5641" t="str">
        <f t="shared" si="796"/>
        <v>PA</v>
      </c>
    </row>
    <row r="5642" spans="1:19" x14ac:dyDescent="0.3">
      <c r="A5642" t="s">
        <v>24</v>
      </c>
      <c r="B5642">
        <v>2016310003</v>
      </c>
      <c r="C5642" t="s">
        <v>288</v>
      </c>
      <c r="E5642" t="s">
        <v>469</v>
      </c>
      <c r="F5642" t="s">
        <v>470</v>
      </c>
      <c r="G5642">
        <v>2</v>
      </c>
      <c r="H5642" t="s">
        <v>438</v>
      </c>
      <c r="I5642" s="4">
        <f t="shared" si="797"/>
        <v>3</v>
      </c>
      <c r="J5642">
        <f t="shared" si="798"/>
        <v>6</v>
      </c>
      <c r="K5642">
        <v>50</v>
      </c>
      <c r="L5642">
        <v>18</v>
      </c>
      <c r="M5642" s="2">
        <v>2.78</v>
      </c>
      <c r="N5642">
        <v>3.07</v>
      </c>
      <c r="O5642">
        <v>0</v>
      </c>
      <c r="P5642">
        <v>7</v>
      </c>
      <c r="Q5642" s="4" t="str">
        <f t="shared" si="795"/>
        <v>2019/2020-Ganjil</v>
      </c>
      <c r="R5642" s="8" t="s">
        <v>260</v>
      </c>
      <c r="S5642" t="str">
        <f t="shared" si="796"/>
        <v>PA</v>
      </c>
    </row>
    <row r="5643" spans="1:19" x14ac:dyDescent="0.3">
      <c r="A5643" t="s">
        <v>24</v>
      </c>
      <c r="B5643">
        <v>2016310003</v>
      </c>
      <c r="C5643" t="s">
        <v>288</v>
      </c>
      <c r="E5643" t="s">
        <v>434</v>
      </c>
      <c r="F5643" t="s">
        <v>435</v>
      </c>
      <c r="G5643">
        <v>2</v>
      </c>
      <c r="H5643" t="s">
        <v>438</v>
      </c>
      <c r="I5643" s="4">
        <f t="shared" si="797"/>
        <v>3</v>
      </c>
      <c r="J5643">
        <f t="shared" si="798"/>
        <v>6</v>
      </c>
      <c r="K5643">
        <v>62</v>
      </c>
      <c r="L5643">
        <v>20</v>
      </c>
      <c r="M5643" s="2">
        <v>3.1</v>
      </c>
      <c r="N5643">
        <v>3.07</v>
      </c>
      <c r="O5643">
        <v>0</v>
      </c>
      <c r="P5643">
        <v>1</v>
      </c>
      <c r="Q5643" s="4" t="str">
        <f t="shared" si="795"/>
        <v>2016/2017-Ganjil</v>
      </c>
      <c r="R5643" s="8" t="s">
        <v>260</v>
      </c>
      <c r="S5643" t="str">
        <f t="shared" si="796"/>
        <v>PA</v>
      </c>
    </row>
    <row r="5644" spans="1:19" x14ac:dyDescent="0.3">
      <c r="A5644" t="s">
        <v>24</v>
      </c>
      <c r="B5644">
        <v>2016310003</v>
      </c>
      <c r="C5644" t="s">
        <v>288</v>
      </c>
      <c r="E5644" t="s">
        <v>464</v>
      </c>
      <c r="F5644" t="s">
        <v>108</v>
      </c>
      <c r="G5644">
        <v>2</v>
      </c>
      <c r="H5644" t="s">
        <v>438</v>
      </c>
      <c r="I5644" s="4">
        <f t="shared" si="797"/>
        <v>3</v>
      </c>
      <c r="J5644">
        <f t="shared" si="798"/>
        <v>6</v>
      </c>
      <c r="K5644">
        <v>58</v>
      </c>
      <c r="L5644">
        <v>20</v>
      </c>
      <c r="M5644" s="2">
        <v>2.9</v>
      </c>
      <c r="N5644">
        <v>3.07</v>
      </c>
      <c r="O5644">
        <v>0</v>
      </c>
      <c r="P5644">
        <v>5</v>
      </c>
      <c r="Q5644" s="4" t="str">
        <f t="shared" si="795"/>
        <v>2018/2019-Ganjil</v>
      </c>
      <c r="R5644" s="8" t="s">
        <v>260</v>
      </c>
      <c r="S5644" t="str">
        <f t="shared" si="796"/>
        <v>PA</v>
      </c>
    </row>
    <row r="5645" spans="1:19" x14ac:dyDescent="0.3">
      <c r="A5645" t="s">
        <v>24</v>
      </c>
      <c r="B5645">
        <v>2016310003</v>
      </c>
      <c r="C5645" t="s">
        <v>288</v>
      </c>
      <c r="E5645" t="s">
        <v>505</v>
      </c>
      <c r="F5645" t="s">
        <v>506</v>
      </c>
      <c r="G5645">
        <v>2</v>
      </c>
      <c r="H5645" t="s">
        <v>438</v>
      </c>
      <c r="I5645" s="4">
        <f t="shared" si="797"/>
        <v>3</v>
      </c>
      <c r="J5645">
        <f t="shared" si="798"/>
        <v>6</v>
      </c>
      <c r="K5645">
        <v>34</v>
      </c>
      <c r="L5645">
        <v>12</v>
      </c>
      <c r="M5645" s="2">
        <v>2.83</v>
      </c>
      <c r="N5645">
        <v>3.07</v>
      </c>
      <c r="O5645">
        <v>0</v>
      </c>
      <c r="P5645">
        <v>8</v>
      </c>
      <c r="Q5645" s="4" t="str">
        <f t="shared" si="795"/>
        <v>2019/2020-Genap</v>
      </c>
      <c r="R5645" s="8" t="s">
        <v>596</v>
      </c>
      <c r="S5645" t="str">
        <f t="shared" si="796"/>
        <v>PA</v>
      </c>
    </row>
    <row r="5646" spans="1:19" x14ac:dyDescent="0.3">
      <c r="A5646" t="s">
        <v>24</v>
      </c>
      <c r="B5646">
        <v>2016310003</v>
      </c>
      <c r="C5646" t="s">
        <v>288</v>
      </c>
      <c r="E5646" t="s">
        <v>84</v>
      </c>
      <c r="F5646" t="s">
        <v>85</v>
      </c>
      <c r="G5646">
        <v>2</v>
      </c>
      <c r="H5646" t="s">
        <v>438</v>
      </c>
      <c r="I5646" s="4">
        <f t="shared" si="797"/>
        <v>3</v>
      </c>
      <c r="J5646">
        <f t="shared" si="798"/>
        <v>6</v>
      </c>
      <c r="K5646">
        <v>62</v>
      </c>
      <c r="L5646">
        <v>20</v>
      </c>
      <c r="M5646" s="2">
        <v>3.1</v>
      </c>
      <c r="N5646">
        <v>3.07</v>
      </c>
      <c r="O5646">
        <v>0</v>
      </c>
      <c r="P5646">
        <v>1</v>
      </c>
      <c r="Q5646" s="4" t="str">
        <f t="shared" si="795"/>
        <v>2016/2017-Ganjil</v>
      </c>
      <c r="R5646" s="8" t="s">
        <v>260</v>
      </c>
      <c r="S5646" t="str">
        <f t="shared" si="796"/>
        <v>PA</v>
      </c>
    </row>
    <row r="5647" spans="1:19" x14ac:dyDescent="0.3">
      <c r="A5647" t="s">
        <v>24</v>
      </c>
      <c r="B5647">
        <v>2016310003</v>
      </c>
      <c r="C5647" t="s">
        <v>288</v>
      </c>
      <c r="E5647" t="s">
        <v>149</v>
      </c>
      <c r="F5647" t="s">
        <v>150</v>
      </c>
      <c r="G5647">
        <v>2</v>
      </c>
      <c r="H5647" t="s">
        <v>438</v>
      </c>
      <c r="I5647" s="4">
        <f t="shared" si="797"/>
        <v>3</v>
      </c>
      <c r="J5647">
        <f t="shared" si="798"/>
        <v>6</v>
      </c>
      <c r="K5647">
        <v>58</v>
      </c>
      <c r="L5647">
        <v>20</v>
      </c>
      <c r="M5647" s="2">
        <v>2.9</v>
      </c>
      <c r="N5647">
        <v>3.07</v>
      </c>
      <c r="O5647">
        <v>0</v>
      </c>
      <c r="P5647">
        <v>5</v>
      </c>
      <c r="Q5647" s="4" t="str">
        <f t="shared" si="795"/>
        <v>2018/2019-Ganjil</v>
      </c>
      <c r="R5647" s="8" t="s">
        <v>260</v>
      </c>
      <c r="S5647" t="str">
        <f t="shared" si="796"/>
        <v>PA</v>
      </c>
    </row>
    <row r="5648" spans="1:19" x14ac:dyDescent="0.3">
      <c r="A5648" t="s">
        <v>24</v>
      </c>
      <c r="B5648">
        <v>2016310003</v>
      </c>
      <c r="C5648" t="s">
        <v>288</v>
      </c>
      <c r="E5648" t="s">
        <v>168</v>
      </c>
      <c r="F5648" t="s">
        <v>169</v>
      </c>
      <c r="G5648">
        <v>4</v>
      </c>
      <c r="H5648" t="s">
        <v>438</v>
      </c>
      <c r="I5648" s="4">
        <f t="shared" si="797"/>
        <v>3</v>
      </c>
      <c r="J5648">
        <f t="shared" si="798"/>
        <v>12</v>
      </c>
      <c r="K5648">
        <v>62</v>
      </c>
      <c r="L5648">
        <v>20</v>
      </c>
      <c r="M5648" s="2">
        <v>3.1</v>
      </c>
      <c r="N5648">
        <v>3.07</v>
      </c>
      <c r="O5648">
        <v>0</v>
      </c>
      <c r="P5648">
        <v>1</v>
      </c>
      <c r="Q5648" s="4" t="str">
        <f t="shared" si="795"/>
        <v>2016/2017-Ganjil</v>
      </c>
      <c r="R5648" s="8" t="s">
        <v>260</v>
      </c>
      <c r="S5648" t="str">
        <f t="shared" si="796"/>
        <v>PA</v>
      </c>
    </row>
    <row r="5649" spans="1:19" x14ac:dyDescent="0.3">
      <c r="A5649" t="s">
        <v>24</v>
      </c>
      <c r="B5649">
        <v>2016310003</v>
      </c>
      <c r="C5649" t="s">
        <v>288</v>
      </c>
      <c r="E5649" t="s">
        <v>365</v>
      </c>
      <c r="F5649" t="s">
        <v>366</v>
      </c>
      <c r="G5649">
        <v>2</v>
      </c>
      <c r="H5649" t="s">
        <v>438</v>
      </c>
      <c r="I5649" s="4">
        <f t="shared" si="797"/>
        <v>3</v>
      </c>
      <c r="J5649">
        <f t="shared" si="798"/>
        <v>6</v>
      </c>
      <c r="K5649">
        <v>58</v>
      </c>
      <c r="L5649">
        <v>20</v>
      </c>
      <c r="M5649" s="2">
        <v>2.9</v>
      </c>
      <c r="N5649">
        <v>3.07</v>
      </c>
      <c r="O5649">
        <v>0</v>
      </c>
      <c r="P5649">
        <v>5</v>
      </c>
      <c r="Q5649" s="4" t="str">
        <f t="shared" si="795"/>
        <v>2018/2019-Ganjil</v>
      </c>
      <c r="R5649" s="8" t="s">
        <v>260</v>
      </c>
      <c r="S5649" t="str">
        <f t="shared" si="796"/>
        <v>PA</v>
      </c>
    </row>
    <row r="5650" spans="1:19" x14ac:dyDescent="0.3">
      <c r="A5650" t="s">
        <v>24</v>
      </c>
      <c r="B5650">
        <v>2016310003</v>
      </c>
      <c r="C5650" t="s">
        <v>288</v>
      </c>
      <c r="E5650" t="s">
        <v>462</v>
      </c>
      <c r="F5650" t="s">
        <v>291</v>
      </c>
      <c r="G5650">
        <v>2</v>
      </c>
      <c r="H5650" t="s">
        <v>438</v>
      </c>
      <c r="I5650" s="4">
        <f t="shared" si="797"/>
        <v>3</v>
      </c>
      <c r="J5650">
        <f t="shared" si="798"/>
        <v>6</v>
      </c>
      <c r="K5650">
        <v>70</v>
      </c>
      <c r="L5650">
        <v>20</v>
      </c>
      <c r="M5650" s="2">
        <v>2.83</v>
      </c>
      <c r="N5650">
        <v>3.07</v>
      </c>
      <c r="O5650">
        <v>0</v>
      </c>
      <c r="P5650">
        <v>2</v>
      </c>
      <c r="Q5650" s="4" t="str">
        <f t="shared" si="795"/>
        <v>2016/2017-Genap</v>
      </c>
      <c r="R5650" s="8" t="s">
        <v>260</v>
      </c>
      <c r="S5650" t="str">
        <f t="shared" si="796"/>
        <v>PA</v>
      </c>
    </row>
    <row r="5651" spans="1:19" x14ac:dyDescent="0.3">
      <c r="A5651" t="s">
        <v>24</v>
      </c>
      <c r="B5651">
        <v>2016310003</v>
      </c>
      <c r="C5651" t="s">
        <v>288</v>
      </c>
      <c r="E5651" t="s">
        <v>430</v>
      </c>
      <c r="F5651" t="s">
        <v>431</v>
      </c>
      <c r="G5651">
        <v>2</v>
      </c>
      <c r="H5651" t="s">
        <v>438</v>
      </c>
      <c r="I5651" s="4">
        <f t="shared" si="797"/>
        <v>3</v>
      </c>
      <c r="J5651">
        <f t="shared" si="798"/>
        <v>6</v>
      </c>
      <c r="K5651">
        <v>44</v>
      </c>
      <c r="L5651">
        <v>18</v>
      </c>
      <c r="M5651" s="2">
        <v>2.44</v>
      </c>
      <c r="N5651">
        <v>3.07</v>
      </c>
      <c r="O5651">
        <v>0</v>
      </c>
      <c r="P5651">
        <v>6</v>
      </c>
      <c r="Q5651" s="4" t="str">
        <f t="shared" si="795"/>
        <v>2018/2019-Genap</v>
      </c>
      <c r="R5651" s="8" t="s">
        <v>260</v>
      </c>
      <c r="S5651" t="str">
        <f t="shared" si="796"/>
        <v>PA</v>
      </c>
    </row>
    <row r="5652" spans="1:19" x14ac:dyDescent="0.3">
      <c r="A5652" t="s">
        <v>24</v>
      </c>
      <c r="B5652">
        <v>2016310003</v>
      </c>
      <c r="C5652" t="s">
        <v>288</v>
      </c>
      <c r="E5652" t="s">
        <v>379</v>
      </c>
      <c r="F5652" t="s">
        <v>137</v>
      </c>
      <c r="G5652">
        <v>4</v>
      </c>
      <c r="H5652" t="s">
        <v>438</v>
      </c>
      <c r="I5652" s="4">
        <f t="shared" si="797"/>
        <v>3</v>
      </c>
      <c r="J5652">
        <f t="shared" si="798"/>
        <v>12</v>
      </c>
      <c r="K5652">
        <v>62</v>
      </c>
      <c r="L5652">
        <v>22</v>
      </c>
      <c r="M5652" s="2">
        <v>2.82</v>
      </c>
      <c r="N5652">
        <v>3.07</v>
      </c>
      <c r="O5652">
        <v>0</v>
      </c>
      <c r="P5652">
        <v>4</v>
      </c>
      <c r="Q5652" s="4" t="str">
        <f t="shared" si="795"/>
        <v>2017/2018-Genap</v>
      </c>
      <c r="R5652" s="8" t="s">
        <v>260</v>
      </c>
      <c r="S5652" t="str">
        <f t="shared" si="796"/>
        <v>PA</v>
      </c>
    </row>
    <row r="5653" spans="1:19" x14ac:dyDescent="0.3">
      <c r="A5653" t="s">
        <v>24</v>
      </c>
      <c r="B5653">
        <v>2016310003</v>
      </c>
      <c r="C5653" t="s">
        <v>288</v>
      </c>
      <c r="E5653" t="s">
        <v>456</v>
      </c>
      <c r="F5653" t="s">
        <v>457</v>
      </c>
      <c r="G5653">
        <v>2</v>
      </c>
      <c r="H5653" t="s">
        <v>438</v>
      </c>
      <c r="I5653" s="4">
        <f t="shared" si="797"/>
        <v>3</v>
      </c>
      <c r="J5653">
        <f t="shared" si="798"/>
        <v>6</v>
      </c>
      <c r="K5653">
        <v>70</v>
      </c>
      <c r="L5653">
        <v>20</v>
      </c>
      <c r="M5653" s="2">
        <v>2.83</v>
      </c>
      <c r="N5653">
        <v>3.07</v>
      </c>
      <c r="O5653">
        <v>0</v>
      </c>
      <c r="P5653">
        <v>2</v>
      </c>
      <c r="Q5653" s="4" t="str">
        <f t="shared" si="795"/>
        <v>2016/2017-Genap</v>
      </c>
      <c r="R5653" s="8" t="s">
        <v>260</v>
      </c>
      <c r="S5653" t="str">
        <f t="shared" si="796"/>
        <v>PA</v>
      </c>
    </row>
    <row r="5654" spans="1:19" x14ac:dyDescent="0.3">
      <c r="A5654" t="s">
        <v>24</v>
      </c>
      <c r="B5654">
        <v>2016310003</v>
      </c>
      <c r="C5654" t="s">
        <v>288</v>
      </c>
      <c r="E5654" t="s">
        <v>484</v>
      </c>
      <c r="F5654" t="s">
        <v>485</v>
      </c>
      <c r="G5654">
        <v>2</v>
      </c>
      <c r="H5654" t="s">
        <v>438</v>
      </c>
      <c r="I5654" s="4">
        <f t="shared" si="797"/>
        <v>3</v>
      </c>
      <c r="J5654">
        <f t="shared" si="798"/>
        <v>6</v>
      </c>
      <c r="K5654">
        <v>44</v>
      </c>
      <c r="L5654">
        <v>18</v>
      </c>
      <c r="M5654" s="2">
        <v>2.44</v>
      </c>
      <c r="N5654">
        <v>3.07</v>
      </c>
      <c r="O5654">
        <v>0</v>
      </c>
      <c r="P5654">
        <v>6</v>
      </c>
      <c r="Q5654" s="4" t="str">
        <f t="shared" si="795"/>
        <v>2018/2019-Genap</v>
      </c>
      <c r="R5654" s="8" t="s">
        <v>260</v>
      </c>
      <c r="S5654" t="str">
        <f t="shared" si="796"/>
        <v>PA</v>
      </c>
    </row>
    <row r="5655" spans="1:19" x14ac:dyDescent="0.3">
      <c r="A5655" t="s">
        <v>24</v>
      </c>
      <c r="B5655">
        <v>2016310003</v>
      </c>
      <c r="C5655" t="s">
        <v>288</v>
      </c>
      <c r="E5655" t="s">
        <v>494</v>
      </c>
      <c r="F5655" t="s">
        <v>495</v>
      </c>
      <c r="G5655">
        <v>4</v>
      </c>
      <c r="H5655" t="s">
        <v>438</v>
      </c>
      <c r="I5655" s="4">
        <f t="shared" si="797"/>
        <v>3</v>
      </c>
      <c r="J5655">
        <f t="shared" si="798"/>
        <v>12</v>
      </c>
      <c r="K5655">
        <v>62</v>
      </c>
      <c r="L5655">
        <v>22</v>
      </c>
      <c r="M5655" s="2">
        <v>2.82</v>
      </c>
      <c r="N5655">
        <v>3.07</v>
      </c>
      <c r="O5655">
        <v>0</v>
      </c>
      <c r="P5655">
        <v>4</v>
      </c>
      <c r="Q5655" s="4" t="str">
        <f t="shared" si="795"/>
        <v>2017/2018-Genap</v>
      </c>
      <c r="R5655" s="8" t="s">
        <v>260</v>
      </c>
      <c r="S5655" t="str">
        <f t="shared" si="796"/>
        <v>PA</v>
      </c>
    </row>
    <row r="5656" spans="1:19" x14ac:dyDescent="0.3">
      <c r="A5656" t="s">
        <v>24</v>
      </c>
      <c r="B5656">
        <v>2016310003</v>
      </c>
      <c r="C5656" t="s">
        <v>288</v>
      </c>
      <c r="E5656" t="s">
        <v>525</v>
      </c>
      <c r="F5656" t="s">
        <v>20</v>
      </c>
      <c r="G5656">
        <v>4</v>
      </c>
      <c r="H5656" t="s">
        <v>524</v>
      </c>
      <c r="I5656" s="4">
        <f t="shared" si="797"/>
        <v>2</v>
      </c>
      <c r="J5656">
        <f t="shared" si="798"/>
        <v>8</v>
      </c>
      <c r="K5656">
        <v>34</v>
      </c>
      <c r="L5656">
        <v>12</v>
      </c>
      <c r="M5656" s="2">
        <v>2.83</v>
      </c>
      <c r="N5656">
        <v>3.07</v>
      </c>
      <c r="O5656">
        <v>0</v>
      </c>
      <c r="P5656">
        <v>8</v>
      </c>
      <c r="Q5656" s="4" t="str">
        <f t="shared" si="795"/>
        <v>2019/2020-Genap</v>
      </c>
      <c r="R5656" s="8" t="s">
        <v>596</v>
      </c>
      <c r="S5656" t="str">
        <f t="shared" si="796"/>
        <v>PA</v>
      </c>
    </row>
    <row r="5657" spans="1:19" x14ac:dyDescent="0.3">
      <c r="A5657" t="s">
        <v>24</v>
      </c>
      <c r="B5657">
        <v>2016310003</v>
      </c>
      <c r="C5657" t="s">
        <v>288</v>
      </c>
      <c r="E5657" t="s">
        <v>224</v>
      </c>
      <c r="F5657" t="s">
        <v>225</v>
      </c>
      <c r="G5657">
        <v>4</v>
      </c>
      <c r="H5657" t="s">
        <v>524</v>
      </c>
      <c r="I5657" s="4">
        <f t="shared" si="797"/>
        <v>2</v>
      </c>
      <c r="J5657">
        <f t="shared" si="798"/>
        <v>8</v>
      </c>
      <c r="K5657">
        <v>62</v>
      </c>
      <c r="L5657">
        <v>20</v>
      </c>
      <c r="M5657" s="2">
        <v>3.1</v>
      </c>
      <c r="N5657">
        <v>3.07</v>
      </c>
      <c r="O5657">
        <v>0</v>
      </c>
      <c r="P5657">
        <v>1</v>
      </c>
      <c r="Q5657" s="4" t="str">
        <f t="shared" si="795"/>
        <v>2016/2017-Ganjil</v>
      </c>
      <c r="R5657" s="8" t="s">
        <v>260</v>
      </c>
      <c r="S5657" t="str">
        <f t="shared" si="796"/>
        <v>PA</v>
      </c>
    </row>
    <row r="5658" spans="1:19" x14ac:dyDescent="0.3">
      <c r="A5658" t="s">
        <v>24</v>
      </c>
      <c r="B5658">
        <v>2016310003</v>
      </c>
      <c r="C5658" t="s">
        <v>288</v>
      </c>
      <c r="E5658" t="s">
        <v>224</v>
      </c>
      <c r="F5658" t="s">
        <v>225</v>
      </c>
      <c r="G5658">
        <v>4</v>
      </c>
      <c r="H5658" t="s">
        <v>438</v>
      </c>
      <c r="I5658" s="4">
        <f t="shared" si="797"/>
        <v>3</v>
      </c>
      <c r="J5658">
        <f t="shared" si="798"/>
        <v>12</v>
      </c>
      <c r="K5658">
        <v>12</v>
      </c>
      <c r="L5658">
        <v>4</v>
      </c>
      <c r="M5658" s="2">
        <v>3</v>
      </c>
      <c r="N5658">
        <v>3.07</v>
      </c>
      <c r="O5658">
        <v>1</v>
      </c>
      <c r="P5658">
        <v>6</v>
      </c>
      <c r="Q5658" s="4" t="s">
        <v>572</v>
      </c>
      <c r="R5658" s="8" t="s">
        <v>260</v>
      </c>
      <c r="S5658" t="str">
        <f t="shared" si="796"/>
        <v>PA</v>
      </c>
    </row>
    <row r="5659" spans="1:19" x14ac:dyDescent="0.3">
      <c r="A5659" t="s">
        <v>24</v>
      </c>
      <c r="B5659">
        <v>2016310003</v>
      </c>
      <c r="C5659" t="s">
        <v>288</v>
      </c>
      <c r="E5659" t="s">
        <v>422</v>
      </c>
      <c r="F5659" t="s">
        <v>45</v>
      </c>
      <c r="G5659">
        <v>2</v>
      </c>
      <c r="H5659" t="s">
        <v>524</v>
      </c>
      <c r="I5659" s="4">
        <f t="shared" si="797"/>
        <v>2</v>
      </c>
      <c r="J5659">
        <f t="shared" si="798"/>
        <v>4</v>
      </c>
      <c r="K5659">
        <v>70</v>
      </c>
      <c r="L5659">
        <v>20</v>
      </c>
      <c r="M5659" s="2">
        <v>2.83</v>
      </c>
      <c r="N5659">
        <v>3.07</v>
      </c>
      <c r="O5659">
        <v>0</v>
      </c>
      <c r="P5659">
        <v>2</v>
      </c>
      <c r="Q5659" s="4" t="str">
        <f t="shared" ref="Q5659:Q5666" si="799">IF(P5659=1,"2016/2017-Ganjil",IF(P5659=2,"2016/2017-Genap",IF(P5659=3,"2017/2018-Ganjil",IF(P5659=4,"2017/2018-Genap",IF(P5659=5,"2018/2019-Ganjil",IF(P5659=6,"2018/2019-Genap",IF(P5659=7,"2019/2020-Ganjil",IF(P5659=8,"2019/2020-Genap",IF(P5659=9,"2020/2021-Ganjil",IF(P5659=10,"2020/2021-Genap",IF(P5659=11,"2021/2022-Ganjil",IF(P5659=12,"2021/2022-Genap",IF(P5659=13,"2022/2023-Ganjil","2022/2023-Genap")))))))))))))</f>
        <v>2016/2017-Genap</v>
      </c>
      <c r="R5659" s="8" t="s">
        <v>260</v>
      </c>
      <c r="S5659" t="str">
        <f t="shared" si="796"/>
        <v>PA</v>
      </c>
    </row>
    <row r="5660" spans="1:19" x14ac:dyDescent="0.3">
      <c r="A5660" t="s">
        <v>24</v>
      </c>
      <c r="B5660">
        <v>2016310003</v>
      </c>
      <c r="C5660" t="s">
        <v>288</v>
      </c>
      <c r="E5660" t="s">
        <v>526</v>
      </c>
      <c r="F5660" t="s">
        <v>258</v>
      </c>
      <c r="G5660">
        <v>4</v>
      </c>
      <c r="H5660" t="s">
        <v>524</v>
      </c>
      <c r="I5660" s="4">
        <f t="shared" si="797"/>
        <v>2</v>
      </c>
      <c r="J5660">
        <f t="shared" si="798"/>
        <v>8</v>
      </c>
      <c r="K5660">
        <v>62</v>
      </c>
      <c r="L5660">
        <v>22</v>
      </c>
      <c r="M5660" s="2">
        <v>2.82</v>
      </c>
      <c r="N5660">
        <v>3.07</v>
      </c>
      <c r="O5660">
        <v>0</v>
      </c>
      <c r="P5660">
        <v>4</v>
      </c>
      <c r="Q5660" s="4" t="str">
        <f t="shared" si="799"/>
        <v>2017/2018-Genap</v>
      </c>
      <c r="R5660" s="8" t="s">
        <v>260</v>
      </c>
      <c r="S5660" t="str">
        <f t="shared" si="796"/>
        <v>PA</v>
      </c>
    </row>
    <row r="5661" spans="1:19" x14ac:dyDescent="0.3">
      <c r="A5661" t="s">
        <v>24</v>
      </c>
      <c r="B5661">
        <v>2016310003</v>
      </c>
      <c r="C5661" t="s">
        <v>288</v>
      </c>
      <c r="E5661" t="s">
        <v>516</v>
      </c>
      <c r="F5661" t="s">
        <v>106</v>
      </c>
      <c r="G5661">
        <v>4</v>
      </c>
      <c r="H5661" t="s">
        <v>524</v>
      </c>
      <c r="I5661" s="4">
        <f t="shared" si="797"/>
        <v>2</v>
      </c>
      <c r="J5661">
        <f t="shared" si="798"/>
        <v>8</v>
      </c>
      <c r="K5661">
        <v>50</v>
      </c>
      <c r="L5661">
        <v>18</v>
      </c>
      <c r="M5661" s="2">
        <v>2.78</v>
      </c>
      <c r="N5661">
        <v>3.07</v>
      </c>
      <c r="O5661">
        <v>0</v>
      </c>
      <c r="P5661">
        <v>7</v>
      </c>
      <c r="Q5661" s="4" t="str">
        <f t="shared" si="799"/>
        <v>2019/2020-Ganjil</v>
      </c>
      <c r="R5661" s="8" t="s">
        <v>260</v>
      </c>
      <c r="S5661" t="str">
        <f t="shared" si="796"/>
        <v>PA</v>
      </c>
    </row>
    <row r="5662" spans="1:19" x14ac:dyDescent="0.3">
      <c r="A5662" t="s">
        <v>24</v>
      </c>
      <c r="B5662">
        <v>2016310003</v>
      </c>
      <c r="C5662" t="s">
        <v>288</v>
      </c>
      <c r="E5662" t="s">
        <v>478</v>
      </c>
      <c r="F5662" t="s">
        <v>375</v>
      </c>
      <c r="G5662">
        <v>2</v>
      </c>
      <c r="H5662" t="s">
        <v>524</v>
      </c>
      <c r="I5662" s="4">
        <f t="shared" si="797"/>
        <v>2</v>
      </c>
      <c r="J5662">
        <f t="shared" si="798"/>
        <v>4</v>
      </c>
      <c r="K5662">
        <v>58</v>
      </c>
      <c r="L5662">
        <v>20</v>
      </c>
      <c r="M5662" s="2">
        <v>2.9</v>
      </c>
      <c r="N5662">
        <v>3.07</v>
      </c>
      <c r="O5662">
        <v>0</v>
      </c>
      <c r="P5662">
        <v>5</v>
      </c>
      <c r="Q5662" s="4" t="str">
        <f t="shared" si="799"/>
        <v>2018/2019-Ganjil</v>
      </c>
      <c r="R5662" s="8" t="s">
        <v>260</v>
      </c>
      <c r="S5662" t="str">
        <f t="shared" si="796"/>
        <v>PA</v>
      </c>
    </row>
    <row r="5663" spans="1:19" x14ac:dyDescent="0.3">
      <c r="A5663" t="s">
        <v>24</v>
      </c>
      <c r="B5663">
        <v>2016310003</v>
      </c>
      <c r="C5663" t="s">
        <v>288</v>
      </c>
      <c r="E5663" t="s">
        <v>532</v>
      </c>
      <c r="F5663" t="s">
        <v>45</v>
      </c>
      <c r="G5663">
        <v>2</v>
      </c>
      <c r="H5663" t="s">
        <v>524</v>
      </c>
      <c r="I5663" s="4">
        <f t="shared" si="797"/>
        <v>2</v>
      </c>
      <c r="J5663">
        <f t="shared" si="798"/>
        <v>4</v>
      </c>
      <c r="K5663">
        <v>34</v>
      </c>
      <c r="L5663">
        <v>12</v>
      </c>
      <c r="M5663" s="2">
        <v>2.83</v>
      </c>
      <c r="N5663">
        <v>3.07</v>
      </c>
      <c r="O5663">
        <v>0</v>
      </c>
      <c r="P5663">
        <v>8</v>
      </c>
      <c r="Q5663" s="4" t="str">
        <f t="shared" si="799"/>
        <v>2019/2020-Genap</v>
      </c>
      <c r="R5663" s="8" t="s">
        <v>596</v>
      </c>
      <c r="S5663" t="str">
        <f t="shared" si="796"/>
        <v>PA</v>
      </c>
    </row>
    <row r="5664" spans="1:19" x14ac:dyDescent="0.3">
      <c r="A5664" t="s">
        <v>24</v>
      </c>
      <c r="B5664">
        <v>2016310003</v>
      </c>
      <c r="C5664" t="s">
        <v>288</v>
      </c>
      <c r="E5664" t="s">
        <v>411</v>
      </c>
      <c r="F5664" t="s">
        <v>498</v>
      </c>
      <c r="G5664">
        <v>4</v>
      </c>
      <c r="H5664" t="s">
        <v>524</v>
      </c>
      <c r="I5664" s="4">
        <f t="shared" si="797"/>
        <v>2</v>
      </c>
      <c r="J5664">
        <f t="shared" si="798"/>
        <v>8</v>
      </c>
      <c r="K5664">
        <v>84</v>
      </c>
      <c r="L5664">
        <v>26</v>
      </c>
      <c r="M5664" s="2">
        <v>3.1</v>
      </c>
      <c r="N5664">
        <v>3.07</v>
      </c>
      <c r="O5664">
        <v>0</v>
      </c>
      <c r="P5664">
        <v>3</v>
      </c>
      <c r="Q5664" s="4" t="str">
        <f t="shared" si="799"/>
        <v>2017/2018-Ganjil</v>
      </c>
      <c r="R5664" s="8" t="s">
        <v>260</v>
      </c>
      <c r="S5664" t="str">
        <f t="shared" si="796"/>
        <v>PA</v>
      </c>
    </row>
    <row r="5665" spans="1:19" x14ac:dyDescent="0.3">
      <c r="A5665" t="s">
        <v>24</v>
      </c>
      <c r="B5665">
        <v>2016310003</v>
      </c>
      <c r="C5665" t="s">
        <v>288</v>
      </c>
      <c r="E5665" t="s">
        <v>490</v>
      </c>
      <c r="F5665" t="s">
        <v>239</v>
      </c>
      <c r="G5665">
        <v>4</v>
      </c>
      <c r="H5665" s="3" t="s">
        <v>260</v>
      </c>
      <c r="I5665" s="4">
        <f t="shared" si="797"/>
        <v>4</v>
      </c>
      <c r="J5665">
        <f t="shared" si="798"/>
        <v>16</v>
      </c>
      <c r="K5665">
        <v>34</v>
      </c>
      <c r="L5665">
        <v>12</v>
      </c>
      <c r="M5665" s="2">
        <v>2.83</v>
      </c>
      <c r="N5665">
        <v>3.07</v>
      </c>
      <c r="O5665">
        <v>1</v>
      </c>
      <c r="P5665">
        <v>8</v>
      </c>
      <c r="Q5665" s="4" t="str">
        <f t="shared" si="799"/>
        <v>2019/2020-Genap</v>
      </c>
      <c r="R5665" s="8" t="s">
        <v>596</v>
      </c>
      <c r="S5665" t="str">
        <f t="shared" si="796"/>
        <v>PA</v>
      </c>
    </row>
    <row r="5666" spans="1:19" x14ac:dyDescent="0.3">
      <c r="A5666" t="s">
        <v>24</v>
      </c>
      <c r="B5666">
        <v>2016310003</v>
      </c>
      <c r="C5666" t="s">
        <v>288</v>
      </c>
      <c r="E5666" t="s">
        <v>490</v>
      </c>
      <c r="F5666" t="s">
        <v>239</v>
      </c>
      <c r="G5666">
        <v>4</v>
      </c>
      <c r="H5666" s="3" t="s">
        <v>539</v>
      </c>
      <c r="I5666" s="4">
        <f t="shared" si="797"/>
        <v>0</v>
      </c>
      <c r="J5666">
        <f t="shared" si="798"/>
        <v>0</v>
      </c>
      <c r="K5666">
        <v>44</v>
      </c>
      <c r="L5666">
        <v>18</v>
      </c>
      <c r="M5666" s="2">
        <v>2.44</v>
      </c>
      <c r="N5666">
        <v>3.07</v>
      </c>
      <c r="O5666">
        <v>0</v>
      </c>
      <c r="P5666">
        <v>6</v>
      </c>
      <c r="Q5666" s="4" t="str">
        <f t="shared" si="799"/>
        <v>2018/2019-Genap</v>
      </c>
      <c r="R5666" s="8" t="s">
        <v>260</v>
      </c>
      <c r="S5666" t="str">
        <f t="shared" si="796"/>
        <v>FA</v>
      </c>
    </row>
    <row r="5667" spans="1:19" x14ac:dyDescent="0.3">
      <c r="A5667" t="s">
        <v>24</v>
      </c>
      <c r="B5667">
        <v>2016310004</v>
      </c>
      <c r="C5667" t="s">
        <v>153</v>
      </c>
      <c r="E5667" t="s">
        <v>154</v>
      </c>
      <c r="F5667" t="s">
        <v>155</v>
      </c>
      <c r="G5667">
        <v>4</v>
      </c>
      <c r="I5667" s="4"/>
      <c r="J5667">
        <v>0</v>
      </c>
      <c r="K5667">
        <v>12</v>
      </c>
      <c r="L5667">
        <v>10</v>
      </c>
      <c r="M5667" s="2">
        <v>1.2</v>
      </c>
      <c r="N5667">
        <v>2.44</v>
      </c>
      <c r="O5667">
        <v>0</v>
      </c>
      <c r="P5667">
        <v>5</v>
      </c>
      <c r="Q5667" t="s">
        <v>566</v>
      </c>
      <c r="R5667" s="8" t="s">
        <v>260</v>
      </c>
      <c r="S5667" t="s">
        <v>595</v>
      </c>
    </row>
    <row r="5668" spans="1:19" x14ac:dyDescent="0.3">
      <c r="A5668" t="s">
        <v>24</v>
      </c>
      <c r="B5668">
        <v>2016310004</v>
      </c>
      <c r="C5668" t="s">
        <v>153</v>
      </c>
      <c r="E5668" t="s">
        <v>224</v>
      </c>
      <c r="F5668" t="s">
        <v>225</v>
      </c>
      <c r="G5668">
        <v>4</v>
      </c>
      <c r="I5668" s="4"/>
      <c r="J5668">
        <v>0</v>
      </c>
      <c r="K5668">
        <v>48</v>
      </c>
      <c r="L5668">
        <v>16</v>
      </c>
      <c r="M5668" s="2">
        <v>3</v>
      </c>
      <c r="N5668">
        <v>2.44</v>
      </c>
      <c r="O5668">
        <v>0</v>
      </c>
      <c r="P5668">
        <v>1</v>
      </c>
      <c r="Q5668" t="s">
        <v>558</v>
      </c>
      <c r="R5668" s="8" t="s">
        <v>260</v>
      </c>
      <c r="S5668" t="s">
        <v>595</v>
      </c>
    </row>
    <row r="5669" spans="1:19" x14ac:dyDescent="0.3">
      <c r="A5669" t="s">
        <v>24</v>
      </c>
      <c r="B5669">
        <v>2016310004</v>
      </c>
      <c r="C5669" t="s">
        <v>153</v>
      </c>
      <c r="E5669" t="s">
        <v>351</v>
      </c>
      <c r="F5669" t="s">
        <v>243</v>
      </c>
      <c r="G5669">
        <v>2</v>
      </c>
      <c r="H5669" t="s">
        <v>260</v>
      </c>
      <c r="I5669" s="4">
        <f t="shared" ref="I5669" si="800">IF(H5669="A",4,IF(H5669="B",3,IF(H5669="C",2,IF(H5669="D",1,0))))</f>
        <v>4</v>
      </c>
      <c r="J5669">
        <f t="shared" ref="J5669" si="801">G5669*I5669</f>
        <v>8</v>
      </c>
      <c r="K5669">
        <v>52</v>
      </c>
      <c r="L5669">
        <v>18</v>
      </c>
      <c r="M5669">
        <v>2.89</v>
      </c>
      <c r="N5669">
        <v>2.44</v>
      </c>
      <c r="O5669">
        <v>0</v>
      </c>
      <c r="P5669">
        <v>3</v>
      </c>
      <c r="Q5669" t="s">
        <v>563</v>
      </c>
      <c r="R5669" s="8" t="s">
        <v>260</v>
      </c>
      <c r="S5669" t="str">
        <f t="shared" ref="S5669:S5706" si="802">IF(OR(H5669="A",H5669="B",H5669="C"),"PA","FA")</f>
        <v>PA</v>
      </c>
    </row>
    <row r="5670" spans="1:19" x14ac:dyDescent="0.3">
      <c r="A5670" t="s">
        <v>24</v>
      </c>
      <c r="B5670">
        <v>2016310004</v>
      </c>
      <c r="C5670" t="s">
        <v>153</v>
      </c>
      <c r="E5670" t="s">
        <v>405</v>
      </c>
      <c r="F5670" t="s">
        <v>406</v>
      </c>
      <c r="G5670">
        <v>2</v>
      </c>
      <c r="H5670" t="s">
        <v>260</v>
      </c>
      <c r="I5670" s="4">
        <f t="shared" ref="I5670:I5706" si="803">IF(H5670="A",4,IF(H5670="B",3,IF(H5670="C",2,IF(H5670="D",1,0))))</f>
        <v>4</v>
      </c>
      <c r="J5670">
        <f t="shared" ref="J5670:J5706" si="804">G5670*I5670</f>
        <v>8</v>
      </c>
      <c r="K5670">
        <v>40</v>
      </c>
      <c r="L5670">
        <v>14</v>
      </c>
      <c r="M5670" s="2">
        <v>2.86</v>
      </c>
      <c r="N5670">
        <v>2.44</v>
      </c>
      <c r="O5670">
        <v>0</v>
      </c>
      <c r="P5670">
        <v>4</v>
      </c>
      <c r="Q5670" t="s">
        <v>565</v>
      </c>
      <c r="R5670" s="8" t="s">
        <v>260</v>
      </c>
      <c r="S5670" t="str">
        <f t="shared" si="802"/>
        <v>PA</v>
      </c>
    </row>
    <row r="5671" spans="1:19" x14ac:dyDescent="0.3">
      <c r="A5671" t="s">
        <v>24</v>
      </c>
      <c r="B5671">
        <v>2016310004</v>
      </c>
      <c r="C5671" t="s">
        <v>153</v>
      </c>
      <c r="E5671" t="s">
        <v>417</v>
      </c>
      <c r="F5671" t="s">
        <v>418</v>
      </c>
      <c r="G5671">
        <v>4</v>
      </c>
      <c r="H5671" t="s">
        <v>438</v>
      </c>
      <c r="I5671" s="4">
        <f t="shared" si="803"/>
        <v>3</v>
      </c>
      <c r="J5671">
        <f t="shared" si="804"/>
        <v>12</v>
      </c>
      <c r="K5671">
        <v>40</v>
      </c>
      <c r="L5671">
        <v>14</v>
      </c>
      <c r="M5671" s="2">
        <v>2.86</v>
      </c>
      <c r="N5671">
        <v>2.44</v>
      </c>
      <c r="O5671">
        <v>0</v>
      </c>
      <c r="P5671">
        <v>4</v>
      </c>
      <c r="Q5671" t="s">
        <v>565</v>
      </c>
      <c r="R5671" s="8" t="s">
        <v>260</v>
      </c>
      <c r="S5671" t="str">
        <f t="shared" si="802"/>
        <v>PA</v>
      </c>
    </row>
    <row r="5672" spans="1:19" x14ac:dyDescent="0.3">
      <c r="A5672" t="s">
        <v>24</v>
      </c>
      <c r="B5672">
        <v>2016310004</v>
      </c>
      <c r="C5672" t="s">
        <v>153</v>
      </c>
      <c r="E5672" t="s">
        <v>377</v>
      </c>
      <c r="F5672" t="s">
        <v>378</v>
      </c>
      <c r="G5672">
        <v>2</v>
      </c>
      <c r="H5672" t="s">
        <v>438</v>
      </c>
      <c r="I5672" s="4">
        <f t="shared" si="803"/>
        <v>3</v>
      </c>
      <c r="J5672">
        <f t="shared" si="804"/>
        <v>6</v>
      </c>
      <c r="K5672">
        <v>44</v>
      </c>
      <c r="L5672">
        <v>20</v>
      </c>
      <c r="M5672" s="2">
        <v>2.2000000000000002</v>
      </c>
      <c r="N5672">
        <v>2.44</v>
      </c>
      <c r="O5672">
        <v>0</v>
      </c>
      <c r="P5672">
        <v>2</v>
      </c>
      <c r="Q5672" t="s">
        <v>559</v>
      </c>
      <c r="R5672" s="8" t="s">
        <v>260</v>
      </c>
      <c r="S5672" t="str">
        <f t="shared" si="802"/>
        <v>PA</v>
      </c>
    </row>
    <row r="5673" spans="1:19" x14ac:dyDescent="0.3">
      <c r="A5673" t="s">
        <v>24</v>
      </c>
      <c r="B5673">
        <v>2016310004</v>
      </c>
      <c r="C5673" t="s">
        <v>153</v>
      </c>
      <c r="E5673" t="s">
        <v>422</v>
      </c>
      <c r="F5673" t="s">
        <v>45</v>
      </c>
      <c r="G5673">
        <v>2</v>
      </c>
      <c r="H5673" t="s">
        <v>438</v>
      </c>
      <c r="I5673" s="4">
        <f t="shared" si="803"/>
        <v>3</v>
      </c>
      <c r="J5673">
        <f t="shared" si="804"/>
        <v>6</v>
      </c>
      <c r="K5673">
        <v>44</v>
      </c>
      <c r="L5673">
        <v>20</v>
      </c>
      <c r="M5673" s="2">
        <v>2.2000000000000002</v>
      </c>
      <c r="N5673">
        <v>2.44</v>
      </c>
      <c r="O5673">
        <v>0</v>
      </c>
      <c r="P5673">
        <v>2</v>
      </c>
      <c r="Q5673" t="s">
        <v>559</v>
      </c>
      <c r="R5673" s="8" t="s">
        <v>260</v>
      </c>
      <c r="S5673" t="str">
        <f t="shared" si="802"/>
        <v>PA</v>
      </c>
    </row>
    <row r="5674" spans="1:19" x14ac:dyDescent="0.3">
      <c r="A5674" t="s">
        <v>24</v>
      </c>
      <c r="B5674">
        <v>2016310004</v>
      </c>
      <c r="C5674" t="s">
        <v>153</v>
      </c>
      <c r="E5674" t="s">
        <v>434</v>
      </c>
      <c r="F5674" t="s">
        <v>435</v>
      </c>
      <c r="G5674">
        <v>2</v>
      </c>
      <c r="H5674" t="s">
        <v>438</v>
      </c>
      <c r="I5674" s="4">
        <f t="shared" si="803"/>
        <v>3</v>
      </c>
      <c r="J5674">
        <f t="shared" si="804"/>
        <v>6</v>
      </c>
      <c r="K5674">
        <v>48</v>
      </c>
      <c r="L5674">
        <v>16</v>
      </c>
      <c r="M5674" s="2">
        <v>3</v>
      </c>
      <c r="N5674">
        <v>2.44</v>
      </c>
      <c r="O5674">
        <v>0</v>
      </c>
      <c r="P5674">
        <v>1</v>
      </c>
      <c r="Q5674" t="s">
        <v>558</v>
      </c>
      <c r="R5674" s="8" t="s">
        <v>260</v>
      </c>
      <c r="S5674" t="str">
        <f t="shared" si="802"/>
        <v>PA</v>
      </c>
    </row>
    <row r="5675" spans="1:19" x14ac:dyDescent="0.3">
      <c r="A5675" t="s">
        <v>24</v>
      </c>
      <c r="B5675">
        <v>2016310004</v>
      </c>
      <c r="C5675" t="s">
        <v>153</v>
      </c>
      <c r="E5675" t="s">
        <v>430</v>
      </c>
      <c r="F5675" t="s">
        <v>431</v>
      </c>
      <c r="G5675">
        <v>2</v>
      </c>
      <c r="H5675" t="s">
        <v>438</v>
      </c>
      <c r="I5675" s="4">
        <f t="shared" si="803"/>
        <v>3</v>
      </c>
      <c r="J5675">
        <f t="shared" si="804"/>
        <v>6</v>
      </c>
      <c r="K5675">
        <v>22</v>
      </c>
      <c r="L5675">
        <v>12</v>
      </c>
      <c r="M5675" s="2">
        <v>1.83</v>
      </c>
      <c r="N5675">
        <v>2.44</v>
      </c>
      <c r="O5675">
        <v>0</v>
      </c>
      <c r="P5675">
        <v>6</v>
      </c>
      <c r="Q5675" t="s">
        <v>567</v>
      </c>
      <c r="R5675" s="8" t="s">
        <v>260</v>
      </c>
      <c r="S5675" t="str">
        <f t="shared" si="802"/>
        <v>PA</v>
      </c>
    </row>
    <row r="5676" spans="1:19" x14ac:dyDescent="0.3">
      <c r="A5676" t="s">
        <v>24</v>
      </c>
      <c r="B5676">
        <v>2016310004</v>
      </c>
      <c r="C5676" t="s">
        <v>153</v>
      </c>
      <c r="E5676" t="s">
        <v>145</v>
      </c>
      <c r="F5676" t="s">
        <v>146</v>
      </c>
      <c r="G5676">
        <v>2</v>
      </c>
      <c r="H5676" t="s">
        <v>438</v>
      </c>
      <c r="I5676" s="4">
        <f t="shared" si="803"/>
        <v>3</v>
      </c>
      <c r="J5676">
        <f t="shared" si="804"/>
        <v>6</v>
      </c>
      <c r="K5676">
        <v>48</v>
      </c>
      <c r="L5676">
        <v>16</v>
      </c>
      <c r="M5676" s="2">
        <v>3</v>
      </c>
      <c r="N5676">
        <v>2.44</v>
      </c>
      <c r="O5676">
        <v>0</v>
      </c>
      <c r="P5676">
        <v>1</v>
      </c>
      <c r="Q5676" t="s">
        <v>558</v>
      </c>
      <c r="R5676" s="8" t="s">
        <v>260</v>
      </c>
      <c r="S5676" t="str">
        <f t="shared" si="802"/>
        <v>PA</v>
      </c>
    </row>
    <row r="5677" spans="1:19" x14ac:dyDescent="0.3">
      <c r="A5677" t="s">
        <v>24</v>
      </c>
      <c r="B5677">
        <v>2016310004</v>
      </c>
      <c r="C5677" t="s">
        <v>153</v>
      </c>
      <c r="E5677" t="s">
        <v>84</v>
      </c>
      <c r="F5677" t="s">
        <v>85</v>
      </c>
      <c r="G5677">
        <v>2</v>
      </c>
      <c r="H5677" t="s">
        <v>438</v>
      </c>
      <c r="I5677" s="4">
        <f t="shared" si="803"/>
        <v>3</v>
      </c>
      <c r="J5677">
        <f t="shared" si="804"/>
        <v>6</v>
      </c>
      <c r="K5677">
        <v>48</v>
      </c>
      <c r="L5677">
        <v>16</v>
      </c>
      <c r="M5677" s="2">
        <v>3</v>
      </c>
      <c r="N5677">
        <v>2.44</v>
      </c>
      <c r="O5677">
        <v>0</v>
      </c>
      <c r="P5677">
        <v>1</v>
      </c>
      <c r="Q5677" t="s">
        <v>558</v>
      </c>
      <c r="R5677" s="8" t="s">
        <v>260</v>
      </c>
      <c r="S5677" t="str">
        <f t="shared" si="802"/>
        <v>PA</v>
      </c>
    </row>
    <row r="5678" spans="1:19" x14ac:dyDescent="0.3">
      <c r="A5678" t="s">
        <v>24</v>
      </c>
      <c r="B5678">
        <v>2016310004</v>
      </c>
      <c r="C5678" t="s">
        <v>153</v>
      </c>
      <c r="E5678" t="s">
        <v>453</v>
      </c>
      <c r="F5678" t="s">
        <v>454</v>
      </c>
      <c r="G5678">
        <v>4</v>
      </c>
      <c r="H5678" t="s">
        <v>438</v>
      </c>
      <c r="I5678" s="4">
        <f t="shared" si="803"/>
        <v>3</v>
      </c>
      <c r="J5678">
        <f t="shared" si="804"/>
        <v>12</v>
      </c>
      <c r="K5678">
        <v>32</v>
      </c>
      <c r="L5678">
        <v>12</v>
      </c>
      <c r="M5678" s="2">
        <v>2.67</v>
      </c>
      <c r="N5678">
        <v>2.44</v>
      </c>
      <c r="O5678">
        <v>0</v>
      </c>
      <c r="P5678">
        <v>7</v>
      </c>
      <c r="Q5678" t="s">
        <v>568</v>
      </c>
      <c r="R5678" s="8" t="s">
        <v>535</v>
      </c>
      <c r="S5678" t="str">
        <f t="shared" si="802"/>
        <v>PA</v>
      </c>
    </row>
    <row r="5679" spans="1:19" x14ac:dyDescent="0.3">
      <c r="A5679" t="s">
        <v>24</v>
      </c>
      <c r="B5679">
        <v>2016310004</v>
      </c>
      <c r="C5679" t="s">
        <v>153</v>
      </c>
      <c r="E5679" t="s">
        <v>215</v>
      </c>
      <c r="F5679" t="s">
        <v>186</v>
      </c>
      <c r="G5679">
        <v>4</v>
      </c>
      <c r="H5679" t="s">
        <v>438</v>
      </c>
      <c r="I5679" s="4">
        <f t="shared" si="803"/>
        <v>3</v>
      </c>
      <c r="J5679">
        <f t="shared" si="804"/>
        <v>12</v>
      </c>
      <c r="K5679">
        <v>52</v>
      </c>
      <c r="L5679">
        <v>18</v>
      </c>
      <c r="M5679">
        <v>2.89</v>
      </c>
      <c r="N5679">
        <v>2.44</v>
      </c>
      <c r="O5679">
        <v>0</v>
      </c>
      <c r="P5679">
        <v>3</v>
      </c>
      <c r="Q5679" t="s">
        <v>563</v>
      </c>
      <c r="R5679" s="8" t="s">
        <v>260</v>
      </c>
      <c r="S5679" t="str">
        <f t="shared" si="802"/>
        <v>PA</v>
      </c>
    </row>
    <row r="5680" spans="1:19" x14ac:dyDescent="0.3">
      <c r="A5680" t="s">
        <v>24</v>
      </c>
      <c r="B5680">
        <v>2016310004</v>
      </c>
      <c r="C5680" t="s">
        <v>153</v>
      </c>
      <c r="E5680" t="s">
        <v>168</v>
      </c>
      <c r="F5680" t="s">
        <v>169</v>
      </c>
      <c r="G5680">
        <v>4</v>
      </c>
      <c r="H5680" t="s">
        <v>438</v>
      </c>
      <c r="I5680" s="4">
        <f t="shared" si="803"/>
        <v>3</v>
      </c>
      <c r="J5680">
        <f t="shared" si="804"/>
        <v>12</v>
      </c>
      <c r="K5680">
        <v>48</v>
      </c>
      <c r="L5680">
        <v>16</v>
      </c>
      <c r="M5680" s="2">
        <v>3</v>
      </c>
      <c r="N5680">
        <v>2.44</v>
      </c>
      <c r="O5680">
        <v>0</v>
      </c>
      <c r="P5680">
        <v>1</v>
      </c>
      <c r="Q5680" t="s">
        <v>558</v>
      </c>
      <c r="R5680" s="8" t="s">
        <v>260</v>
      </c>
      <c r="S5680" t="str">
        <f t="shared" si="802"/>
        <v>PA</v>
      </c>
    </row>
    <row r="5681" spans="1:19" x14ac:dyDescent="0.3">
      <c r="A5681" t="s">
        <v>24</v>
      </c>
      <c r="B5681">
        <v>2016310004</v>
      </c>
      <c r="C5681" t="s">
        <v>153</v>
      </c>
      <c r="E5681" t="s">
        <v>443</v>
      </c>
      <c r="F5681" t="s">
        <v>140</v>
      </c>
      <c r="G5681">
        <v>2</v>
      </c>
      <c r="H5681" t="s">
        <v>438</v>
      </c>
      <c r="I5681" s="4">
        <f t="shared" si="803"/>
        <v>3</v>
      </c>
      <c r="J5681">
        <f t="shared" si="804"/>
        <v>6</v>
      </c>
      <c r="K5681">
        <v>32</v>
      </c>
      <c r="L5681">
        <v>12</v>
      </c>
      <c r="M5681" s="2">
        <v>2.67</v>
      </c>
      <c r="N5681">
        <v>2.44</v>
      </c>
      <c r="O5681">
        <v>0</v>
      </c>
      <c r="P5681">
        <v>7</v>
      </c>
      <c r="Q5681" t="s">
        <v>568</v>
      </c>
      <c r="R5681" s="8" t="s">
        <v>535</v>
      </c>
      <c r="S5681" t="str">
        <f t="shared" si="802"/>
        <v>PA</v>
      </c>
    </row>
    <row r="5682" spans="1:19" x14ac:dyDescent="0.3">
      <c r="A5682" t="s">
        <v>24</v>
      </c>
      <c r="B5682">
        <v>2016310004</v>
      </c>
      <c r="C5682" t="s">
        <v>153</v>
      </c>
      <c r="E5682" t="s">
        <v>379</v>
      </c>
      <c r="F5682" t="s">
        <v>137</v>
      </c>
      <c r="G5682">
        <v>4</v>
      </c>
      <c r="H5682" t="s">
        <v>438</v>
      </c>
      <c r="I5682" s="4">
        <f t="shared" si="803"/>
        <v>3</v>
      </c>
      <c r="J5682">
        <f t="shared" si="804"/>
        <v>12</v>
      </c>
      <c r="K5682">
        <v>40</v>
      </c>
      <c r="L5682">
        <v>14</v>
      </c>
      <c r="M5682" s="2">
        <v>2.86</v>
      </c>
      <c r="N5682">
        <v>2.44</v>
      </c>
      <c r="O5682">
        <v>0</v>
      </c>
      <c r="P5682">
        <v>4</v>
      </c>
      <c r="Q5682" t="s">
        <v>565</v>
      </c>
      <c r="R5682" s="8" t="s">
        <v>260</v>
      </c>
      <c r="S5682" t="str">
        <f t="shared" si="802"/>
        <v>PA</v>
      </c>
    </row>
    <row r="5683" spans="1:19" x14ac:dyDescent="0.3">
      <c r="A5683" t="s">
        <v>24</v>
      </c>
      <c r="B5683">
        <v>2016310004</v>
      </c>
      <c r="C5683" t="s">
        <v>153</v>
      </c>
      <c r="E5683" t="s">
        <v>289</v>
      </c>
      <c r="F5683" t="s">
        <v>129</v>
      </c>
      <c r="G5683">
        <v>4</v>
      </c>
      <c r="H5683" t="s">
        <v>438</v>
      </c>
      <c r="I5683" s="4">
        <f t="shared" si="803"/>
        <v>3</v>
      </c>
      <c r="J5683">
        <f t="shared" si="804"/>
        <v>12</v>
      </c>
      <c r="K5683">
        <v>48</v>
      </c>
      <c r="L5683">
        <v>16</v>
      </c>
      <c r="M5683" s="2">
        <v>3</v>
      </c>
      <c r="N5683">
        <v>2.44</v>
      </c>
      <c r="O5683">
        <v>0</v>
      </c>
      <c r="P5683">
        <v>1</v>
      </c>
      <c r="Q5683" t="s">
        <v>558</v>
      </c>
      <c r="R5683" s="8" t="s">
        <v>260</v>
      </c>
      <c r="S5683" t="str">
        <f t="shared" si="802"/>
        <v>PA</v>
      </c>
    </row>
    <row r="5684" spans="1:19" x14ac:dyDescent="0.3">
      <c r="A5684" t="s">
        <v>24</v>
      </c>
      <c r="B5684">
        <v>2016310004</v>
      </c>
      <c r="C5684" t="s">
        <v>153</v>
      </c>
      <c r="E5684" t="s">
        <v>456</v>
      </c>
      <c r="F5684" t="s">
        <v>457</v>
      </c>
      <c r="G5684">
        <v>2</v>
      </c>
      <c r="H5684" t="s">
        <v>438</v>
      </c>
      <c r="I5684" s="4">
        <f t="shared" si="803"/>
        <v>3</v>
      </c>
      <c r="J5684">
        <f t="shared" si="804"/>
        <v>6</v>
      </c>
      <c r="K5684">
        <v>44</v>
      </c>
      <c r="L5684">
        <v>20</v>
      </c>
      <c r="M5684" s="2">
        <v>2.2000000000000002</v>
      </c>
      <c r="N5684">
        <v>2.44</v>
      </c>
      <c r="O5684">
        <v>0</v>
      </c>
      <c r="P5684">
        <v>2</v>
      </c>
      <c r="Q5684" t="s">
        <v>559</v>
      </c>
      <c r="R5684" s="8" t="s">
        <v>260</v>
      </c>
      <c r="S5684" t="str">
        <f t="shared" si="802"/>
        <v>PA</v>
      </c>
    </row>
    <row r="5685" spans="1:19" x14ac:dyDescent="0.3">
      <c r="A5685" t="s">
        <v>24</v>
      </c>
      <c r="B5685">
        <v>2016310004</v>
      </c>
      <c r="C5685" t="s">
        <v>153</v>
      </c>
      <c r="E5685" t="s">
        <v>380</v>
      </c>
      <c r="F5685" t="s">
        <v>381</v>
      </c>
      <c r="G5685">
        <v>2</v>
      </c>
      <c r="H5685" t="s">
        <v>438</v>
      </c>
      <c r="I5685" s="4">
        <f t="shared" si="803"/>
        <v>3</v>
      </c>
      <c r="J5685">
        <f t="shared" si="804"/>
        <v>6</v>
      </c>
      <c r="K5685">
        <v>52</v>
      </c>
      <c r="L5685">
        <v>18</v>
      </c>
      <c r="M5685">
        <v>2.89</v>
      </c>
      <c r="N5685">
        <v>2.44</v>
      </c>
      <c r="O5685">
        <v>0</v>
      </c>
      <c r="P5685">
        <v>3</v>
      </c>
      <c r="Q5685" t="s">
        <v>563</v>
      </c>
      <c r="R5685" s="8" t="s">
        <v>260</v>
      </c>
      <c r="S5685" t="str">
        <f t="shared" si="802"/>
        <v>PA</v>
      </c>
    </row>
    <row r="5686" spans="1:19" x14ac:dyDescent="0.3">
      <c r="A5686" t="s">
        <v>24</v>
      </c>
      <c r="B5686">
        <v>2016310004</v>
      </c>
      <c r="C5686" t="s">
        <v>153</v>
      </c>
      <c r="E5686" t="s">
        <v>131</v>
      </c>
      <c r="F5686" t="s">
        <v>132</v>
      </c>
      <c r="G5686">
        <v>2</v>
      </c>
      <c r="H5686" t="s">
        <v>438</v>
      </c>
      <c r="I5686" s="4">
        <f t="shared" si="803"/>
        <v>3</v>
      </c>
      <c r="J5686">
        <f t="shared" si="804"/>
        <v>6</v>
      </c>
      <c r="K5686">
        <v>48</v>
      </c>
      <c r="L5686">
        <v>16</v>
      </c>
      <c r="M5686" s="2">
        <v>3</v>
      </c>
      <c r="N5686">
        <v>2.44</v>
      </c>
      <c r="O5686">
        <v>0</v>
      </c>
      <c r="P5686">
        <v>1</v>
      </c>
      <c r="Q5686" t="s">
        <v>558</v>
      </c>
      <c r="R5686" s="8" t="s">
        <v>260</v>
      </c>
      <c r="S5686" t="str">
        <f t="shared" si="802"/>
        <v>PA</v>
      </c>
    </row>
    <row r="5687" spans="1:19" x14ac:dyDescent="0.3">
      <c r="A5687" t="s">
        <v>24</v>
      </c>
      <c r="B5687">
        <v>2016310004</v>
      </c>
      <c r="C5687" t="s">
        <v>153</v>
      </c>
      <c r="E5687" t="s">
        <v>426</v>
      </c>
      <c r="F5687" t="s">
        <v>307</v>
      </c>
      <c r="G5687">
        <v>2</v>
      </c>
      <c r="H5687" t="s">
        <v>438</v>
      </c>
      <c r="I5687" s="4">
        <f t="shared" si="803"/>
        <v>3</v>
      </c>
      <c r="J5687">
        <f t="shared" si="804"/>
        <v>6</v>
      </c>
      <c r="K5687">
        <v>52</v>
      </c>
      <c r="L5687">
        <v>18</v>
      </c>
      <c r="M5687">
        <v>2.89</v>
      </c>
      <c r="N5687">
        <v>2.44</v>
      </c>
      <c r="O5687">
        <v>0</v>
      </c>
      <c r="P5687">
        <v>3</v>
      </c>
      <c r="Q5687" t="s">
        <v>563</v>
      </c>
      <c r="R5687" s="8" t="s">
        <v>260</v>
      </c>
      <c r="S5687" t="str">
        <f t="shared" si="802"/>
        <v>PA</v>
      </c>
    </row>
    <row r="5688" spans="1:19" x14ac:dyDescent="0.3">
      <c r="A5688" t="s">
        <v>24</v>
      </c>
      <c r="B5688">
        <v>2016310004</v>
      </c>
      <c r="C5688" t="s">
        <v>153</v>
      </c>
      <c r="E5688" t="s">
        <v>128</v>
      </c>
      <c r="F5688" t="s">
        <v>129</v>
      </c>
      <c r="G5688">
        <v>4</v>
      </c>
      <c r="H5688" t="s">
        <v>438</v>
      </c>
      <c r="I5688" s="4">
        <f t="shared" si="803"/>
        <v>3</v>
      </c>
      <c r="J5688">
        <f t="shared" si="804"/>
        <v>12</v>
      </c>
      <c r="K5688">
        <v>44</v>
      </c>
      <c r="L5688">
        <v>20</v>
      </c>
      <c r="M5688" s="2">
        <v>2.2000000000000002</v>
      </c>
      <c r="N5688">
        <v>2.44</v>
      </c>
      <c r="O5688">
        <v>0</v>
      </c>
      <c r="P5688">
        <v>2</v>
      </c>
      <c r="Q5688" t="s">
        <v>559</v>
      </c>
      <c r="R5688" s="8" t="s">
        <v>260</v>
      </c>
      <c r="S5688" t="str">
        <f t="shared" si="802"/>
        <v>PA</v>
      </c>
    </row>
    <row r="5689" spans="1:19" x14ac:dyDescent="0.3">
      <c r="A5689" t="s">
        <v>24</v>
      </c>
      <c r="B5689">
        <v>2016310004</v>
      </c>
      <c r="C5689" t="s">
        <v>153</v>
      </c>
      <c r="E5689" t="s">
        <v>458</v>
      </c>
      <c r="F5689" t="s">
        <v>459</v>
      </c>
      <c r="G5689">
        <v>2</v>
      </c>
      <c r="H5689" t="s">
        <v>438</v>
      </c>
      <c r="I5689" s="4">
        <f t="shared" si="803"/>
        <v>3</v>
      </c>
      <c r="J5689">
        <f t="shared" si="804"/>
        <v>6</v>
      </c>
      <c r="K5689">
        <v>22</v>
      </c>
      <c r="L5689">
        <v>12</v>
      </c>
      <c r="M5689" s="2">
        <v>1.83</v>
      </c>
      <c r="N5689">
        <v>2.44</v>
      </c>
      <c r="O5689">
        <v>0</v>
      </c>
      <c r="P5689">
        <v>6</v>
      </c>
      <c r="Q5689" t="s">
        <v>567</v>
      </c>
      <c r="R5689" s="8" t="s">
        <v>260</v>
      </c>
      <c r="S5689" t="str">
        <f t="shared" si="802"/>
        <v>PA</v>
      </c>
    </row>
    <row r="5690" spans="1:19" x14ac:dyDescent="0.3">
      <c r="A5690" t="s">
        <v>24</v>
      </c>
      <c r="B5690">
        <v>2016310004</v>
      </c>
      <c r="C5690" t="s">
        <v>153</v>
      </c>
      <c r="E5690" t="s">
        <v>441</v>
      </c>
      <c r="F5690" t="s">
        <v>442</v>
      </c>
      <c r="G5690">
        <v>4</v>
      </c>
      <c r="H5690" t="s">
        <v>438</v>
      </c>
      <c r="I5690" s="4">
        <f t="shared" si="803"/>
        <v>3</v>
      </c>
      <c r="J5690">
        <f t="shared" si="804"/>
        <v>12</v>
      </c>
      <c r="K5690">
        <v>52</v>
      </c>
      <c r="L5690">
        <v>18</v>
      </c>
      <c r="M5690">
        <v>2.89</v>
      </c>
      <c r="N5690">
        <v>2.44</v>
      </c>
      <c r="O5690">
        <v>0</v>
      </c>
      <c r="P5690">
        <v>3</v>
      </c>
      <c r="Q5690" t="s">
        <v>563</v>
      </c>
      <c r="R5690" s="8" t="s">
        <v>260</v>
      </c>
      <c r="S5690" t="str">
        <f t="shared" si="802"/>
        <v>PA</v>
      </c>
    </row>
    <row r="5691" spans="1:19" x14ac:dyDescent="0.3">
      <c r="A5691" t="s">
        <v>24</v>
      </c>
      <c r="B5691">
        <v>2016310004</v>
      </c>
      <c r="C5691" t="s">
        <v>153</v>
      </c>
      <c r="E5691" t="s">
        <v>494</v>
      </c>
      <c r="F5691" t="s">
        <v>495</v>
      </c>
      <c r="G5691">
        <v>4</v>
      </c>
      <c r="H5691" t="s">
        <v>524</v>
      </c>
      <c r="I5691" s="4">
        <f t="shared" si="803"/>
        <v>2</v>
      </c>
      <c r="J5691">
        <f t="shared" si="804"/>
        <v>8</v>
      </c>
      <c r="K5691">
        <v>40</v>
      </c>
      <c r="L5691">
        <v>14</v>
      </c>
      <c r="M5691" s="2">
        <v>2.86</v>
      </c>
      <c r="N5691">
        <v>2.44</v>
      </c>
      <c r="O5691">
        <v>0</v>
      </c>
      <c r="P5691">
        <v>4</v>
      </c>
      <c r="Q5691" t="s">
        <v>565</v>
      </c>
      <c r="R5691" s="8" t="s">
        <v>260</v>
      </c>
      <c r="S5691" t="str">
        <f t="shared" si="802"/>
        <v>PA</v>
      </c>
    </row>
    <row r="5692" spans="1:19" x14ac:dyDescent="0.3">
      <c r="A5692" t="s">
        <v>24</v>
      </c>
      <c r="B5692">
        <v>2016310004</v>
      </c>
      <c r="C5692" t="s">
        <v>153</v>
      </c>
      <c r="E5692" t="s">
        <v>455</v>
      </c>
      <c r="F5692" t="s">
        <v>280</v>
      </c>
      <c r="G5692">
        <v>2</v>
      </c>
      <c r="H5692" t="s">
        <v>524</v>
      </c>
      <c r="I5692" s="4">
        <f t="shared" si="803"/>
        <v>2</v>
      </c>
      <c r="J5692">
        <f t="shared" si="804"/>
        <v>4</v>
      </c>
      <c r="K5692">
        <v>44</v>
      </c>
      <c r="L5692">
        <v>20</v>
      </c>
      <c r="M5692" s="2">
        <v>2.2000000000000002</v>
      </c>
      <c r="N5692">
        <v>2.44</v>
      </c>
      <c r="O5692">
        <v>0</v>
      </c>
      <c r="P5692">
        <v>2</v>
      </c>
      <c r="Q5692" t="s">
        <v>559</v>
      </c>
      <c r="R5692" s="8" t="s">
        <v>260</v>
      </c>
      <c r="S5692" t="str">
        <f t="shared" si="802"/>
        <v>PA</v>
      </c>
    </row>
    <row r="5693" spans="1:19" x14ac:dyDescent="0.3">
      <c r="A5693" t="s">
        <v>24</v>
      </c>
      <c r="B5693">
        <v>2016310004</v>
      </c>
      <c r="C5693" t="s">
        <v>153</v>
      </c>
      <c r="E5693" t="s">
        <v>384</v>
      </c>
      <c r="F5693" t="s">
        <v>385</v>
      </c>
      <c r="G5693">
        <v>2</v>
      </c>
      <c r="H5693" t="s">
        <v>524</v>
      </c>
      <c r="I5693" s="4">
        <f t="shared" si="803"/>
        <v>2</v>
      </c>
      <c r="J5693">
        <f t="shared" si="804"/>
        <v>4</v>
      </c>
      <c r="K5693">
        <v>12</v>
      </c>
      <c r="L5693">
        <v>10</v>
      </c>
      <c r="M5693" s="2">
        <v>1.2</v>
      </c>
      <c r="N5693">
        <v>2.44</v>
      </c>
      <c r="O5693">
        <v>0</v>
      </c>
      <c r="P5693">
        <v>5</v>
      </c>
      <c r="Q5693" t="s">
        <v>566</v>
      </c>
      <c r="R5693" s="8" t="s">
        <v>260</v>
      </c>
      <c r="S5693" t="str">
        <f t="shared" si="802"/>
        <v>PA</v>
      </c>
    </row>
    <row r="5694" spans="1:19" x14ac:dyDescent="0.3">
      <c r="A5694" t="s">
        <v>24</v>
      </c>
      <c r="B5694">
        <v>2016310004</v>
      </c>
      <c r="C5694" t="s">
        <v>153</v>
      </c>
      <c r="E5694" t="s">
        <v>389</v>
      </c>
      <c r="F5694" t="s">
        <v>390</v>
      </c>
      <c r="G5694">
        <v>2</v>
      </c>
      <c r="H5694" t="s">
        <v>524</v>
      </c>
      <c r="I5694" s="4">
        <f t="shared" si="803"/>
        <v>2</v>
      </c>
      <c r="J5694">
        <f t="shared" si="804"/>
        <v>4</v>
      </c>
      <c r="K5694">
        <v>44</v>
      </c>
      <c r="L5694">
        <v>20</v>
      </c>
      <c r="M5694" s="2">
        <v>2.2000000000000002</v>
      </c>
      <c r="N5694">
        <v>2.44</v>
      </c>
      <c r="O5694">
        <v>0</v>
      </c>
      <c r="P5694">
        <v>2</v>
      </c>
      <c r="Q5694" t="s">
        <v>559</v>
      </c>
      <c r="R5694" s="8" t="s">
        <v>260</v>
      </c>
      <c r="S5694" t="str">
        <f t="shared" si="802"/>
        <v>PA</v>
      </c>
    </row>
    <row r="5695" spans="1:19" x14ac:dyDescent="0.3">
      <c r="A5695" t="s">
        <v>24</v>
      </c>
      <c r="B5695">
        <v>2016310004</v>
      </c>
      <c r="C5695" t="s">
        <v>153</v>
      </c>
      <c r="E5695" t="s">
        <v>149</v>
      </c>
      <c r="F5695" t="s">
        <v>150</v>
      </c>
      <c r="G5695">
        <v>2</v>
      </c>
      <c r="H5695" t="s">
        <v>524</v>
      </c>
      <c r="I5695" s="4">
        <f t="shared" si="803"/>
        <v>2</v>
      </c>
      <c r="J5695">
        <f t="shared" si="804"/>
        <v>4</v>
      </c>
      <c r="K5695">
        <v>12</v>
      </c>
      <c r="L5695">
        <v>10</v>
      </c>
      <c r="M5695" s="2">
        <v>1.2</v>
      </c>
      <c r="N5695">
        <v>2.44</v>
      </c>
      <c r="O5695">
        <v>0</v>
      </c>
      <c r="P5695">
        <v>5</v>
      </c>
      <c r="Q5695" t="s">
        <v>566</v>
      </c>
      <c r="R5695" s="8" t="s">
        <v>260</v>
      </c>
      <c r="S5695" t="str">
        <f t="shared" si="802"/>
        <v>PA</v>
      </c>
    </row>
    <row r="5696" spans="1:19" x14ac:dyDescent="0.3">
      <c r="A5696" t="s">
        <v>24</v>
      </c>
      <c r="B5696">
        <v>2016310004</v>
      </c>
      <c r="C5696" t="s">
        <v>153</v>
      </c>
      <c r="E5696" t="s">
        <v>252</v>
      </c>
      <c r="F5696" t="s">
        <v>78</v>
      </c>
      <c r="G5696">
        <v>2</v>
      </c>
      <c r="H5696" t="s">
        <v>524</v>
      </c>
      <c r="I5696" s="4">
        <f t="shared" si="803"/>
        <v>2</v>
      </c>
      <c r="J5696">
        <f t="shared" si="804"/>
        <v>4</v>
      </c>
      <c r="K5696">
        <v>52</v>
      </c>
      <c r="L5696">
        <v>18</v>
      </c>
      <c r="M5696">
        <v>2.89</v>
      </c>
      <c r="N5696">
        <v>2.44</v>
      </c>
      <c r="O5696">
        <v>0</v>
      </c>
      <c r="P5696">
        <v>3</v>
      </c>
      <c r="Q5696" t="s">
        <v>563</v>
      </c>
      <c r="R5696" s="8" t="s">
        <v>260</v>
      </c>
      <c r="S5696" t="str">
        <f t="shared" si="802"/>
        <v>PA</v>
      </c>
    </row>
    <row r="5697" spans="1:19" x14ac:dyDescent="0.3">
      <c r="A5697" t="s">
        <v>24</v>
      </c>
      <c r="B5697">
        <v>2016310004</v>
      </c>
      <c r="C5697" t="s">
        <v>153</v>
      </c>
      <c r="E5697" t="s">
        <v>480</v>
      </c>
      <c r="F5697" t="s">
        <v>481</v>
      </c>
      <c r="G5697">
        <v>2</v>
      </c>
      <c r="H5697" t="s">
        <v>524</v>
      </c>
      <c r="I5697" s="4">
        <f t="shared" si="803"/>
        <v>2</v>
      </c>
      <c r="J5697">
        <f t="shared" si="804"/>
        <v>4</v>
      </c>
      <c r="K5697">
        <v>52</v>
      </c>
      <c r="L5697">
        <v>18</v>
      </c>
      <c r="M5697">
        <v>2.89</v>
      </c>
      <c r="N5697">
        <v>2.44</v>
      </c>
      <c r="O5697">
        <v>0</v>
      </c>
      <c r="P5697">
        <v>3</v>
      </c>
      <c r="Q5697" t="s">
        <v>563</v>
      </c>
      <c r="R5697" s="8" t="s">
        <v>260</v>
      </c>
      <c r="S5697" t="str">
        <f t="shared" si="802"/>
        <v>PA</v>
      </c>
    </row>
    <row r="5698" spans="1:19" x14ac:dyDescent="0.3">
      <c r="A5698" t="s">
        <v>24</v>
      </c>
      <c r="B5698">
        <v>2016310004</v>
      </c>
      <c r="C5698" t="s">
        <v>153</v>
      </c>
      <c r="E5698" t="s">
        <v>464</v>
      </c>
      <c r="F5698" t="s">
        <v>108</v>
      </c>
      <c r="G5698">
        <v>2</v>
      </c>
      <c r="H5698" t="s">
        <v>438</v>
      </c>
      <c r="I5698" s="4">
        <f t="shared" si="803"/>
        <v>3</v>
      </c>
      <c r="J5698">
        <f t="shared" si="804"/>
        <v>6</v>
      </c>
      <c r="K5698">
        <v>32</v>
      </c>
      <c r="L5698">
        <v>12</v>
      </c>
      <c r="M5698" s="2">
        <v>2.67</v>
      </c>
      <c r="N5698">
        <v>2.44</v>
      </c>
      <c r="O5698">
        <v>1</v>
      </c>
      <c r="P5698">
        <v>7</v>
      </c>
      <c r="Q5698" s="4" t="str">
        <f>IF(P5698=1,"2016/2017-Ganjil",IF(P5698=2,"2016/2017-Genap",IF(P5698=3,"2017/2018-Ganjil",IF(P5698=4,"2017/2018-Genap",IF(P5698=5,"2018/2019-Ganjil",IF(P5698=6,"2018/2019-Genap",IF(P5698=7,"2019/2020-Ganjil",IF(P5698=8,"2019/2020-Genap",IF(P5698=9,"2020/2021-Ganjil",IF(P5698=10,"2020/2021-Genap",IF(P5698=11,"2021/2022-Ganjil",IF(P5698=12,"2021/2022-Genap",IF(P5698=13,"2022/2023-Ganjil","2022/2023-Genap")))))))))))))</f>
        <v>2019/2020-Ganjil</v>
      </c>
      <c r="R5698" s="8" t="s">
        <v>535</v>
      </c>
      <c r="S5698" t="str">
        <f t="shared" si="802"/>
        <v>PA</v>
      </c>
    </row>
    <row r="5699" spans="1:19" x14ac:dyDescent="0.3">
      <c r="A5699" t="s">
        <v>24</v>
      </c>
      <c r="B5699">
        <v>2016310004</v>
      </c>
      <c r="C5699" t="s">
        <v>153</v>
      </c>
      <c r="E5699" t="s">
        <v>464</v>
      </c>
      <c r="F5699" t="s">
        <v>108</v>
      </c>
      <c r="G5699">
        <v>2</v>
      </c>
      <c r="H5699" t="s">
        <v>524</v>
      </c>
      <c r="I5699" s="4">
        <f t="shared" si="803"/>
        <v>2</v>
      </c>
      <c r="J5699">
        <f t="shared" si="804"/>
        <v>4</v>
      </c>
      <c r="K5699">
        <v>12</v>
      </c>
      <c r="L5699">
        <v>10</v>
      </c>
      <c r="M5699" s="2">
        <v>1.2</v>
      </c>
      <c r="N5699">
        <v>2.44</v>
      </c>
      <c r="O5699">
        <v>0</v>
      </c>
      <c r="P5699">
        <v>5</v>
      </c>
      <c r="Q5699" t="s">
        <v>566</v>
      </c>
      <c r="R5699" s="8" t="s">
        <v>260</v>
      </c>
      <c r="S5699" t="str">
        <f t="shared" si="802"/>
        <v>PA</v>
      </c>
    </row>
    <row r="5700" spans="1:19" x14ac:dyDescent="0.3">
      <c r="A5700" t="s">
        <v>24</v>
      </c>
      <c r="B5700">
        <v>2016310004</v>
      </c>
      <c r="C5700" t="s">
        <v>153</v>
      </c>
      <c r="E5700" t="s">
        <v>486</v>
      </c>
      <c r="F5700" t="s">
        <v>428</v>
      </c>
      <c r="G5700">
        <v>4</v>
      </c>
      <c r="H5700" t="s">
        <v>524</v>
      </c>
      <c r="I5700" s="4">
        <f t="shared" si="803"/>
        <v>2</v>
      </c>
      <c r="J5700">
        <f t="shared" si="804"/>
        <v>8</v>
      </c>
      <c r="K5700">
        <v>22</v>
      </c>
      <c r="L5700">
        <v>12</v>
      </c>
      <c r="M5700" s="2">
        <v>1.83</v>
      </c>
      <c r="N5700">
        <v>2.44</v>
      </c>
      <c r="O5700">
        <v>0</v>
      </c>
      <c r="P5700">
        <v>6</v>
      </c>
      <c r="Q5700" s="4" t="str">
        <f>IF(P5700=1,"2016/2017-Ganjil",IF(P5700=2,"2016/2017-Genap",IF(P5700=3,"2017/2018-Ganjil",IF(P5700=4,"2017/2018-Genap",IF(P5700=5,"2018/2019-Ganjil",IF(P5700=6,"2018/2019-Genap",IF(P5700=7,"2019/2020-Ganjil",IF(P5700=8,"2019/2020-Genap",IF(P5700=9,"2020/2021-Ganjil",IF(P5700=10,"2020/2021-Genap",IF(P5700=11,"2021/2022-Ganjil",IF(P5700=12,"2021/2022-Genap",IF(P5700=13,"2022/2023-Ganjil","2022/2023-Genap")))))))))))))</f>
        <v>2018/2019-Genap</v>
      </c>
      <c r="R5700" s="8" t="s">
        <v>260</v>
      </c>
      <c r="S5700" t="str">
        <f t="shared" si="802"/>
        <v>PA</v>
      </c>
    </row>
    <row r="5701" spans="1:19" x14ac:dyDescent="0.3">
      <c r="A5701" t="s">
        <v>24</v>
      </c>
      <c r="B5701">
        <v>2016310004</v>
      </c>
      <c r="C5701" t="s">
        <v>153</v>
      </c>
      <c r="E5701" t="s">
        <v>516</v>
      </c>
      <c r="F5701" t="s">
        <v>106</v>
      </c>
      <c r="G5701">
        <v>4</v>
      </c>
      <c r="H5701" t="s">
        <v>524</v>
      </c>
      <c r="I5701" s="4">
        <f t="shared" si="803"/>
        <v>2</v>
      </c>
      <c r="J5701">
        <f t="shared" si="804"/>
        <v>8</v>
      </c>
      <c r="K5701">
        <v>32</v>
      </c>
      <c r="L5701">
        <v>12</v>
      </c>
      <c r="M5701" s="2">
        <v>2.67</v>
      </c>
      <c r="N5701">
        <v>2.44</v>
      </c>
      <c r="O5701">
        <v>0</v>
      </c>
      <c r="P5701">
        <v>7</v>
      </c>
      <c r="Q5701" s="4" t="str">
        <f>IF(P5701=1,"2016/2017-Ganjil",IF(P5701=2,"2016/2017-Genap",IF(P5701=3,"2017/2018-Ganjil",IF(P5701=4,"2017/2018-Genap",IF(P5701=5,"2018/2019-Ganjil",IF(P5701=6,"2018/2019-Genap",IF(P5701=7,"2019/2020-Ganjil",IF(P5701=8,"2019/2020-Genap",IF(P5701=9,"2020/2021-Ganjil",IF(P5701=10,"2020/2021-Genap",IF(P5701=11,"2021/2022-Ganjil",IF(P5701=12,"2021/2022-Genap",IF(P5701=13,"2022/2023-Ganjil","2022/2023-Genap")))))))))))))</f>
        <v>2019/2020-Ganjil</v>
      </c>
      <c r="R5701" s="8" t="s">
        <v>535</v>
      </c>
      <c r="S5701" t="str">
        <f t="shared" si="802"/>
        <v>PA</v>
      </c>
    </row>
    <row r="5702" spans="1:19" x14ac:dyDescent="0.3">
      <c r="A5702" t="s">
        <v>24</v>
      </c>
      <c r="B5702">
        <v>2016310004</v>
      </c>
      <c r="C5702" t="s">
        <v>153</v>
      </c>
      <c r="E5702" t="s">
        <v>484</v>
      </c>
      <c r="F5702" t="s">
        <v>485</v>
      </c>
      <c r="G5702">
        <v>2</v>
      </c>
      <c r="H5702" t="s">
        <v>535</v>
      </c>
      <c r="I5702" s="4">
        <f t="shared" si="803"/>
        <v>1</v>
      </c>
      <c r="J5702">
        <f t="shared" si="804"/>
        <v>2</v>
      </c>
      <c r="K5702">
        <v>22</v>
      </c>
      <c r="L5702">
        <v>12</v>
      </c>
      <c r="M5702" s="2">
        <v>1.83</v>
      </c>
      <c r="N5702">
        <v>2.44</v>
      </c>
      <c r="O5702">
        <v>0</v>
      </c>
      <c r="P5702">
        <v>6</v>
      </c>
      <c r="Q5702" s="4" t="str">
        <f>IF(P5702=1,"2016/2017-Ganjil",IF(P5702=2,"2016/2017-Genap",IF(P5702=3,"2017/2018-Ganjil",IF(P5702=4,"2017/2018-Genap",IF(P5702=5,"2018/2019-Ganjil",IF(P5702=6,"2018/2019-Genap",IF(P5702=7,"2019/2020-Ganjil",IF(P5702=8,"2019/2020-Genap",IF(P5702=9,"2020/2021-Ganjil",IF(P5702=10,"2020/2021-Genap",IF(P5702=11,"2021/2022-Ganjil",IF(P5702=12,"2021/2022-Genap",IF(P5702=13,"2022/2023-Ganjil","2022/2023-Genap")))))))))))))</f>
        <v>2018/2019-Genap</v>
      </c>
      <c r="R5702" s="8" t="s">
        <v>260</v>
      </c>
      <c r="S5702" t="str">
        <f t="shared" si="802"/>
        <v>FA</v>
      </c>
    </row>
    <row r="5703" spans="1:19" x14ac:dyDescent="0.3">
      <c r="A5703" t="s">
        <v>24</v>
      </c>
      <c r="B5703">
        <v>2016310004</v>
      </c>
      <c r="C5703" t="s">
        <v>153</v>
      </c>
      <c r="E5703" t="s">
        <v>195</v>
      </c>
      <c r="F5703" t="s">
        <v>196</v>
      </c>
      <c r="G5703">
        <v>4</v>
      </c>
      <c r="H5703" t="s">
        <v>535</v>
      </c>
      <c r="I5703" s="4">
        <f t="shared" si="803"/>
        <v>1</v>
      </c>
      <c r="J5703">
        <f t="shared" si="804"/>
        <v>4</v>
      </c>
      <c r="K5703">
        <v>44</v>
      </c>
      <c r="L5703">
        <v>20</v>
      </c>
      <c r="M5703" s="2">
        <v>2.2000000000000002</v>
      </c>
      <c r="N5703">
        <v>2.44</v>
      </c>
      <c r="O5703">
        <v>0</v>
      </c>
      <c r="P5703">
        <v>2</v>
      </c>
      <c r="Q5703" t="s">
        <v>559</v>
      </c>
      <c r="R5703" s="8" t="s">
        <v>260</v>
      </c>
      <c r="S5703" t="str">
        <f t="shared" si="802"/>
        <v>FA</v>
      </c>
    </row>
    <row r="5704" spans="1:19" x14ac:dyDescent="0.3">
      <c r="A5704" t="s">
        <v>24</v>
      </c>
      <c r="B5704">
        <v>2016310004</v>
      </c>
      <c r="C5704" t="s">
        <v>153</v>
      </c>
      <c r="E5704" t="s">
        <v>462</v>
      </c>
      <c r="F5704" t="s">
        <v>291</v>
      </c>
      <c r="G5704">
        <v>2</v>
      </c>
      <c r="H5704" t="s">
        <v>535</v>
      </c>
      <c r="I5704" s="4">
        <f t="shared" si="803"/>
        <v>1</v>
      </c>
      <c r="J5704">
        <f t="shared" si="804"/>
        <v>2</v>
      </c>
      <c r="K5704">
        <v>44</v>
      </c>
      <c r="L5704">
        <v>20</v>
      </c>
      <c r="M5704" s="2">
        <v>2.2000000000000002</v>
      </c>
      <c r="N5704">
        <v>2.44</v>
      </c>
      <c r="O5704">
        <v>0</v>
      </c>
      <c r="P5704">
        <v>2</v>
      </c>
      <c r="Q5704" t="s">
        <v>559</v>
      </c>
      <c r="R5704" s="8" t="s">
        <v>260</v>
      </c>
      <c r="S5704" t="str">
        <f t="shared" si="802"/>
        <v>FA</v>
      </c>
    </row>
    <row r="5705" spans="1:19" x14ac:dyDescent="0.3">
      <c r="A5705" t="s">
        <v>24</v>
      </c>
      <c r="B5705">
        <v>2016310004</v>
      </c>
      <c r="C5705" t="s">
        <v>153</v>
      </c>
      <c r="E5705" t="s">
        <v>399</v>
      </c>
      <c r="F5705" t="s">
        <v>400</v>
      </c>
      <c r="G5705">
        <v>4</v>
      </c>
      <c r="H5705" t="s">
        <v>539</v>
      </c>
      <c r="I5705" s="4">
        <f t="shared" si="803"/>
        <v>0</v>
      </c>
      <c r="J5705">
        <f t="shared" si="804"/>
        <v>0</v>
      </c>
      <c r="K5705">
        <v>12</v>
      </c>
      <c r="L5705">
        <v>10</v>
      </c>
      <c r="M5705" s="2">
        <v>1.2</v>
      </c>
      <c r="N5705">
        <v>2.44</v>
      </c>
      <c r="O5705">
        <v>0</v>
      </c>
      <c r="P5705">
        <v>5</v>
      </c>
      <c r="Q5705" t="s">
        <v>566</v>
      </c>
      <c r="R5705" s="8" t="s">
        <v>260</v>
      </c>
      <c r="S5705" t="str">
        <f t="shared" si="802"/>
        <v>FA</v>
      </c>
    </row>
    <row r="5706" spans="1:19" x14ac:dyDescent="0.3">
      <c r="A5706" t="s">
        <v>24</v>
      </c>
      <c r="B5706">
        <v>2016310004</v>
      </c>
      <c r="C5706" t="s">
        <v>153</v>
      </c>
      <c r="E5706" t="s">
        <v>346</v>
      </c>
      <c r="F5706" t="s">
        <v>347</v>
      </c>
      <c r="G5706">
        <v>2</v>
      </c>
      <c r="H5706" t="s">
        <v>539</v>
      </c>
      <c r="I5706" s="4">
        <f t="shared" si="803"/>
        <v>0</v>
      </c>
      <c r="J5706">
        <f t="shared" si="804"/>
        <v>0</v>
      </c>
      <c r="K5706">
        <v>22</v>
      </c>
      <c r="L5706">
        <v>12</v>
      </c>
      <c r="M5706" s="2">
        <v>1.83</v>
      </c>
      <c r="N5706">
        <v>2.44</v>
      </c>
      <c r="O5706">
        <v>0</v>
      </c>
      <c r="P5706">
        <v>6</v>
      </c>
      <c r="Q5706" s="4" t="str">
        <f>IF(P5706=1,"2016/2017-Ganjil",IF(P5706=2,"2016/2017-Genap",IF(P5706=3,"2017/2018-Ganjil",IF(P5706=4,"2017/2018-Genap",IF(P5706=5,"2018/2019-Ganjil",IF(P5706=6,"2018/2019-Genap",IF(P5706=7,"2019/2020-Ganjil",IF(P5706=8,"2019/2020-Genap",IF(P5706=9,"2020/2021-Ganjil",IF(P5706=10,"2020/2021-Genap",IF(P5706=11,"2021/2022-Ganjil",IF(P5706=12,"2021/2022-Genap",IF(P5706=13,"2022/2023-Ganjil","2022/2023-Genap")))))))))))))</f>
        <v>2018/2019-Genap</v>
      </c>
      <c r="R5706" s="8" t="s">
        <v>260</v>
      </c>
      <c r="S5706" t="str">
        <f t="shared" si="802"/>
        <v>FA</v>
      </c>
    </row>
    <row r="5707" spans="1:19" x14ac:dyDescent="0.3">
      <c r="A5707" t="s">
        <v>24</v>
      </c>
      <c r="B5707">
        <v>2016310005</v>
      </c>
      <c r="C5707" t="s">
        <v>144</v>
      </c>
      <c r="E5707" t="s">
        <v>145</v>
      </c>
      <c r="F5707" t="s">
        <v>146</v>
      </c>
      <c r="G5707">
        <v>2</v>
      </c>
      <c r="I5707" s="4"/>
      <c r="J5707">
        <v>0</v>
      </c>
      <c r="K5707">
        <v>0</v>
      </c>
      <c r="L5707">
        <v>4</v>
      </c>
      <c r="M5707" s="2">
        <v>0</v>
      </c>
      <c r="N5707">
        <v>0</v>
      </c>
      <c r="O5707">
        <v>0</v>
      </c>
      <c r="P5707">
        <v>1</v>
      </c>
      <c r="Q5707" s="4" t="str">
        <f>IF(P5707=1,"2016/2017-Ganjil",IF(P5707=2,"2016/2017-Genap",IF(P5707=3,"2017/2018-Ganjil",IF(P5707=4,"2017/2018-Genap",IF(P5707=5,"2018/2019-Ganjil",IF(P5707=6,"2018/2019-Genap",IF(P5707=7,"2019/2020-Ganjil",IF(P5707=8,"2019/2020-Genap",IF(P5707=9,"2020/2021-Ganjil",IF(P5707=10,"2020/2021-Genap",IF(P5707=11,"2021/2022-Ganjil",IF(P5707=12,"2021/2022-Genap",IF(P5707=13,"2022/2023-Ganjil","2022/2023-Genap")))))))))))))</f>
        <v>2016/2017-Ganjil</v>
      </c>
      <c r="R5707" s="8" t="s">
        <v>535</v>
      </c>
      <c r="S5707" t="s">
        <v>595</v>
      </c>
    </row>
    <row r="5708" spans="1:19" x14ac:dyDescent="0.3">
      <c r="A5708" t="s">
        <v>24</v>
      </c>
      <c r="B5708">
        <v>2016310005</v>
      </c>
      <c r="C5708" t="s">
        <v>144</v>
      </c>
      <c r="E5708" t="s">
        <v>84</v>
      </c>
      <c r="F5708" t="s">
        <v>85</v>
      </c>
      <c r="G5708">
        <v>2</v>
      </c>
      <c r="I5708" s="4"/>
      <c r="J5708">
        <v>0</v>
      </c>
      <c r="K5708">
        <v>0</v>
      </c>
      <c r="L5708">
        <v>4</v>
      </c>
      <c r="M5708" s="2">
        <v>0</v>
      </c>
      <c r="N5708">
        <v>0</v>
      </c>
      <c r="O5708">
        <v>0</v>
      </c>
      <c r="P5708">
        <v>1</v>
      </c>
      <c r="Q5708" s="4" t="str">
        <f t="shared" ref="Q5708:Q5713" si="805">IF(P5708=1,"2016/2017-Ganjil",IF(P5708=2,"2016/2017-Genap",IF(P5708=3,"2017/2018-Ganjil",IF(P5708=4,"2017/2018-Genap",IF(P5708=5,"2018/2019-Ganjil",IF(P5708=6,"2018/2019-Genap",IF(P5708=7,"2019/2020-Ganjil",IF(P5708=8,"2019/2020-Genap",IF(P5708=9,"2020/2021-Ganjil",IF(P5708=10,"2020/2021-Genap",IF(P5708=11,"2021/2022-Ganjil",IF(P5708=12,"2021/2022-Genap",IF(P5708=13,"2022/2023-Ganjil","2022/2023-Genap")))))))))))))</f>
        <v>2016/2017-Ganjil</v>
      </c>
      <c r="R5708" s="8" t="s">
        <v>535</v>
      </c>
      <c r="S5708" t="s">
        <v>595</v>
      </c>
    </row>
    <row r="5709" spans="1:19" x14ac:dyDescent="0.3">
      <c r="A5709" t="s">
        <v>24</v>
      </c>
      <c r="B5709">
        <v>2016310005</v>
      </c>
      <c r="C5709" t="s">
        <v>144</v>
      </c>
      <c r="E5709" t="s">
        <v>168</v>
      </c>
      <c r="F5709" t="s">
        <v>169</v>
      </c>
      <c r="G5709">
        <v>4</v>
      </c>
      <c r="I5709" s="4"/>
      <c r="J5709">
        <v>0</v>
      </c>
      <c r="K5709">
        <v>0</v>
      </c>
      <c r="L5709">
        <v>4</v>
      </c>
      <c r="M5709" s="2">
        <v>0</v>
      </c>
      <c r="N5709">
        <v>0</v>
      </c>
      <c r="O5709">
        <v>0</v>
      </c>
      <c r="P5709">
        <v>1</v>
      </c>
      <c r="Q5709" s="4" t="str">
        <f t="shared" si="805"/>
        <v>2016/2017-Ganjil</v>
      </c>
      <c r="R5709" s="8" t="s">
        <v>535</v>
      </c>
      <c r="S5709" t="s">
        <v>595</v>
      </c>
    </row>
    <row r="5710" spans="1:19" x14ac:dyDescent="0.3">
      <c r="A5710" t="s">
        <v>24</v>
      </c>
      <c r="B5710">
        <v>2016310005</v>
      </c>
      <c r="C5710" t="s">
        <v>144</v>
      </c>
      <c r="E5710" t="s">
        <v>128</v>
      </c>
      <c r="F5710" t="s">
        <v>129</v>
      </c>
      <c r="G5710">
        <v>4</v>
      </c>
      <c r="I5710" s="4"/>
      <c r="J5710">
        <v>0</v>
      </c>
      <c r="K5710">
        <v>0</v>
      </c>
      <c r="L5710">
        <v>4</v>
      </c>
      <c r="M5710" s="2">
        <v>0</v>
      </c>
      <c r="N5710">
        <v>0</v>
      </c>
      <c r="O5710">
        <v>0</v>
      </c>
      <c r="P5710">
        <v>1</v>
      </c>
      <c r="Q5710" s="4" t="str">
        <f t="shared" si="805"/>
        <v>2016/2017-Ganjil</v>
      </c>
      <c r="R5710" s="8" t="s">
        <v>535</v>
      </c>
      <c r="S5710" t="s">
        <v>595</v>
      </c>
    </row>
    <row r="5711" spans="1:19" x14ac:dyDescent="0.3">
      <c r="A5711" t="s">
        <v>24</v>
      </c>
      <c r="B5711">
        <v>2016310005</v>
      </c>
      <c r="C5711" t="s">
        <v>144</v>
      </c>
      <c r="E5711" t="s">
        <v>224</v>
      </c>
      <c r="F5711" t="s">
        <v>225</v>
      </c>
      <c r="G5711">
        <v>4</v>
      </c>
      <c r="I5711" s="4"/>
      <c r="J5711">
        <v>0</v>
      </c>
      <c r="K5711">
        <v>0</v>
      </c>
      <c r="L5711">
        <v>4</v>
      </c>
      <c r="M5711" s="2">
        <v>0</v>
      </c>
      <c r="N5711">
        <v>0</v>
      </c>
      <c r="O5711">
        <v>0</v>
      </c>
      <c r="P5711">
        <v>1</v>
      </c>
      <c r="Q5711" s="4" t="str">
        <f t="shared" si="805"/>
        <v>2016/2017-Ganjil</v>
      </c>
      <c r="R5711" s="8" t="s">
        <v>535</v>
      </c>
      <c r="S5711" t="s">
        <v>595</v>
      </c>
    </row>
    <row r="5712" spans="1:19" x14ac:dyDescent="0.3">
      <c r="A5712" t="s">
        <v>24</v>
      </c>
      <c r="B5712">
        <v>2016310005</v>
      </c>
      <c r="C5712" t="s">
        <v>144</v>
      </c>
      <c r="E5712" t="s">
        <v>434</v>
      </c>
      <c r="F5712" t="s">
        <v>435</v>
      </c>
      <c r="G5712">
        <v>2</v>
      </c>
      <c r="H5712" t="s">
        <v>539</v>
      </c>
      <c r="I5712" s="4">
        <v>0</v>
      </c>
      <c r="J5712">
        <v>0</v>
      </c>
      <c r="K5712">
        <v>0</v>
      </c>
      <c r="L5712">
        <v>4</v>
      </c>
      <c r="M5712" s="2">
        <v>0</v>
      </c>
      <c r="N5712">
        <v>0</v>
      </c>
      <c r="O5712">
        <v>0</v>
      </c>
      <c r="P5712">
        <v>1</v>
      </c>
      <c r="Q5712" s="4" t="str">
        <f t="shared" si="805"/>
        <v>2016/2017-Ganjil</v>
      </c>
      <c r="R5712" s="8" t="s">
        <v>535</v>
      </c>
      <c r="S5712" t="str">
        <f t="shared" ref="S5712:S5713" si="806">IF(OR(H5712="A",H5712="B",H5712="C"),"PA","FA")</f>
        <v>FA</v>
      </c>
    </row>
    <row r="5713" spans="1:19" x14ac:dyDescent="0.3">
      <c r="A5713" t="s">
        <v>24</v>
      </c>
      <c r="B5713">
        <v>2016310005</v>
      </c>
      <c r="C5713" t="s">
        <v>144</v>
      </c>
      <c r="E5713" t="s">
        <v>131</v>
      </c>
      <c r="F5713" t="s">
        <v>132</v>
      </c>
      <c r="G5713">
        <v>2</v>
      </c>
      <c r="H5713" t="s">
        <v>539</v>
      </c>
      <c r="I5713" s="4">
        <v>0</v>
      </c>
      <c r="J5713">
        <v>0</v>
      </c>
      <c r="K5713">
        <v>0</v>
      </c>
      <c r="L5713">
        <v>4</v>
      </c>
      <c r="M5713" s="2">
        <v>0</v>
      </c>
      <c r="N5713">
        <v>0</v>
      </c>
      <c r="O5713">
        <v>0</v>
      </c>
      <c r="P5713">
        <v>1</v>
      </c>
      <c r="Q5713" s="4" t="str">
        <f t="shared" si="805"/>
        <v>2016/2017-Ganjil</v>
      </c>
      <c r="R5713" s="8" t="s">
        <v>535</v>
      </c>
      <c r="S5713" t="str">
        <f t="shared" si="806"/>
        <v>FA</v>
      </c>
    </row>
    <row r="5714" spans="1:19" x14ac:dyDescent="0.3">
      <c r="A5714" t="s">
        <v>24</v>
      </c>
      <c r="B5714">
        <v>2016310007</v>
      </c>
      <c r="C5714" t="s">
        <v>25</v>
      </c>
      <c r="E5714" t="s">
        <v>26</v>
      </c>
      <c r="F5714" t="s">
        <v>11</v>
      </c>
      <c r="G5714">
        <v>2</v>
      </c>
      <c r="I5714" s="4"/>
      <c r="J5714">
        <f t="shared" ref="J5714:J5721" si="807">G5714*I5714</f>
        <v>0</v>
      </c>
      <c r="K5714">
        <v>16</v>
      </c>
      <c r="L5714">
        <v>6</v>
      </c>
      <c r="M5714">
        <v>2.67</v>
      </c>
      <c r="N5714">
        <v>2.85</v>
      </c>
      <c r="O5714">
        <v>1</v>
      </c>
      <c r="P5714">
        <v>12</v>
      </c>
      <c r="Q5714" s="4" t="str">
        <f>IF(P5714=1,"2016/2017-Ganjil",IF(P5714=2,"2016/2017-Genap",IF(P5714=3,"2017/2018-Ganjil",IF(P5714=4,"2017/2018-Genap",IF(P5714=5,"2018/2019-Ganjil",IF(P5714=6,"2018/2019-Genap",IF(P5714=7,"2019/2020-Ganjil",IF(P5714=8,"2019/2020-Genap",IF(P5714=9,"2020/2021-Ganjil",IF(P5714=10,"2020/2021-Genap",IF(P5714=11,"2021/2022-Ganjil",IF(P5714=12,"2021/2022-Genap",IF(P5714=13,"2022/2023-Ganjil","2022/2023-Genap")))))))))))))</f>
        <v>2021/2022-Genap</v>
      </c>
      <c r="R5714" s="8" t="s">
        <v>260</v>
      </c>
      <c r="S5714" t="s">
        <v>595</v>
      </c>
    </row>
    <row r="5715" spans="1:19" x14ac:dyDescent="0.3">
      <c r="A5715" t="s">
        <v>24</v>
      </c>
      <c r="B5715">
        <v>2016310007</v>
      </c>
      <c r="C5715" t="s">
        <v>25</v>
      </c>
      <c r="E5715" t="s">
        <v>68</v>
      </c>
      <c r="F5715" t="s">
        <v>11</v>
      </c>
      <c r="G5715">
        <v>2</v>
      </c>
      <c r="I5715" s="4"/>
      <c r="J5715">
        <f t="shared" si="807"/>
        <v>0</v>
      </c>
      <c r="K5715">
        <v>64</v>
      </c>
      <c r="L5715">
        <v>18</v>
      </c>
      <c r="M5715">
        <v>3.56</v>
      </c>
      <c r="N5715">
        <v>2.85</v>
      </c>
      <c r="O5715">
        <v>0</v>
      </c>
      <c r="P5715">
        <v>11</v>
      </c>
      <c r="Q5715" s="4" t="str">
        <f>IF(P5715=1,"2016/2017-Ganjil",IF(P5715=2,"2016/2017-Genap",IF(P5715=3,"2017/2018-Ganjil",IF(P5715=4,"2017/2018-Genap",IF(P5715=5,"2018/2019-Ganjil",IF(P5715=6,"2018/2019-Genap",IF(P5715=7,"2019/2020-Ganjil",IF(P5715=8,"2019/2020-Genap",IF(P5715=9,"2020/2021-Ganjil",IF(P5715=10,"2020/2021-Genap",IF(P5715=11,"2021/2022-Ganjil",IF(P5715=12,"2021/2022-Genap",IF(P5715=13,"2022/2023-Ganjil","2022/2023-Genap")))))))))))))</f>
        <v>2021/2022-Ganjil</v>
      </c>
      <c r="R5715" s="8" t="s">
        <v>260</v>
      </c>
      <c r="S5715" t="s">
        <v>595</v>
      </c>
    </row>
    <row r="5716" spans="1:19" x14ac:dyDescent="0.3">
      <c r="A5716" t="s">
        <v>24</v>
      </c>
      <c r="B5716">
        <v>2016310007</v>
      </c>
      <c r="C5716" t="s">
        <v>25</v>
      </c>
      <c r="E5716" t="s">
        <v>174</v>
      </c>
      <c r="F5716" t="s">
        <v>175</v>
      </c>
      <c r="G5716">
        <v>2</v>
      </c>
      <c r="H5716" t="s">
        <v>438</v>
      </c>
      <c r="I5716" s="4">
        <f t="shared" ref="I5716:I5721" si="808">IF(H5716="A",4,IF(H5716="B",3,IF(H5716="C",2,IF(H5716="D",1,0))))</f>
        <v>3</v>
      </c>
      <c r="J5716">
        <f t="shared" si="807"/>
        <v>6</v>
      </c>
      <c r="K5716">
        <v>52</v>
      </c>
      <c r="L5716">
        <v>18</v>
      </c>
      <c r="M5716" s="2">
        <v>2.89</v>
      </c>
      <c r="N5716">
        <v>2.85</v>
      </c>
      <c r="O5716">
        <v>1</v>
      </c>
      <c r="P5716">
        <v>7</v>
      </c>
      <c r="Q5716" t="s">
        <v>568</v>
      </c>
      <c r="R5716" s="8" t="s">
        <v>260</v>
      </c>
      <c r="S5716" t="str">
        <f>IF(OR(H5716="A",H5716="B",H5716="C"),"PA","FA")</f>
        <v>PA</v>
      </c>
    </row>
    <row r="5717" spans="1:19" x14ac:dyDescent="0.3">
      <c r="A5717" t="s">
        <v>24</v>
      </c>
      <c r="B5717">
        <v>2016310007</v>
      </c>
      <c r="C5717" t="s">
        <v>25</v>
      </c>
      <c r="E5717" t="s">
        <v>174</v>
      </c>
      <c r="F5717" t="s">
        <v>175</v>
      </c>
      <c r="G5717">
        <v>2</v>
      </c>
      <c r="I5717" s="4"/>
      <c r="J5717">
        <f t="shared" si="807"/>
        <v>0</v>
      </c>
      <c r="K5717">
        <v>26</v>
      </c>
      <c r="L5717">
        <v>14</v>
      </c>
      <c r="M5717" s="2">
        <v>1.86</v>
      </c>
      <c r="N5717">
        <v>2.85</v>
      </c>
      <c r="O5717">
        <v>0</v>
      </c>
      <c r="P5717">
        <v>5</v>
      </c>
      <c r="Q5717" t="s">
        <v>566</v>
      </c>
      <c r="R5717" s="8" t="s">
        <v>260</v>
      </c>
      <c r="S5717" t="s">
        <v>595</v>
      </c>
    </row>
    <row r="5718" spans="1:19" x14ac:dyDescent="0.3">
      <c r="A5718" t="s">
        <v>24</v>
      </c>
      <c r="B5718">
        <v>2016310007</v>
      </c>
      <c r="C5718" t="s">
        <v>25</v>
      </c>
      <c r="E5718" t="s">
        <v>240</v>
      </c>
      <c r="F5718" t="s">
        <v>186</v>
      </c>
      <c r="G5718">
        <v>2</v>
      </c>
      <c r="I5718" s="4"/>
      <c r="J5718">
        <f t="shared" si="807"/>
        <v>0</v>
      </c>
      <c r="K5718">
        <v>8</v>
      </c>
      <c r="L5718">
        <v>2</v>
      </c>
      <c r="M5718" s="2">
        <v>4</v>
      </c>
      <c r="N5718">
        <v>2.85</v>
      </c>
      <c r="O5718">
        <v>0</v>
      </c>
      <c r="P5718">
        <v>13</v>
      </c>
      <c r="Q5718" t="s">
        <v>576</v>
      </c>
      <c r="R5718" s="8" t="s">
        <v>260</v>
      </c>
      <c r="S5718" t="s">
        <v>595</v>
      </c>
    </row>
    <row r="5719" spans="1:19" x14ac:dyDescent="0.3">
      <c r="A5719" t="s">
        <v>24</v>
      </c>
      <c r="B5719">
        <v>2016310007</v>
      </c>
      <c r="C5719" t="s">
        <v>25</v>
      </c>
      <c r="E5719" t="s">
        <v>197</v>
      </c>
      <c r="F5719" t="s">
        <v>198</v>
      </c>
      <c r="G5719">
        <v>2</v>
      </c>
      <c r="I5719" s="4"/>
      <c r="J5719">
        <f t="shared" si="807"/>
        <v>0</v>
      </c>
      <c r="K5719">
        <v>26</v>
      </c>
      <c r="L5719">
        <v>14</v>
      </c>
      <c r="M5719" s="2">
        <v>1.86</v>
      </c>
      <c r="N5719">
        <v>2.85</v>
      </c>
      <c r="O5719">
        <v>0</v>
      </c>
      <c r="P5719">
        <v>5</v>
      </c>
      <c r="Q5719" t="s">
        <v>566</v>
      </c>
      <c r="R5719" s="8" t="s">
        <v>260</v>
      </c>
      <c r="S5719" t="s">
        <v>595</v>
      </c>
    </row>
    <row r="5720" spans="1:19" x14ac:dyDescent="0.3">
      <c r="A5720" t="s">
        <v>24</v>
      </c>
      <c r="B5720">
        <v>2016310007</v>
      </c>
      <c r="C5720" t="s">
        <v>25</v>
      </c>
      <c r="E5720" t="s">
        <v>224</v>
      </c>
      <c r="F5720" t="s">
        <v>225</v>
      </c>
      <c r="G5720">
        <v>4</v>
      </c>
      <c r="I5720" s="4"/>
      <c r="J5720">
        <f t="shared" si="807"/>
        <v>0</v>
      </c>
      <c r="K5720">
        <v>46</v>
      </c>
      <c r="L5720">
        <v>16</v>
      </c>
      <c r="M5720" s="2">
        <v>2.88</v>
      </c>
      <c r="N5720">
        <v>2.85</v>
      </c>
      <c r="O5720">
        <v>0</v>
      </c>
      <c r="P5720">
        <v>1</v>
      </c>
      <c r="Q5720" t="s">
        <v>558</v>
      </c>
      <c r="R5720" s="8" t="s">
        <v>260</v>
      </c>
      <c r="S5720" t="s">
        <v>595</v>
      </c>
    </row>
    <row r="5721" spans="1:19" x14ac:dyDescent="0.3">
      <c r="A5721" t="s">
        <v>24</v>
      </c>
      <c r="B5721">
        <v>2016310007</v>
      </c>
      <c r="C5721" t="s">
        <v>25</v>
      </c>
      <c r="E5721" t="s">
        <v>376</v>
      </c>
      <c r="F5721" t="s">
        <v>11</v>
      </c>
      <c r="G5721">
        <v>2</v>
      </c>
      <c r="H5721" t="s">
        <v>260</v>
      </c>
      <c r="I5721" s="4">
        <f t="shared" si="808"/>
        <v>4</v>
      </c>
      <c r="J5721">
        <f t="shared" si="807"/>
        <v>8</v>
      </c>
      <c r="K5721">
        <v>8</v>
      </c>
      <c r="L5721">
        <v>2</v>
      </c>
      <c r="M5721" s="2">
        <v>4</v>
      </c>
      <c r="N5721">
        <v>2.85</v>
      </c>
      <c r="O5721">
        <v>2</v>
      </c>
      <c r="P5721">
        <v>13</v>
      </c>
      <c r="Q5721" t="s">
        <v>576</v>
      </c>
      <c r="R5721" s="8" t="s">
        <v>260</v>
      </c>
      <c r="S5721" t="str">
        <f t="shared" ref="S5721:S5784" si="809">IF(OR(H5721="A",H5721="B",H5721="C"),"PA","FA")</f>
        <v>PA</v>
      </c>
    </row>
    <row r="5722" spans="1:19" x14ac:dyDescent="0.3">
      <c r="A5722" t="s">
        <v>24</v>
      </c>
      <c r="B5722">
        <v>2016310007</v>
      </c>
      <c r="C5722" t="s">
        <v>25</v>
      </c>
      <c r="E5722" t="s">
        <v>411</v>
      </c>
      <c r="F5722" t="s">
        <v>214</v>
      </c>
      <c r="G5722">
        <v>4</v>
      </c>
      <c r="H5722" t="s">
        <v>260</v>
      </c>
      <c r="I5722" s="4">
        <f t="shared" ref="I5722:I5785" si="810">IF(H5722="A",4,IF(H5722="B",3,IF(H5722="C",2,IF(H5722="D",1,0))))</f>
        <v>4</v>
      </c>
      <c r="J5722">
        <f t="shared" ref="J5722:J5785" si="811">G5722*I5722</f>
        <v>16</v>
      </c>
      <c r="K5722">
        <v>64</v>
      </c>
      <c r="L5722">
        <v>18</v>
      </c>
      <c r="M5722">
        <v>3.56</v>
      </c>
      <c r="N5722">
        <v>2.85</v>
      </c>
      <c r="O5722">
        <v>0</v>
      </c>
      <c r="P5722">
        <v>11</v>
      </c>
      <c r="Q5722" t="s">
        <v>573</v>
      </c>
      <c r="R5722" s="8" t="s">
        <v>260</v>
      </c>
      <c r="S5722" t="str">
        <f t="shared" si="809"/>
        <v>PA</v>
      </c>
    </row>
    <row r="5723" spans="1:19" x14ac:dyDescent="0.3">
      <c r="A5723" t="s">
        <v>24</v>
      </c>
      <c r="B5723">
        <v>2016310007</v>
      </c>
      <c r="C5723" t="s">
        <v>25</v>
      </c>
      <c r="E5723" t="s">
        <v>399</v>
      </c>
      <c r="F5723" t="s">
        <v>400</v>
      </c>
      <c r="G5723">
        <v>4</v>
      </c>
      <c r="H5723" t="s">
        <v>260</v>
      </c>
      <c r="I5723" s="4">
        <f t="shared" si="810"/>
        <v>4</v>
      </c>
      <c r="J5723">
        <f t="shared" si="811"/>
        <v>16</v>
      </c>
      <c r="K5723">
        <v>26</v>
      </c>
      <c r="L5723">
        <v>14</v>
      </c>
      <c r="M5723" s="2">
        <v>1.86</v>
      </c>
      <c r="N5723">
        <v>2.85</v>
      </c>
      <c r="O5723">
        <v>0</v>
      </c>
      <c r="P5723">
        <v>5</v>
      </c>
      <c r="Q5723" t="s">
        <v>566</v>
      </c>
      <c r="R5723" s="8" t="s">
        <v>260</v>
      </c>
      <c r="S5723" t="str">
        <f t="shared" si="809"/>
        <v>PA</v>
      </c>
    </row>
    <row r="5724" spans="1:19" x14ac:dyDescent="0.3">
      <c r="A5724" t="s">
        <v>24</v>
      </c>
      <c r="B5724">
        <v>2016310007</v>
      </c>
      <c r="C5724" t="s">
        <v>25</v>
      </c>
      <c r="E5724" t="s">
        <v>365</v>
      </c>
      <c r="F5724" t="s">
        <v>366</v>
      </c>
      <c r="G5724">
        <v>2</v>
      </c>
      <c r="H5724" t="s">
        <v>260</v>
      </c>
      <c r="I5724" s="4">
        <f t="shared" si="810"/>
        <v>4</v>
      </c>
      <c r="J5724">
        <f t="shared" si="811"/>
        <v>8</v>
      </c>
      <c r="K5724">
        <v>64</v>
      </c>
      <c r="L5724">
        <v>18</v>
      </c>
      <c r="M5724">
        <v>3.56</v>
      </c>
      <c r="N5724">
        <v>2.85</v>
      </c>
      <c r="O5724">
        <v>0</v>
      </c>
      <c r="P5724">
        <v>11</v>
      </c>
      <c r="Q5724" t="s">
        <v>573</v>
      </c>
      <c r="R5724" s="8" t="s">
        <v>260</v>
      </c>
      <c r="S5724" t="str">
        <f t="shared" si="809"/>
        <v>PA</v>
      </c>
    </row>
    <row r="5725" spans="1:19" x14ac:dyDescent="0.3">
      <c r="A5725" t="s">
        <v>24</v>
      </c>
      <c r="B5725">
        <v>2016310007</v>
      </c>
      <c r="C5725" t="s">
        <v>25</v>
      </c>
      <c r="E5725" t="s">
        <v>384</v>
      </c>
      <c r="F5725" t="s">
        <v>385</v>
      </c>
      <c r="G5725">
        <v>2</v>
      </c>
      <c r="H5725" t="s">
        <v>438</v>
      </c>
      <c r="I5725" s="4">
        <f t="shared" si="810"/>
        <v>3</v>
      </c>
      <c r="J5725">
        <f t="shared" si="811"/>
        <v>6</v>
      </c>
      <c r="K5725">
        <v>52</v>
      </c>
      <c r="L5725">
        <v>18</v>
      </c>
      <c r="M5725" s="2">
        <v>2.89</v>
      </c>
      <c r="N5725">
        <v>2.85</v>
      </c>
      <c r="O5725">
        <v>0</v>
      </c>
      <c r="P5725">
        <v>7</v>
      </c>
      <c r="Q5725" s="4" t="str">
        <f>IF(P5725=1,"2016/2017-Ganjil",IF(P5725=2,"2016/2017-Genap",IF(P5725=3,"2017/2018-Ganjil",IF(P5725=4,"2017/2018-Genap",IF(P5725=5,"2018/2019-Ganjil",IF(P5725=6,"2018/2019-Genap",IF(P5725=7,"2019/2020-Ganjil",IF(P5725=8,"2019/2020-Genap",IF(P5725=9,"2020/2021-Ganjil",IF(P5725=10,"2020/2021-Genap",IF(P5725=11,"2021/2022-Ganjil",IF(P5725=12,"2021/2022-Genap",IF(P5725=13,"2022/2023-Ganjil","2022/2023-Genap")))))))))))))</f>
        <v>2019/2020-Ganjil</v>
      </c>
      <c r="R5725" s="8" t="s">
        <v>260</v>
      </c>
      <c r="S5725" t="str">
        <f t="shared" si="809"/>
        <v>PA</v>
      </c>
    </row>
    <row r="5726" spans="1:19" x14ac:dyDescent="0.3">
      <c r="A5726" t="s">
        <v>24</v>
      </c>
      <c r="B5726">
        <v>2016310007</v>
      </c>
      <c r="C5726" t="s">
        <v>25</v>
      </c>
      <c r="E5726" t="s">
        <v>453</v>
      </c>
      <c r="F5726" t="s">
        <v>454</v>
      </c>
      <c r="G5726">
        <v>4</v>
      </c>
      <c r="H5726" t="s">
        <v>438</v>
      </c>
      <c r="I5726" s="4">
        <f t="shared" si="810"/>
        <v>3</v>
      </c>
      <c r="J5726">
        <f t="shared" si="811"/>
        <v>12</v>
      </c>
      <c r="K5726">
        <v>52</v>
      </c>
      <c r="L5726">
        <v>18</v>
      </c>
      <c r="M5726" s="2">
        <v>2.89</v>
      </c>
      <c r="N5726">
        <v>2.85</v>
      </c>
      <c r="O5726">
        <v>0</v>
      </c>
      <c r="P5726">
        <v>7</v>
      </c>
      <c r="Q5726" t="s">
        <v>568</v>
      </c>
      <c r="R5726" s="8" t="s">
        <v>260</v>
      </c>
      <c r="S5726" t="str">
        <f t="shared" si="809"/>
        <v>PA</v>
      </c>
    </row>
    <row r="5727" spans="1:19" x14ac:dyDescent="0.3">
      <c r="A5727" t="s">
        <v>24</v>
      </c>
      <c r="B5727">
        <v>2016310007</v>
      </c>
      <c r="C5727" t="s">
        <v>25</v>
      </c>
      <c r="E5727" t="s">
        <v>471</v>
      </c>
      <c r="F5727" t="s">
        <v>472</v>
      </c>
      <c r="G5727">
        <v>2</v>
      </c>
      <c r="H5727" t="s">
        <v>438</v>
      </c>
      <c r="I5727" s="4">
        <f t="shared" si="810"/>
        <v>3</v>
      </c>
      <c r="J5727">
        <f t="shared" si="811"/>
        <v>6</v>
      </c>
      <c r="K5727">
        <v>16</v>
      </c>
      <c r="L5727">
        <v>6</v>
      </c>
      <c r="M5727">
        <v>2.67</v>
      </c>
      <c r="N5727">
        <v>2.85</v>
      </c>
      <c r="O5727">
        <v>0</v>
      </c>
      <c r="P5727">
        <v>12</v>
      </c>
      <c r="Q5727" t="s">
        <v>575</v>
      </c>
      <c r="R5727" s="8" t="s">
        <v>260</v>
      </c>
      <c r="S5727" t="str">
        <f t="shared" si="809"/>
        <v>PA</v>
      </c>
    </row>
    <row r="5728" spans="1:19" x14ac:dyDescent="0.3">
      <c r="A5728" t="s">
        <v>24</v>
      </c>
      <c r="B5728">
        <v>2016310007</v>
      </c>
      <c r="C5728" t="s">
        <v>25</v>
      </c>
      <c r="E5728" t="s">
        <v>482</v>
      </c>
      <c r="F5728" t="s">
        <v>483</v>
      </c>
      <c r="G5728">
        <v>2</v>
      </c>
      <c r="H5728" t="s">
        <v>438</v>
      </c>
      <c r="I5728" s="4">
        <f t="shared" si="810"/>
        <v>3</v>
      </c>
      <c r="J5728">
        <f t="shared" si="811"/>
        <v>6</v>
      </c>
      <c r="K5728">
        <v>26</v>
      </c>
      <c r="L5728">
        <v>12</v>
      </c>
      <c r="M5728">
        <v>2.17</v>
      </c>
      <c r="N5728">
        <v>2.85</v>
      </c>
      <c r="O5728">
        <v>0</v>
      </c>
      <c r="P5728">
        <v>9</v>
      </c>
      <c r="Q5728" t="s">
        <v>570</v>
      </c>
      <c r="R5728" s="8" t="s">
        <v>260</v>
      </c>
      <c r="S5728" t="str">
        <f t="shared" si="809"/>
        <v>PA</v>
      </c>
    </row>
    <row r="5729" spans="1:19" x14ac:dyDescent="0.3">
      <c r="A5729" t="s">
        <v>24</v>
      </c>
      <c r="B5729">
        <v>2016310007</v>
      </c>
      <c r="C5729" t="s">
        <v>25</v>
      </c>
      <c r="E5729" t="s">
        <v>145</v>
      </c>
      <c r="F5729" t="s">
        <v>146</v>
      </c>
      <c r="G5729">
        <v>2</v>
      </c>
      <c r="H5729" t="s">
        <v>438</v>
      </c>
      <c r="I5729" s="4">
        <f t="shared" si="810"/>
        <v>3</v>
      </c>
      <c r="J5729">
        <f t="shared" si="811"/>
        <v>6</v>
      </c>
      <c r="K5729">
        <v>46</v>
      </c>
      <c r="L5729">
        <v>16</v>
      </c>
      <c r="M5729" s="2">
        <v>2.88</v>
      </c>
      <c r="N5729">
        <v>2.85</v>
      </c>
      <c r="O5729">
        <v>0</v>
      </c>
      <c r="P5729">
        <v>1</v>
      </c>
      <c r="Q5729" t="s">
        <v>558</v>
      </c>
      <c r="R5729" s="8" t="s">
        <v>260</v>
      </c>
      <c r="S5729" t="str">
        <f t="shared" si="809"/>
        <v>PA</v>
      </c>
    </row>
    <row r="5730" spans="1:19" x14ac:dyDescent="0.3">
      <c r="A5730" t="s">
        <v>24</v>
      </c>
      <c r="B5730">
        <v>2016310007</v>
      </c>
      <c r="C5730" t="s">
        <v>25</v>
      </c>
      <c r="E5730" t="s">
        <v>491</v>
      </c>
      <c r="F5730" t="s">
        <v>20</v>
      </c>
      <c r="G5730">
        <v>6</v>
      </c>
      <c r="H5730" t="s">
        <v>438</v>
      </c>
      <c r="I5730" s="4">
        <f t="shared" si="810"/>
        <v>3</v>
      </c>
      <c r="J5730">
        <f t="shared" si="811"/>
        <v>18</v>
      </c>
      <c r="K5730">
        <v>18</v>
      </c>
      <c r="L5730">
        <v>6</v>
      </c>
      <c r="M5730" s="2">
        <v>3</v>
      </c>
      <c r="N5730">
        <v>2.85</v>
      </c>
      <c r="O5730">
        <v>0</v>
      </c>
      <c r="P5730">
        <v>14</v>
      </c>
      <c r="Q5730" s="4" t="str">
        <f>IF(P5730=1,"2016/2017-Ganjil",IF(P5730=2,"2016/2017-Genap",IF(P5730=3,"2017/2018-Ganjil",IF(P5730=4,"2017/2018-Genap",IF(P5730=5,"2018/2019-Ganjil",IF(P5730=6,"2018/2019-Genap",IF(P5730=7,"2019/2020-Ganjil",IF(P5730=8,"2019/2020-Genap",IF(P5730=9,"2020/2021-Ganjil",IF(P5730=10,"2020/2021-Genap",IF(P5730=11,"2021/2022-Ganjil",IF(P5730=12,"2021/2022-Genap",IF(P5730=13,"2022/2023-Ganjil","2022/2023-Genap")))))))))))))</f>
        <v>2022/2023-Genap</v>
      </c>
      <c r="R5730" s="8" t="s">
        <v>596</v>
      </c>
      <c r="S5730" t="str">
        <f t="shared" si="809"/>
        <v>PA</v>
      </c>
    </row>
    <row r="5731" spans="1:19" x14ac:dyDescent="0.3">
      <c r="A5731" t="s">
        <v>24</v>
      </c>
      <c r="B5731">
        <v>2016310007</v>
      </c>
      <c r="C5731" t="s">
        <v>25</v>
      </c>
      <c r="E5731" t="s">
        <v>496</v>
      </c>
      <c r="F5731" t="s">
        <v>291</v>
      </c>
      <c r="G5731">
        <v>2</v>
      </c>
      <c r="H5731" t="s">
        <v>438</v>
      </c>
      <c r="I5731" s="4">
        <f t="shared" si="810"/>
        <v>3</v>
      </c>
      <c r="J5731">
        <f t="shared" si="811"/>
        <v>6</v>
      </c>
      <c r="K5731">
        <v>56</v>
      </c>
      <c r="L5731">
        <v>20</v>
      </c>
      <c r="M5731" s="2">
        <v>2.8</v>
      </c>
      <c r="N5731">
        <v>2.85</v>
      </c>
      <c r="O5731">
        <v>0</v>
      </c>
      <c r="P5731">
        <v>10</v>
      </c>
      <c r="Q5731" t="s">
        <v>560</v>
      </c>
      <c r="R5731" s="8" t="s">
        <v>260</v>
      </c>
      <c r="S5731" t="str">
        <f t="shared" si="809"/>
        <v>PA</v>
      </c>
    </row>
    <row r="5732" spans="1:19" x14ac:dyDescent="0.3">
      <c r="A5732" t="s">
        <v>24</v>
      </c>
      <c r="B5732">
        <v>2016310007</v>
      </c>
      <c r="C5732" t="s">
        <v>25</v>
      </c>
      <c r="E5732" t="s">
        <v>84</v>
      </c>
      <c r="F5732" t="s">
        <v>85</v>
      </c>
      <c r="G5732">
        <v>2</v>
      </c>
      <c r="H5732" t="s">
        <v>438</v>
      </c>
      <c r="I5732" s="4">
        <f t="shared" si="810"/>
        <v>3</v>
      </c>
      <c r="J5732">
        <f t="shared" si="811"/>
        <v>6</v>
      </c>
      <c r="K5732">
        <v>46</v>
      </c>
      <c r="L5732">
        <v>16</v>
      </c>
      <c r="M5732" s="2">
        <v>2.88</v>
      </c>
      <c r="N5732">
        <v>2.85</v>
      </c>
      <c r="O5732">
        <v>0</v>
      </c>
      <c r="P5732">
        <v>1</v>
      </c>
      <c r="Q5732" t="s">
        <v>558</v>
      </c>
      <c r="R5732" s="8" t="s">
        <v>260</v>
      </c>
      <c r="S5732" t="str">
        <f t="shared" si="809"/>
        <v>PA</v>
      </c>
    </row>
    <row r="5733" spans="1:19" x14ac:dyDescent="0.3">
      <c r="A5733" t="s">
        <v>24</v>
      </c>
      <c r="B5733">
        <v>2016310007</v>
      </c>
      <c r="C5733" t="s">
        <v>25</v>
      </c>
      <c r="E5733" t="s">
        <v>490</v>
      </c>
      <c r="F5733" t="s">
        <v>239</v>
      </c>
      <c r="G5733">
        <v>4</v>
      </c>
      <c r="H5733" t="s">
        <v>438</v>
      </c>
      <c r="I5733" s="4">
        <f t="shared" si="810"/>
        <v>3</v>
      </c>
      <c r="J5733">
        <f t="shared" si="811"/>
        <v>12</v>
      </c>
      <c r="K5733">
        <v>56</v>
      </c>
      <c r="L5733">
        <v>20</v>
      </c>
      <c r="M5733" s="2">
        <v>2.8</v>
      </c>
      <c r="N5733">
        <v>2.85</v>
      </c>
      <c r="O5733">
        <v>0</v>
      </c>
      <c r="P5733">
        <v>10</v>
      </c>
      <c r="Q5733" t="s">
        <v>560</v>
      </c>
      <c r="R5733" s="8" t="s">
        <v>260</v>
      </c>
      <c r="S5733" t="str">
        <f t="shared" si="809"/>
        <v>PA</v>
      </c>
    </row>
    <row r="5734" spans="1:19" x14ac:dyDescent="0.3">
      <c r="A5734" t="s">
        <v>24</v>
      </c>
      <c r="B5734">
        <v>2016310007</v>
      </c>
      <c r="C5734" t="s">
        <v>25</v>
      </c>
      <c r="E5734" t="s">
        <v>168</v>
      </c>
      <c r="F5734" t="s">
        <v>169</v>
      </c>
      <c r="G5734">
        <v>4</v>
      </c>
      <c r="H5734" t="s">
        <v>539</v>
      </c>
      <c r="I5734" s="4">
        <f t="shared" si="810"/>
        <v>0</v>
      </c>
      <c r="J5734">
        <f t="shared" si="811"/>
        <v>0</v>
      </c>
      <c r="K5734">
        <v>26</v>
      </c>
      <c r="L5734">
        <v>14</v>
      </c>
      <c r="M5734" s="2">
        <v>1.86</v>
      </c>
      <c r="N5734">
        <v>2.85</v>
      </c>
      <c r="O5734">
        <v>0</v>
      </c>
      <c r="P5734">
        <v>5</v>
      </c>
      <c r="Q5734" t="s">
        <v>566</v>
      </c>
      <c r="R5734" s="8" t="s">
        <v>260</v>
      </c>
      <c r="S5734" t="str">
        <f t="shared" si="809"/>
        <v>FA</v>
      </c>
    </row>
    <row r="5735" spans="1:19" x14ac:dyDescent="0.3">
      <c r="A5735" t="s">
        <v>24</v>
      </c>
      <c r="B5735">
        <v>2016310007</v>
      </c>
      <c r="C5735" t="s">
        <v>25</v>
      </c>
      <c r="E5735" t="s">
        <v>346</v>
      </c>
      <c r="F5735" t="s">
        <v>347</v>
      </c>
      <c r="G5735">
        <v>2</v>
      </c>
      <c r="H5735" t="s">
        <v>438</v>
      </c>
      <c r="I5735" s="4">
        <f t="shared" si="810"/>
        <v>3</v>
      </c>
      <c r="J5735">
        <f t="shared" si="811"/>
        <v>6</v>
      </c>
      <c r="K5735">
        <v>30</v>
      </c>
      <c r="L5735">
        <v>12</v>
      </c>
      <c r="M5735" s="2">
        <v>2.5</v>
      </c>
      <c r="N5735">
        <v>2.85</v>
      </c>
      <c r="O5735">
        <v>0</v>
      </c>
      <c r="P5735">
        <v>6</v>
      </c>
      <c r="Q5735" t="s">
        <v>567</v>
      </c>
      <c r="R5735" s="8" t="s">
        <v>260</v>
      </c>
      <c r="S5735" t="str">
        <f t="shared" si="809"/>
        <v>PA</v>
      </c>
    </row>
    <row r="5736" spans="1:19" x14ac:dyDescent="0.3">
      <c r="A5736" t="s">
        <v>24</v>
      </c>
      <c r="B5736">
        <v>2016310007</v>
      </c>
      <c r="C5736" t="s">
        <v>25</v>
      </c>
      <c r="E5736" t="s">
        <v>458</v>
      </c>
      <c r="F5736" t="s">
        <v>459</v>
      </c>
      <c r="G5736">
        <v>2</v>
      </c>
      <c r="H5736" t="s">
        <v>438</v>
      </c>
      <c r="I5736" s="4">
        <f t="shared" si="810"/>
        <v>3</v>
      </c>
      <c r="J5736">
        <f t="shared" si="811"/>
        <v>6</v>
      </c>
      <c r="K5736">
        <v>30</v>
      </c>
      <c r="L5736">
        <v>12</v>
      </c>
      <c r="M5736" s="2">
        <v>2.5</v>
      </c>
      <c r="N5736">
        <v>2.85</v>
      </c>
      <c r="O5736">
        <v>0</v>
      </c>
      <c r="P5736">
        <v>6</v>
      </c>
      <c r="Q5736" t="s">
        <v>567</v>
      </c>
      <c r="R5736" s="8" t="s">
        <v>260</v>
      </c>
      <c r="S5736" t="str">
        <f t="shared" si="809"/>
        <v>PA</v>
      </c>
    </row>
    <row r="5737" spans="1:19" x14ac:dyDescent="0.3">
      <c r="A5737" t="s">
        <v>24</v>
      </c>
      <c r="B5737">
        <v>2016310007</v>
      </c>
      <c r="C5737" t="s">
        <v>25</v>
      </c>
      <c r="E5737" t="s">
        <v>476</v>
      </c>
      <c r="F5737" t="s">
        <v>477</v>
      </c>
      <c r="G5737">
        <v>2</v>
      </c>
      <c r="H5737" t="s">
        <v>438</v>
      </c>
      <c r="I5737" s="4">
        <f t="shared" si="810"/>
        <v>3</v>
      </c>
      <c r="J5737">
        <f t="shared" si="811"/>
        <v>6</v>
      </c>
      <c r="K5737">
        <v>26</v>
      </c>
      <c r="L5737">
        <v>14</v>
      </c>
      <c r="M5737" s="2">
        <v>1.86</v>
      </c>
      <c r="N5737">
        <v>2.85</v>
      </c>
      <c r="O5737">
        <v>0</v>
      </c>
      <c r="P5737">
        <v>5</v>
      </c>
      <c r="Q5737" s="4" t="str">
        <f>IF(P5737=1,"2016/2017-Ganjil",IF(P5737=2,"2016/2017-Genap",IF(P5737=3,"2017/2018-Ganjil",IF(P5737=4,"2017/2018-Genap",IF(P5737=5,"2018/2019-Ganjil",IF(P5737=6,"2018/2019-Genap",IF(P5737=7,"2019/2020-Ganjil",IF(P5737=8,"2019/2020-Genap",IF(P5737=9,"2020/2021-Ganjil",IF(P5737=10,"2020/2021-Genap",IF(P5737=11,"2021/2022-Ganjil",IF(P5737=12,"2021/2022-Genap",IF(P5737=13,"2022/2023-Ganjil","2022/2023-Genap")))))))))))))</f>
        <v>2018/2019-Ganjil</v>
      </c>
      <c r="R5737" s="8" t="s">
        <v>260</v>
      </c>
      <c r="S5737" t="str">
        <f t="shared" si="809"/>
        <v>PA</v>
      </c>
    </row>
    <row r="5738" spans="1:19" x14ac:dyDescent="0.3">
      <c r="A5738" t="s">
        <v>24</v>
      </c>
      <c r="B5738">
        <v>2016310007</v>
      </c>
      <c r="C5738" t="s">
        <v>25</v>
      </c>
      <c r="E5738" t="s">
        <v>509</v>
      </c>
      <c r="F5738" t="s">
        <v>243</v>
      </c>
      <c r="G5738">
        <v>2</v>
      </c>
      <c r="H5738" t="s">
        <v>438</v>
      </c>
      <c r="I5738" s="4">
        <f t="shared" si="810"/>
        <v>3</v>
      </c>
      <c r="J5738">
        <f t="shared" si="811"/>
        <v>6</v>
      </c>
      <c r="K5738">
        <v>64</v>
      </c>
      <c r="L5738">
        <v>18</v>
      </c>
      <c r="M5738">
        <v>3.56</v>
      </c>
      <c r="N5738">
        <v>2.85</v>
      </c>
      <c r="O5738">
        <v>0</v>
      </c>
      <c r="P5738">
        <v>11</v>
      </c>
      <c r="Q5738" t="s">
        <v>573</v>
      </c>
      <c r="R5738" s="8" t="s">
        <v>260</v>
      </c>
      <c r="S5738" t="str">
        <f t="shared" si="809"/>
        <v>PA</v>
      </c>
    </row>
    <row r="5739" spans="1:19" x14ac:dyDescent="0.3">
      <c r="A5739" t="s">
        <v>24</v>
      </c>
      <c r="B5739">
        <v>2016310007</v>
      </c>
      <c r="C5739" t="s">
        <v>25</v>
      </c>
      <c r="E5739" t="s">
        <v>456</v>
      </c>
      <c r="F5739" t="s">
        <v>457</v>
      </c>
      <c r="G5739">
        <v>2</v>
      </c>
      <c r="H5739" t="s">
        <v>438</v>
      </c>
      <c r="I5739" s="4">
        <f t="shared" si="810"/>
        <v>3</v>
      </c>
      <c r="J5739">
        <f t="shared" si="811"/>
        <v>6</v>
      </c>
      <c r="K5739">
        <v>38</v>
      </c>
      <c r="L5739">
        <v>20</v>
      </c>
      <c r="M5739" s="2">
        <v>1.9</v>
      </c>
      <c r="N5739">
        <v>2.85</v>
      </c>
      <c r="O5739">
        <v>0</v>
      </c>
      <c r="P5739">
        <v>2</v>
      </c>
      <c r="Q5739" t="s">
        <v>559</v>
      </c>
      <c r="R5739" s="8" t="s">
        <v>260</v>
      </c>
      <c r="S5739" t="str">
        <f t="shared" si="809"/>
        <v>PA</v>
      </c>
    </row>
    <row r="5740" spans="1:19" x14ac:dyDescent="0.3">
      <c r="A5740" t="s">
        <v>24</v>
      </c>
      <c r="B5740">
        <v>2016310007</v>
      </c>
      <c r="C5740" t="s">
        <v>25</v>
      </c>
      <c r="E5740" t="s">
        <v>489</v>
      </c>
      <c r="F5740" t="s">
        <v>307</v>
      </c>
      <c r="G5740">
        <v>2</v>
      </c>
      <c r="H5740" t="s">
        <v>438</v>
      </c>
      <c r="I5740" s="4">
        <f t="shared" si="810"/>
        <v>3</v>
      </c>
      <c r="J5740">
        <f t="shared" si="811"/>
        <v>6</v>
      </c>
      <c r="K5740">
        <v>64</v>
      </c>
      <c r="L5740">
        <v>18</v>
      </c>
      <c r="M5740">
        <v>3.56</v>
      </c>
      <c r="N5740">
        <v>2.85</v>
      </c>
      <c r="O5740">
        <v>0</v>
      </c>
      <c r="P5740">
        <v>11</v>
      </c>
      <c r="Q5740" t="s">
        <v>573</v>
      </c>
      <c r="R5740" s="8" t="s">
        <v>260</v>
      </c>
      <c r="S5740" t="str">
        <f t="shared" si="809"/>
        <v>PA</v>
      </c>
    </row>
    <row r="5741" spans="1:19" x14ac:dyDescent="0.3">
      <c r="A5741" t="s">
        <v>24</v>
      </c>
      <c r="B5741">
        <v>2016310007</v>
      </c>
      <c r="C5741" t="s">
        <v>25</v>
      </c>
      <c r="E5741" t="s">
        <v>128</v>
      </c>
      <c r="F5741" t="s">
        <v>129</v>
      </c>
      <c r="G5741">
        <v>4</v>
      </c>
      <c r="H5741" t="s">
        <v>438</v>
      </c>
      <c r="I5741" s="4">
        <f t="shared" si="810"/>
        <v>3</v>
      </c>
      <c r="J5741">
        <f t="shared" si="811"/>
        <v>12</v>
      </c>
      <c r="K5741">
        <v>46</v>
      </c>
      <c r="L5741">
        <v>16</v>
      </c>
      <c r="M5741" s="2">
        <v>2.88</v>
      </c>
      <c r="N5741">
        <v>2.85</v>
      </c>
      <c r="O5741">
        <v>0</v>
      </c>
      <c r="P5741">
        <v>1</v>
      </c>
      <c r="Q5741" t="s">
        <v>558</v>
      </c>
      <c r="R5741" s="8" t="s">
        <v>260</v>
      </c>
      <c r="S5741" t="str">
        <f t="shared" si="809"/>
        <v>PA</v>
      </c>
    </row>
    <row r="5742" spans="1:19" x14ac:dyDescent="0.3">
      <c r="A5742" t="s">
        <v>24</v>
      </c>
      <c r="B5742">
        <v>2016310007</v>
      </c>
      <c r="C5742" t="s">
        <v>25</v>
      </c>
      <c r="E5742" t="s">
        <v>443</v>
      </c>
      <c r="F5742" t="s">
        <v>140</v>
      </c>
      <c r="G5742">
        <v>2</v>
      </c>
      <c r="H5742" t="s">
        <v>438</v>
      </c>
      <c r="I5742" s="4">
        <f t="shared" si="810"/>
        <v>3</v>
      </c>
      <c r="J5742">
        <f t="shared" si="811"/>
        <v>6</v>
      </c>
      <c r="K5742">
        <v>52</v>
      </c>
      <c r="L5742">
        <v>18</v>
      </c>
      <c r="M5742" s="2">
        <v>2.89</v>
      </c>
      <c r="N5742">
        <v>2.85</v>
      </c>
      <c r="O5742">
        <v>0</v>
      </c>
      <c r="P5742">
        <v>7</v>
      </c>
      <c r="Q5742" t="s">
        <v>568</v>
      </c>
      <c r="R5742" s="8" t="s">
        <v>260</v>
      </c>
      <c r="S5742" t="str">
        <f t="shared" si="809"/>
        <v>PA</v>
      </c>
    </row>
    <row r="5743" spans="1:19" x14ac:dyDescent="0.3">
      <c r="A5743" t="s">
        <v>24</v>
      </c>
      <c r="B5743">
        <v>2016310007</v>
      </c>
      <c r="C5743" t="s">
        <v>25</v>
      </c>
      <c r="E5743" t="s">
        <v>154</v>
      </c>
      <c r="F5743" t="s">
        <v>155</v>
      </c>
      <c r="G5743">
        <v>4</v>
      </c>
      <c r="H5743" t="s">
        <v>438</v>
      </c>
      <c r="I5743" s="4">
        <f t="shared" si="810"/>
        <v>3</v>
      </c>
      <c r="J5743">
        <f t="shared" si="811"/>
        <v>12</v>
      </c>
      <c r="K5743">
        <v>26</v>
      </c>
      <c r="L5743">
        <v>12</v>
      </c>
      <c r="M5743">
        <v>2.17</v>
      </c>
      <c r="N5743">
        <v>2.85</v>
      </c>
      <c r="O5743">
        <v>0</v>
      </c>
      <c r="P5743">
        <v>9</v>
      </c>
      <c r="Q5743" t="s">
        <v>570</v>
      </c>
      <c r="R5743" s="8" t="s">
        <v>260</v>
      </c>
      <c r="S5743" t="str">
        <f t="shared" si="809"/>
        <v>PA</v>
      </c>
    </row>
    <row r="5744" spans="1:19" x14ac:dyDescent="0.3">
      <c r="A5744" t="s">
        <v>24</v>
      </c>
      <c r="B5744">
        <v>2016310007</v>
      </c>
      <c r="C5744" t="s">
        <v>25</v>
      </c>
      <c r="E5744" t="s">
        <v>465</v>
      </c>
      <c r="F5744" t="s">
        <v>198</v>
      </c>
      <c r="G5744">
        <v>2</v>
      </c>
      <c r="H5744" t="s">
        <v>438</v>
      </c>
      <c r="I5744" s="4">
        <f t="shared" si="810"/>
        <v>3</v>
      </c>
      <c r="J5744">
        <f t="shared" si="811"/>
        <v>6</v>
      </c>
      <c r="K5744">
        <v>16</v>
      </c>
      <c r="L5744">
        <v>6</v>
      </c>
      <c r="M5744">
        <v>2.67</v>
      </c>
      <c r="N5744">
        <v>2.85</v>
      </c>
      <c r="O5744">
        <v>0</v>
      </c>
      <c r="P5744">
        <v>12</v>
      </c>
      <c r="Q5744" t="s">
        <v>575</v>
      </c>
      <c r="R5744" s="8" t="s">
        <v>260</v>
      </c>
      <c r="S5744" t="str">
        <f t="shared" si="809"/>
        <v>PA</v>
      </c>
    </row>
    <row r="5745" spans="1:19" x14ac:dyDescent="0.3">
      <c r="A5745" t="s">
        <v>24</v>
      </c>
      <c r="B5745">
        <v>2016310007</v>
      </c>
      <c r="C5745" t="s">
        <v>25</v>
      </c>
      <c r="E5745" t="s">
        <v>441</v>
      </c>
      <c r="F5745" t="s">
        <v>442</v>
      </c>
      <c r="G5745">
        <v>4</v>
      </c>
      <c r="H5745" t="s">
        <v>438</v>
      </c>
      <c r="I5745" s="4">
        <f t="shared" si="810"/>
        <v>3</v>
      </c>
      <c r="J5745">
        <f t="shared" si="811"/>
        <v>12</v>
      </c>
      <c r="K5745">
        <v>20</v>
      </c>
      <c r="L5745">
        <v>14</v>
      </c>
      <c r="M5745" s="2">
        <v>1.43</v>
      </c>
      <c r="N5745">
        <v>2.85</v>
      </c>
      <c r="O5745">
        <v>0</v>
      </c>
      <c r="P5745">
        <v>3</v>
      </c>
      <c r="Q5745" t="s">
        <v>563</v>
      </c>
      <c r="R5745" s="8" t="s">
        <v>260</v>
      </c>
      <c r="S5745" t="str">
        <f t="shared" si="809"/>
        <v>PA</v>
      </c>
    </row>
    <row r="5746" spans="1:19" x14ac:dyDescent="0.3">
      <c r="A5746" t="s">
        <v>24</v>
      </c>
      <c r="B5746">
        <v>2016310007</v>
      </c>
      <c r="C5746" t="s">
        <v>25</v>
      </c>
      <c r="E5746" t="s">
        <v>131</v>
      </c>
      <c r="F5746" t="s">
        <v>132</v>
      </c>
      <c r="G5746">
        <v>2</v>
      </c>
      <c r="H5746" t="s">
        <v>438</v>
      </c>
      <c r="I5746" s="4">
        <f t="shared" si="810"/>
        <v>3</v>
      </c>
      <c r="J5746">
        <f t="shared" si="811"/>
        <v>6</v>
      </c>
      <c r="K5746">
        <v>46</v>
      </c>
      <c r="L5746">
        <v>16</v>
      </c>
      <c r="M5746" s="2">
        <v>2.88</v>
      </c>
      <c r="N5746">
        <v>2.85</v>
      </c>
      <c r="O5746">
        <v>0</v>
      </c>
      <c r="P5746">
        <v>1</v>
      </c>
      <c r="Q5746" t="s">
        <v>558</v>
      </c>
      <c r="R5746" s="8" t="s">
        <v>260</v>
      </c>
      <c r="S5746" t="str">
        <f t="shared" si="809"/>
        <v>PA</v>
      </c>
    </row>
    <row r="5747" spans="1:19" x14ac:dyDescent="0.3">
      <c r="A5747" t="s">
        <v>24</v>
      </c>
      <c r="B5747">
        <v>2016310007</v>
      </c>
      <c r="C5747" t="s">
        <v>25</v>
      </c>
      <c r="E5747" t="s">
        <v>520</v>
      </c>
      <c r="F5747" t="s">
        <v>521</v>
      </c>
      <c r="G5747">
        <v>2</v>
      </c>
      <c r="H5747" t="s">
        <v>438</v>
      </c>
      <c r="I5747" s="4">
        <f t="shared" si="810"/>
        <v>3</v>
      </c>
      <c r="J5747">
        <f t="shared" si="811"/>
        <v>6</v>
      </c>
      <c r="K5747">
        <v>56</v>
      </c>
      <c r="L5747">
        <v>20</v>
      </c>
      <c r="M5747" s="2">
        <v>2.8</v>
      </c>
      <c r="N5747">
        <v>2.85</v>
      </c>
      <c r="O5747">
        <v>0</v>
      </c>
      <c r="P5747">
        <v>10</v>
      </c>
      <c r="Q5747" t="s">
        <v>560</v>
      </c>
      <c r="R5747" s="8" t="s">
        <v>260</v>
      </c>
      <c r="S5747" t="str">
        <f t="shared" si="809"/>
        <v>PA</v>
      </c>
    </row>
    <row r="5748" spans="1:19" x14ac:dyDescent="0.3">
      <c r="A5748" t="s">
        <v>24</v>
      </c>
      <c r="B5748">
        <v>2016310007</v>
      </c>
      <c r="C5748" t="s">
        <v>25</v>
      </c>
      <c r="E5748" t="s">
        <v>128</v>
      </c>
      <c r="F5748" t="s">
        <v>129</v>
      </c>
      <c r="G5748">
        <v>4</v>
      </c>
      <c r="H5748" t="s">
        <v>438</v>
      </c>
      <c r="I5748" s="4">
        <f t="shared" si="810"/>
        <v>3</v>
      </c>
      <c r="J5748">
        <f t="shared" si="811"/>
        <v>12</v>
      </c>
      <c r="K5748">
        <v>38</v>
      </c>
      <c r="L5748">
        <v>20</v>
      </c>
      <c r="M5748" s="2">
        <v>1.9</v>
      </c>
      <c r="N5748">
        <v>2.85</v>
      </c>
      <c r="O5748">
        <v>0</v>
      </c>
      <c r="P5748">
        <v>2</v>
      </c>
      <c r="Q5748" t="s">
        <v>559</v>
      </c>
      <c r="R5748" s="8" t="s">
        <v>260</v>
      </c>
      <c r="S5748" t="str">
        <f t="shared" si="809"/>
        <v>PA</v>
      </c>
    </row>
    <row r="5749" spans="1:19" x14ac:dyDescent="0.3">
      <c r="A5749" t="s">
        <v>24</v>
      </c>
      <c r="B5749">
        <v>2016310007</v>
      </c>
      <c r="C5749" t="s">
        <v>25</v>
      </c>
      <c r="E5749" t="s">
        <v>494</v>
      </c>
      <c r="F5749" t="s">
        <v>495</v>
      </c>
      <c r="G5749">
        <v>4</v>
      </c>
      <c r="H5749" t="s">
        <v>438</v>
      </c>
      <c r="I5749" s="4">
        <f t="shared" si="810"/>
        <v>3</v>
      </c>
      <c r="J5749">
        <f t="shared" si="811"/>
        <v>12</v>
      </c>
      <c r="K5749">
        <v>56</v>
      </c>
      <c r="L5749">
        <v>20</v>
      </c>
      <c r="M5749" s="2">
        <v>2.8</v>
      </c>
      <c r="N5749">
        <v>2.85</v>
      </c>
      <c r="O5749">
        <v>0</v>
      </c>
      <c r="P5749">
        <v>10</v>
      </c>
      <c r="Q5749" t="s">
        <v>560</v>
      </c>
      <c r="R5749" s="8" t="s">
        <v>260</v>
      </c>
      <c r="S5749" t="str">
        <f t="shared" si="809"/>
        <v>PA</v>
      </c>
    </row>
    <row r="5750" spans="1:19" x14ac:dyDescent="0.3">
      <c r="A5750" t="s">
        <v>24</v>
      </c>
      <c r="B5750">
        <v>2016310007</v>
      </c>
      <c r="C5750" t="s">
        <v>25</v>
      </c>
      <c r="E5750" t="s">
        <v>430</v>
      </c>
      <c r="F5750" t="s">
        <v>431</v>
      </c>
      <c r="G5750">
        <v>2</v>
      </c>
      <c r="H5750" t="s">
        <v>438</v>
      </c>
      <c r="I5750" s="4">
        <f t="shared" si="810"/>
        <v>3</v>
      </c>
      <c r="J5750">
        <f t="shared" si="811"/>
        <v>6</v>
      </c>
      <c r="K5750">
        <v>30</v>
      </c>
      <c r="L5750">
        <v>12</v>
      </c>
      <c r="M5750" s="2">
        <v>2.5</v>
      </c>
      <c r="N5750">
        <v>2.85</v>
      </c>
      <c r="O5750">
        <v>0</v>
      </c>
      <c r="P5750">
        <v>6</v>
      </c>
      <c r="Q5750" t="s">
        <v>567</v>
      </c>
      <c r="R5750" s="8" t="s">
        <v>260</v>
      </c>
      <c r="S5750" t="str">
        <f t="shared" si="809"/>
        <v>PA</v>
      </c>
    </row>
    <row r="5751" spans="1:19" x14ac:dyDescent="0.3">
      <c r="A5751" t="s">
        <v>24</v>
      </c>
      <c r="B5751">
        <v>2016310007</v>
      </c>
      <c r="C5751" t="s">
        <v>25</v>
      </c>
      <c r="E5751" t="s">
        <v>377</v>
      </c>
      <c r="F5751" t="s">
        <v>378</v>
      </c>
      <c r="G5751">
        <v>2</v>
      </c>
      <c r="H5751" t="s">
        <v>438</v>
      </c>
      <c r="I5751" s="4">
        <f t="shared" si="810"/>
        <v>3</v>
      </c>
      <c r="J5751">
        <f t="shared" si="811"/>
        <v>6</v>
      </c>
      <c r="K5751">
        <v>38</v>
      </c>
      <c r="L5751">
        <v>20</v>
      </c>
      <c r="M5751" s="2">
        <v>1.9</v>
      </c>
      <c r="N5751">
        <v>2.85</v>
      </c>
      <c r="O5751">
        <v>0</v>
      </c>
      <c r="P5751">
        <v>2</v>
      </c>
      <c r="Q5751" t="s">
        <v>559</v>
      </c>
      <c r="R5751" s="8" t="s">
        <v>260</v>
      </c>
      <c r="S5751" t="str">
        <f t="shared" si="809"/>
        <v>PA</v>
      </c>
    </row>
    <row r="5752" spans="1:19" x14ac:dyDescent="0.3">
      <c r="A5752" t="s">
        <v>24</v>
      </c>
      <c r="B5752">
        <v>2016310007</v>
      </c>
      <c r="C5752" t="s">
        <v>25</v>
      </c>
      <c r="E5752" t="s">
        <v>389</v>
      </c>
      <c r="F5752" t="s">
        <v>390</v>
      </c>
      <c r="G5752">
        <v>2</v>
      </c>
      <c r="H5752" t="s">
        <v>524</v>
      </c>
      <c r="I5752" s="4">
        <f t="shared" si="810"/>
        <v>2</v>
      </c>
      <c r="J5752">
        <f t="shared" si="811"/>
        <v>4</v>
      </c>
      <c r="K5752">
        <v>38</v>
      </c>
      <c r="L5752">
        <v>20</v>
      </c>
      <c r="M5752" s="2">
        <v>1.9</v>
      </c>
      <c r="N5752">
        <v>2.85</v>
      </c>
      <c r="O5752">
        <v>0</v>
      </c>
      <c r="P5752">
        <v>2</v>
      </c>
      <c r="Q5752" t="s">
        <v>559</v>
      </c>
      <c r="R5752" s="8" t="s">
        <v>260</v>
      </c>
      <c r="S5752" t="str">
        <f t="shared" si="809"/>
        <v>PA</v>
      </c>
    </row>
    <row r="5753" spans="1:19" x14ac:dyDescent="0.3">
      <c r="A5753" t="s">
        <v>24</v>
      </c>
      <c r="B5753">
        <v>2016310007</v>
      </c>
      <c r="C5753" t="s">
        <v>25</v>
      </c>
      <c r="E5753" t="s">
        <v>518</v>
      </c>
      <c r="F5753" t="s">
        <v>519</v>
      </c>
      <c r="G5753">
        <v>2</v>
      </c>
      <c r="H5753" t="s">
        <v>524</v>
      </c>
      <c r="I5753" s="4">
        <f t="shared" si="810"/>
        <v>2</v>
      </c>
      <c r="J5753">
        <f t="shared" si="811"/>
        <v>4</v>
      </c>
      <c r="K5753">
        <v>64</v>
      </c>
      <c r="L5753">
        <v>18</v>
      </c>
      <c r="M5753">
        <v>3.56</v>
      </c>
      <c r="N5753">
        <v>2.85</v>
      </c>
      <c r="O5753">
        <v>0</v>
      </c>
      <c r="P5753">
        <v>11</v>
      </c>
      <c r="Q5753" t="s">
        <v>573</v>
      </c>
      <c r="R5753" s="8" t="s">
        <v>260</v>
      </c>
      <c r="S5753" t="str">
        <f t="shared" si="809"/>
        <v>PA</v>
      </c>
    </row>
    <row r="5754" spans="1:19" x14ac:dyDescent="0.3">
      <c r="A5754" t="s">
        <v>24</v>
      </c>
      <c r="B5754">
        <v>2016310007</v>
      </c>
      <c r="C5754" t="s">
        <v>25</v>
      </c>
      <c r="E5754" t="s">
        <v>461</v>
      </c>
      <c r="F5754" t="s">
        <v>452</v>
      </c>
      <c r="G5754">
        <v>4</v>
      </c>
      <c r="H5754" t="s">
        <v>524</v>
      </c>
      <c r="I5754" s="4">
        <f t="shared" si="810"/>
        <v>2</v>
      </c>
      <c r="J5754">
        <f t="shared" si="811"/>
        <v>8</v>
      </c>
      <c r="K5754">
        <v>20</v>
      </c>
      <c r="L5754">
        <v>14</v>
      </c>
      <c r="M5754" s="2">
        <v>1.43</v>
      </c>
      <c r="N5754">
        <v>2.85</v>
      </c>
      <c r="O5754">
        <v>0</v>
      </c>
      <c r="P5754">
        <v>8</v>
      </c>
      <c r="Q5754" t="s">
        <v>569</v>
      </c>
      <c r="R5754" s="8" t="s">
        <v>260</v>
      </c>
      <c r="S5754" t="str">
        <f t="shared" si="809"/>
        <v>PA</v>
      </c>
    </row>
    <row r="5755" spans="1:19" x14ac:dyDescent="0.3">
      <c r="A5755" t="s">
        <v>24</v>
      </c>
      <c r="B5755">
        <v>2016310007</v>
      </c>
      <c r="C5755" t="s">
        <v>25</v>
      </c>
      <c r="E5755" t="s">
        <v>480</v>
      </c>
      <c r="F5755" t="s">
        <v>481</v>
      </c>
      <c r="G5755">
        <v>2</v>
      </c>
      <c r="H5755" t="s">
        <v>539</v>
      </c>
      <c r="I5755" s="4">
        <f t="shared" si="810"/>
        <v>0</v>
      </c>
      <c r="J5755">
        <f t="shared" si="811"/>
        <v>0</v>
      </c>
      <c r="K5755">
        <v>26</v>
      </c>
      <c r="L5755">
        <v>14</v>
      </c>
      <c r="M5755" s="2">
        <v>1.86</v>
      </c>
      <c r="N5755">
        <v>2.85</v>
      </c>
      <c r="O5755">
        <v>1</v>
      </c>
      <c r="P5755">
        <v>5</v>
      </c>
      <c r="Q5755" t="s">
        <v>566</v>
      </c>
      <c r="R5755" s="8" t="s">
        <v>260</v>
      </c>
      <c r="S5755" t="str">
        <f t="shared" si="809"/>
        <v>FA</v>
      </c>
    </row>
    <row r="5756" spans="1:19" x14ac:dyDescent="0.3">
      <c r="A5756" t="s">
        <v>24</v>
      </c>
      <c r="B5756">
        <v>2016310007</v>
      </c>
      <c r="C5756" t="s">
        <v>25</v>
      </c>
      <c r="E5756" t="s">
        <v>434</v>
      </c>
      <c r="F5756" t="s">
        <v>435</v>
      </c>
      <c r="G5756">
        <v>2</v>
      </c>
      <c r="H5756" t="s">
        <v>524</v>
      </c>
      <c r="I5756" s="4">
        <f t="shared" si="810"/>
        <v>2</v>
      </c>
      <c r="J5756">
        <f t="shared" si="811"/>
        <v>4</v>
      </c>
      <c r="K5756">
        <v>46</v>
      </c>
      <c r="L5756">
        <v>16</v>
      </c>
      <c r="M5756" s="2">
        <v>2.88</v>
      </c>
      <c r="N5756">
        <v>2.85</v>
      </c>
      <c r="O5756">
        <v>0</v>
      </c>
      <c r="P5756">
        <v>1</v>
      </c>
      <c r="Q5756" t="s">
        <v>558</v>
      </c>
      <c r="R5756" s="8" t="s">
        <v>260</v>
      </c>
      <c r="S5756" t="str">
        <f t="shared" si="809"/>
        <v>PA</v>
      </c>
    </row>
    <row r="5757" spans="1:19" x14ac:dyDescent="0.3">
      <c r="A5757" t="s">
        <v>24</v>
      </c>
      <c r="B5757">
        <v>2016310007</v>
      </c>
      <c r="C5757" t="s">
        <v>25</v>
      </c>
      <c r="E5757" t="s">
        <v>486</v>
      </c>
      <c r="F5757" t="s">
        <v>428</v>
      </c>
      <c r="G5757">
        <v>4</v>
      </c>
      <c r="H5757" t="s">
        <v>524</v>
      </c>
      <c r="I5757" s="4">
        <f t="shared" si="810"/>
        <v>2</v>
      </c>
      <c r="J5757">
        <f t="shared" si="811"/>
        <v>8</v>
      </c>
      <c r="K5757">
        <v>30</v>
      </c>
      <c r="L5757">
        <v>12</v>
      </c>
      <c r="M5757" s="2">
        <v>2.5</v>
      </c>
      <c r="N5757">
        <v>2.85</v>
      </c>
      <c r="O5757">
        <v>0</v>
      </c>
      <c r="P5757">
        <v>6</v>
      </c>
      <c r="Q5757" t="s">
        <v>567</v>
      </c>
      <c r="R5757" s="8" t="s">
        <v>260</v>
      </c>
      <c r="S5757" t="str">
        <f t="shared" si="809"/>
        <v>PA</v>
      </c>
    </row>
    <row r="5758" spans="1:19" x14ac:dyDescent="0.3">
      <c r="A5758" t="s">
        <v>24</v>
      </c>
      <c r="B5758">
        <v>2016310007</v>
      </c>
      <c r="C5758" t="s">
        <v>25</v>
      </c>
      <c r="E5758" t="s">
        <v>469</v>
      </c>
      <c r="F5758" t="s">
        <v>470</v>
      </c>
      <c r="G5758">
        <v>2</v>
      </c>
      <c r="H5758" t="s">
        <v>524</v>
      </c>
      <c r="I5758" s="4">
        <f t="shared" si="810"/>
        <v>2</v>
      </c>
      <c r="J5758">
        <f t="shared" si="811"/>
        <v>4</v>
      </c>
      <c r="K5758">
        <v>52</v>
      </c>
      <c r="L5758">
        <v>18</v>
      </c>
      <c r="M5758" s="2">
        <v>2.89</v>
      </c>
      <c r="N5758">
        <v>2.85</v>
      </c>
      <c r="O5758">
        <v>0</v>
      </c>
      <c r="P5758">
        <v>7</v>
      </c>
      <c r="Q5758" t="s">
        <v>568</v>
      </c>
      <c r="R5758" s="8" t="s">
        <v>260</v>
      </c>
      <c r="S5758" t="str">
        <f t="shared" si="809"/>
        <v>PA</v>
      </c>
    </row>
    <row r="5759" spans="1:19" x14ac:dyDescent="0.3">
      <c r="A5759" t="s">
        <v>24</v>
      </c>
      <c r="B5759">
        <v>2016310007</v>
      </c>
      <c r="C5759" t="s">
        <v>25</v>
      </c>
      <c r="E5759" t="s">
        <v>530</v>
      </c>
      <c r="F5759" t="s">
        <v>531</v>
      </c>
      <c r="G5759">
        <v>2</v>
      </c>
      <c r="H5759" t="s">
        <v>524</v>
      </c>
      <c r="I5759" s="4">
        <f t="shared" si="810"/>
        <v>2</v>
      </c>
      <c r="J5759">
        <f t="shared" si="811"/>
        <v>4</v>
      </c>
      <c r="K5759">
        <v>16</v>
      </c>
      <c r="L5759">
        <v>6</v>
      </c>
      <c r="M5759">
        <v>2.67</v>
      </c>
      <c r="N5759">
        <v>2.85</v>
      </c>
      <c r="O5759">
        <v>0</v>
      </c>
      <c r="P5759">
        <v>12</v>
      </c>
      <c r="Q5759" t="s">
        <v>575</v>
      </c>
      <c r="R5759" s="8" t="s">
        <v>260</v>
      </c>
      <c r="S5759" t="str">
        <f t="shared" si="809"/>
        <v>PA</v>
      </c>
    </row>
    <row r="5760" spans="1:19" x14ac:dyDescent="0.3">
      <c r="A5760" t="s">
        <v>24</v>
      </c>
      <c r="B5760">
        <v>2016310007</v>
      </c>
      <c r="C5760" t="s">
        <v>25</v>
      </c>
      <c r="E5760" t="s">
        <v>455</v>
      </c>
      <c r="F5760" t="s">
        <v>280</v>
      </c>
      <c r="G5760">
        <v>2</v>
      </c>
      <c r="H5760" t="s">
        <v>524</v>
      </c>
      <c r="I5760" s="4">
        <f t="shared" si="810"/>
        <v>2</v>
      </c>
      <c r="J5760">
        <f t="shared" si="811"/>
        <v>4</v>
      </c>
      <c r="K5760">
        <v>38</v>
      </c>
      <c r="L5760">
        <v>20</v>
      </c>
      <c r="M5760" s="2">
        <v>1.9</v>
      </c>
      <c r="N5760">
        <v>2.85</v>
      </c>
      <c r="O5760">
        <v>0</v>
      </c>
      <c r="P5760">
        <v>2</v>
      </c>
      <c r="Q5760" t="s">
        <v>559</v>
      </c>
      <c r="R5760" s="8" t="s">
        <v>260</v>
      </c>
      <c r="S5760" t="str">
        <f t="shared" si="809"/>
        <v>PA</v>
      </c>
    </row>
    <row r="5761" spans="1:19" x14ac:dyDescent="0.3">
      <c r="A5761" t="s">
        <v>24</v>
      </c>
      <c r="B5761">
        <v>2016310007</v>
      </c>
      <c r="C5761" t="s">
        <v>25</v>
      </c>
      <c r="E5761" t="s">
        <v>478</v>
      </c>
      <c r="F5761" t="s">
        <v>375</v>
      </c>
      <c r="G5761">
        <v>2</v>
      </c>
      <c r="H5761" t="s">
        <v>524</v>
      </c>
      <c r="I5761" s="4">
        <f t="shared" si="810"/>
        <v>2</v>
      </c>
      <c r="J5761">
        <f t="shared" si="811"/>
        <v>4</v>
      </c>
      <c r="K5761">
        <v>26</v>
      </c>
      <c r="L5761">
        <v>12</v>
      </c>
      <c r="M5761">
        <v>2.17</v>
      </c>
      <c r="N5761">
        <v>2.85</v>
      </c>
      <c r="O5761">
        <v>0</v>
      </c>
      <c r="P5761">
        <v>9</v>
      </c>
      <c r="Q5761" t="s">
        <v>570</v>
      </c>
      <c r="R5761" s="8" t="s">
        <v>260</v>
      </c>
      <c r="S5761" t="str">
        <f t="shared" si="809"/>
        <v>PA</v>
      </c>
    </row>
    <row r="5762" spans="1:19" x14ac:dyDescent="0.3">
      <c r="A5762" t="s">
        <v>24</v>
      </c>
      <c r="B5762">
        <v>2016310007</v>
      </c>
      <c r="C5762" t="s">
        <v>25</v>
      </c>
      <c r="E5762" t="s">
        <v>484</v>
      </c>
      <c r="F5762" t="s">
        <v>485</v>
      </c>
      <c r="G5762">
        <v>2</v>
      </c>
      <c r="H5762" t="s">
        <v>524</v>
      </c>
      <c r="I5762" s="4">
        <f t="shared" si="810"/>
        <v>2</v>
      </c>
      <c r="J5762">
        <f t="shared" si="811"/>
        <v>4</v>
      </c>
      <c r="K5762">
        <v>30</v>
      </c>
      <c r="L5762">
        <v>12</v>
      </c>
      <c r="M5762" s="2">
        <v>2.5</v>
      </c>
      <c r="N5762">
        <v>2.85</v>
      </c>
      <c r="O5762">
        <v>0</v>
      </c>
      <c r="P5762">
        <v>6</v>
      </c>
      <c r="Q5762" t="s">
        <v>567</v>
      </c>
      <c r="R5762" s="8" t="s">
        <v>260</v>
      </c>
      <c r="S5762" t="str">
        <f t="shared" si="809"/>
        <v>PA</v>
      </c>
    </row>
    <row r="5763" spans="1:19" x14ac:dyDescent="0.3">
      <c r="A5763" t="s">
        <v>24</v>
      </c>
      <c r="B5763">
        <v>2016310007</v>
      </c>
      <c r="C5763" t="s">
        <v>25</v>
      </c>
      <c r="E5763" t="s">
        <v>464</v>
      </c>
      <c r="F5763" t="s">
        <v>108</v>
      </c>
      <c r="G5763">
        <v>2</v>
      </c>
      <c r="H5763" t="s">
        <v>438</v>
      </c>
      <c r="I5763" s="4">
        <f t="shared" si="810"/>
        <v>3</v>
      </c>
      <c r="J5763">
        <f t="shared" si="811"/>
        <v>6</v>
      </c>
      <c r="K5763">
        <v>52</v>
      </c>
      <c r="L5763">
        <v>18</v>
      </c>
      <c r="M5763" s="2">
        <v>2.89</v>
      </c>
      <c r="N5763">
        <v>2.85</v>
      </c>
      <c r="O5763">
        <v>1</v>
      </c>
      <c r="P5763">
        <v>7</v>
      </c>
      <c r="Q5763" t="s">
        <v>568</v>
      </c>
      <c r="R5763" s="8" t="s">
        <v>260</v>
      </c>
      <c r="S5763" t="str">
        <f t="shared" si="809"/>
        <v>PA</v>
      </c>
    </row>
    <row r="5764" spans="1:19" x14ac:dyDescent="0.3">
      <c r="A5764" t="s">
        <v>24</v>
      </c>
      <c r="B5764">
        <v>2016310007</v>
      </c>
      <c r="C5764" t="s">
        <v>25</v>
      </c>
      <c r="E5764" t="s">
        <v>195</v>
      </c>
      <c r="F5764" t="s">
        <v>196</v>
      </c>
      <c r="G5764">
        <v>4</v>
      </c>
      <c r="H5764" t="s">
        <v>535</v>
      </c>
      <c r="I5764" s="4">
        <f t="shared" si="810"/>
        <v>1</v>
      </c>
      <c r="J5764">
        <f t="shared" si="811"/>
        <v>4</v>
      </c>
      <c r="K5764">
        <v>38</v>
      </c>
      <c r="L5764">
        <v>20</v>
      </c>
      <c r="M5764" s="2">
        <v>1.9</v>
      </c>
      <c r="N5764">
        <v>2.85</v>
      </c>
      <c r="O5764">
        <v>0</v>
      </c>
      <c r="P5764">
        <v>2</v>
      </c>
      <c r="Q5764" t="s">
        <v>559</v>
      </c>
      <c r="R5764" s="8" t="s">
        <v>260</v>
      </c>
      <c r="S5764" t="str">
        <f t="shared" si="809"/>
        <v>FA</v>
      </c>
    </row>
    <row r="5765" spans="1:19" x14ac:dyDescent="0.3">
      <c r="A5765" t="s">
        <v>24</v>
      </c>
      <c r="B5765">
        <v>2016310007</v>
      </c>
      <c r="C5765" t="s">
        <v>25</v>
      </c>
      <c r="E5765" t="s">
        <v>536</v>
      </c>
      <c r="F5765" t="s">
        <v>111</v>
      </c>
      <c r="G5765">
        <v>4</v>
      </c>
      <c r="H5765" t="s">
        <v>535</v>
      </c>
      <c r="I5765" s="4">
        <f t="shared" si="810"/>
        <v>1</v>
      </c>
      <c r="J5765">
        <f t="shared" si="811"/>
        <v>4</v>
      </c>
      <c r="K5765">
        <v>26</v>
      </c>
      <c r="L5765">
        <v>12</v>
      </c>
      <c r="M5765">
        <v>2.17</v>
      </c>
      <c r="N5765">
        <v>2.85</v>
      </c>
      <c r="O5765">
        <v>0</v>
      </c>
      <c r="P5765">
        <v>9</v>
      </c>
      <c r="Q5765" t="s">
        <v>570</v>
      </c>
      <c r="R5765" s="8" t="s">
        <v>260</v>
      </c>
      <c r="S5765" t="str">
        <f t="shared" si="809"/>
        <v>FA</v>
      </c>
    </row>
    <row r="5766" spans="1:19" x14ac:dyDescent="0.3">
      <c r="A5766" t="s">
        <v>24</v>
      </c>
      <c r="B5766">
        <v>2016310007</v>
      </c>
      <c r="C5766" t="s">
        <v>25</v>
      </c>
      <c r="E5766" t="s">
        <v>397</v>
      </c>
      <c r="F5766" t="s">
        <v>398</v>
      </c>
      <c r="G5766">
        <v>4</v>
      </c>
      <c r="H5766" t="s">
        <v>260</v>
      </c>
      <c r="I5766" s="4">
        <f t="shared" si="810"/>
        <v>4</v>
      </c>
      <c r="J5766">
        <f t="shared" si="811"/>
        <v>16</v>
      </c>
      <c r="K5766">
        <v>64</v>
      </c>
      <c r="L5766">
        <v>18</v>
      </c>
      <c r="M5766">
        <v>3.56</v>
      </c>
      <c r="N5766">
        <v>2.85</v>
      </c>
      <c r="O5766">
        <v>1</v>
      </c>
      <c r="P5766">
        <v>11</v>
      </c>
      <c r="Q5766" t="s">
        <v>573</v>
      </c>
      <c r="R5766" s="8" t="s">
        <v>260</v>
      </c>
      <c r="S5766" t="str">
        <f t="shared" si="809"/>
        <v>PA</v>
      </c>
    </row>
    <row r="5767" spans="1:19" x14ac:dyDescent="0.3">
      <c r="A5767" t="s">
        <v>24</v>
      </c>
      <c r="B5767">
        <v>2016310007</v>
      </c>
      <c r="C5767" t="s">
        <v>25</v>
      </c>
      <c r="E5767" t="s">
        <v>397</v>
      </c>
      <c r="F5767" t="s">
        <v>398</v>
      </c>
      <c r="G5767">
        <v>4</v>
      </c>
      <c r="H5767" t="s">
        <v>535</v>
      </c>
      <c r="I5767" s="4">
        <f t="shared" si="810"/>
        <v>1</v>
      </c>
      <c r="J5767">
        <f t="shared" si="811"/>
        <v>4</v>
      </c>
      <c r="K5767">
        <v>20</v>
      </c>
      <c r="L5767">
        <v>14</v>
      </c>
      <c r="M5767" s="2">
        <v>1.43</v>
      </c>
      <c r="N5767">
        <v>2.85</v>
      </c>
      <c r="O5767">
        <v>0</v>
      </c>
      <c r="P5767">
        <v>3</v>
      </c>
      <c r="Q5767" t="s">
        <v>563</v>
      </c>
      <c r="R5767" s="8" t="s">
        <v>260</v>
      </c>
      <c r="S5767" t="str">
        <f t="shared" si="809"/>
        <v>FA</v>
      </c>
    </row>
    <row r="5768" spans="1:19" x14ac:dyDescent="0.3">
      <c r="A5768" t="s">
        <v>24</v>
      </c>
      <c r="B5768">
        <v>2016310007</v>
      </c>
      <c r="C5768" t="s">
        <v>25</v>
      </c>
      <c r="E5768" t="s">
        <v>417</v>
      </c>
      <c r="F5768" t="s">
        <v>418</v>
      </c>
      <c r="G5768">
        <v>4</v>
      </c>
      <c r="H5768" t="s">
        <v>438</v>
      </c>
      <c r="I5768" s="4">
        <f t="shared" si="810"/>
        <v>3</v>
      </c>
      <c r="J5768">
        <f t="shared" si="811"/>
        <v>12</v>
      </c>
      <c r="K5768">
        <v>56</v>
      </c>
      <c r="L5768">
        <v>20</v>
      </c>
      <c r="M5768" s="2">
        <v>2.8</v>
      </c>
      <c r="N5768">
        <v>2.85</v>
      </c>
      <c r="O5768">
        <v>0</v>
      </c>
      <c r="P5768">
        <v>10</v>
      </c>
      <c r="Q5768" t="s">
        <v>560</v>
      </c>
      <c r="R5768" s="8" t="s">
        <v>260</v>
      </c>
      <c r="S5768" t="str">
        <f t="shared" si="809"/>
        <v>PA</v>
      </c>
    </row>
    <row r="5769" spans="1:19" x14ac:dyDescent="0.3">
      <c r="A5769" t="s">
        <v>24</v>
      </c>
      <c r="B5769">
        <v>2016310007</v>
      </c>
      <c r="C5769" t="s">
        <v>25</v>
      </c>
      <c r="E5769" t="s">
        <v>149</v>
      </c>
      <c r="F5769" t="s">
        <v>150</v>
      </c>
      <c r="G5769">
        <v>2</v>
      </c>
      <c r="H5769" t="s">
        <v>260</v>
      </c>
      <c r="I5769" s="4">
        <f t="shared" si="810"/>
        <v>4</v>
      </c>
      <c r="J5769">
        <f t="shared" si="811"/>
        <v>8</v>
      </c>
      <c r="K5769">
        <v>64</v>
      </c>
      <c r="L5769">
        <v>18</v>
      </c>
      <c r="M5769">
        <v>3.56</v>
      </c>
      <c r="N5769">
        <v>2.85</v>
      </c>
      <c r="O5769">
        <v>1</v>
      </c>
      <c r="P5769">
        <v>11</v>
      </c>
      <c r="Q5769" t="s">
        <v>573</v>
      </c>
      <c r="R5769" s="8" t="s">
        <v>260</v>
      </c>
      <c r="S5769" t="str">
        <f t="shared" si="809"/>
        <v>PA</v>
      </c>
    </row>
    <row r="5770" spans="1:19" x14ac:dyDescent="0.3">
      <c r="A5770" t="s">
        <v>24</v>
      </c>
      <c r="B5770">
        <v>2016310007</v>
      </c>
      <c r="C5770" t="s">
        <v>25</v>
      </c>
      <c r="E5770" t="s">
        <v>462</v>
      </c>
      <c r="F5770" t="s">
        <v>291</v>
      </c>
      <c r="G5770">
        <v>2</v>
      </c>
      <c r="H5770" t="s">
        <v>535</v>
      </c>
      <c r="I5770" s="4">
        <f t="shared" si="810"/>
        <v>1</v>
      </c>
      <c r="J5770">
        <f t="shared" si="811"/>
        <v>2</v>
      </c>
      <c r="K5770">
        <v>38</v>
      </c>
      <c r="L5770">
        <v>20</v>
      </c>
      <c r="M5770" s="2">
        <v>1.9</v>
      </c>
      <c r="N5770">
        <v>2.85</v>
      </c>
      <c r="O5770">
        <v>0</v>
      </c>
      <c r="P5770">
        <v>2</v>
      </c>
      <c r="Q5770" t="s">
        <v>559</v>
      </c>
      <c r="R5770" s="8" t="s">
        <v>260</v>
      </c>
      <c r="S5770" t="str">
        <f t="shared" si="809"/>
        <v>FA</v>
      </c>
    </row>
    <row r="5771" spans="1:19" x14ac:dyDescent="0.3">
      <c r="A5771" t="s">
        <v>24</v>
      </c>
      <c r="B5771">
        <v>2016310007</v>
      </c>
      <c r="C5771" t="s">
        <v>25</v>
      </c>
      <c r="E5771" t="s">
        <v>168</v>
      </c>
      <c r="F5771" t="s">
        <v>169</v>
      </c>
      <c r="G5771">
        <v>2</v>
      </c>
      <c r="H5771" t="s">
        <v>438</v>
      </c>
      <c r="I5771" s="4">
        <f t="shared" si="810"/>
        <v>3</v>
      </c>
      <c r="J5771">
        <f t="shared" si="811"/>
        <v>6</v>
      </c>
      <c r="K5771">
        <v>46</v>
      </c>
      <c r="L5771">
        <v>16</v>
      </c>
      <c r="M5771" s="2">
        <v>2.88</v>
      </c>
      <c r="N5771">
        <v>2.85</v>
      </c>
      <c r="O5771">
        <v>0</v>
      </c>
      <c r="P5771">
        <v>1</v>
      </c>
      <c r="Q5771" t="s">
        <v>558</v>
      </c>
      <c r="R5771" s="8" t="s">
        <v>260</v>
      </c>
      <c r="S5771" t="str">
        <f t="shared" si="809"/>
        <v>PA</v>
      </c>
    </row>
    <row r="5772" spans="1:19" x14ac:dyDescent="0.3">
      <c r="A5772" t="s">
        <v>24</v>
      </c>
      <c r="B5772">
        <v>2016310007</v>
      </c>
      <c r="C5772" t="s">
        <v>25</v>
      </c>
      <c r="E5772" t="s">
        <v>422</v>
      </c>
      <c r="F5772" t="s">
        <v>45</v>
      </c>
      <c r="G5772">
        <v>2</v>
      </c>
      <c r="H5772" t="s">
        <v>539</v>
      </c>
      <c r="I5772" s="4">
        <f t="shared" si="810"/>
        <v>0</v>
      </c>
      <c r="J5772">
        <f t="shared" si="811"/>
        <v>0</v>
      </c>
      <c r="K5772">
        <v>38</v>
      </c>
      <c r="L5772">
        <v>20</v>
      </c>
      <c r="M5772" s="2">
        <v>1.9</v>
      </c>
      <c r="N5772">
        <v>2.85</v>
      </c>
      <c r="O5772">
        <v>0</v>
      </c>
      <c r="P5772">
        <v>2</v>
      </c>
      <c r="Q5772" t="s">
        <v>559</v>
      </c>
      <c r="R5772" s="8" t="s">
        <v>260</v>
      </c>
      <c r="S5772" t="str">
        <f t="shared" si="809"/>
        <v>FA</v>
      </c>
    </row>
    <row r="5773" spans="1:19" x14ac:dyDescent="0.3">
      <c r="A5773" t="s">
        <v>24</v>
      </c>
      <c r="B5773">
        <v>2016310007</v>
      </c>
      <c r="C5773" t="s">
        <v>25</v>
      </c>
      <c r="E5773" t="s">
        <v>422</v>
      </c>
      <c r="F5773" t="s">
        <v>45</v>
      </c>
      <c r="G5773">
        <v>2</v>
      </c>
      <c r="H5773" t="s">
        <v>438</v>
      </c>
      <c r="I5773" s="4">
        <f t="shared" si="810"/>
        <v>3</v>
      </c>
      <c r="J5773">
        <f t="shared" si="811"/>
        <v>6</v>
      </c>
      <c r="K5773">
        <v>18</v>
      </c>
      <c r="L5773">
        <v>6</v>
      </c>
      <c r="M5773" s="2">
        <v>3</v>
      </c>
      <c r="N5773">
        <v>2.85</v>
      </c>
      <c r="O5773">
        <v>1</v>
      </c>
      <c r="P5773">
        <v>12</v>
      </c>
      <c r="Q5773" s="4" t="s">
        <v>577</v>
      </c>
      <c r="R5773" s="8" t="s">
        <v>260</v>
      </c>
      <c r="S5773" t="str">
        <f t="shared" si="809"/>
        <v>PA</v>
      </c>
    </row>
    <row r="5774" spans="1:19" x14ac:dyDescent="0.3">
      <c r="A5774" t="s">
        <v>24</v>
      </c>
      <c r="B5774">
        <v>2016310007</v>
      </c>
      <c r="C5774" t="s">
        <v>25</v>
      </c>
      <c r="E5774" t="s">
        <v>526</v>
      </c>
      <c r="F5774" t="s">
        <v>258</v>
      </c>
      <c r="G5774">
        <v>4</v>
      </c>
      <c r="H5774" t="s">
        <v>524</v>
      </c>
      <c r="I5774" s="4">
        <f t="shared" si="810"/>
        <v>2</v>
      </c>
      <c r="J5774">
        <f t="shared" si="811"/>
        <v>8</v>
      </c>
      <c r="K5774">
        <v>56</v>
      </c>
      <c r="L5774">
        <v>20</v>
      </c>
      <c r="M5774" s="2">
        <v>2.8</v>
      </c>
      <c r="N5774">
        <v>2.85</v>
      </c>
      <c r="O5774">
        <v>1</v>
      </c>
      <c r="P5774">
        <v>10</v>
      </c>
      <c r="Q5774" t="s">
        <v>560</v>
      </c>
      <c r="R5774" s="8" t="s">
        <v>260</v>
      </c>
      <c r="S5774" t="str">
        <f t="shared" si="809"/>
        <v>PA</v>
      </c>
    </row>
    <row r="5775" spans="1:19" x14ac:dyDescent="0.3">
      <c r="A5775" t="s">
        <v>24</v>
      </c>
      <c r="B5775">
        <v>2016310007</v>
      </c>
      <c r="C5775" t="s">
        <v>25</v>
      </c>
      <c r="E5775" t="s">
        <v>526</v>
      </c>
      <c r="F5775" t="s">
        <v>258</v>
      </c>
      <c r="G5775">
        <v>4</v>
      </c>
      <c r="H5775" t="s">
        <v>539</v>
      </c>
      <c r="I5775" s="4">
        <f t="shared" si="810"/>
        <v>0</v>
      </c>
      <c r="J5775">
        <f t="shared" si="811"/>
        <v>0</v>
      </c>
      <c r="K5775">
        <v>20</v>
      </c>
      <c r="L5775">
        <v>14</v>
      </c>
      <c r="M5775" s="2">
        <v>1.43</v>
      </c>
      <c r="N5775">
        <v>2.85</v>
      </c>
      <c r="O5775">
        <v>0</v>
      </c>
      <c r="P5775">
        <v>8</v>
      </c>
      <c r="Q5775" t="s">
        <v>569</v>
      </c>
      <c r="R5775" s="8" t="s">
        <v>260</v>
      </c>
      <c r="S5775" t="str">
        <f t="shared" si="809"/>
        <v>FA</v>
      </c>
    </row>
    <row r="5776" spans="1:19" x14ac:dyDescent="0.3">
      <c r="A5776" t="s">
        <v>24</v>
      </c>
      <c r="B5776">
        <v>2016310007</v>
      </c>
      <c r="C5776" t="s">
        <v>25</v>
      </c>
      <c r="E5776" t="s">
        <v>215</v>
      </c>
      <c r="F5776" t="s">
        <v>186</v>
      </c>
      <c r="G5776">
        <v>4</v>
      </c>
      <c r="H5776" t="s">
        <v>539</v>
      </c>
      <c r="I5776" s="4">
        <f t="shared" si="810"/>
        <v>0</v>
      </c>
      <c r="J5776">
        <f t="shared" si="811"/>
        <v>0</v>
      </c>
      <c r="K5776">
        <v>20</v>
      </c>
      <c r="L5776">
        <v>14</v>
      </c>
      <c r="M5776" s="2">
        <v>1.43</v>
      </c>
      <c r="N5776">
        <v>2.85</v>
      </c>
      <c r="O5776">
        <v>0</v>
      </c>
      <c r="P5776">
        <v>3</v>
      </c>
      <c r="Q5776" t="s">
        <v>563</v>
      </c>
      <c r="R5776" s="8" t="s">
        <v>260</v>
      </c>
      <c r="S5776" t="str">
        <f t="shared" si="809"/>
        <v>FA</v>
      </c>
    </row>
    <row r="5777" spans="1:19" x14ac:dyDescent="0.3">
      <c r="A5777" t="s">
        <v>24</v>
      </c>
      <c r="B5777">
        <v>2016310007</v>
      </c>
      <c r="C5777" t="s">
        <v>25</v>
      </c>
      <c r="E5777" t="s">
        <v>215</v>
      </c>
      <c r="F5777" t="s">
        <v>186</v>
      </c>
      <c r="G5777">
        <v>4</v>
      </c>
      <c r="H5777" t="s">
        <v>438</v>
      </c>
      <c r="I5777" s="4">
        <f t="shared" si="810"/>
        <v>3</v>
      </c>
      <c r="J5777">
        <f t="shared" si="811"/>
        <v>12</v>
      </c>
      <c r="K5777">
        <v>18</v>
      </c>
      <c r="L5777">
        <v>6</v>
      </c>
      <c r="M5777" s="2">
        <v>3</v>
      </c>
      <c r="N5777">
        <v>2.85</v>
      </c>
      <c r="O5777">
        <v>1</v>
      </c>
      <c r="P5777">
        <v>12</v>
      </c>
      <c r="Q5777" s="4" t="s">
        <v>577</v>
      </c>
      <c r="R5777" s="8" t="s">
        <v>260</v>
      </c>
      <c r="S5777" t="str">
        <f t="shared" si="809"/>
        <v>PA</v>
      </c>
    </row>
    <row r="5778" spans="1:19" x14ac:dyDescent="0.3">
      <c r="A5778" t="s">
        <v>24</v>
      </c>
      <c r="B5778">
        <v>2016310007</v>
      </c>
      <c r="C5778" t="s">
        <v>25</v>
      </c>
      <c r="E5778" t="s">
        <v>379</v>
      </c>
      <c r="F5778" t="s">
        <v>137</v>
      </c>
      <c r="G5778">
        <v>4</v>
      </c>
      <c r="H5778" t="s">
        <v>524</v>
      </c>
      <c r="I5778" s="4">
        <f t="shared" si="810"/>
        <v>2</v>
      </c>
      <c r="J5778">
        <f t="shared" si="811"/>
        <v>8</v>
      </c>
      <c r="K5778">
        <v>20</v>
      </c>
      <c r="L5778">
        <v>14</v>
      </c>
      <c r="M5778" s="2">
        <v>1.43</v>
      </c>
      <c r="N5778">
        <v>2.85</v>
      </c>
      <c r="O5778">
        <v>0</v>
      </c>
      <c r="P5778">
        <v>8</v>
      </c>
      <c r="Q5778" t="s">
        <v>569</v>
      </c>
      <c r="R5778" s="8" t="s">
        <v>260</v>
      </c>
      <c r="S5778" t="str">
        <f t="shared" si="809"/>
        <v>PA</v>
      </c>
    </row>
    <row r="5779" spans="1:19" x14ac:dyDescent="0.3">
      <c r="A5779" t="s">
        <v>24</v>
      </c>
      <c r="B5779">
        <v>2016310007</v>
      </c>
      <c r="C5779" t="s">
        <v>25</v>
      </c>
      <c r="E5779" t="s">
        <v>444</v>
      </c>
      <c r="F5779" t="s">
        <v>445</v>
      </c>
      <c r="G5779">
        <v>2</v>
      </c>
      <c r="H5779" t="s">
        <v>524</v>
      </c>
      <c r="I5779" s="4">
        <f t="shared" si="810"/>
        <v>2</v>
      </c>
      <c r="J5779">
        <f t="shared" si="811"/>
        <v>4</v>
      </c>
      <c r="K5779">
        <v>20</v>
      </c>
      <c r="L5779">
        <v>14</v>
      </c>
      <c r="M5779" s="2">
        <v>1.43</v>
      </c>
      <c r="N5779">
        <v>2.85</v>
      </c>
      <c r="O5779">
        <v>0</v>
      </c>
      <c r="P5779">
        <v>8</v>
      </c>
      <c r="Q5779" t="s">
        <v>569</v>
      </c>
      <c r="R5779" s="8" t="s">
        <v>260</v>
      </c>
      <c r="S5779" t="str">
        <f t="shared" si="809"/>
        <v>PA</v>
      </c>
    </row>
    <row r="5780" spans="1:19" x14ac:dyDescent="0.3">
      <c r="A5780" t="s">
        <v>24</v>
      </c>
      <c r="B5780">
        <v>2016310007</v>
      </c>
      <c r="C5780" t="s">
        <v>25</v>
      </c>
      <c r="E5780" t="s">
        <v>215</v>
      </c>
      <c r="F5780" t="s">
        <v>583</v>
      </c>
      <c r="G5780">
        <v>4</v>
      </c>
      <c r="H5780" t="s">
        <v>438</v>
      </c>
      <c r="I5780" s="4">
        <f t="shared" si="810"/>
        <v>3</v>
      </c>
      <c r="J5780">
        <f t="shared" si="811"/>
        <v>12</v>
      </c>
      <c r="K5780">
        <v>52</v>
      </c>
      <c r="L5780">
        <v>18</v>
      </c>
      <c r="M5780" s="2">
        <v>2.89</v>
      </c>
      <c r="N5780">
        <v>2.85</v>
      </c>
      <c r="O5780">
        <v>0</v>
      </c>
      <c r="P5780">
        <v>7</v>
      </c>
      <c r="Q5780" t="s">
        <v>568</v>
      </c>
      <c r="R5780" s="8" t="s">
        <v>260</v>
      </c>
      <c r="S5780" t="str">
        <f t="shared" si="809"/>
        <v>PA</v>
      </c>
    </row>
    <row r="5781" spans="1:19" x14ac:dyDescent="0.3">
      <c r="A5781" t="s">
        <v>24</v>
      </c>
      <c r="B5781">
        <v>2016310007</v>
      </c>
      <c r="C5781" t="s">
        <v>25</v>
      </c>
      <c r="E5781" t="s">
        <v>149</v>
      </c>
      <c r="F5781" t="s">
        <v>150</v>
      </c>
      <c r="G5781">
        <v>2</v>
      </c>
      <c r="H5781" t="s">
        <v>535</v>
      </c>
      <c r="I5781" s="4">
        <f t="shared" si="810"/>
        <v>1</v>
      </c>
      <c r="J5781">
        <f t="shared" si="811"/>
        <v>2</v>
      </c>
      <c r="K5781">
        <v>26</v>
      </c>
      <c r="L5781">
        <v>14</v>
      </c>
      <c r="M5781" s="2">
        <v>1.86</v>
      </c>
      <c r="N5781">
        <v>2.85</v>
      </c>
      <c r="O5781">
        <v>0</v>
      </c>
      <c r="P5781">
        <v>5</v>
      </c>
      <c r="Q5781" t="s">
        <v>566</v>
      </c>
      <c r="R5781" s="8" t="s">
        <v>260</v>
      </c>
      <c r="S5781" t="str">
        <f t="shared" si="809"/>
        <v>FA</v>
      </c>
    </row>
    <row r="5782" spans="1:19" x14ac:dyDescent="0.3">
      <c r="A5782" t="s">
        <v>24</v>
      </c>
      <c r="B5782">
        <v>2016310007</v>
      </c>
      <c r="C5782" t="s">
        <v>25</v>
      </c>
      <c r="E5782" t="s">
        <v>464</v>
      </c>
      <c r="F5782" t="s">
        <v>108</v>
      </c>
      <c r="G5782">
        <v>2</v>
      </c>
      <c r="H5782" t="s">
        <v>535</v>
      </c>
      <c r="I5782" s="4">
        <f t="shared" si="810"/>
        <v>1</v>
      </c>
      <c r="J5782">
        <f t="shared" si="811"/>
        <v>2</v>
      </c>
      <c r="K5782">
        <v>26</v>
      </c>
      <c r="L5782">
        <v>14</v>
      </c>
      <c r="M5782" s="2">
        <v>1.86</v>
      </c>
      <c r="N5782">
        <v>2.85</v>
      </c>
      <c r="O5782">
        <v>0</v>
      </c>
      <c r="P5782">
        <v>5</v>
      </c>
      <c r="Q5782" t="s">
        <v>566</v>
      </c>
      <c r="R5782" s="8" t="s">
        <v>260</v>
      </c>
      <c r="S5782" t="str">
        <f t="shared" si="809"/>
        <v>FA</v>
      </c>
    </row>
    <row r="5783" spans="1:19" x14ac:dyDescent="0.3">
      <c r="A5783" t="s">
        <v>24</v>
      </c>
      <c r="B5783">
        <v>2016310007</v>
      </c>
      <c r="C5783" t="s">
        <v>25</v>
      </c>
      <c r="E5783" t="s">
        <v>480</v>
      </c>
      <c r="F5783" t="s">
        <v>481</v>
      </c>
      <c r="G5783">
        <v>2</v>
      </c>
      <c r="H5783" t="s">
        <v>524</v>
      </c>
      <c r="I5783" s="4">
        <f t="shared" si="810"/>
        <v>2</v>
      </c>
      <c r="J5783">
        <f t="shared" si="811"/>
        <v>4</v>
      </c>
      <c r="K5783">
        <v>20</v>
      </c>
      <c r="L5783">
        <v>14</v>
      </c>
      <c r="M5783" s="2">
        <v>1.43</v>
      </c>
      <c r="N5783">
        <v>2.85</v>
      </c>
      <c r="O5783">
        <v>0</v>
      </c>
      <c r="P5783">
        <v>3</v>
      </c>
      <c r="Q5783" t="s">
        <v>563</v>
      </c>
      <c r="R5783" s="8" t="s">
        <v>260</v>
      </c>
      <c r="S5783" t="str">
        <f t="shared" si="809"/>
        <v>PA</v>
      </c>
    </row>
    <row r="5784" spans="1:19" x14ac:dyDescent="0.3">
      <c r="A5784" t="s">
        <v>24</v>
      </c>
      <c r="B5784">
        <v>2016310008</v>
      </c>
      <c r="C5784" t="s">
        <v>368</v>
      </c>
      <c r="E5784" t="s">
        <v>128</v>
      </c>
      <c r="F5784" t="s">
        <v>129</v>
      </c>
      <c r="G5784">
        <v>4</v>
      </c>
      <c r="H5784" t="s">
        <v>260</v>
      </c>
      <c r="I5784" s="4">
        <f t="shared" si="810"/>
        <v>4</v>
      </c>
      <c r="J5784">
        <f t="shared" si="811"/>
        <v>16</v>
      </c>
      <c r="K5784">
        <v>66</v>
      </c>
      <c r="L5784">
        <v>20</v>
      </c>
      <c r="M5784" s="2">
        <v>3.3</v>
      </c>
      <c r="N5784">
        <v>3.08</v>
      </c>
      <c r="O5784">
        <v>0</v>
      </c>
      <c r="P5784">
        <v>1</v>
      </c>
      <c r="Q5784" t="s">
        <v>558</v>
      </c>
      <c r="R5784" s="8" t="s">
        <v>260</v>
      </c>
      <c r="S5784" t="str">
        <f t="shared" si="809"/>
        <v>PA</v>
      </c>
    </row>
    <row r="5785" spans="1:19" x14ac:dyDescent="0.3">
      <c r="A5785" t="s">
        <v>24</v>
      </c>
      <c r="B5785">
        <v>2016310008</v>
      </c>
      <c r="C5785" t="s">
        <v>368</v>
      </c>
      <c r="E5785" t="s">
        <v>195</v>
      </c>
      <c r="F5785" t="s">
        <v>196</v>
      </c>
      <c r="G5785">
        <v>4</v>
      </c>
      <c r="H5785" t="s">
        <v>260</v>
      </c>
      <c r="I5785" s="4">
        <f t="shared" si="810"/>
        <v>4</v>
      </c>
      <c r="J5785">
        <f t="shared" si="811"/>
        <v>16</v>
      </c>
      <c r="K5785">
        <v>70</v>
      </c>
      <c r="L5785">
        <v>20</v>
      </c>
      <c r="M5785" s="2">
        <v>3.5</v>
      </c>
      <c r="N5785">
        <v>3.08</v>
      </c>
      <c r="O5785">
        <v>0</v>
      </c>
      <c r="P5785">
        <v>2</v>
      </c>
      <c r="Q5785" t="s">
        <v>559</v>
      </c>
      <c r="R5785" s="8" t="s">
        <v>260</v>
      </c>
      <c r="S5785" t="str">
        <f t="shared" ref="S5785:S5848" si="812">IF(OR(H5785="A",H5785="B",H5785="C"),"PA","FA")</f>
        <v>PA</v>
      </c>
    </row>
    <row r="5786" spans="1:19" x14ac:dyDescent="0.3">
      <c r="A5786" t="s">
        <v>24</v>
      </c>
      <c r="B5786">
        <v>2016310008</v>
      </c>
      <c r="C5786" t="s">
        <v>368</v>
      </c>
      <c r="E5786" t="s">
        <v>397</v>
      </c>
      <c r="F5786" t="s">
        <v>398</v>
      </c>
      <c r="G5786">
        <v>4</v>
      </c>
      <c r="H5786" t="s">
        <v>260</v>
      </c>
      <c r="I5786" s="4">
        <f t="shared" ref="I5786:I5849" si="813">IF(H5786="A",4,IF(H5786="B",3,IF(H5786="C",2,IF(H5786="D",1,0))))</f>
        <v>4</v>
      </c>
      <c r="J5786">
        <f t="shared" ref="J5786:J5849" si="814">G5786*I5786</f>
        <v>16</v>
      </c>
      <c r="K5786">
        <v>84</v>
      </c>
      <c r="L5786">
        <v>26</v>
      </c>
      <c r="M5786">
        <v>3.23</v>
      </c>
      <c r="N5786">
        <v>3.08</v>
      </c>
      <c r="O5786">
        <v>0</v>
      </c>
      <c r="P5786">
        <v>3</v>
      </c>
      <c r="Q5786" t="s">
        <v>563</v>
      </c>
      <c r="R5786" s="8" t="s">
        <v>260</v>
      </c>
      <c r="S5786" t="str">
        <f t="shared" si="812"/>
        <v>PA</v>
      </c>
    </row>
    <row r="5787" spans="1:19" x14ac:dyDescent="0.3">
      <c r="A5787" t="s">
        <v>24</v>
      </c>
      <c r="B5787">
        <v>2016310008</v>
      </c>
      <c r="C5787" t="s">
        <v>368</v>
      </c>
      <c r="E5787" t="s">
        <v>145</v>
      </c>
      <c r="F5787" t="s">
        <v>146</v>
      </c>
      <c r="G5787">
        <v>2</v>
      </c>
      <c r="H5787" t="s">
        <v>260</v>
      </c>
      <c r="I5787" s="4">
        <f t="shared" si="813"/>
        <v>4</v>
      </c>
      <c r="J5787">
        <f t="shared" si="814"/>
        <v>8</v>
      </c>
      <c r="K5787">
        <v>66</v>
      </c>
      <c r="L5787">
        <v>20</v>
      </c>
      <c r="M5787" s="2">
        <v>3.3</v>
      </c>
      <c r="N5787">
        <v>3.08</v>
      </c>
      <c r="O5787">
        <v>0</v>
      </c>
      <c r="P5787">
        <v>1</v>
      </c>
      <c r="Q5787" t="s">
        <v>558</v>
      </c>
      <c r="R5787" s="8" t="s">
        <v>260</v>
      </c>
      <c r="S5787" t="str">
        <f t="shared" si="812"/>
        <v>PA</v>
      </c>
    </row>
    <row r="5788" spans="1:19" x14ac:dyDescent="0.3">
      <c r="A5788" t="s">
        <v>24</v>
      </c>
      <c r="B5788">
        <v>2016310008</v>
      </c>
      <c r="C5788" t="s">
        <v>368</v>
      </c>
      <c r="E5788" t="s">
        <v>399</v>
      </c>
      <c r="F5788" t="s">
        <v>400</v>
      </c>
      <c r="G5788">
        <v>4</v>
      </c>
      <c r="H5788" t="s">
        <v>260</v>
      </c>
      <c r="I5788" s="4">
        <f t="shared" si="813"/>
        <v>4</v>
      </c>
      <c r="J5788">
        <f t="shared" si="814"/>
        <v>16</v>
      </c>
      <c r="K5788">
        <v>62</v>
      </c>
      <c r="L5788">
        <v>20</v>
      </c>
      <c r="M5788" s="2">
        <v>3.1</v>
      </c>
      <c r="N5788">
        <v>3.08</v>
      </c>
      <c r="O5788">
        <v>0</v>
      </c>
      <c r="P5788">
        <v>5</v>
      </c>
      <c r="Q5788" t="s">
        <v>566</v>
      </c>
      <c r="R5788" s="8" t="s">
        <v>260</v>
      </c>
      <c r="S5788" t="str">
        <f t="shared" si="812"/>
        <v>PA</v>
      </c>
    </row>
    <row r="5789" spans="1:19" x14ac:dyDescent="0.3">
      <c r="A5789" t="s">
        <v>24</v>
      </c>
      <c r="B5789">
        <v>2016310008</v>
      </c>
      <c r="C5789" t="s">
        <v>368</v>
      </c>
      <c r="E5789" t="s">
        <v>252</v>
      </c>
      <c r="F5789" t="s">
        <v>78</v>
      </c>
      <c r="G5789">
        <v>2</v>
      </c>
      <c r="H5789" t="s">
        <v>260</v>
      </c>
      <c r="I5789" s="4">
        <f t="shared" si="813"/>
        <v>4</v>
      </c>
      <c r="J5789">
        <f t="shared" si="814"/>
        <v>8</v>
      </c>
      <c r="K5789">
        <v>84</v>
      </c>
      <c r="L5789">
        <v>26</v>
      </c>
      <c r="M5789">
        <v>3.23</v>
      </c>
      <c r="N5789">
        <v>3.08</v>
      </c>
      <c r="O5789">
        <v>0</v>
      </c>
      <c r="P5789">
        <v>3</v>
      </c>
      <c r="Q5789" t="s">
        <v>563</v>
      </c>
      <c r="R5789" s="8" t="s">
        <v>260</v>
      </c>
      <c r="S5789" t="str">
        <f t="shared" si="812"/>
        <v>PA</v>
      </c>
    </row>
    <row r="5790" spans="1:19" x14ac:dyDescent="0.3">
      <c r="A5790" t="s">
        <v>24</v>
      </c>
      <c r="B5790">
        <v>2016310008</v>
      </c>
      <c r="C5790" t="s">
        <v>368</v>
      </c>
      <c r="E5790" t="s">
        <v>351</v>
      </c>
      <c r="F5790" t="s">
        <v>243</v>
      </c>
      <c r="G5790">
        <v>2</v>
      </c>
      <c r="H5790" t="s">
        <v>260</v>
      </c>
      <c r="I5790" s="4">
        <f t="shared" si="813"/>
        <v>4</v>
      </c>
      <c r="J5790">
        <f t="shared" si="814"/>
        <v>8</v>
      </c>
      <c r="K5790">
        <v>84</v>
      </c>
      <c r="L5790">
        <v>26</v>
      </c>
      <c r="M5790">
        <v>3.23</v>
      </c>
      <c r="N5790">
        <v>3.08</v>
      </c>
      <c r="O5790">
        <v>0</v>
      </c>
      <c r="P5790">
        <v>3</v>
      </c>
      <c r="Q5790" t="s">
        <v>563</v>
      </c>
      <c r="R5790" s="8" t="s">
        <v>260</v>
      </c>
      <c r="S5790" t="str">
        <f t="shared" si="812"/>
        <v>PA</v>
      </c>
    </row>
    <row r="5791" spans="1:19" x14ac:dyDescent="0.3">
      <c r="A5791" t="s">
        <v>24</v>
      </c>
      <c r="B5791">
        <v>2016310008</v>
      </c>
      <c r="C5791" t="s">
        <v>368</v>
      </c>
      <c r="E5791" t="s">
        <v>377</v>
      </c>
      <c r="F5791" t="s">
        <v>378</v>
      </c>
      <c r="G5791">
        <v>2</v>
      </c>
      <c r="H5791" t="s">
        <v>260</v>
      </c>
      <c r="I5791" s="4">
        <f t="shared" si="813"/>
        <v>4</v>
      </c>
      <c r="J5791">
        <f t="shared" si="814"/>
        <v>8</v>
      </c>
      <c r="K5791">
        <v>70</v>
      </c>
      <c r="L5791">
        <v>20</v>
      </c>
      <c r="M5791" s="2">
        <v>3.5</v>
      </c>
      <c r="N5791">
        <v>3.08</v>
      </c>
      <c r="O5791">
        <v>0</v>
      </c>
      <c r="P5791">
        <v>2</v>
      </c>
      <c r="Q5791" t="s">
        <v>559</v>
      </c>
      <c r="R5791" s="8" t="s">
        <v>260</v>
      </c>
      <c r="S5791" t="str">
        <f t="shared" si="812"/>
        <v>PA</v>
      </c>
    </row>
    <row r="5792" spans="1:19" x14ac:dyDescent="0.3">
      <c r="A5792" t="s">
        <v>24</v>
      </c>
      <c r="B5792">
        <v>2016310008</v>
      </c>
      <c r="C5792" t="s">
        <v>368</v>
      </c>
      <c r="E5792" t="s">
        <v>417</v>
      </c>
      <c r="F5792" t="s">
        <v>418</v>
      </c>
      <c r="G5792">
        <v>4</v>
      </c>
      <c r="H5792" t="s">
        <v>260</v>
      </c>
      <c r="I5792" s="4">
        <f t="shared" si="813"/>
        <v>4</v>
      </c>
      <c r="J5792">
        <f t="shared" si="814"/>
        <v>16</v>
      </c>
      <c r="K5792">
        <v>66</v>
      </c>
      <c r="L5792">
        <v>22</v>
      </c>
      <c r="M5792" s="2">
        <v>3</v>
      </c>
      <c r="N5792">
        <v>3.08</v>
      </c>
      <c r="O5792">
        <v>0</v>
      </c>
      <c r="P5792">
        <v>4</v>
      </c>
      <c r="Q5792" t="s">
        <v>565</v>
      </c>
      <c r="R5792" s="8" t="s">
        <v>260</v>
      </c>
      <c r="S5792" t="str">
        <f t="shared" si="812"/>
        <v>PA</v>
      </c>
    </row>
    <row r="5793" spans="1:19" x14ac:dyDescent="0.3">
      <c r="A5793" t="s">
        <v>24</v>
      </c>
      <c r="B5793">
        <v>2016310008</v>
      </c>
      <c r="C5793" t="s">
        <v>368</v>
      </c>
      <c r="E5793" t="s">
        <v>389</v>
      </c>
      <c r="F5793" t="s">
        <v>390</v>
      </c>
      <c r="G5793">
        <v>2</v>
      </c>
      <c r="H5793" t="s">
        <v>260</v>
      </c>
      <c r="I5793" s="4">
        <f t="shared" si="813"/>
        <v>4</v>
      </c>
      <c r="J5793">
        <f t="shared" si="814"/>
        <v>8</v>
      </c>
      <c r="K5793">
        <v>70</v>
      </c>
      <c r="L5793">
        <v>20</v>
      </c>
      <c r="M5793" s="2">
        <v>3.5</v>
      </c>
      <c r="N5793">
        <v>3.08</v>
      </c>
      <c r="O5793">
        <v>0</v>
      </c>
      <c r="P5793">
        <v>2</v>
      </c>
      <c r="Q5793" t="s">
        <v>559</v>
      </c>
      <c r="R5793" s="8" t="s">
        <v>260</v>
      </c>
      <c r="S5793" t="str">
        <f t="shared" si="812"/>
        <v>PA</v>
      </c>
    </row>
    <row r="5794" spans="1:19" x14ac:dyDescent="0.3">
      <c r="A5794" t="s">
        <v>24</v>
      </c>
      <c r="B5794">
        <v>2016310008</v>
      </c>
      <c r="C5794" t="s">
        <v>368</v>
      </c>
      <c r="E5794" t="s">
        <v>128</v>
      </c>
      <c r="F5794" t="s">
        <v>129</v>
      </c>
      <c r="G5794">
        <v>4</v>
      </c>
      <c r="H5794" t="s">
        <v>260</v>
      </c>
      <c r="I5794" s="4">
        <f t="shared" si="813"/>
        <v>4</v>
      </c>
      <c r="J5794">
        <f t="shared" si="814"/>
        <v>16</v>
      </c>
      <c r="K5794">
        <v>70</v>
      </c>
      <c r="L5794">
        <v>20</v>
      </c>
      <c r="M5794" s="2">
        <v>3.5</v>
      </c>
      <c r="N5794">
        <v>3.08</v>
      </c>
      <c r="O5794">
        <v>0</v>
      </c>
      <c r="P5794">
        <v>2</v>
      </c>
      <c r="Q5794" t="s">
        <v>559</v>
      </c>
      <c r="R5794" s="8" t="s">
        <v>260</v>
      </c>
      <c r="S5794" t="str">
        <f t="shared" si="812"/>
        <v>PA</v>
      </c>
    </row>
    <row r="5795" spans="1:19" x14ac:dyDescent="0.3">
      <c r="A5795" t="s">
        <v>24</v>
      </c>
      <c r="B5795">
        <v>2016310008</v>
      </c>
      <c r="C5795" t="s">
        <v>368</v>
      </c>
      <c r="E5795" t="s">
        <v>380</v>
      </c>
      <c r="F5795" t="s">
        <v>381</v>
      </c>
      <c r="G5795">
        <v>2</v>
      </c>
      <c r="H5795" t="s">
        <v>260</v>
      </c>
      <c r="I5795" s="4">
        <f t="shared" si="813"/>
        <v>4</v>
      </c>
      <c r="J5795">
        <f t="shared" si="814"/>
        <v>8</v>
      </c>
      <c r="K5795">
        <v>84</v>
      </c>
      <c r="L5795">
        <v>26</v>
      </c>
      <c r="M5795">
        <v>3.23</v>
      </c>
      <c r="N5795">
        <v>3.08</v>
      </c>
      <c r="O5795">
        <v>0</v>
      </c>
      <c r="P5795">
        <v>3</v>
      </c>
      <c r="Q5795" t="s">
        <v>563</v>
      </c>
      <c r="R5795" s="8" t="s">
        <v>260</v>
      </c>
      <c r="S5795" t="str">
        <f t="shared" si="812"/>
        <v>PA</v>
      </c>
    </row>
    <row r="5796" spans="1:19" x14ac:dyDescent="0.3">
      <c r="A5796" t="s">
        <v>24</v>
      </c>
      <c r="B5796">
        <v>2016310008</v>
      </c>
      <c r="C5796" t="s">
        <v>368</v>
      </c>
      <c r="E5796" t="s">
        <v>168</v>
      </c>
      <c r="F5796" t="s">
        <v>169</v>
      </c>
      <c r="G5796">
        <v>4</v>
      </c>
      <c r="H5796" t="s">
        <v>438</v>
      </c>
      <c r="I5796" s="4">
        <f t="shared" si="813"/>
        <v>3</v>
      </c>
      <c r="J5796">
        <f t="shared" si="814"/>
        <v>12</v>
      </c>
      <c r="K5796">
        <v>66</v>
      </c>
      <c r="L5796">
        <v>20</v>
      </c>
      <c r="M5796" s="2">
        <v>3.3</v>
      </c>
      <c r="N5796">
        <v>3.08</v>
      </c>
      <c r="O5796">
        <v>0</v>
      </c>
      <c r="P5796">
        <v>1</v>
      </c>
      <c r="Q5796" t="s">
        <v>558</v>
      </c>
      <c r="R5796" s="8" t="s">
        <v>260</v>
      </c>
      <c r="S5796" t="str">
        <f t="shared" si="812"/>
        <v>PA</v>
      </c>
    </row>
    <row r="5797" spans="1:19" x14ac:dyDescent="0.3">
      <c r="A5797" t="s">
        <v>24</v>
      </c>
      <c r="B5797">
        <v>2016310008</v>
      </c>
      <c r="C5797" t="s">
        <v>368</v>
      </c>
      <c r="E5797" t="s">
        <v>365</v>
      </c>
      <c r="F5797" t="s">
        <v>366</v>
      </c>
      <c r="G5797">
        <v>2</v>
      </c>
      <c r="H5797" t="s">
        <v>438</v>
      </c>
      <c r="I5797" s="4">
        <f t="shared" si="813"/>
        <v>3</v>
      </c>
      <c r="J5797">
        <f t="shared" si="814"/>
        <v>6</v>
      </c>
      <c r="K5797">
        <v>62</v>
      </c>
      <c r="L5797">
        <v>20</v>
      </c>
      <c r="M5797" s="2">
        <v>3.1</v>
      </c>
      <c r="N5797">
        <v>3.08</v>
      </c>
      <c r="O5797">
        <v>0</v>
      </c>
      <c r="P5797">
        <v>5</v>
      </c>
      <c r="Q5797" t="s">
        <v>566</v>
      </c>
      <c r="R5797" s="8" t="s">
        <v>260</v>
      </c>
      <c r="S5797" t="str">
        <f t="shared" si="812"/>
        <v>PA</v>
      </c>
    </row>
    <row r="5798" spans="1:19" x14ac:dyDescent="0.3">
      <c r="A5798" t="s">
        <v>24</v>
      </c>
      <c r="B5798">
        <v>2016310008</v>
      </c>
      <c r="C5798" t="s">
        <v>368</v>
      </c>
      <c r="E5798" t="s">
        <v>215</v>
      </c>
      <c r="F5798" t="s">
        <v>186</v>
      </c>
      <c r="G5798">
        <v>4</v>
      </c>
      <c r="H5798" t="s">
        <v>438</v>
      </c>
      <c r="I5798" s="4">
        <f t="shared" si="813"/>
        <v>3</v>
      </c>
      <c r="J5798">
        <f t="shared" si="814"/>
        <v>12</v>
      </c>
      <c r="K5798">
        <v>84</v>
      </c>
      <c r="L5798">
        <v>26</v>
      </c>
      <c r="M5798">
        <v>3.23</v>
      </c>
      <c r="N5798">
        <v>3.08</v>
      </c>
      <c r="O5798">
        <v>0</v>
      </c>
      <c r="P5798">
        <v>3</v>
      </c>
      <c r="Q5798" t="s">
        <v>563</v>
      </c>
      <c r="R5798" s="8" t="s">
        <v>260</v>
      </c>
      <c r="S5798" t="str">
        <f t="shared" si="812"/>
        <v>PA</v>
      </c>
    </row>
    <row r="5799" spans="1:19" x14ac:dyDescent="0.3">
      <c r="A5799" t="s">
        <v>24</v>
      </c>
      <c r="B5799">
        <v>2016310008</v>
      </c>
      <c r="C5799" t="s">
        <v>368</v>
      </c>
      <c r="E5799" t="s">
        <v>462</v>
      </c>
      <c r="F5799" t="s">
        <v>291</v>
      </c>
      <c r="G5799">
        <v>2</v>
      </c>
      <c r="H5799" t="s">
        <v>438</v>
      </c>
      <c r="I5799" s="4">
        <f t="shared" si="813"/>
        <v>3</v>
      </c>
      <c r="J5799">
        <f t="shared" si="814"/>
        <v>6</v>
      </c>
      <c r="K5799">
        <v>70</v>
      </c>
      <c r="L5799">
        <v>20</v>
      </c>
      <c r="M5799" s="2">
        <v>3.5</v>
      </c>
      <c r="N5799">
        <v>3.08</v>
      </c>
      <c r="O5799">
        <v>0</v>
      </c>
      <c r="P5799">
        <v>2</v>
      </c>
      <c r="Q5799" t="s">
        <v>559</v>
      </c>
      <c r="R5799" s="8" t="s">
        <v>260</v>
      </c>
      <c r="S5799" t="str">
        <f t="shared" si="812"/>
        <v>PA</v>
      </c>
    </row>
    <row r="5800" spans="1:19" x14ac:dyDescent="0.3">
      <c r="A5800" t="s">
        <v>24</v>
      </c>
      <c r="B5800">
        <v>2016310008</v>
      </c>
      <c r="C5800" t="s">
        <v>368</v>
      </c>
      <c r="E5800" t="s">
        <v>458</v>
      </c>
      <c r="F5800" t="s">
        <v>459</v>
      </c>
      <c r="G5800">
        <v>2</v>
      </c>
      <c r="H5800" t="s">
        <v>438</v>
      </c>
      <c r="I5800" s="4">
        <f t="shared" si="813"/>
        <v>3</v>
      </c>
      <c r="J5800">
        <f t="shared" si="814"/>
        <v>6</v>
      </c>
      <c r="K5800">
        <v>54</v>
      </c>
      <c r="L5800">
        <v>18</v>
      </c>
      <c r="M5800" s="2">
        <v>3</v>
      </c>
      <c r="N5800">
        <v>3.08</v>
      </c>
      <c r="O5800">
        <v>0</v>
      </c>
      <c r="P5800">
        <v>6</v>
      </c>
      <c r="Q5800" t="s">
        <v>567</v>
      </c>
      <c r="R5800" s="8" t="s">
        <v>260</v>
      </c>
      <c r="S5800" t="str">
        <f t="shared" si="812"/>
        <v>PA</v>
      </c>
    </row>
    <row r="5801" spans="1:19" x14ac:dyDescent="0.3">
      <c r="A5801" t="s">
        <v>24</v>
      </c>
      <c r="B5801">
        <v>2016310008</v>
      </c>
      <c r="C5801" t="s">
        <v>368</v>
      </c>
      <c r="E5801" t="s">
        <v>379</v>
      </c>
      <c r="F5801" t="s">
        <v>137</v>
      </c>
      <c r="G5801">
        <v>4</v>
      </c>
      <c r="H5801" t="s">
        <v>438</v>
      </c>
      <c r="I5801" s="4">
        <f t="shared" si="813"/>
        <v>3</v>
      </c>
      <c r="J5801">
        <f t="shared" si="814"/>
        <v>12</v>
      </c>
      <c r="K5801">
        <v>66</v>
      </c>
      <c r="L5801">
        <v>22</v>
      </c>
      <c r="M5801" s="2">
        <v>3</v>
      </c>
      <c r="N5801">
        <v>3.08</v>
      </c>
      <c r="O5801">
        <v>0</v>
      </c>
      <c r="P5801">
        <v>4</v>
      </c>
      <c r="Q5801" t="s">
        <v>565</v>
      </c>
      <c r="R5801" s="8" t="s">
        <v>260</v>
      </c>
      <c r="S5801" t="str">
        <f t="shared" si="812"/>
        <v>PA</v>
      </c>
    </row>
    <row r="5802" spans="1:19" x14ac:dyDescent="0.3">
      <c r="A5802" t="s">
        <v>24</v>
      </c>
      <c r="B5802">
        <v>2016310008</v>
      </c>
      <c r="C5802" t="s">
        <v>368</v>
      </c>
      <c r="E5802" t="s">
        <v>456</v>
      </c>
      <c r="F5802" t="s">
        <v>457</v>
      </c>
      <c r="G5802">
        <v>2</v>
      </c>
      <c r="H5802" t="s">
        <v>438</v>
      </c>
      <c r="I5802" s="4">
        <f t="shared" si="813"/>
        <v>3</v>
      </c>
      <c r="J5802">
        <f t="shared" si="814"/>
        <v>6</v>
      </c>
      <c r="K5802">
        <v>70</v>
      </c>
      <c r="L5802">
        <v>20</v>
      </c>
      <c r="M5802" s="2">
        <v>3.5</v>
      </c>
      <c r="N5802">
        <v>3.08</v>
      </c>
      <c r="O5802">
        <v>0</v>
      </c>
      <c r="P5802">
        <v>2</v>
      </c>
      <c r="Q5802" t="s">
        <v>559</v>
      </c>
      <c r="R5802" s="8" t="s">
        <v>260</v>
      </c>
      <c r="S5802" t="str">
        <f t="shared" si="812"/>
        <v>PA</v>
      </c>
    </row>
    <row r="5803" spans="1:19" x14ac:dyDescent="0.3">
      <c r="A5803" t="s">
        <v>24</v>
      </c>
      <c r="B5803">
        <v>2016310008</v>
      </c>
      <c r="C5803" t="s">
        <v>368</v>
      </c>
      <c r="E5803" t="s">
        <v>430</v>
      </c>
      <c r="F5803" t="s">
        <v>431</v>
      </c>
      <c r="G5803">
        <v>2</v>
      </c>
      <c r="H5803" t="s">
        <v>438</v>
      </c>
      <c r="I5803" s="4">
        <f t="shared" si="813"/>
        <v>3</v>
      </c>
      <c r="J5803">
        <f t="shared" si="814"/>
        <v>6</v>
      </c>
      <c r="K5803">
        <v>54</v>
      </c>
      <c r="L5803">
        <v>18</v>
      </c>
      <c r="M5803" s="2">
        <v>3</v>
      </c>
      <c r="N5803">
        <v>3.08</v>
      </c>
      <c r="O5803">
        <v>0</v>
      </c>
      <c r="P5803">
        <v>6</v>
      </c>
      <c r="Q5803" t="s">
        <v>567</v>
      </c>
      <c r="R5803" s="8" t="s">
        <v>260</v>
      </c>
      <c r="S5803" t="str">
        <f t="shared" si="812"/>
        <v>PA</v>
      </c>
    </row>
    <row r="5804" spans="1:19" x14ac:dyDescent="0.3">
      <c r="A5804" t="s">
        <v>24</v>
      </c>
      <c r="B5804">
        <v>2016310008</v>
      </c>
      <c r="C5804" t="s">
        <v>368</v>
      </c>
      <c r="E5804" t="s">
        <v>484</v>
      </c>
      <c r="F5804" t="s">
        <v>485</v>
      </c>
      <c r="G5804">
        <v>2</v>
      </c>
      <c r="H5804" t="s">
        <v>438</v>
      </c>
      <c r="I5804" s="4">
        <f t="shared" si="813"/>
        <v>3</v>
      </c>
      <c r="J5804">
        <f t="shared" si="814"/>
        <v>6</v>
      </c>
      <c r="K5804">
        <v>54</v>
      </c>
      <c r="L5804">
        <v>18</v>
      </c>
      <c r="M5804" s="2">
        <v>3</v>
      </c>
      <c r="N5804">
        <v>3.08</v>
      </c>
      <c r="O5804">
        <v>0</v>
      </c>
      <c r="P5804">
        <v>6</v>
      </c>
      <c r="Q5804" t="s">
        <v>567</v>
      </c>
      <c r="R5804" s="8" t="s">
        <v>260</v>
      </c>
      <c r="S5804" t="str">
        <f t="shared" si="812"/>
        <v>PA</v>
      </c>
    </row>
    <row r="5805" spans="1:19" x14ac:dyDescent="0.3">
      <c r="A5805" t="s">
        <v>24</v>
      </c>
      <c r="B5805">
        <v>2016310008</v>
      </c>
      <c r="C5805" t="s">
        <v>368</v>
      </c>
      <c r="E5805" t="s">
        <v>405</v>
      </c>
      <c r="F5805" t="s">
        <v>406</v>
      </c>
      <c r="G5805">
        <v>2</v>
      </c>
      <c r="H5805" t="s">
        <v>438</v>
      </c>
      <c r="I5805" s="4">
        <f t="shared" si="813"/>
        <v>3</v>
      </c>
      <c r="J5805">
        <f t="shared" si="814"/>
        <v>6</v>
      </c>
      <c r="K5805">
        <v>66</v>
      </c>
      <c r="L5805">
        <v>22</v>
      </c>
      <c r="M5805" s="2">
        <v>3</v>
      </c>
      <c r="N5805">
        <v>3.08</v>
      </c>
      <c r="O5805">
        <v>0</v>
      </c>
      <c r="P5805">
        <v>4</v>
      </c>
      <c r="Q5805" t="s">
        <v>565</v>
      </c>
      <c r="R5805" s="8" t="s">
        <v>260</v>
      </c>
      <c r="S5805" t="str">
        <f t="shared" si="812"/>
        <v>PA</v>
      </c>
    </row>
    <row r="5806" spans="1:19" x14ac:dyDescent="0.3">
      <c r="A5806" t="s">
        <v>24</v>
      </c>
      <c r="B5806">
        <v>2016310008</v>
      </c>
      <c r="C5806" t="s">
        <v>368</v>
      </c>
      <c r="E5806" t="s">
        <v>154</v>
      </c>
      <c r="F5806" t="s">
        <v>155</v>
      </c>
      <c r="G5806">
        <v>4</v>
      </c>
      <c r="H5806" t="s">
        <v>438</v>
      </c>
      <c r="I5806" s="4">
        <f t="shared" si="813"/>
        <v>3</v>
      </c>
      <c r="J5806">
        <f t="shared" si="814"/>
        <v>12</v>
      </c>
      <c r="K5806">
        <v>62</v>
      </c>
      <c r="L5806">
        <v>20</v>
      </c>
      <c r="M5806" s="2">
        <v>3.1</v>
      </c>
      <c r="N5806">
        <v>3.08</v>
      </c>
      <c r="O5806">
        <v>0</v>
      </c>
      <c r="P5806">
        <v>5</v>
      </c>
      <c r="Q5806" t="s">
        <v>566</v>
      </c>
      <c r="R5806" s="8" t="s">
        <v>260</v>
      </c>
      <c r="S5806" t="str">
        <f t="shared" si="812"/>
        <v>PA</v>
      </c>
    </row>
    <row r="5807" spans="1:19" x14ac:dyDescent="0.3">
      <c r="A5807" t="s">
        <v>24</v>
      </c>
      <c r="B5807">
        <v>2016310008</v>
      </c>
      <c r="C5807" t="s">
        <v>368</v>
      </c>
      <c r="E5807" t="s">
        <v>469</v>
      </c>
      <c r="F5807" t="s">
        <v>470</v>
      </c>
      <c r="G5807">
        <v>2</v>
      </c>
      <c r="H5807" t="s">
        <v>438</v>
      </c>
      <c r="I5807" s="4">
        <f t="shared" si="813"/>
        <v>3</v>
      </c>
      <c r="J5807">
        <f t="shared" si="814"/>
        <v>6</v>
      </c>
      <c r="K5807">
        <v>50</v>
      </c>
      <c r="L5807">
        <v>18</v>
      </c>
      <c r="M5807" s="2">
        <v>2.78</v>
      </c>
      <c r="N5807">
        <v>3.08</v>
      </c>
      <c r="O5807">
        <v>0</v>
      </c>
      <c r="P5807">
        <v>7</v>
      </c>
      <c r="Q5807" t="s">
        <v>568</v>
      </c>
      <c r="R5807" s="8" t="s">
        <v>260</v>
      </c>
      <c r="S5807" t="str">
        <f t="shared" si="812"/>
        <v>PA</v>
      </c>
    </row>
    <row r="5808" spans="1:19" x14ac:dyDescent="0.3">
      <c r="A5808" t="s">
        <v>24</v>
      </c>
      <c r="B5808">
        <v>2016310008</v>
      </c>
      <c r="C5808" t="s">
        <v>368</v>
      </c>
      <c r="E5808" t="s">
        <v>131</v>
      </c>
      <c r="F5808" t="s">
        <v>132</v>
      </c>
      <c r="G5808">
        <v>2</v>
      </c>
      <c r="H5808" t="s">
        <v>438</v>
      </c>
      <c r="I5808" s="4">
        <f t="shared" si="813"/>
        <v>3</v>
      </c>
      <c r="J5808">
        <f t="shared" si="814"/>
        <v>6</v>
      </c>
      <c r="K5808">
        <v>66</v>
      </c>
      <c r="L5808">
        <v>20</v>
      </c>
      <c r="M5808" s="2">
        <v>3.3</v>
      </c>
      <c r="N5808">
        <v>3.08</v>
      </c>
      <c r="O5808">
        <v>0</v>
      </c>
      <c r="P5808">
        <v>1</v>
      </c>
      <c r="Q5808" t="s">
        <v>558</v>
      </c>
      <c r="R5808" s="8" t="s">
        <v>260</v>
      </c>
      <c r="S5808" t="str">
        <f t="shared" si="812"/>
        <v>PA</v>
      </c>
    </row>
    <row r="5809" spans="1:19" x14ac:dyDescent="0.3">
      <c r="A5809" t="s">
        <v>24</v>
      </c>
      <c r="B5809">
        <v>2016310008</v>
      </c>
      <c r="C5809" t="s">
        <v>368</v>
      </c>
      <c r="E5809" t="s">
        <v>384</v>
      </c>
      <c r="F5809" t="s">
        <v>385</v>
      </c>
      <c r="G5809">
        <v>2</v>
      </c>
      <c r="H5809" t="s">
        <v>438</v>
      </c>
      <c r="I5809" s="4">
        <f t="shared" si="813"/>
        <v>3</v>
      </c>
      <c r="J5809">
        <f t="shared" si="814"/>
        <v>6</v>
      </c>
      <c r="K5809">
        <v>62</v>
      </c>
      <c r="L5809">
        <v>20</v>
      </c>
      <c r="M5809" s="2">
        <v>3.1</v>
      </c>
      <c r="N5809">
        <v>3.08</v>
      </c>
      <c r="O5809">
        <v>0</v>
      </c>
      <c r="P5809">
        <v>5</v>
      </c>
      <c r="Q5809" t="s">
        <v>566</v>
      </c>
      <c r="R5809" s="8" t="s">
        <v>260</v>
      </c>
      <c r="S5809" t="str">
        <f t="shared" si="812"/>
        <v>PA</v>
      </c>
    </row>
    <row r="5810" spans="1:19" x14ac:dyDescent="0.3">
      <c r="A5810" t="s">
        <v>24</v>
      </c>
      <c r="B5810">
        <v>2016310008</v>
      </c>
      <c r="C5810" t="s">
        <v>368</v>
      </c>
      <c r="E5810" t="s">
        <v>480</v>
      </c>
      <c r="F5810" t="s">
        <v>481</v>
      </c>
      <c r="G5810">
        <v>2</v>
      </c>
      <c r="H5810" t="s">
        <v>438</v>
      </c>
      <c r="I5810" s="4">
        <f t="shared" si="813"/>
        <v>3</v>
      </c>
      <c r="J5810">
        <f t="shared" si="814"/>
        <v>6</v>
      </c>
      <c r="K5810">
        <v>84</v>
      </c>
      <c r="L5810">
        <v>26</v>
      </c>
      <c r="M5810">
        <v>3.23</v>
      </c>
      <c r="N5810">
        <v>3.08</v>
      </c>
      <c r="O5810">
        <v>0</v>
      </c>
      <c r="P5810">
        <v>3</v>
      </c>
      <c r="Q5810" t="s">
        <v>563</v>
      </c>
      <c r="R5810" s="8" t="s">
        <v>260</v>
      </c>
      <c r="S5810" t="str">
        <f t="shared" si="812"/>
        <v>PA</v>
      </c>
    </row>
    <row r="5811" spans="1:19" x14ac:dyDescent="0.3">
      <c r="A5811" t="s">
        <v>24</v>
      </c>
      <c r="B5811">
        <v>2016310008</v>
      </c>
      <c r="C5811" t="s">
        <v>368</v>
      </c>
      <c r="E5811" t="s">
        <v>482</v>
      </c>
      <c r="F5811" t="s">
        <v>483</v>
      </c>
      <c r="G5811">
        <v>2</v>
      </c>
      <c r="H5811" t="s">
        <v>438</v>
      </c>
      <c r="I5811" s="4">
        <f t="shared" si="813"/>
        <v>3</v>
      </c>
      <c r="J5811">
        <f t="shared" si="814"/>
        <v>6</v>
      </c>
      <c r="K5811">
        <v>50</v>
      </c>
      <c r="L5811">
        <v>18</v>
      </c>
      <c r="M5811" s="2">
        <v>2.78</v>
      </c>
      <c r="N5811">
        <v>3.08</v>
      </c>
      <c r="O5811">
        <v>0</v>
      </c>
      <c r="P5811">
        <v>7</v>
      </c>
      <c r="Q5811" t="s">
        <v>568</v>
      </c>
      <c r="R5811" s="8" t="s">
        <v>260</v>
      </c>
      <c r="S5811" t="str">
        <f t="shared" si="812"/>
        <v>PA</v>
      </c>
    </row>
    <row r="5812" spans="1:19" x14ac:dyDescent="0.3">
      <c r="A5812" t="s">
        <v>24</v>
      </c>
      <c r="B5812">
        <v>2016310008</v>
      </c>
      <c r="C5812" t="s">
        <v>368</v>
      </c>
      <c r="E5812" t="s">
        <v>505</v>
      </c>
      <c r="F5812" t="s">
        <v>506</v>
      </c>
      <c r="G5812">
        <v>2</v>
      </c>
      <c r="H5812" t="s">
        <v>438</v>
      </c>
      <c r="I5812" s="4">
        <f t="shared" si="813"/>
        <v>3</v>
      </c>
      <c r="J5812">
        <f t="shared" si="814"/>
        <v>6</v>
      </c>
      <c r="K5812">
        <v>14</v>
      </c>
      <c r="L5812">
        <v>6</v>
      </c>
      <c r="M5812" s="2">
        <v>2.33</v>
      </c>
      <c r="N5812">
        <v>3.08</v>
      </c>
      <c r="O5812">
        <v>0</v>
      </c>
      <c r="P5812">
        <v>8</v>
      </c>
      <c r="Q5812" t="s">
        <v>569</v>
      </c>
      <c r="R5812" s="8" t="s">
        <v>596</v>
      </c>
      <c r="S5812" t="str">
        <f t="shared" si="812"/>
        <v>PA</v>
      </c>
    </row>
    <row r="5813" spans="1:19" x14ac:dyDescent="0.3">
      <c r="A5813" t="s">
        <v>24</v>
      </c>
      <c r="B5813">
        <v>2016310008</v>
      </c>
      <c r="C5813" t="s">
        <v>368</v>
      </c>
      <c r="E5813" t="s">
        <v>224</v>
      </c>
      <c r="F5813" t="s">
        <v>225</v>
      </c>
      <c r="G5813">
        <v>4</v>
      </c>
      <c r="H5813" t="s">
        <v>438</v>
      </c>
      <c r="I5813" s="4">
        <f t="shared" si="813"/>
        <v>3</v>
      </c>
      <c r="J5813">
        <f t="shared" si="814"/>
        <v>12</v>
      </c>
      <c r="K5813">
        <v>66</v>
      </c>
      <c r="L5813">
        <v>20</v>
      </c>
      <c r="M5813" s="2">
        <v>3.3</v>
      </c>
      <c r="N5813">
        <v>3.08</v>
      </c>
      <c r="O5813">
        <v>0</v>
      </c>
      <c r="P5813">
        <v>1</v>
      </c>
      <c r="Q5813" t="s">
        <v>558</v>
      </c>
      <c r="R5813" s="8" t="s">
        <v>260</v>
      </c>
      <c r="S5813" t="str">
        <f t="shared" si="812"/>
        <v>PA</v>
      </c>
    </row>
    <row r="5814" spans="1:19" x14ac:dyDescent="0.3">
      <c r="A5814" t="s">
        <v>24</v>
      </c>
      <c r="B5814">
        <v>2016310008</v>
      </c>
      <c r="C5814" t="s">
        <v>368</v>
      </c>
      <c r="E5814" t="s">
        <v>490</v>
      </c>
      <c r="F5814" t="s">
        <v>239</v>
      </c>
      <c r="G5814">
        <v>4</v>
      </c>
      <c r="H5814" t="s">
        <v>438</v>
      </c>
      <c r="I5814" s="4">
        <f t="shared" si="813"/>
        <v>3</v>
      </c>
      <c r="J5814">
        <f t="shared" si="814"/>
        <v>12</v>
      </c>
      <c r="K5814">
        <v>54</v>
      </c>
      <c r="L5814">
        <v>18</v>
      </c>
      <c r="M5814" s="2">
        <v>3</v>
      </c>
      <c r="N5814">
        <v>3.08</v>
      </c>
      <c r="O5814">
        <v>0</v>
      </c>
      <c r="P5814">
        <v>6</v>
      </c>
      <c r="Q5814" t="s">
        <v>567</v>
      </c>
      <c r="R5814" s="8" t="s">
        <v>260</v>
      </c>
      <c r="S5814" t="str">
        <f t="shared" si="812"/>
        <v>PA</v>
      </c>
    </row>
    <row r="5815" spans="1:19" x14ac:dyDescent="0.3">
      <c r="A5815" t="s">
        <v>24</v>
      </c>
      <c r="B5815">
        <v>2016310008</v>
      </c>
      <c r="C5815" t="s">
        <v>368</v>
      </c>
      <c r="E5815" t="s">
        <v>486</v>
      </c>
      <c r="F5815" t="s">
        <v>428</v>
      </c>
      <c r="G5815">
        <v>4</v>
      </c>
      <c r="H5815" t="s">
        <v>438</v>
      </c>
      <c r="I5815" s="4">
        <f t="shared" si="813"/>
        <v>3</v>
      </c>
      <c r="J5815">
        <f t="shared" si="814"/>
        <v>12</v>
      </c>
      <c r="K5815">
        <v>54</v>
      </c>
      <c r="L5815">
        <v>18</v>
      </c>
      <c r="M5815" s="2">
        <v>3</v>
      </c>
      <c r="N5815">
        <v>3.08</v>
      </c>
      <c r="O5815">
        <v>0</v>
      </c>
      <c r="P5815">
        <v>6</v>
      </c>
      <c r="Q5815" t="s">
        <v>567</v>
      </c>
      <c r="R5815" s="8" t="s">
        <v>260</v>
      </c>
      <c r="S5815" t="str">
        <f t="shared" si="812"/>
        <v>PA</v>
      </c>
    </row>
    <row r="5816" spans="1:19" x14ac:dyDescent="0.3">
      <c r="A5816" t="s">
        <v>24</v>
      </c>
      <c r="B5816">
        <v>2016310008</v>
      </c>
      <c r="C5816" t="s">
        <v>368</v>
      </c>
      <c r="E5816" t="s">
        <v>494</v>
      </c>
      <c r="F5816" t="s">
        <v>495</v>
      </c>
      <c r="G5816">
        <v>4</v>
      </c>
      <c r="H5816" t="s">
        <v>438</v>
      </c>
      <c r="I5816" s="4">
        <f t="shared" si="813"/>
        <v>3</v>
      </c>
      <c r="J5816">
        <f t="shared" si="814"/>
        <v>12</v>
      </c>
      <c r="K5816">
        <v>66</v>
      </c>
      <c r="L5816">
        <v>22</v>
      </c>
      <c r="M5816" s="2">
        <v>3</v>
      </c>
      <c r="N5816">
        <v>3.08</v>
      </c>
      <c r="O5816">
        <v>0</v>
      </c>
      <c r="P5816">
        <v>4</v>
      </c>
      <c r="Q5816" t="s">
        <v>565</v>
      </c>
      <c r="R5816" s="8" t="s">
        <v>260</v>
      </c>
      <c r="S5816" t="str">
        <f t="shared" si="812"/>
        <v>PA</v>
      </c>
    </row>
    <row r="5817" spans="1:19" x14ac:dyDescent="0.3">
      <c r="A5817" t="s">
        <v>24</v>
      </c>
      <c r="B5817">
        <v>2016310008</v>
      </c>
      <c r="C5817" t="s">
        <v>368</v>
      </c>
      <c r="E5817" t="s">
        <v>346</v>
      </c>
      <c r="F5817" t="s">
        <v>347</v>
      </c>
      <c r="G5817">
        <v>2</v>
      </c>
      <c r="H5817" t="s">
        <v>438</v>
      </c>
      <c r="I5817" s="4">
        <f t="shared" si="813"/>
        <v>3</v>
      </c>
      <c r="J5817">
        <f t="shared" si="814"/>
        <v>6</v>
      </c>
      <c r="K5817">
        <v>54</v>
      </c>
      <c r="L5817">
        <v>18</v>
      </c>
      <c r="M5817" s="2">
        <v>3</v>
      </c>
      <c r="N5817">
        <v>3.08</v>
      </c>
      <c r="O5817">
        <v>0</v>
      </c>
      <c r="P5817">
        <v>6</v>
      </c>
      <c r="Q5817" t="s">
        <v>567</v>
      </c>
      <c r="R5817" s="8" t="s">
        <v>260</v>
      </c>
      <c r="S5817" t="str">
        <f t="shared" si="812"/>
        <v>PA</v>
      </c>
    </row>
    <row r="5818" spans="1:19" x14ac:dyDescent="0.3">
      <c r="A5818" t="s">
        <v>24</v>
      </c>
      <c r="B5818">
        <v>2016310008</v>
      </c>
      <c r="C5818" t="s">
        <v>368</v>
      </c>
      <c r="E5818" t="s">
        <v>444</v>
      </c>
      <c r="F5818" t="s">
        <v>445</v>
      </c>
      <c r="G5818">
        <v>2</v>
      </c>
      <c r="H5818" t="s">
        <v>438</v>
      </c>
      <c r="I5818" s="4">
        <f t="shared" si="813"/>
        <v>3</v>
      </c>
      <c r="J5818">
        <f t="shared" si="814"/>
        <v>6</v>
      </c>
      <c r="K5818">
        <v>66</v>
      </c>
      <c r="L5818">
        <v>22</v>
      </c>
      <c r="M5818" s="2">
        <v>3</v>
      </c>
      <c r="N5818">
        <v>3.08</v>
      </c>
      <c r="O5818">
        <v>0</v>
      </c>
      <c r="P5818">
        <v>4</v>
      </c>
      <c r="Q5818" t="s">
        <v>565</v>
      </c>
      <c r="R5818" s="8" t="s">
        <v>260</v>
      </c>
      <c r="S5818" t="str">
        <f t="shared" si="812"/>
        <v>PA</v>
      </c>
    </row>
    <row r="5819" spans="1:19" x14ac:dyDescent="0.3">
      <c r="A5819" t="s">
        <v>24</v>
      </c>
      <c r="B5819">
        <v>2016310008</v>
      </c>
      <c r="C5819" t="s">
        <v>368</v>
      </c>
      <c r="E5819" t="s">
        <v>455</v>
      </c>
      <c r="F5819" t="s">
        <v>280</v>
      </c>
      <c r="G5819">
        <v>2</v>
      </c>
      <c r="H5819" t="s">
        <v>438</v>
      </c>
      <c r="I5819" s="4">
        <f t="shared" si="813"/>
        <v>3</v>
      </c>
      <c r="J5819">
        <f t="shared" si="814"/>
        <v>6</v>
      </c>
      <c r="K5819">
        <v>70</v>
      </c>
      <c r="L5819">
        <v>20</v>
      </c>
      <c r="M5819" s="2">
        <v>3.5</v>
      </c>
      <c r="N5819">
        <v>3.08</v>
      </c>
      <c r="O5819">
        <v>0</v>
      </c>
      <c r="P5819">
        <v>2</v>
      </c>
      <c r="Q5819" t="s">
        <v>559</v>
      </c>
      <c r="R5819" s="8" t="s">
        <v>260</v>
      </c>
      <c r="S5819" t="str">
        <f t="shared" si="812"/>
        <v>PA</v>
      </c>
    </row>
    <row r="5820" spans="1:19" x14ac:dyDescent="0.3">
      <c r="A5820" t="s">
        <v>24</v>
      </c>
      <c r="B5820">
        <v>2016310008</v>
      </c>
      <c r="C5820" t="s">
        <v>368</v>
      </c>
      <c r="E5820" t="s">
        <v>26</v>
      </c>
      <c r="F5820" t="s">
        <v>11</v>
      </c>
      <c r="G5820">
        <v>2</v>
      </c>
      <c r="H5820" t="s">
        <v>438</v>
      </c>
      <c r="I5820" s="4">
        <f t="shared" si="813"/>
        <v>3</v>
      </c>
      <c r="J5820">
        <f t="shared" si="814"/>
        <v>6</v>
      </c>
      <c r="K5820">
        <v>54</v>
      </c>
      <c r="L5820">
        <v>18</v>
      </c>
      <c r="M5820" s="2">
        <v>3</v>
      </c>
      <c r="N5820">
        <v>3.08</v>
      </c>
      <c r="O5820">
        <v>0</v>
      </c>
      <c r="P5820">
        <v>6</v>
      </c>
      <c r="Q5820" t="s">
        <v>567</v>
      </c>
      <c r="R5820" s="8" t="s">
        <v>260</v>
      </c>
      <c r="S5820" t="str">
        <f t="shared" si="812"/>
        <v>PA</v>
      </c>
    </row>
    <row r="5821" spans="1:19" x14ac:dyDescent="0.3">
      <c r="A5821" t="s">
        <v>24</v>
      </c>
      <c r="B5821">
        <v>2016310008</v>
      </c>
      <c r="C5821" t="s">
        <v>368</v>
      </c>
      <c r="E5821" t="s">
        <v>461</v>
      </c>
      <c r="F5821" t="s">
        <v>452</v>
      </c>
      <c r="G5821">
        <v>2</v>
      </c>
      <c r="H5821" t="s">
        <v>438</v>
      </c>
      <c r="I5821" s="4">
        <f t="shared" si="813"/>
        <v>3</v>
      </c>
      <c r="J5821">
        <f t="shared" si="814"/>
        <v>6</v>
      </c>
      <c r="K5821">
        <v>66</v>
      </c>
      <c r="L5821">
        <v>22</v>
      </c>
      <c r="M5821" s="2">
        <v>3</v>
      </c>
      <c r="N5821">
        <v>3.08</v>
      </c>
      <c r="O5821">
        <v>0</v>
      </c>
      <c r="P5821">
        <v>4</v>
      </c>
      <c r="Q5821" t="s">
        <v>565</v>
      </c>
      <c r="R5821" s="8" t="s">
        <v>260</v>
      </c>
      <c r="S5821" t="str">
        <f t="shared" si="812"/>
        <v>PA</v>
      </c>
    </row>
    <row r="5822" spans="1:19" x14ac:dyDescent="0.3">
      <c r="A5822" t="s">
        <v>24</v>
      </c>
      <c r="B5822">
        <v>2016310008</v>
      </c>
      <c r="C5822" t="s">
        <v>368</v>
      </c>
      <c r="E5822" t="s">
        <v>426</v>
      </c>
      <c r="F5822" t="s">
        <v>307</v>
      </c>
      <c r="G5822">
        <v>2</v>
      </c>
      <c r="H5822" t="s">
        <v>438</v>
      </c>
      <c r="I5822" s="4">
        <f t="shared" si="813"/>
        <v>3</v>
      </c>
      <c r="J5822">
        <f t="shared" si="814"/>
        <v>6</v>
      </c>
      <c r="K5822">
        <v>84</v>
      </c>
      <c r="L5822">
        <v>26</v>
      </c>
      <c r="M5822">
        <v>3.23</v>
      </c>
      <c r="N5822">
        <v>3.08</v>
      </c>
      <c r="O5822">
        <v>0</v>
      </c>
      <c r="P5822">
        <v>3</v>
      </c>
      <c r="Q5822" t="s">
        <v>563</v>
      </c>
      <c r="R5822" s="8" t="s">
        <v>260</v>
      </c>
      <c r="S5822" t="str">
        <f t="shared" si="812"/>
        <v>PA</v>
      </c>
    </row>
    <row r="5823" spans="1:19" x14ac:dyDescent="0.3">
      <c r="A5823" t="s">
        <v>24</v>
      </c>
      <c r="B5823">
        <v>2016310008</v>
      </c>
      <c r="C5823" t="s">
        <v>368</v>
      </c>
      <c r="E5823" t="s">
        <v>453</v>
      </c>
      <c r="F5823" t="s">
        <v>454</v>
      </c>
      <c r="G5823">
        <v>4</v>
      </c>
      <c r="H5823" t="s">
        <v>438</v>
      </c>
      <c r="I5823" s="4">
        <f t="shared" si="813"/>
        <v>3</v>
      </c>
      <c r="J5823">
        <f t="shared" si="814"/>
        <v>12</v>
      </c>
      <c r="K5823">
        <v>50</v>
      </c>
      <c r="L5823">
        <v>18</v>
      </c>
      <c r="M5823" s="2">
        <v>2.78</v>
      </c>
      <c r="N5823">
        <v>3.08</v>
      </c>
      <c r="O5823">
        <v>0</v>
      </c>
      <c r="P5823">
        <v>7</v>
      </c>
      <c r="Q5823" t="s">
        <v>568</v>
      </c>
      <c r="R5823" s="8" t="s">
        <v>260</v>
      </c>
      <c r="S5823" t="str">
        <f t="shared" si="812"/>
        <v>PA</v>
      </c>
    </row>
    <row r="5824" spans="1:19" x14ac:dyDescent="0.3">
      <c r="A5824" t="s">
        <v>24</v>
      </c>
      <c r="B5824">
        <v>2016310008</v>
      </c>
      <c r="C5824" t="s">
        <v>368</v>
      </c>
      <c r="E5824" t="s">
        <v>434</v>
      </c>
      <c r="F5824" t="s">
        <v>435</v>
      </c>
      <c r="G5824">
        <v>2</v>
      </c>
      <c r="H5824" t="s">
        <v>438</v>
      </c>
      <c r="I5824" s="4">
        <f t="shared" si="813"/>
        <v>3</v>
      </c>
      <c r="J5824">
        <f t="shared" si="814"/>
        <v>6</v>
      </c>
      <c r="K5824">
        <v>66</v>
      </c>
      <c r="L5824">
        <v>20</v>
      </c>
      <c r="M5824" s="2">
        <v>3.3</v>
      </c>
      <c r="N5824">
        <v>3.08</v>
      </c>
      <c r="O5824">
        <v>0</v>
      </c>
      <c r="P5824">
        <v>1</v>
      </c>
      <c r="Q5824" t="s">
        <v>558</v>
      </c>
      <c r="R5824" s="8" t="s">
        <v>260</v>
      </c>
      <c r="S5824" t="str">
        <f t="shared" si="812"/>
        <v>PA</v>
      </c>
    </row>
    <row r="5825" spans="1:19" x14ac:dyDescent="0.3">
      <c r="A5825" t="s">
        <v>24</v>
      </c>
      <c r="B5825">
        <v>2016310008</v>
      </c>
      <c r="C5825" t="s">
        <v>368</v>
      </c>
      <c r="E5825" t="s">
        <v>464</v>
      </c>
      <c r="F5825" t="s">
        <v>108</v>
      </c>
      <c r="G5825">
        <v>2</v>
      </c>
      <c r="H5825" t="s">
        <v>438</v>
      </c>
      <c r="I5825" s="4">
        <f t="shared" si="813"/>
        <v>3</v>
      </c>
      <c r="J5825">
        <f t="shared" si="814"/>
        <v>6</v>
      </c>
      <c r="K5825">
        <v>62</v>
      </c>
      <c r="L5825">
        <v>20</v>
      </c>
      <c r="M5825" s="2">
        <v>3.1</v>
      </c>
      <c r="N5825">
        <v>3.08</v>
      </c>
      <c r="O5825">
        <v>0</v>
      </c>
      <c r="P5825">
        <v>5</v>
      </c>
      <c r="Q5825" t="s">
        <v>566</v>
      </c>
      <c r="R5825" s="8" t="s">
        <v>260</v>
      </c>
      <c r="S5825" t="str">
        <f t="shared" si="812"/>
        <v>PA</v>
      </c>
    </row>
    <row r="5826" spans="1:19" x14ac:dyDescent="0.3">
      <c r="A5826" t="s">
        <v>24</v>
      </c>
      <c r="B5826">
        <v>2016310008</v>
      </c>
      <c r="C5826" t="s">
        <v>368</v>
      </c>
      <c r="E5826" t="s">
        <v>441</v>
      </c>
      <c r="F5826" t="s">
        <v>442</v>
      </c>
      <c r="G5826">
        <v>4</v>
      </c>
      <c r="H5826" t="s">
        <v>438</v>
      </c>
      <c r="I5826" s="4">
        <f t="shared" si="813"/>
        <v>3</v>
      </c>
      <c r="J5826">
        <f t="shared" si="814"/>
        <v>12</v>
      </c>
      <c r="K5826">
        <v>84</v>
      </c>
      <c r="L5826">
        <v>26</v>
      </c>
      <c r="M5826">
        <v>3.23</v>
      </c>
      <c r="N5826">
        <v>3.08</v>
      </c>
      <c r="O5826">
        <v>0</v>
      </c>
      <c r="P5826">
        <v>3</v>
      </c>
      <c r="Q5826" t="s">
        <v>563</v>
      </c>
      <c r="R5826" s="8" t="s">
        <v>260</v>
      </c>
      <c r="S5826" t="str">
        <f t="shared" si="812"/>
        <v>PA</v>
      </c>
    </row>
    <row r="5827" spans="1:19" x14ac:dyDescent="0.3">
      <c r="A5827" t="s">
        <v>24</v>
      </c>
      <c r="B5827">
        <v>2016310008</v>
      </c>
      <c r="C5827" t="s">
        <v>368</v>
      </c>
      <c r="E5827" t="s">
        <v>443</v>
      </c>
      <c r="F5827" t="s">
        <v>140</v>
      </c>
      <c r="G5827">
        <v>2</v>
      </c>
      <c r="H5827" t="s">
        <v>438</v>
      </c>
      <c r="I5827" s="4">
        <f t="shared" si="813"/>
        <v>3</v>
      </c>
      <c r="J5827">
        <f t="shared" si="814"/>
        <v>6</v>
      </c>
      <c r="K5827">
        <v>50</v>
      </c>
      <c r="L5827">
        <v>18</v>
      </c>
      <c r="M5827" s="2">
        <v>2.78</v>
      </c>
      <c r="N5827">
        <v>3.08</v>
      </c>
      <c r="O5827">
        <v>0</v>
      </c>
      <c r="P5827">
        <v>7</v>
      </c>
      <c r="Q5827" t="s">
        <v>568</v>
      </c>
      <c r="R5827" s="8" t="s">
        <v>260</v>
      </c>
      <c r="S5827" t="str">
        <f t="shared" si="812"/>
        <v>PA</v>
      </c>
    </row>
    <row r="5828" spans="1:19" x14ac:dyDescent="0.3">
      <c r="A5828" t="s">
        <v>24</v>
      </c>
      <c r="B5828">
        <v>2016310008</v>
      </c>
      <c r="C5828" t="s">
        <v>368</v>
      </c>
      <c r="E5828" t="s">
        <v>84</v>
      </c>
      <c r="F5828" t="s">
        <v>85</v>
      </c>
      <c r="G5828">
        <v>2</v>
      </c>
      <c r="H5828" t="s">
        <v>438</v>
      </c>
      <c r="I5828" s="4">
        <f t="shared" si="813"/>
        <v>3</v>
      </c>
      <c r="J5828">
        <f t="shared" si="814"/>
        <v>6</v>
      </c>
      <c r="K5828">
        <v>66</v>
      </c>
      <c r="L5828">
        <v>20</v>
      </c>
      <c r="M5828" s="2">
        <v>3.3</v>
      </c>
      <c r="N5828">
        <v>3.08</v>
      </c>
      <c r="O5828">
        <v>0</v>
      </c>
      <c r="P5828">
        <v>1</v>
      </c>
      <c r="Q5828" t="s">
        <v>558</v>
      </c>
      <c r="R5828" s="8" t="s">
        <v>260</v>
      </c>
      <c r="S5828" t="str">
        <f t="shared" si="812"/>
        <v>PA</v>
      </c>
    </row>
    <row r="5829" spans="1:19" x14ac:dyDescent="0.3">
      <c r="A5829" t="s">
        <v>24</v>
      </c>
      <c r="B5829">
        <v>2016310008</v>
      </c>
      <c r="C5829" t="s">
        <v>368</v>
      </c>
      <c r="E5829" t="s">
        <v>149</v>
      </c>
      <c r="F5829" t="s">
        <v>150</v>
      </c>
      <c r="G5829">
        <v>2</v>
      </c>
      <c r="H5829" t="s">
        <v>438</v>
      </c>
      <c r="I5829" s="4">
        <f t="shared" si="813"/>
        <v>3</v>
      </c>
      <c r="J5829">
        <f t="shared" si="814"/>
        <v>6</v>
      </c>
      <c r="K5829">
        <v>62</v>
      </c>
      <c r="L5829">
        <v>20</v>
      </c>
      <c r="M5829" s="2">
        <v>3.1</v>
      </c>
      <c r="N5829">
        <v>3.08</v>
      </c>
      <c r="O5829">
        <v>0</v>
      </c>
      <c r="P5829">
        <v>5</v>
      </c>
      <c r="Q5829" t="s">
        <v>566</v>
      </c>
      <c r="R5829" s="8" t="s">
        <v>260</v>
      </c>
      <c r="S5829" t="str">
        <f t="shared" si="812"/>
        <v>PA</v>
      </c>
    </row>
    <row r="5830" spans="1:19" x14ac:dyDescent="0.3">
      <c r="A5830" t="s">
        <v>24</v>
      </c>
      <c r="B5830">
        <v>2016310008</v>
      </c>
      <c r="C5830" t="s">
        <v>368</v>
      </c>
      <c r="E5830" t="s">
        <v>526</v>
      </c>
      <c r="F5830" t="s">
        <v>258</v>
      </c>
      <c r="G5830">
        <v>4</v>
      </c>
      <c r="H5830" t="s">
        <v>524</v>
      </c>
      <c r="I5830" s="4">
        <f t="shared" si="813"/>
        <v>2</v>
      </c>
      <c r="J5830">
        <f t="shared" si="814"/>
        <v>8</v>
      </c>
      <c r="K5830">
        <v>66</v>
      </c>
      <c r="L5830">
        <v>22</v>
      </c>
      <c r="M5830" s="2">
        <v>3</v>
      </c>
      <c r="N5830">
        <v>3.08</v>
      </c>
      <c r="O5830">
        <v>0</v>
      </c>
      <c r="P5830">
        <v>4</v>
      </c>
      <c r="Q5830" t="s">
        <v>565</v>
      </c>
      <c r="R5830" s="8" t="s">
        <v>260</v>
      </c>
      <c r="S5830" t="str">
        <f t="shared" si="812"/>
        <v>PA</v>
      </c>
    </row>
    <row r="5831" spans="1:19" x14ac:dyDescent="0.3">
      <c r="A5831" t="s">
        <v>24</v>
      </c>
      <c r="B5831">
        <v>2016310008</v>
      </c>
      <c r="C5831" t="s">
        <v>368</v>
      </c>
      <c r="E5831" t="s">
        <v>516</v>
      </c>
      <c r="F5831" t="s">
        <v>106</v>
      </c>
      <c r="G5831">
        <v>4</v>
      </c>
      <c r="H5831" t="s">
        <v>524</v>
      </c>
      <c r="I5831" s="4">
        <f t="shared" si="813"/>
        <v>2</v>
      </c>
      <c r="J5831">
        <f t="shared" si="814"/>
        <v>8</v>
      </c>
      <c r="K5831">
        <v>50</v>
      </c>
      <c r="L5831">
        <v>18</v>
      </c>
      <c r="M5831" s="2">
        <v>2.78</v>
      </c>
      <c r="N5831">
        <v>3.08</v>
      </c>
      <c r="O5831">
        <v>0</v>
      </c>
      <c r="P5831">
        <v>7</v>
      </c>
      <c r="Q5831" t="s">
        <v>568</v>
      </c>
      <c r="R5831" s="8" t="s">
        <v>260</v>
      </c>
      <c r="S5831" t="str">
        <f t="shared" si="812"/>
        <v>PA</v>
      </c>
    </row>
    <row r="5832" spans="1:19" x14ac:dyDescent="0.3">
      <c r="A5832" t="s">
        <v>24</v>
      </c>
      <c r="B5832">
        <v>2016310008</v>
      </c>
      <c r="C5832" t="s">
        <v>368</v>
      </c>
      <c r="E5832" t="s">
        <v>422</v>
      </c>
      <c r="F5832" t="s">
        <v>45</v>
      </c>
      <c r="G5832">
        <v>2</v>
      </c>
      <c r="H5832" t="s">
        <v>524</v>
      </c>
      <c r="I5832" s="4">
        <f t="shared" si="813"/>
        <v>2</v>
      </c>
      <c r="J5832">
        <f t="shared" si="814"/>
        <v>4</v>
      </c>
      <c r="K5832">
        <v>70</v>
      </c>
      <c r="L5832">
        <v>20</v>
      </c>
      <c r="M5832" s="2">
        <v>3.5</v>
      </c>
      <c r="N5832">
        <v>3.08</v>
      </c>
      <c r="O5832">
        <v>0</v>
      </c>
      <c r="P5832">
        <v>2</v>
      </c>
      <c r="Q5832" t="s">
        <v>559</v>
      </c>
      <c r="R5832" s="8" t="s">
        <v>260</v>
      </c>
      <c r="S5832" t="str">
        <f t="shared" si="812"/>
        <v>PA</v>
      </c>
    </row>
    <row r="5833" spans="1:19" x14ac:dyDescent="0.3">
      <c r="A5833" t="s">
        <v>24</v>
      </c>
      <c r="B5833">
        <v>2016310008</v>
      </c>
      <c r="C5833" t="s">
        <v>368</v>
      </c>
      <c r="E5833" t="s">
        <v>478</v>
      </c>
      <c r="F5833" t="s">
        <v>375</v>
      </c>
      <c r="G5833">
        <v>2</v>
      </c>
      <c r="H5833" t="s">
        <v>524</v>
      </c>
      <c r="I5833" s="4">
        <f t="shared" si="813"/>
        <v>2</v>
      </c>
      <c r="J5833">
        <f t="shared" si="814"/>
        <v>4</v>
      </c>
      <c r="K5833">
        <v>62</v>
      </c>
      <c r="L5833">
        <v>20</v>
      </c>
      <c r="M5833" s="2">
        <v>3.1</v>
      </c>
      <c r="N5833">
        <v>3.08</v>
      </c>
      <c r="O5833">
        <v>0</v>
      </c>
      <c r="P5833">
        <v>5</v>
      </c>
      <c r="Q5833" t="s">
        <v>566</v>
      </c>
      <c r="R5833" s="8" t="s">
        <v>260</v>
      </c>
      <c r="S5833" t="str">
        <f t="shared" si="812"/>
        <v>PA</v>
      </c>
    </row>
    <row r="5834" spans="1:19" x14ac:dyDescent="0.3">
      <c r="A5834" t="s">
        <v>24</v>
      </c>
      <c r="B5834">
        <v>2016310008</v>
      </c>
      <c r="C5834" t="s">
        <v>368</v>
      </c>
      <c r="E5834" t="s">
        <v>411</v>
      </c>
      <c r="F5834" t="s">
        <v>498</v>
      </c>
      <c r="G5834">
        <v>4</v>
      </c>
      <c r="H5834" t="s">
        <v>524</v>
      </c>
      <c r="I5834" s="4">
        <f t="shared" si="813"/>
        <v>2</v>
      </c>
      <c r="J5834">
        <f t="shared" si="814"/>
        <v>8</v>
      </c>
      <c r="K5834">
        <v>84</v>
      </c>
      <c r="L5834">
        <v>26</v>
      </c>
      <c r="M5834">
        <v>3.23</v>
      </c>
      <c r="N5834">
        <v>3.08</v>
      </c>
      <c r="O5834">
        <v>0</v>
      </c>
      <c r="P5834">
        <v>3</v>
      </c>
      <c r="Q5834" t="s">
        <v>563</v>
      </c>
      <c r="R5834" s="8" t="s">
        <v>260</v>
      </c>
      <c r="S5834" t="str">
        <f t="shared" si="812"/>
        <v>PA</v>
      </c>
    </row>
    <row r="5835" spans="1:19" x14ac:dyDescent="0.3">
      <c r="A5835" t="s">
        <v>24</v>
      </c>
      <c r="B5835">
        <v>2016310008</v>
      </c>
      <c r="C5835" t="s">
        <v>368</v>
      </c>
      <c r="E5835" t="s">
        <v>525</v>
      </c>
      <c r="F5835" t="s">
        <v>20</v>
      </c>
      <c r="G5835">
        <v>4</v>
      </c>
      <c r="H5835" t="s">
        <v>524</v>
      </c>
      <c r="I5835" s="4">
        <f t="shared" si="813"/>
        <v>2</v>
      </c>
      <c r="J5835">
        <f t="shared" si="814"/>
        <v>8</v>
      </c>
      <c r="K5835">
        <v>14</v>
      </c>
      <c r="L5835">
        <v>6</v>
      </c>
      <c r="M5835" s="2">
        <v>2.33</v>
      </c>
      <c r="N5835">
        <v>3.08</v>
      </c>
      <c r="O5835">
        <v>0</v>
      </c>
      <c r="P5835">
        <v>8</v>
      </c>
      <c r="Q5835" t="s">
        <v>569</v>
      </c>
      <c r="R5835" s="8" t="s">
        <v>596</v>
      </c>
      <c r="S5835" t="str">
        <f t="shared" si="812"/>
        <v>PA</v>
      </c>
    </row>
    <row r="5836" spans="1:19" x14ac:dyDescent="0.3">
      <c r="A5836" t="s">
        <v>24</v>
      </c>
      <c r="B5836">
        <v>2016310008</v>
      </c>
      <c r="C5836" t="s">
        <v>368</v>
      </c>
      <c r="E5836" t="s">
        <v>215</v>
      </c>
      <c r="F5836" t="s">
        <v>583</v>
      </c>
      <c r="G5836">
        <v>4</v>
      </c>
      <c r="H5836" t="s">
        <v>438</v>
      </c>
      <c r="I5836" s="4">
        <f t="shared" si="813"/>
        <v>3</v>
      </c>
      <c r="J5836">
        <f t="shared" si="814"/>
        <v>12</v>
      </c>
      <c r="K5836">
        <v>50</v>
      </c>
      <c r="L5836">
        <v>18</v>
      </c>
      <c r="M5836" s="2">
        <v>2.78</v>
      </c>
      <c r="N5836">
        <v>3.08</v>
      </c>
      <c r="O5836">
        <v>0</v>
      </c>
      <c r="P5836">
        <v>7</v>
      </c>
      <c r="Q5836" t="s">
        <v>568</v>
      </c>
      <c r="R5836" s="8" t="s">
        <v>260</v>
      </c>
      <c r="S5836" t="str">
        <f t="shared" si="812"/>
        <v>PA</v>
      </c>
    </row>
    <row r="5837" spans="1:19" x14ac:dyDescent="0.3">
      <c r="A5837" t="s">
        <v>24</v>
      </c>
      <c r="B5837">
        <v>2016310009</v>
      </c>
      <c r="C5837" t="s">
        <v>323</v>
      </c>
      <c r="E5837" t="s">
        <v>128</v>
      </c>
      <c r="F5837" t="s">
        <v>129</v>
      </c>
      <c r="G5837">
        <v>4</v>
      </c>
      <c r="H5837" t="s">
        <v>260</v>
      </c>
      <c r="I5837" s="4">
        <f t="shared" si="813"/>
        <v>4</v>
      </c>
      <c r="J5837">
        <f t="shared" si="814"/>
        <v>16</v>
      </c>
      <c r="K5837">
        <v>58</v>
      </c>
      <c r="L5837">
        <v>20</v>
      </c>
      <c r="M5837" s="2">
        <v>2.9</v>
      </c>
      <c r="N5837">
        <v>3.14</v>
      </c>
      <c r="O5837">
        <v>0</v>
      </c>
      <c r="P5837">
        <v>1</v>
      </c>
      <c r="Q5837" t="s">
        <v>558</v>
      </c>
      <c r="R5837" s="8" t="s">
        <v>260</v>
      </c>
      <c r="S5837" t="str">
        <f t="shared" si="812"/>
        <v>PA</v>
      </c>
    </row>
    <row r="5838" spans="1:19" x14ac:dyDescent="0.3">
      <c r="A5838" t="s">
        <v>24</v>
      </c>
      <c r="B5838">
        <v>2016310009</v>
      </c>
      <c r="C5838" t="s">
        <v>323</v>
      </c>
      <c r="E5838" t="s">
        <v>351</v>
      </c>
      <c r="F5838" t="s">
        <v>243</v>
      </c>
      <c r="G5838">
        <v>2</v>
      </c>
      <c r="H5838" t="s">
        <v>260</v>
      </c>
      <c r="I5838" s="4">
        <f t="shared" si="813"/>
        <v>4</v>
      </c>
      <c r="J5838">
        <f t="shared" si="814"/>
        <v>8</v>
      </c>
      <c r="K5838">
        <v>82</v>
      </c>
      <c r="L5838">
        <v>26</v>
      </c>
      <c r="M5838">
        <v>3.15</v>
      </c>
      <c r="N5838">
        <v>3.14</v>
      </c>
      <c r="O5838">
        <v>0</v>
      </c>
      <c r="P5838">
        <v>3</v>
      </c>
      <c r="Q5838" t="s">
        <v>563</v>
      </c>
      <c r="R5838" s="8" t="s">
        <v>260</v>
      </c>
      <c r="S5838" t="str">
        <f t="shared" si="812"/>
        <v>PA</v>
      </c>
    </row>
    <row r="5839" spans="1:19" x14ac:dyDescent="0.3">
      <c r="A5839" t="s">
        <v>24</v>
      </c>
      <c r="B5839">
        <v>2016310009</v>
      </c>
      <c r="C5839" t="s">
        <v>323</v>
      </c>
      <c r="E5839" t="s">
        <v>377</v>
      </c>
      <c r="F5839" t="s">
        <v>378</v>
      </c>
      <c r="G5839">
        <v>2</v>
      </c>
      <c r="H5839" t="s">
        <v>260</v>
      </c>
      <c r="I5839" s="4">
        <f t="shared" si="813"/>
        <v>4</v>
      </c>
      <c r="J5839">
        <f t="shared" si="814"/>
        <v>8</v>
      </c>
      <c r="K5839">
        <v>70</v>
      </c>
      <c r="L5839">
        <v>20</v>
      </c>
      <c r="M5839" s="2">
        <v>3.5</v>
      </c>
      <c r="N5839">
        <v>3.14</v>
      </c>
      <c r="O5839">
        <v>0</v>
      </c>
      <c r="P5839">
        <v>2</v>
      </c>
      <c r="Q5839" s="4" t="str">
        <f>IF(P5839=1,"2016/2017-Ganjil",IF(P5839=2,"2016/2017-Genap",IF(P5839=3,"2017/2018-Ganjil",IF(P5839=4,"2017/2018-Genap",IF(P5839=5,"2018/2019-Ganjil",IF(P5839=6,"2018/2019-Genap",IF(P5839=7,"2019/2020-Ganjil",IF(P5839=8,"2019/2020-Genap",IF(P5839=9,"2020/2021-Ganjil",IF(P5839=10,"2020/2021-Genap",IF(P5839=11,"2021/2022-Ganjil",IF(P5839=12,"2021/2022-Genap",IF(P5839=13,"2022/2023-Ganjil","2022/2023-Genap")))))))))))))</f>
        <v>2016/2017-Genap</v>
      </c>
      <c r="R5839" s="8" t="s">
        <v>260</v>
      </c>
      <c r="S5839" t="str">
        <f t="shared" si="812"/>
        <v>PA</v>
      </c>
    </row>
    <row r="5840" spans="1:19" x14ac:dyDescent="0.3">
      <c r="A5840" t="s">
        <v>24</v>
      </c>
      <c r="B5840">
        <v>2016310009</v>
      </c>
      <c r="C5840" t="s">
        <v>323</v>
      </c>
      <c r="E5840" t="s">
        <v>379</v>
      </c>
      <c r="F5840" t="s">
        <v>137</v>
      </c>
      <c r="G5840">
        <v>4</v>
      </c>
      <c r="H5840" t="s">
        <v>260</v>
      </c>
      <c r="I5840" s="4">
        <f t="shared" si="813"/>
        <v>4</v>
      </c>
      <c r="J5840">
        <f t="shared" si="814"/>
        <v>16</v>
      </c>
      <c r="K5840">
        <v>68</v>
      </c>
      <c r="L5840">
        <v>22</v>
      </c>
      <c r="M5840">
        <v>3.09</v>
      </c>
      <c r="N5840">
        <v>3.14</v>
      </c>
      <c r="O5840">
        <v>0</v>
      </c>
      <c r="P5840">
        <v>4</v>
      </c>
      <c r="Q5840" t="s">
        <v>565</v>
      </c>
      <c r="R5840" s="8" t="s">
        <v>260</v>
      </c>
      <c r="S5840" t="str">
        <f t="shared" si="812"/>
        <v>PA</v>
      </c>
    </row>
    <row r="5841" spans="1:19" x14ac:dyDescent="0.3">
      <c r="A5841" t="s">
        <v>24</v>
      </c>
      <c r="B5841">
        <v>2016310009</v>
      </c>
      <c r="C5841" t="s">
        <v>323</v>
      </c>
      <c r="E5841" t="s">
        <v>389</v>
      </c>
      <c r="F5841" t="s">
        <v>390</v>
      </c>
      <c r="G5841">
        <v>2</v>
      </c>
      <c r="H5841" t="s">
        <v>260</v>
      </c>
      <c r="I5841" s="4">
        <f t="shared" si="813"/>
        <v>4</v>
      </c>
      <c r="J5841">
        <f t="shared" si="814"/>
        <v>8</v>
      </c>
      <c r="K5841">
        <v>70</v>
      </c>
      <c r="L5841">
        <v>20</v>
      </c>
      <c r="M5841" s="2">
        <v>3.5</v>
      </c>
      <c r="N5841">
        <v>3.14</v>
      </c>
      <c r="O5841">
        <v>0</v>
      </c>
      <c r="P5841">
        <v>2</v>
      </c>
      <c r="Q5841" s="4" t="str">
        <f>IF(P5841=1,"2016/2017-Ganjil",IF(P5841=2,"2016/2017-Genap",IF(P5841=3,"2017/2018-Ganjil",IF(P5841=4,"2017/2018-Genap",IF(P5841=5,"2018/2019-Ganjil",IF(P5841=6,"2018/2019-Genap",IF(P5841=7,"2019/2020-Ganjil",IF(P5841=8,"2019/2020-Genap",IF(P5841=9,"2020/2021-Ganjil",IF(P5841=10,"2020/2021-Genap",IF(P5841=11,"2021/2022-Ganjil",IF(P5841=12,"2021/2022-Genap",IF(P5841=13,"2022/2023-Ganjil","2022/2023-Genap")))))))))))))</f>
        <v>2016/2017-Genap</v>
      </c>
      <c r="R5841" s="8" t="s">
        <v>260</v>
      </c>
      <c r="S5841" t="str">
        <f t="shared" si="812"/>
        <v>PA</v>
      </c>
    </row>
    <row r="5842" spans="1:19" x14ac:dyDescent="0.3">
      <c r="A5842" t="s">
        <v>24</v>
      </c>
      <c r="B5842">
        <v>2016310009</v>
      </c>
      <c r="C5842" t="s">
        <v>323</v>
      </c>
      <c r="E5842" t="s">
        <v>405</v>
      </c>
      <c r="F5842" t="s">
        <v>406</v>
      </c>
      <c r="G5842">
        <v>2</v>
      </c>
      <c r="H5842" t="s">
        <v>260</v>
      </c>
      <c r="I5842" s="4">
        <f t="shared" si="813"/>
        <v>4</v>
      </c>
      <c r="J5842">
        <f t="shared" si="814"/>
        <v>8</v>
      </c>
      <c r="K5842">
        <v>68</v>
      </c>
      <c r="L5842">
        <v>22</v>
      </c>
      <c r="M5842">
        <v>3.09</v>
      </c>
      <c r="N5842">
        <v>3.14</v>
      </c>
      <c r="O5842">
        <v>0</v>
      </c>
      <c r="P5842">
        <v>4</v>
      </c>
      <c r="Q5842" t="s">
        <v>565</v>
      </c>
      <c r="R5842" s="8" t="s">
        <v>260</v>
      </c>
      <c r="S5842" t="str">
        <f t="shared" si="812"/>
        <v>PA</v>
      </c>
    </row>
    <row r="5843" spans="1:19" x14ac:dyDescent="0.3">
      <c r="A5843" t="s">
        <v>24</v>
      </c>
      <c r="B5843">
        <v>2016310009</v>
      </c>
      <c r="C5843" t="s">
        <v>323</v>
      </c>
      <c r="E5843" t="s">
        <v>289</v>
      </c>
      <c r="F5843" t="s">
        <v>129</v>
      </c>
      <c r="G5843">
        <v>4</v>
      </c>
      <c r="H5843" t="s">
        <v>260</v>
      </c>
      <c r="I5843" s="4">
        <f t="shared" si="813"/>
        <v>4</v>
      </c>
      <c r="J5843">
        <f t="shared" si="814"/>
        <v>16</v>
      </c>
      <c r="K5843">
        <v>70</v>
      </c>
      <c r="L5843">
        <v>20</v>
      </c>
      <c r="M5843" s="2">
        <v>3.5</v>
      </c>
      <c r="N5843">
        <v>3.14</v>
      </c>
      <c r="O5843">
        <v>0</v>
      </c>
      <c r="P5843">
        <v>2</v>
      </c>
      <c r="Q5843" s="4" t="str">
        <f>IF(P5843=1,"2016/2017-Ganjil",IF(P5843=2,"2016/2017-Genap",IF(P5843=3,"2017/2018-Ganjil",IF(P5843=4,"2017/2018-Genap",IF(P5843=5,"2018/2019-Ganjil",IF(P5843=6,"2018/2019-Genap",IF(P5843=7,"2019/2020-Ganjil",IF(P5843=8,"2019/2020-Genap",IF(P5843=9,"2020/2021-Ganjil",IF(P5843=10,"2020/2021-Genap",IF(P5843=11,"2021/2022-Ganjil",IF(P5843=12,"2021/2022-Genap",IF(P5843=13,"2022/2023-Ganjil","2022/2023-Genap")))))))))))))</f>
        <v>2016/2017-Genap</v>
      </c>
      <c r="R5843" s="8" t="s">
        <v>260</v>
      </c>
      <c r="S5843" t="str">
        <f t="shared" si="812"/>
        <v>PA</v>
      </c>
    </row>
    <row r="5844" spans="1:19" x14ac:dyDescent="0.3">
      <c r="A5844" t="s">
        <v>24</v>
      </c>
      <c r="B5844">
        <v>2016310009</v>
      </c>
      <c r="C5844" t="s">
        <v>323</v>
      </c>
      <c r="E5844" t="s">
        <v>154</v>
      </c>
      <c r="F5844" t="s">
        <v>155</v>
      </c>
      <c r="G5844">
        <v>4</v>
      </c>
      <c r="H5844" t="s">
        <v>260</v>
      </c>
      <c r="I5844" s="4">
        <f t="shared" si="813"/>
        <v>4</v>
      </c>
      <c r="J5844">
        <f t="shared" si="814"/>
        <v>16</v>
      </c>
      <c r="K5844">
        <v>68</v>
      </c>
      <c r="L5844">
        <v>20</v>
      </c>
      <c r="M5844" s="2">
        <v>3.4</v>
      </c>
      <c r="N5844">
        <v>3.14</v>
      </c>
      <c r="O5844">
        <v>0</v>
      </c>
      <c r="P5844">
        <v>5</v>
      </c>
      <c r="Q5844" t="s">
        <v>566</v>
      </c>
      <c r="R5844" s="8" t="s">
        <v>260</v>
      </c>
      <c r="S5844" t="str">
        <f t="shared" si="812"/>
        <v>PA</v>
      </c>
    </row>
    <row r="5845" spans="1:19" x14ac:dyDescent="0.3">
      <c r="A5845" t="s">
        <v>24</v>
      </c>
      <c r="B5845">
        <v>2016310009</v>
      </c>
      <c r="C5845" t="s">
        <v>323</v>
      </c>
      <c r="E5845" t="s">
        <v>397</v>
      </c>
      <c r="F5845" t="s">
        <v>398</v>
      </c>
      <c r="G5845">
        <v>4</v>
      </c>
      <c r="H5845" t="s">
        <v>260</v>
      </c>
      <c r="I5845" s="4">
        <f t="shared" si="813"/>
        <v>4</v>
      </c>
      <c r="J5845">
        <f t="shared" si="814"/>
        <v>16</v>
      </c>
      <c r="K5845">
        <v>82</v>
      </c>
      <c r="L5845">
        <v>26</v>
      </c>
      <c r="M5845">
        <v>3.15</v>
      </c>
      <c r="N5845">
        <v>3.14</v>
      </c>
      <c r="O5845">
        <v>0</v>
      </c>
      <c r="P5845">
        <v>3</v>
      </c>
      <c r="Q5845" t="s">
        <v>563</v>
      </c>
      <c r="R5845" s="8" t="s">
        <v>260</v>
      </c>
      <c r="S5845" t="str">
        <f t="shared" si="812"/>
        <v>PA</v>
      </c>
    </row>
    <row r="5846" spans="1:19" x14ac:dyDescent="0.3">
      <c r="A5846" t="s">
        <v>24</v>
      </c>
      <c r="B5846">
        <v>2016310009</v>
      </c>
      <c r="C5846" t="s">
        <v>323</v>
      </c>
      <c r="E5846" t="s">
        <v>384</v>
      </c>
      <c r="F5846" t="s">
        <v>385</v>
      </c>
      <c r="G5846">
        <v>2</v>
      </c>
      <c r="H5846" t="s">
        <v>260</v>
      </c>
      <c r="I5846" s="4">
        <f t="shared" si="813"/>
        <v>4</v>
      </c>
      <c r="J5846">
        <f t="shared" si="814"/>
        <v>8</v>
      </c>
      <c r="K5846">
        <v>68</v>
      </c>
      <c r="L5846">
        <v>20</v>
      </c>
      <c r="M5846" s="2">
        <v>3.4</v>
      </c>
      <c r="N5846">
        <v>3.14</v>
      </c>
      <c r="O5846">
        <v>0</v>
      </c>
      <c r="P5846">
        <v>5</v>
      </c>
      <c r="Q5846" t="s">
        <v>566</v>
      </c>
      <c r="R5846" s="8" t="s">
        <v>260</v>
      </c>
      <c r="S5846" t="str">
        <f t="shared" si="812"/>
        <v>PA</v>
      </c>
    </row>
    <row r="5847" spans="1:19" x14ac:dyDescent="0.3">
      <c r="A5847" t="s">
        <v>24</v>
      </c>
      <c r="B5847">
        <v>2016310009</v>
      </c>
      <c r="C5847" t="s">
        <v>323</v>
      </c>
      <c r="E5847" t="s">
        <v>399</v>
      </c>
      <c r="F5847" t="s">
        <v>400</v>
      </c>
      <c r="G5847">
        <v>4</v>
      </c>
      <c r="H5847" t="s">
        <v>260</v>
      </c>
      <c r="I5847" s="4">
        <f t="shared" si="813"/>
        <v>4</v>
      </c>
      <c r="J5847">
        <f t="shared" si="814"/>
        <v>16</v>
      </c>
      <c r="K5847">
        <v>68</v>
      </c>
      <c r="L5847">
        <v>20</v>
      </c>
      <c r="M5847" s="2">
        <v>3.4</v>
      </c>
      <c r="N5847">
        <v>3.14</v>
      </c>
      <c r="O5847">
        <v>0</v>
      </c>
      <c r="P5847">
        <v>5</v>
      </c>
      <c r="Q5847" t="s">
        <v>566</v>
      </c>
      <c r="R5847" s="8" t="s">
        <v>260</v>
      </c>
      <c r="S5847" t="str">
        <f t="shared" si="812"/>
        <v>PA</v>
      </c>
    </row>
    <row r="5848" spans="1:19" x14ac:dyDescent="0.3">
      <c r="A5848" t="s">
        <v>24</v>
      </c>
      <c r="B5848">
        <v>2016310009</v>
      </c>
      <c r="C5848" t="s">
        <v>323</v>
      </c>
      <c r="E5848" t="s">
        <v>145</v>
      </c>
      <c r="F5848" t="s">
        <v>146</v>
      </c>
      <c r="G5848">
        <v>2</v>
      </c>
      <c r="H5848" t="s">
        <v>260</v>
      </c>
      <c r="I5848" s="4">
        <f t="shared" si="813"/>
        <v>4</v>
      </c>
      <c r="J5848">
        <f t="shared" si="814"/>
        <v>8</v>
      </c>
      <c r="K5848">
        <v>58</v>
      </c>
      <c r="L5848">
        <v>20</v>
      </c>
      <c r="M5848" s="2">
        <v>2.9</v>
      </c>
      <c r="N5848">
        <v>3.14</v>
      </c>
      <c r="O5848">
        <v>0</v>
      </c>
      <c r="P5848">
        <v>1</v>
      </c>
      <c r="Q5848" t="s">
        <v>558</v>
      </c>
      <c r="R5848" s="8" t="s">
        <v>260</v>
      </c>
      <c r="S5848" t="str">
        <f t="shared" si="812"/>
        <v>PA</v>
      </c>
    </row>
    <row r="5849" spans="1:19" x14ac:dyDescent="0.3">
      <c r="A5849" t="s">
        <v>24</v>
      </c>
      <c r="B5849">
        <v>2016310009</v>
      </c>
      <c r="C5849" t="s">
        <v>323</v>
      </c>
      <c r="E5849" t="s">
        <v>380</v>
      </c>
      <c r="F5849" t="s">
        <v>381</v>
      </c>
      <c r="G5849">
        <v>2</v>
      </c>
      <c r="H5849" t="s">
        <v>260</v>
      </c>
      <c r="I5849" s="4">
        <f t="shared" si="813"/>
        <v>4</v>
      </c>
      <c r="J5849">
        <f t="shared" si="814"/>
        <v>8</v>
      </c>
      <c r="K5849">
        <v>82</v>
      </c>
      <c r="L5849">
        <v>26</v>
      </c>
      <c r="M5849">
        <v>3.15</v>
      </c>
      <c r="N5849">
        <v>3.14</v>
      </c>
      <c r="O5849">
        <v>0</v>
      </c>
      <c r="P5849">
        <v>3</v>
      </c>
      <c r="Q5849" t="s">
        <v>563</v>
      </c>
      <c r="R5849" s="8" t="s">
        <v>260</v>
      </c>
      <c r="S5849" t="str">
        <f t="shared" ref="S5849:S5912" si="815">IF(OR(H5849="A",H5849="B",H5849="C"),"PA","FA")</f>
        <v>PA</v>
      </c>
    </row>
    <row r="5850" spans="1:19" x14ac:dyDescent="0.3">
      <c r="A5850" t="s">
        <v>24</v>
      </c>
      <c r="B5850">
        <v>2016310009</v>
      </c>
      <c r="C5850" t="s">
        <v>323</v>
      </c>
      <c r="E5850" t="s">
        <v>195</v>
      </c>
      <c r="F5850" t="s">
        <v>196</v>
      </c>
      <c r="G5850">
        <v>4</v>
      </c>
      <c r="H5850" t="s">
        <v>260</v>
      </c>
      <c r="I5850" s="4">
        <f t="shared" ref="I5850:I5913" si="816">IF(H5850="A",4,IF(H5850="B",3,IF(H5850="C",2,IF(H5850="D",1,0))))</f>
        <v>4</v>
      </c>
      <c r="J5850">
        <f t="shared" ref="J5850:J5913" si="817">G5850*I5850</f>
        <v>16</v>
      </c>
      <c r="K5850">
        <v>70</v>
      </c>
      <c r="L5850">
        <v>20</v>
      </c>
      <c r="M5850" s="2">
        <v>3.5</v>
      </c>
      <c r="N5850">
        <v>3.14</v>
      </c>
      <c r="O5850">
        <v>0</v>
      </c>
      <c r="P5850">
        <v>2</v>
      </c>
      <c r="Q5850" s="4" t="str">
        <f>IF(P5850=1,"2016/2017-Ganjil",IF(P5850=2,"2016/2017-Genap",IF(P5850=3,"2017/2018-Ganjil",IF(P5850=4,"2017/2018-Genap",IF(P5850=5,"2018/2019-Ganjil",IF(P5850=6,"2018/2019-Genap",IF(P5850=7,"2019/2020-Ganjil",IF(P5850=8,"2019/2020-Genap",IF(P5850=9,"2020/2021-Ganjil",IF(P5850=10,"2020/2021-Genap",IF(P5850=11,"2021/2022-Ganjil",IF(P5850=12,"2021/2022-Genap",IF(P5850=13,"2022/2023-Ganjil","2022/2023-Genap")))))))))))))</f>
        <v>2016/2017-Genap</v>
      </c>
      <c r="R5850" s="8" t="s">
        <v>260</v>
      </c>
      <c r="S5850" t="str">
        <f t="shared" si="815"/>
        <v>PA</v>
      </c>
    </row>
    <row r="5851" spans="1:19" x14ac:dyDescent="0.3">
      <c r="A5851" t="s">
        <v>24</v>
      </c>
      <c r="B5851">
        <v>2016310009</v>
      </c>
      <c r="C5851" t="s">
        <v>323</v>
      </c>
      <c r="E5851" t="s">
        <v>430</v>
      </c>
      <c r="F5851" t="s">
        <v>431</v>
      </c>
      <c r="G5851">
        <v>2</v>
      </c>
      <c r="H5851" t="s">
        <v>260</v>
      </c>
      <c r="I5851" s="4">
        <f t="shared" si="816"/>
        <v>4</v>
      </c>
      <c r="J5851">
        <f t="shared" si="817"/>
        <v>8</v>
      </c>
      <c r="K5851">
        <v>56</v>
      </c>
      <c r="L5851">
        <v>18</v>
      </c>
      <c r="M5851">
        <v>3.11</v>
      </c>
      <c r="N5851">
        <v>3.14</v>
      </c>
      <c r="O5851">
        <v>0</v>
      </c>
      <c r="P5851">
        <v>6</v>
      </c>
      <c r="Q5851" t="s">
        <v>584</v>
      </c>
      <c r="R5851" s="8" t="s">
        <v>260</v>
      </c>
      <c r="S5851" t="str">
        <f t="shared" si="815"/>
        <v>PA</v>
      </c>
    </row>
    <row r="5852" spans="1:19" x14ac:dyDescent="0.3">
      <c r="A5852" t="s">
        <v>24</v>
      </c>
      <c r="B5852">
        <v>2016310009</v>
      </c>
      <c r="C5852" t="s">
        <v>323</v>
      </c>
      <c r="E5852" t="s">
        <v>441</v>
      </c>
      <c r="F5852" t="s">
        <v>442</v>
      </c>
      <c r="G5852">
        <v>4</v>
      </c>
      <c r="H5852" t="s">
        <v>438</v>
      </c>
      <c r="I5852" s="4">
        <f t="shared" si="816"/>
        <v>3</v>
      </c>
      <c r="J5852">
        <f t="shared" si="817"/>
        <v>12</v>
      </c>
      <c r="K5852">
        <v>82</v>
      </c>
      <c r="L5852">
        <v>26</v>
      </c>
      <c r="M5852">
        <v>3.15</v>
      </c>
      <c r="N5852">
        <v>3.14</v>
      </c>
      <c r="O5852">
        <v>0</v>
      </c>
      <c r="P5852">
        <v>3</v>
      </c>
      <c r="Q5852" t="s">
        <v>563</v>
      </c>
      <c r="R5852" s="8" t="s">
        <v>260</v>
      </c>
      <c r="S5852" t="str">
        <f t="shared" si="815"/>
        <v>PA</v>
      </c>
    </row>
    <row r="5853" spans="1:19" x14ac:dyDescent="0.3">
      <c r="A5853" t="s">
        <v>24</v>
      </c>
      <c r="B5853">
        <v>2016310009</v>
      </c>
      <c r="C5853" t="s">
        <v>323</v>
      </c>
      <c r="E5853" t="s">
        <v>443</v>
      </c>
      <c r="F5853" t="s">
        <v>140</v>
      </c>
      <c r="G5853">
        <v>2</v>
      </c>
      <c r="H5853" t="s">
        <v>438</v>
      </c>
      <c r="I5853" s="4">
        <f t="shared" si="816"/>
        <v>3</v>
      </c>
      <c r="J5853">
        <f t="shared" si="817"/>
        <v>6</v>
      </c>
      <c r="K5853">
        <v>50</v>
      </c>
      <c r="L5853">
        <v>18</v>
      </c>
      <c r="M5853">
        <v>2.78</v>
      </c>
      <c r="N5853">
        <v>3.14</v>
      </c>
      <c r="O5853">
        <v>0</v>
      </c>
      <c r="P5853">
        <v>7</v>
      </c>
      <c r="Q5853" t="s">
        <v>568</v>
      </c>
      <c r="R5853" s="8" t="s">
        <v>260</v>
      </c>
      <c r="S5853" t="str">
        <f t="shared" si="815"/>
        <v>PA</v>
      </c>
    </row>
    <row r="5854" spans="1:19" x14ac:dyDescent="0.3">
      <c r="A5854" t="s">
        <v>24</v>
      </c>
      <c r="B5854">
        <v>2016310009</v>
      </c>
      <c r="C5854" t="s">
        <v>323</v>
      </c>
      <c r="E5854" t="s">
        <v>252</v>
      </c>
      <c r="F5854" t="s">
        <v>78</v>
      </c>
      <c r="G5854">
        <v>2</v>
      </c>
      <c r="H5854" t="s">
        <v>438</v>
      </c>
      <c r="I5854" s="4">
        <f t="shared" si="816"/>
        <v>3</v>
      </c>
      <c r="J5854">
        <f t="shared" si="817"/>
        <v>6</v>
      </c>
      <c r="K5854">
        <v>82</v>
      </c>
      <c r="L5854">
        <v>26</v>
      </c>
      <c r="M5854">
        <v>3.15</v>
      </c>
      <c r="N5854">
        <v>3.14</v>
      </c>
      <c r="O5854">
        <v>0</v>
      </c>
      <c r="P5854">
        <v>3</v>
      </c>
      <c r="Q5854" t="s">
        <v>563</v>
      </c>
      <c r="R5854" s="8" t="s">
        <v>260</v>
      </c>
      <c r="S5854" t="str">
        <f t="shared" si="815"/>
        <v>PA</v>
      </c>
    </row>
    <row r="5855" spans="1:19" x14ac:dyDescent="0.3">
      <c r="A5855" t="s">
        <v>24</v>
      </c>
      <c r="B5855">
        <v>2016310009</v>
      </c>
      <c r="C5855" t="s">
        <v>323</v>
      </c>
      <c r="E5855" t="s">
        <v>149</v>
      </c>
      <c r="F5855" t="s">
        <v>150</v>
      </c>
      <c r="G5855">
        <v>2</v>
      </c>
      <c r="H5855" t="s">
        <v>438</v>
      </c>
      <c r="I5855" s="4">
        <f t="shared" si="816"/>
        <v>3</v>
      </c>
      <c r="J5855">
        <f t="shared" si="817"/>
        <v>6</v>
      </c>
      <c r="K5855">
        <v>68</v>
      </c>
      <c r="L5855">
        <v>20</v>
      </c>
      <c r="M5855" s="2">
        <v>3.4</v>
      </c>
      <c r="N5855">
        <v>3.14</v>
      </c>
      <c r="O5855">
        <v>0</v>
      </c>
      <c r="P5855">
        <v>5</v>
      </c>
      <c r="Q5855" t="s">
        <v>566</v>
      </c>
      <c r="R5855" s="8" t="s">
        <v>260</v>
      </c>
      <c r="S5855" t="str">
        <f t="shared" si="815"/>
        <v>PA</v>
      </c>
    </row>
    <row r="5856" spans="1:19" x14ac:dyDescent="0.3">
      <c r="A5856" t="s">
        <v>24</v>
      </c>
      <c r="B5856">
        <v>2016310009</v>
      </c>
      <c r="C5856" t="s">
        <v>323</v>
      </c>
      <c r="E5856" t="s">
        <v>84</v>
      </c>
      <c r="F5856" t="s">
        <v>85</v>
      </c>
      <c r="G5856">
        <v>2</v>
      </c>
      <c r="H5856" t="s">
        <v>438</v>
      </c>
      <c r="I5856" s="4">
        <f t="shared" si="816"/>
        <v>3</v>
      </c>
      <c r="J5856">
        <f t="shared" si="817"/>
        <v>6</v>
      </c>
      <c r="K5856">
        <v>58</v>
      </c>
      <c r="L5856">
        <v>20</v>
      </c>
      <c r="M5856" s="2">
        <v>2.9</v>
      </c>
      <c r="N5856">
        <v>3.14</v>
      </c>
      <c r="O5856">
        <v>0</v>
      </c>
      <c r="P5856">
        <v>1</v>
      </c>
      <c r="Q5856" t="s">
        <v>558</v>
      </c>
      <c r="R5856" s="8" t="s">
        <v>260</v>
      </c>
      <c r="S5856" t="str">
        <f t="shared" si="815"/>
        <v>PA</v>
      </c>
    </row>
    <row r="5857" spans="1:19" x14ac:dyDescent="0.3">
      <c r="A5857" t="s">
        <v>24</v>
      </c>
      <c r="B5857">
        <v>2016310009</v>
      </c>
      <c r="C5857" t="s">
        <v>323</v>
      </c>
      <c r="E5857" t="s">
        <v>365</v>
      </c>
      <c r="F5857" t="s">
        <v>366</v>
      </c>
      <c r="G5857">
        <v>2</v>
      </c>
      <c r="H5857" t="s">
        <v>438</v>
      </c>
      <c r="I5857" s="4">
        <f t="shared" si="816"/>
        <v>3</v>
      </c>
      <c r="J5857">
        <f t="shared" si="817"/>
        <v>6</v>
      </c>
      <c r="K5857">
        <v>68</v>
      </c>
      <c r="L5857">
        <v>20</v>
      </c>
      <c r="M5857" s="2">
        <v>3.4</v>
      </c>
      <c r="N5857">
        <v>3.14</v>
      </c>
      <c r="O5857">
        <v>0</v>
      </c>
      <c r="P5857">
        <v>5</v>
      </c>
      <c r="Q5857" t="s">
        <v>566</v>
      </c>
      <c r="R5857" s="8" t="s">
        <v>260</v>
      </c>
      <c r="S5857" t="str">
        <f t="shared" si="815"/>
        <v>PA</v>
      </c>
    </row>
    <row r="5858" spans="1:19" x14ac:dyDescent="0.3">
      <c r="A5858" t="s">
        <v>24</v>
      </c>
      <c r="B5858">
        <v>2016310009</v>
      </c>
      <c r="C5858" t="s">
        <v>323</v>
      </c>
      <c r="E5858" t="s">
        <v>168</v>
      </c>
      <c r="F5858" t="s">
        <v>169</v>
      </c>
      <c r="G5858">
        <v>4</v>
      </c>
      <c r="H5858" t="s">
        <v>438</v>
      </c>
      <c r="I5858" s="4">
        <f t="shared" si="816"/>
        <v>3</v>
      </c>
      <c r="J5858">
        <f t="shared" si="817"/>
        <v>12</v>
      </c>
      <c r="K5858">
        <v>58</v>
      </c>
      <c r="L5858">
        <v>20</v>
      </c>
      <c r="M5858" s="2">
        <v>2.9</v>
      </c>
      <c r="N5858">
        <v>3.14</v>
      </c>
      <c r="O5858">
        <v>0</v>
      </c>
      <c r="P5858">
        <v>1</v>
      </c>
      <c r="Q5858" t="s">
        <v>558</v>
      </c>
      <c r="R5858" s="8" t="s">
        <v>260</v>
      </c>
      <c r="S5858" t="str">
        <f t="shared" si="815"/>
        <v>PA</v>
      </c>
    </row>
    <row r="5859" spans="1:19" x14ac:dyDescent="0.3">
      <c r="A5859" t="s">
        <v>24</v>
      </c>
      <c r="B5859">
        <v>2016310009</v>
      </c>
      <c r="C5859" t="s">
        <v>323</v>
      </c>
      <c r="E5859" t="s">
        <v>215</v>
      </c>
      <c r="F5859" t="s">
        <v>186</v>
      </c>
      <c r="G5859">
        <v>4</v>
      </c>
      <c r="H5859" t="s">
        <v>438</v>
      </c>
      <c r="I5859" s="4">
        <f t="shared" si="816"/>
        <v>3</v>
      </c>
      <c r="J5859">
        <f t="shared" si="817"/>
        <v>12</v>
      </c>
      <c r="K5859">
        <v>82</v>
      </c>
      <c r="L5859">
        <v>26</v>
      </c>
      <c r="M5859">
        <v>3.15</v>
      </c>
      <c r="N5859">
        <v>3.14</v>
      </c>
      <c r="O5859">
        <v>0</v>
      </c>
      <c r="P5859">
        <v>3</v>
      </c>
      <c r="Q5859" t="s">
        <v>563</v>
      </c>
      <c r="R5859" s="8" t="s">
        <v>260</v>
      </c>
      <c r="S5859" t="str">
        <f t="shared" si="815"/>
        <v>PA</v>
      </c>
    </row>
    <row r="5860" spans="1:19" x14ac:dyDescent="0.3">
      <c r="A5860" t="s">
        <v>24</v>
      </c>
      <c r="B5860">
        <v>2016310009</v>
      </c>
      <c r="C5860" t="s">
        <v>323</v>
      </c>
      <c r="E5860" t="s">
        <v>486</v>
      </c>
      <c r="F5860" t="s">
        <v>428</v>
      </c>
      <c r="G5860">
        <v>4</v>
      </c>
      <c r="H5860" t="s">
        <v>438</v>
      </c>
      <c r="I5860" s="4">
        <f t="shared" si="816"/>
        <v>3</v>
      </c>
      <c r="J5860">
        <f t="shared" si="817"/>
        <v>12</v>
      </c>
      <c r="K5860">
        <v>56</v>
      </c>
      <c r="L5860">
        <v>18</v>
      </c>
      <c r="M5860">
        <v>3.11</v>
      </c>
      <c r="N5860">
        <v>3.14</v>
      </c>
      <c r="O5860">
        <v>0</v>
      </c>
      <c r="P5860">
        <v>6</v>
      </c>
      <c r="Q5860" t="s">
        <v>584</v>
      </c>
      <c r="R5860" s="8" t="s">
        <v>260</v>
      </c>
      <c r="S5860" t="str">
        <f t="shared" si="815"/>
        <v>PA</v>
      </c>
    </row>
    <row r="5861" spans="1:19" x14ac:dyDescent="0.3">
      <c r="A5861" t="s">
        <v>24</v>
      </c>
      <c r="B5861">
        <v>2016310009</v>
      </c>
      <c r="C5861" t="s">
        <v>323</v>
      </c>
      <c r="E5861" t="s">
        <v>490</v>
      </c>
      <c r="F5861" t="s">
        <v>239</v>
      </c>
      <c r="G5861">
        <v>4</v>
      </c>
      <c r="H5861" t="s">
        <v>438</v>
      </c>
      <c r="I5861" s="4">
        <f t="shared" si="816"/>
        <v>3</v>
      </c>
      <c r="J5861">
        <f t="shared" si="817"/>
        <v>12</v>
      </c>
      <c r="K5861">
        <v>56</v>
      </c>
      <c r="L5861">
        <v>18</v>
      </c>
      <c r="M5861">
        <v>3.11</v>
      </c>
      <c r="N5861">
        <v>3.14</v>
      </c>
      <c r="O5861">
        <v>0</v>
      </c>
      <c r="P5861">
        <v>6</v>
      </c>
      <c r="Q5861" t="s">
        <v>584</v>
      </c>
      <c r="R5861" s="8" t="s">
        <v>260</v>
      </c>
      <c r="S5861" t="str">
        <f t="shared" si="815"/>
        <v>PA</v>
      </c>
    </row>
    <row r="5862" spans="1:19" x14ac:dyDescent="0.3">
      <c r="A5862" t="s">
        <v>24</v>
      </c>
      <c r="B5862">
        <v>2016310009</v>
      </c>
      <c r="C5862" t="s">
        <v>323</v>
      </c>
      <c r="E5862" t="s">
        <v>494</v>
      </c>
      <c r="F5862" t="s">
        <v>495</v>
      </c>
      <c r="G5862">
        <v>4</v>
      </c>
      <c r="H5862" t="s">
        <v>438</v>
      </c>
      <c r="I5862" s="4">
        <f t="shared" si="816"/>
        <v>3</v>
      </c>
      <c r="J5862">
        <f t="shared" si="817"/>
        <v>12</v>
      </c>
      <c r="K5862">
        <v>68</v>
      </c>
      <c r="L5862">
        <v>22</v>
      </c>
      <c r="M5862">
        <v>3.09</v>
      </c>
      <c r="N5862">
        <v>3.14</v>
      </c>
      <c r="O5862">
        <v>0</v>
      </c>
      <c r="P5862">
        <v>4</v>
      </c>
      <c r="Q5862" t="s">
        <v>565</v>
      </c>
      <c r="R5862" s="8" t="s">
        <v>260</v>
      </c>
      <c r="S5862" t="str">
        <f t="shared" si="815"/>
        <v>PA</v>
      </c>
    </row>
    <row r="5863" spans="1:19" x14ac:dyDescent="0.3">
      <c r="A5863" t="s">
        <v>24</v>
      </c>
      <c r="B5863">
        <v>2016310009</v>
      </c>
      <c r="C5863" t="s">
        <v>323</v>
      </c>
      <c r="E5863" t="s">
        <v>484</v>
      </c>
      <c r="F5863" t="s">
        <v>485</v>
      </c>
      <c r="G5863">
        <v>2</v>
      </c>
      <c r="H5863" t="s">
        <v>438</v>
      </c>
      <c r="I5863" s="4">
        <f t="shared" si="816"/>
        <v>3</v>
      </c>
      <c r="J5863">
        <f t="shared" si="817"/>
        <v>6</v>
      </c>
      <c r="K5863">
        <v>56</v>
      </c>
      <c r="L5863">
        <v>18</v>
      </c>
      <c r="M5863">
        <v>3.11</v>
      </c>
      <c r="N5863">
        <v>3.14</v>
      </c>
      <c r="O5863">
        <v>0</v>
      </c>
      <c r="P5863">
        <v>6</v>
      </c>
      <c r="Q5863" t="s">
        <v>584</v>
      </c>
      <c r="R5863" s="8" t="s">
        <v>260</v>
      </c>
      <c r="S5863" t="str">
        <f t="shared" si="815"/>
        <v>PA</v>
      </c>
    </row>
    <row r="5864" spans="1:19" x14ac:dyDescent="0.3">
      <c r="A5864" t="s">
        <v>24</v>
      </c>
      <c r="B5864">
        <v>2016310009</v>
      </c>
      <c r="C5864" t="s">
        <v>323</v>
      </c>
      <c r="E5864" t="s">
        <v>456</v>
      </c>
      <c r="F5864" t="s">
        <v>457</v>
      </c>
      <c r="G5864">
        <v>2</v>
      </c>
      <c r="H5864" t="s">
        <v>438</v>
      </c>
      <c r="I5864" s="4">
        <f t="shared" si="816"/>
        <v>3</v>
      </c>
      <c r="J5864">
        <f t="shared" si="817"/>
        <v>6</v>
      </c>
      <c r="K5864">
        <v>70</v>
      </c>
      <c r="L5864">
        <v>20</v>
      </c>
      <c r="M5864" s="2">
        <v>3.5</v>
      </c>
      <c r="N5864">
        <v>3.14</v>
      </c>
      <c r="O5864">
        <v>0</v>
      </c>
      <c r="P5864">
        <v>2</v>
      </c>
      <c r="Q5864" s="4" t="str">
        <f>IF(P5864=1,"2016/2017-Ganjil",IF(P5864=2,"2016/2017-Genap",IF(P5864=3,"2017/2018-Ganjil",IF(P5864=4,"2017/2018-Genap",IF(P5864=5,"2018/2019-Ganjil",IF(P5864=6,"2018/2019-Genap",IF(P5864=7,"2019/2020-Ganjil",IF(P5864=8,"2019/2020-Genap",IF(P5864=9,"2020/2021-Ganjil",IF(P5864=10,"2020/2021-Genap",IF(P5864=11,"2021/2022-Ganjil",IF(P5864=12,"2021/2022-Genap",IF(P5864=13,"2022/2023-Ganjil","2022/2023-Genap")))))))))))))</f>
        <v>2016/2017-Genap</v>
      </c>
      <c r="R5864" s="8" t="s">
        <v>260</v>
      </c>
      <c r="S5864" t="str">
        <f t="shared" si="815"/>
        <v>PA</v>
      </c>
    </row>
    <row r="5865" spans="1:19" x14ac:dyDescent="0.3">
      <c r="A5865" t="s">
        <v>24</v>
      </c>
      <c r="B5865">
        <v>2016310009</v>
      </c>
      <c r="C5865" t="s">
        <v>323</v>
      </c>
      <c r="E5865" t="s">
        <v>469</v>
      </c>
      <c r="F5865" t="s">
        <v>470</v>
      </c>
      <c r="G5865">
        <v>2</v>
      </c>
      <c r="H5865" t="s">
        <v>438</v>
      </c>
      <c r="I5865" s="4">
        <f t="shared" si="816"/>
        <v>3</v>
      </c>
      <c r="J5865">
        <f t="shared" si="817"/>
        <v>6</v>
      </c>
      <c r="K5865">
        <v>50</v>
      </c>
      <c r="L5865">
        <v>18</v>
      </c>
      <c r="M5865">
        <v>2.78</v>
      </c>
      <c r="N5865">
        <v>3.14</v>
      </c>
      <c r="O5865">
        <v>0</v>
      </c>
      <c r="P5865">
        <v>7</v>
      </c>
      <c r="Q5865" t="s">
        <v>568</v>
      </c>
      <c r="R5865" s="8" t="s">
        <v>260</v>
      </c>
      <c r="S5865" t="str">
        <f t="shared" si="815"/>
        <v>PA</v>
      </c>
    </row>
    <row r="5866" spans="1:19" x14ac:dyDescent="0.3">
      <c r="A5866" t="s">
        <v>24</v>
      </c>
      <c r="B5866">
        <v>2016310009</v>
      </c>
      <c r="C5866" t="s">
        <v>323</v>
      </c>
      <c r="E5866" t="s">
        <v>131</v>
      </c>
      <c r="F5866" t="s">
        <v>132</v>
      </c>
      <c r="G5866">
        <v>2</v>
      </c>
      <c r="H5866" t="s">
        <v>438</v>
      </c>
      <c r="I5866" s="4">
        <f t="shared" si="816"/>
        <v>3</v>
      </c>
      <c r="J5866">
        <f t="shared" si="817"/>
        <v>6</v>
      </c>
      <c r="K5866">
        <v>58</v>
      </c>
      <c r="L5866">
        <v>20</v>
      </c>
      <c r="M5866" s="2">
        <v>2.9</v>
      </c>
      <c r="N5866">
        <v>3.14</v>
      </c>
      <c r="O5866">
        <v>0</v>
      </c>
      <c r="P5866">
        <v>1</v>
      </c>
      <c r="Q5866" t="s">
        <v>558</v>
      </c>
      <c r="R5866" s="8" t="s">
        <v>260</v>
      </c>
      <c r="S5866" t="str">
        <f t="shared" si="815"/>
        <v>PA</v>
      </c>
    </row>
    <row r="5867" spans="1:19" x14ac:dyDescent="0.3">
      <c r="A5867" t="s">
        <v>24</v>
      </c>
      <c r="B5867">
        <v>2016310009</v>
      </c>
      <c r="C5867" t="s">
        <v>323</v>
      </c>
      <c r="E5867" t="s">
        <v>480</v>
      </c>
      <c r="F5867" t="s">
        <v>481</v>
      </c>
      <c r="G5867">
        <v>2</v>
      </c>
      <c r="H5867" t="s">
        <v>438</v>
      </c>
      <c r="I5867" s="4">
        <f t="shared" si="816"/>
        <v>3</v>
      </c>
      <c r="J5867">
        <f t="shared" si="817"/>
        <v>6</v>
      </c>
      <c r="K5867">
        <v>82</v>
      </c>
      <c r="L5867">
        <v>26</v>
      </c>
      <c r="M5867">
        <v>3.15</v>
      </c>
      <c r="N5867">
        <v>3.14</v>
      </c>
      <c r="O5867">
        <v>0</v>
      </c>
      <c r="P5867">
        <v>3</v>
      </c>
      <c r="Q5867" t="s">
        <v>563</v>
      </c>
      <c r="R5867" s="8" t="s">
        <v>260</v>
      </c>
      <c r="S5867" t="str">
        <f t="shared" si="815"/>
        <v>PA</v>
      </c>
    </row>
    <row r="5868" spans="1:19" x14ac:dyDescent="0.3">
      <c r="A5868" t="s">
        <v>24</v>
      </c>
      <c r="B5868">
        <v>2016310009</v>
      </c>
      <c r="C5868" t="s">
        <v>323</v>
      </c>
      <c r="E5868" t="s">
        <v>482</v>
      </c>
      <c r="F5868" t="s">
        <v>483</v>
      </c>
      <c r="G5868">
        <v>2</v>
      </c>
      <c r="H5868" t="s">
        <v>438</v>
      </c>
      <c r="I5868" s="4">
        <f t="shared" si="816"/>
        <v>3</v>
      </c>
      <c r="J5868">
        <f t="shared" si="817"/>
        <v>6</v>
      </c>
      <c r="K5868">
        <v>50</v>
      </c>
      <c r="L5868">
        <v>18</v>
      </c>
      <c r="M5868">
        <v>2.78</v>
      </c>
      <c r="N5868">
        <v>3.14</v>
      </c>
      <c r="O5868">
        <v>0</v>
      </c>
      <c r="P5868">
        <v>7</v>
      </c>
      <c r="Q5868" t="s">
        <v>568</v>
      </c>
      <c r="R5868" s="8" t="s">
        <v>260</v>
      </c>
      <c r="S5868" t="str">
        <f t="shared" si="815"/>
        <v>PA</v>
      </c>
    </row>
    <row r="5869" spans="1:19" x14ac:dyDescent="0.3">
      <c r="A5869" t="s">
        <v>24</v>
      </c>
      <c r="B5869">
        <v>2016310009</v>
      </c>
      <c r="C5869" t="s">
        <v>323</v>
      </c>
      <c r="E5869" t="s">
        <v>505</v>
      </c>
      <c r="F5869" t="s">
        <v>506</v>
      </c>
      <c r="G5869">
        <v>2</v>
      </c>
      <c r="H5869" t="s">
        <v>438</v>
      </c>
      <c r="I5869" s="4">
        <f t="shared" si="816"/>
        <v>3</v>
      </c>
      <c r="J5869">
        <f t="shared" si="817"/>
        <v>6</v>
      </c>
      <c r="K5869">
        <v>14</v>
      </c>
      <c r="L5869">
        <v>6</v>
      </c>
      <c r="M5869">
        <v>2.33</v>
      </c>
      <c r="N5869">
        <v>3.14</v>
      </c>
      <c r="O5869">
        <v>0</v>
      </c>
      <c r="P5869">
        <v>8</v>
      </c>
      <c r="Q5869" t="s">
        <v>569</v>
      </c>
      <c r="R5869" s="8" t="s">
        <v>596</v>
      </c>
      <c r="S5869" t="str">
        <f t="shared" si="815"/>
        <v>PA</v>
      </c>
    </row>
    <row r="5870" spans="1:19" x14ac:dyDescent="0.3">
      <c r="A5870" t="s">
        <v>24</v>
      </c>
      <c r="B5870">
        <v>2016310009</v>
      </c>
      <c r="C5870" t="s">
        <v>323</v>
      </c>
      <c r="E5870" t="s">
        <v>476</v>
      </c>
      <c r="F5870" t="s">
        <v>477</v>
      </c>
      <c r="G5870">
        <v>2</v>
      </c>
      <c r="H5870" t="s">
        <v>438</v>
      </c>
      <c r="I5870" s="4">
        <f t="shared" si="816"/>
        <v>3</v>
      </c>
      <c r="J5870">
        <f t="shared" si="817"/>
        <v>6</v>
      </c>
      <c r="K5870">
        <v>68</v>
      </c>
      <c r="L5870">
        <v>20</v>
      </c>
      <c r="M5870" s="2">
        <v>3.4</v>
      </c>
      <c r="N5870">
        <v>3.14</v>
      </c>
      <c r="O5870">
        <v>0</v>
      </c>
      <c r="P5870">
        <v>5</v>
      </c>
      <c r="Q5870" t="s">
        <v>566</v>
      </c>
      <c r="R5870" s="8" t="s">
        <v>260</v>
      </c>
      <c r="S5870" t="str">
        <f t="shared" si="815"/>
        <v>PA</v>
      </c>
    </row>
    <row r="5871" spans="1:19" x14ac:dyDescent="0.3">
      <c r="A5871" t="s">
        <v>24</v>
      </c>
      <c r="B5871">
        <v>2016310009</v>
      </c>
      <c r="C5871" t="s">
        <v>323</v>
      </c>
      <c r="E5871" t="s">
        <v>458</v>
      </c>
      <c r="F5871" t="s">
        <v>459</v>
      </c>
      <c r="G5871">
        <v>2</v>
      </c>
      <c r="H5871" t="s">
        <v>438</v>
      </c>
      <c r="I5871" s="4">
        <f t="shared" si="816"/>
        <v>3</v>
      </c>
      <c r="J5871">
        <f t="shared" si="817"/>
        <v>6</v>
      </c>
      <c r="K5871">
        <v>56</v>
      </c>
      <c r="L5871">
        <v>18</v>
      </c>
      <c r="M5871">
        <v>3.11</v>
      </c>
      <c r="N5871">
        <v>3.14</v>
      </c>
      <c r="O5871">
        <v>0</v>
      </c>
      <c r="P5871">
        <v>6</v>
      </c>
      <c r="Q5871" t="s">
        <v>584</v>
      </c>
      <c r="R5871" s="8" t="s">
        <v>260</v>
      </c>
      <c r="S5871" t="str">
        <f t="shared" si="815"/>
        <v>PA</v>
      </c>
    </row>
    <row r="5872" spans="1:19" x14ac:dyDescent="0.3">
      <c r="A5872" t="s">
        <v>24</v>
      </c>
      <c r="B5872">
        <v>2016310009</v>
      </c>
      <c r="C5872" t="s">
        <v>323</v>
      </c>
      <c r="E5872" t="s">
        <v>417</v>
      </c>
      <c r="F5872" t="s">
        <v>418</v>
      </c>
      <c r="G5872">
        <v>4</v>
      </c>
      <c r="H5872" t="s">
        <v>438</v>
      </c>
      <c r="I5872" s="4">
        <f t="shared" si="816"/>
        <v>3</v>
      </c>
      <c r="J5872">
        <f t="shared" si="817"/>
        <v>12</v>
      </c>
      <c r="K5872">
        <v>68</v>
      </c>
      <c r="L5872">
        <v>22</v>
      </c>
      <c r="M5872">
        <v>3.09</v>
      </c>
      <c r="N5872">
        <v>3.14</v>
      </c>
      <c r="O5872">
        <v>0</v>
      </c>
      <c r="P5872">
        <v>4</v>
      </c>
      <c r="Q5872" t="s">
        <v>565</v>
      </c>
      <c r="R5872" s="8" t="s">
        <v>260</v>
      </c>
      <c r="S5872" t="str">
        <f t="shared" si="815"/>
        <v>PA</v>
      </c>
    </row>
    <row r="5873" spans="1:19" x14ac:dyDescent="0.3">
      <c r="A5873" t="s">
        <v>24</v>
      </c>
      <c r="B5873">
        <v>2016310009</v>
      </c>
      <c r="C5873" t="s">
        <v>323</v>
      </c>
      <c r="E5873" t="s">
        <v>444</v>
      </c>
      <c r="F5873" t="s">
        <v>445</v>
      </c>
      <c r="G5873">
        <v>2</v>
      </c>
      <c r="H5873" t="s">
        <v>438</v>
      </c>
      <c r="I5873" s="4">
        <f t="shared" si="816"/>
        <v>3</v>
      </c>
      <c r="J5873">
        <f t="shared" si="817"/>
        <v>6</v>
      </c>
      <c r="K5873">
        <v>68</v>
      </c>
      <c r="L5873">
        <v>22</v>
      </c>
      <c r="M5873">
        <v>3.09</v>
      </c>
      <c r="N5873">
        <v>3.14</v>
      </c>
      <c r="O5873">
        <v>0</v>
      </c>
      <c r="P5873">
        <v>4</v>
      </c>
      <c r="Q5873" t="s">
        <v>565</v>
      </c>
      <c r="R5873" s="8" t="s">
        <v>260</v>
      </c>
      <c r="S5873" t="str">
        <f t="shared" si="815"/>
        <v>PA</v>
      </c>
    </row>
    <row r="5874" spans="1:19" x14ac:dyDescent="0.3">
      <c r="A5874" t="s">
        <v>24</v>
      </c>
      <c r="B5874">
        <v>2016310009</v>
      </c>
      <c r="C5874" t="s">
        <v>323</v>
      </c>
      <c r="E5874" t="s">
        <v>346</v>
      </c>
      <c r="F5874" t="s">
        <v>347</v>
      </c>
      <c r="G5874">
        <v>2</v>
      </c>
      <c r="H5874" t="s">
        <v>438</v>
      </c>
      <c r="I5874" s="4">
        <f t="shared" si="816"/>
        <v>3</v>
      </c>
      <c r="J5874">
        <f t="shared" si="817"/>
        <v>6</v>
      </c>
      <c r="K5874">
        <v>56</v>
      </c>
      <c r="L5874">
        <v>18</v>
      </c>
      <c r="M5874">
        <v>3.11</v>
      </c>
      <c r="N5874">
        <v>3.14</v>
      </c>
      <c r="O5874">
        <v>0</v>
      </c>
      <c r="P5874">
        <v>6</v>
      </c>
      <c r="Q5874" t="s">
        <v>584</v>
      </c>
      <c r="R5874" s="8" t="s">
        <v>260</v>
      </c>
      <c r="S5874" t="str">
        <f t="shared" si="815"/>
        <v>PA</v>
      </c>
    </row>
    <row r="5875" spans="1:19" x14ac:dyDescent="0.3">
      <c r="A5875" t="s">
        <v>24</v>
      </c>
      <c r="B5875">
        <v>2016310009</v>
      </c>
      <c r="C5875" t="s">
        <v>323</v>
      </c>
      <c r="E5875" t="s">
        <v>462</v>
      </c>
      <c r="F5875" t="s">
        <v>291</v>
      </c>
      <c r="G5875">
        <v>2</v>
      </c>
      <c r="H5875" t="s">
        <v>438</v>
      </c>
      <c r="I5875" s="4">
        <f t="shared" si="816"/>
        <v>3</v>
      </c>
      <c r="J5875">
        <f t="shared" si="817"/>
        <v>6</v>
      </c>
      <c r="K5875">
        <v>70</v>
      </c>
      <c r="L5875">
        <v>20</v>
      </c>
      <c r="M5875" s="2">
        <v>3.5</v>
      </c>
      <c r="N5875">
        <v>3.14</v>
      </c>
      <c r="O5875">
        <v>0</v>
      </c>
      <c r="P5875">
        <v>2</v>
      </c>
      <c r="Q5875" s="4" t="str">
        <f>IF(P5875=1,"2016/2017-Ganjil",IF(P5875=2,"2016/2017-Genap",IF(P5875=3,"2017/2018-Ganjil",IF(P5875=4,"2017/2018-Genap",IF(P5875=5,"2018/2019-Ganjil",IF(P5875=6,"2018/2019-Genap",IF(P5875=7,"2019/2020-Ganjil",IF(P5875=8,"2019/2020-Genap",IF(P5875=9,"2020/2021-Ganjil",IF(P5875=10,"2020/2021-Genap",IF(P5875=11,"2021/2022-Ganjil",IF(P5875=12,"2021/2022-Genap",IF(P5875=13,"2022/2023-Ganjil","2022/2023-Genap")))))))))))))</f>
        <v>2016/2017-Genap</v>
      </c>
      <c r="R5875" s="8" t="s">
        <v>260</v>
      </c>
      <c r="S5875" t="str">
        <f t="shared" si="815"/>
        <v>PA</v>
      </c>
    </row>
    <row r="5876" spans="1:19" x14ac:dyDescent="0.3">
      <c r="A5876" t="s">
        <v>24</v>
      </c>
      <c r="B5876">
        <v>2016310009</v>
      </c>
      <c r="C5876" t="s">
        <v>323</v>
      </c>
      <c r="E5876" t="s">
        <v>26</v>
      </c>
      <c r="F5876" t="s">
        <v>11</v>
      </c>
      <c r="G5876">
        <v>2</v>
      </c>
      <c r="H5876" t="s">
        <v>438</v>
      </c>
      <c r="I5876" s="4">
        <f t="shared" si="816"/>
        <v>3</v>
      </c>
      <c r="J5876">
        <f t="shared" si="817"/>
        <v>6</v>
      </c>
      <c r="K5876">
        <v>56</v>
      </c>
      <c r="L5876">
        <v>18</v>
      </c>
      <c r="M5876">
        <v>3.11</v>
      </c>
      <c r="N5876">
        <v>3.14</v>
      </c>
      <c r="O5876">
        <v>0</v>
      </c>
      <c r="P5876">
        <v>6</v>
      </c>
      <c r="Q5876" t="s">
        <v>584</v>
      </c>
      <c r="R5876" s="8" t="s">
        <v>260</v>
      </c>
      <c r="S5876" t="str">
        <f t="shared" si="815"/>
        <v>PA</v>
      </c>
    </row>
    <row r="5877" spans="1:19" x14ac:dyDescent="0.3">
      <c r="A5877" t="s">
        <v>24</v>
      </c>
      <c r="B5877">
        <v>2016310009</v>
      </c>
      <c r="C5877" t="s">
        <v>323</v>
      </c>
      <c r="E5877" t="s">
        <v>455</v>
      </c>
      <c r="F5877" t="s">
        <v>280</v>
      </c>
      <c r="G5877">
        <v>2</v>
      </c>
      <c r="H5877" t="s">
        <v>438</v>
      </c>
      <c r="I5877" s="4">
        <f t="shared" si="816"/>
        <v>3</v>
      </c>
      <c r="J5877">
        <f t="shared" si="817"/>
        <v>6</v>
      </c>
      <c r="K5877">
        <v>70</v>
      </c>
      <c r="L5877">
        <v>20</v>
      </c>
      <c r="M5877" s="2">
        <v>3.5</v>
      </c>
      <c r="N5877">
        <v>3.14</v>
      </c>
      <c r="O5877">
        <v>0</v>
      </c>
      <c r="P5877">
        <v>2</v>
      </c>
      <c r="Q5877" s="4" t="str">
        <f>IF(P5877=1,"2016/2017-Ganjil",IF(P5877=2,"2016/2017-Genap",IF(P5877=3,"2017/2018-Ganjil",IF(P5877=4,"2017/2018-Genap",IF(P5877=5,"2018/2019-Ganjil",IF(P5877=6,"2018/2019-Genap",IF(P5877=7,"2019/2020-Ganjil",IF(P5877=8,"2019/2020-Genap",IF(P5877=9,"2020/2021-Ganjil",IF(P5877=10,"2020/2021-Genap",IF(P5877=11,"2021/2022-Ganjil",IF(P5877=12,"2021/2022-Genap",IF(P5877=13,"2022/2023-Ganjil","2022/2023-Genap")))))))))))))</f>
        <v>2016/2017-Genap</v>
      </c>
      <c r="R5877" s="8" t="s">
        <v>260</v>
      </c>
      <c r="S5877" t="str">
        <f t="shared" si="815"/>
        <v>PA</v>
      </c>
    </row>
    <row r="5878" spans="1:19" x14ac:dyDescent="0.3">
      <c r="A5878" t="s">
        <v>24</v>
      </c>
      <c r="B5878">
        <v>2016310009</v>
      </c>
      <c r="C5878" t="s">
        <v>323</v>
      </c>
      <c r="E5878" t="s">
        <v>461</v>
      </c>
      <c r="F5878" t="s">
        <v>452</v>
      </c>
      <c r="G5878">
        <v>2</v>
      </c>
      <c r="H5878" t="s">
        <v>438</v>
      </c>
      <c r="I5878" s="4">
        <f t="shared" si="816"/>
        <v>3</v>
      </c>
      <c r="J5878">
        <f t="shared" si="817"/>
        <v>6</v>
      </c>
      <c r="K5878">
        <v>68</v>
      </c>
      <c r="L5878">
        <v>22</v>
      </c>
      <c r="M5878">
        <v>3.09</v>
      </c>
      <c r="N5878">
        <v>3.14</v>
      </c>
      <c r="O5878">
        <v>0</v>
      </c>
      <c r="P5878">
        <v>4</v>
      </c>
      <c r="Q5878" t="s">
        <v>565</v>
      </c>
      <c r="R5878" s="8" t="s">
        <v>260</v>
      </c>
      <c r="S5878" t="str">
        <f t="shared" si="815"/>
        <v>PA</v>
      </c>
    </row>
    <row r="5879" spans="1:19" x14ac:dyDescent="0.3">
      <c r="A5879" t="s">
        <v>24</v>
      </c>
      <c r="B5879">
        <v>2016310009</v>
      </c>
      <c r="C5879" t="s">
        <v>323</v>
      </c>
      <c r="E5879" t="s">
        <v>453</v>
      </c>
      <c r="F5879" t="s">
        <v>454</v>
      </c>
      <c r="G5879">
        <v>4</v>
      </c>
      <c r="H5879" t="s">
        <v>438</v>
      </c>
      <c r="I5879" s="4">
        <f t="shared" si="816"/>
        <v>3</v>
      </c>
      <c r="J5879">
        <f t="shared" si="817"/>
        <v>12</v>
      </c>
      <c r="K5879">
        <v>50</v>
      </c>
      <c r="L5879">
        <v>18</v>
      </c>
      <c r="M5879">
        <v>2.78</v>
      </c>
      <c r="N5879">
        <v>3.14</v>
      </c>
      <c r="O5879">
        <v>0</v>
      </c>
      <c r="P5879">
        <v>7</v>
      </c>
      <c r="Q5879" t="s">
        <v>568</v>
      </c>
      <c r="R5879" s="8" t="s">
        <v>260</v>
      </c>
      <c r="S5879" t="str">
        <f t="shared" si="815"/>
        <v>PA</v>
      </c>
    </row>
    <row r="5880" spans="1:19" x14ac:dyDescent="0.3">
      <c r="A5880" t="s">
        <v>24</v>
      </c>
      <c r="B5880">
        <v>2016310009</v>
      </c>
      <c r="C5880" t="s">
        <v>323</v>
      </c>
      <c r="E5880" t="s">
        <v>426</v>
      </c>
      <c r="F5880" t="s">
        <v>307</v>
      </c>
      <c r="G5880">
        <v>2</v>
      </c>
      <c r="H5880" t="s">
        <v>438</v>
      </c>
      <c r="I5880" s="4">
        <f t="shared" si="816"/>
        <v>3</v>
      </c>
      <c r="J5880">
        <f t="shared" si="817"/>
        <v>6</v>
      </c>
      <c r="K5880">
        <v>82</v>
      </c>
      <c r="L5880">
        <v>26</v>
      </c>
      <c r="M5880">
        <v>3.15</v>
      </c>
      <c r="N5880">
        <v>3.14</v>
      </c>
      <c r="O5880">
        <v>0</v>
      </c>
      <c r="P5880">
        <v>3</v>
      </c>
      <c r="Q5880" t="s">
        <v>563</v>
      </c>
      <c r="R5880" s="8" t="s">
        <v>260</v>
      </c>
      <c r="S5880" t="str">
        <f t="shared" si="815"/>
        <v>PA</v>
      </c>
    </row>
    <row r="5881" spans="1:19" x14ac:dyDescent="0.3">
      <c r="A5881" t="s">
        <v>24</v>
      </c>
      <c r="B5881">
        <v>2016310009</v>
      </c>
      <c r="C5881" t="s">
        <v>323</v>
      </c>
      <c r="E5881" t="s">
        <v>464</v>
      </c>
      <c r="F5881" t="s">
        <v>108</v>
      </c>
      <c r="G5881">
        <v>2</v>
      </c>
      <c r="H5881" t="s">
        <v>438</v>
      </c>
      <c r="I5881" s="4">
        <f t="shared" si="816"/>
        <v>3</v>
      </c>
      <c r="J5881">
        <f t="shared" si="817"/>
        <v>6</v>
      </c>
      <c r="K5881">
        <v>68</v>
      </c>
      <c r="L5881">
        <v>20</v>
      </c>
      <c r="M5881" s="2">
        <v>3.4</v>
      </c>
      <c r="N5881">
        <v>3.14</v>
      </c>
      <c r="O5881">
        <v>0</v>
      </c>
      <c r="P5881">
        <v>5</v>
      </c>
      <c r="Q5881" t="s">
        <v>566</v>
      </c>
      <c r="R5881" s="8" t="s">
        <v>260</v>
      </c>
      <c r="S5881" t="str">
        <f t="shared" si="815"/>
        <v>PA</v>
      </c>
    </row>
    <row r="5882" spans="1:19" x14ac:dyDescent="0.3">
      <c r="A5882" t="s">
        <v>24</v>
      </c>
      <c r="B5882">
        <v>2016310009</v>
      </c>
      <c r="C5882" t="s">
        <v>323</v>
      </c>
      <c r="E5882" t="s">
        <v>434</v>
      </c>
      <c r="F5882" t="s">
        <v>435</v>
      </c>
      <c r="G5882">
        <v>2</v>
      </c>
      <c r="H5882" t="s">
        <v>438</v>
      </c>
      <c r="I5882" s="4">
        <f t="shared" si="816"/>
        <v>3</v>
      </c>
      <c r="J5882">
        <f t="shared" si="817"/>
        <v>6</v>
      </c>
      <c r="K5882">
        <v>58</v>
      </c>
      <c r="L5882">
        <v>20</v>
      </c>
      <c r="M5882" s="2">
        <v>2.9</v>
      </c>
      <c r="N5882">
        <v>3.14</v>
      </c>
      <c r="O5882">
        <v>0</v>
      </c>
      <c r="P5882">
        <v>1</v>
      </c>
      <c r="Q5882" t="s">
        <v>558</v>
      </c>
      <c r="R5882" s="8" t="s">
        <v>260</v>
      </c>
      <c r="S5882" t="str">
        <f t="shared" si="815"/>
        <v>PA</v>
      </c>
    </row>
    <row r="5883" spans="1:19" x14ac:dyDescent="0.3">
      <c r="A5883" t="s">
        <v>24</v>
      </c>
      <c r="B5883">
        <v>2016310009</v>
      </c>
      <c r="C5883" t="s">
        <v>323</v>
      </c>
      <c r="E5883" t="s">
        <v>478</v>
      </c>
      <c r="F5883" t="s">
        <v>375</v>
      </c>
      <c r="G5883">
        <v>2</v>
      </c>
      <c r="H5883" t="s">
        <v>524</v>
      </c>
      <c r="I5883" s="4">
        <f t="shared" si="816"/>
        <v>2</v>
      </c>
      <c r="J5883">
        <f t="shared" si="817"/>
        <v>4</v>
      </c>
      <c r="K5883">
        <v>68</v>
      </c>
      <c r="L5883">
        <v>20</v>
      </c>
      <c r="M5883" s="2">
        <v>3.4</v>
      </c>
      <c r="N5883">
        <v>3.14</v>
      </c>
      <c r="O5883">
        <v>0</v>
      </c>
      <c r="P5883">
        <v>5</v>
      </c>
      <c r="Q5883" t="s">
        <v>566</v>
      </c>
      <c r="R5883" s="8" t="s">
        <v>260</v>
      </c>
      <c r="S5883" t="str">
        <f t="shared" si="815"/>
        <v>PA</v>
      </c>
    </row>
    <row r="5884" spans="1:19" x14ac:dyDescent="0.3">
      <c r="A5884" t="s">
        <v>24</v>
      </c>
      <c r="B5884">
        <v>2016310009</v>
      </c>
      <c r="C5884" t="s">
        <v>323</v>
      </c>
      <c r="E5884" t="s">
        <v>525</v>
      </c>
      <c r="F5884" t="s">
        <v>20</v>
      </c>
      <c r="G5884">
        <v>4</v>
      </c>
      <c r="H5884" t="s">
        <v>524</v>
      </c>
      <c r="I5884" s="4">
        <f t="shared" si="816"/>
        <v>2</v>
      </c>
      <c r="J5884">
        <f t="shared" si="817"/>
        <v>8</v>
      </c>
      <c r="K5884">
        <v>14</v>
      </c>
      <c r="L5884">
        <v>6</v>
      </c>
      <c r="M5884">
        <v>2.33</v>
      </c>
      <c r="N5884">
        <v>3.14</v>
      </c>
      <c r="O5884">
        <v>0</v>
      </c>
      <c r="P5884">
        <v>8</v>
      </c>
      <c r="Q5884" t="s">
        <v>569</v>
      </c>
      <c r="R5884" s="8" t="s">
        <v>596</v>
      </c>
      <c r="S5884" t="str">
        <f t="shared" si="815"/>
        <v>PA</v>
      </c>
    </row>
    <row r="5885" spans="1:19" x14ac:dyDescent="0.3">
      <c r="A5885" t="s">
        <v>24</v>
      </c>
      <c r="B5885">
        <v>2016310009</v>
      </c>
      <c r="C5885" t="s">
        <v>323</v>
      </c>
      <c r="E5885" t="s">
        <v>516</v>
      </c>
      <c r="F5885" t="s">
        <v>106</v>
      </c>
      <c r="G5885">
        <v>4</v>
      </c>
      <c r="H5885" t="s">
        <v>524</v>
      </c>
      <c r="I5885" s="4">
        <f t="shared" si="816"/>
        <v>2</v>
      </c>
      <c r="J5885">
        <f t="shared" si="817"/>
        <v>8</v>
      </c>
      <c r="K5885">
        <v>50</v>
      </c>
      <c r="L5885">
        <v>18</v>
      </c>
      <c r="M5885">
        <v>2.78</v>
      </c>
      <c r="N5885">
        <v>3.14</v>
      </c>
      <c r="O5885">
        <v>0</v>
      </c>
      <c r="P5885">
        <v>7</v>
      </c>
      <c r="Q5885" t="s">
        <v>568</v>
      </c>
      <c r="R5885" s="8" t="s">
        <v>260</v>
      </c>
      <c r="S5885" t="str">
        <f t="shared" si="815"/>
        <v>PA</v>
      </c>
    </row>
    <row r="5886" spans="1:19" x14ac:dyDescent="0.3">
      <c r="A5886" t="s">
        <v>24</v>
      </c>
      <c r="B5886">
        <v>2016310009</v>
      </c>
      <c r="C5886" t="s">
        <v>323</v>
      </c>
      <c r="E5886" t="s">
        <v>411</v>
      </c>
      <c r="F5886" t="s">
        <v>498</v>
      </c>
      <c r="G5886">
        <v>4</v>
      </c>
      <c r="H5886" t="s">
        <v>524</v>
      </c>
      <c r="I5886" s="4">
        <f t="shared" si="816"/>
        <v>2</v>
      </c>
      <c r="J5886">
        <f t="shared" si="817"/>
        <v>8</v>
      </c>
      <c r="K5886">
        <v>82</v>
      </c>
      <c r="L5886">
        <v>26</v>
      </c>
      <c r="M5886">
        <v>3.15</v>
      </c>
      <c r="N5886">
        <v>3.14</v>
      </c>
      <c r="O5886">
        <v>0</v>
      </c>
      <c r="P5886">
        <v>3</v>
      </c>
      <c r="Q5886" t="s">
        <v>563</v>
      </c>
      <c r="R5886" s="8" t="s">
        <v>260</v>
      </c>
      <c r="S5886" t="str">
        <f t="shared" si="815"/>
        <v>PA</v>
      </c>
    </row>
    <row r="5887" spans="1:19" x14ac:dyDescent="0.3">
      <c r="A5887" t="s">
        <v>24</v>
      </c>
      <c r="B5887">
        <v>2016310009</v>
      </c>
      <c r="C5887" t="s">
        <v>323</v>
      </c>
      <c r="E5887" t="s">
        <v>422</v>
      </c>
      <c r="F5887" t="s">
        <v>45</v>
      </c>
      <c r="G5887">
        <v>2</v>
      </c>
      <c r="H5887" t="s">
        <v>524</v>
      </c>
      <c r="I5887" s="4">
        <f t="shared" si="816"/>
        <v>2</v>
      </c>
      <c r="J5887">
        <f t="shared" si="817"/>
        <v>4</v>
      </c>
      <c r="K5887">
        <v>70</v>
      </c>
      <c r="L5887">
        <v>20</v>
      </c>
      <c r="M5887" s="2">
        <v>3.5</v>
      </c>
      <c r="N5887">
        <v>3.14</v>
      </c>
      <c r="O5887">
        <v>0</v>
      </c>
      <c r="P5887">
        <v>2</v>
      </c>
      <c r="Q5887" s="4" t="str">
        <f>IF(P5887=1,"2016/2017-Ganjil",IF(P5887=2,"2016/2017-Genap",IF(P5887=3,"2017/2018-Ganjil",IF(P5887=4,"2017/2018-Genap",IF(P5887=5,"2018/2019-Ganjil",IF(P5887=6,"2018/2019-Genap",IF(P5887=7,"2019/2020-Ganjil",IF(P5887=8,"2019/2020-Genap",IF(P5887=9,"2020/2021-Ganjil",IF(P5887=10,"2020/2021-Genap",IF(P5887=11,"2021/2022-Ganjil",IF(P5887=12,"2021/2022-Genap",IF(P5887=13,"2022/2023-Ganjil","2022/2023-Genap")))))))))))))</f>
        <v>2016/2017-Genap</v>
      </c>
      <c r="R5887" s="8" t="s">
        <v>260</v>
      </c>
      <c r="S5887" t="str">
        <f t="shared" si="815"/>
        <v>PA</v>
      </c>
    </row>
    <row r="5888" spans="1:19" x14ac:dyDescent="0.3">
      <c r="A5888" t="s">
        <v>24</v>
      </c>
      <c r="B5888">
        <v>2016310009</v>
      </c>
      <c r="C5888" t="s">
        <v>323</v>
      </c>
      <c r="E5888" t="s">
        <v>526</v>
      </c>
      <c r="F5888" t="s">
        <v>258</v>
      </c>
      <c r="G5888">
        <v>4</v>
      </c>
      <c r="H5888" t="s">
        <v>524</v>
      </c>
      <c r="I5888" s="4">
        <f t="shared" si="816"/>
        <v>2</v>
      </c>
      <c r="J5888">
        <f t="shared" si="817"/>
        <v>8</v>
      </c>
      <c r="K5888">
        <v>68</v>
      </c>
      <c r="L5888">
        <v>22</v>
      </c>
      <c r="M5888">
        <v>3.09</v>
      </c>
      <c r="N5888">
        <v>3.14</v>
      </c>
      <c r="O5888">
        <v>0</v>
      </c>
      <c r="P5888">
        <v>4</v>
      </c>
      <c r="Q5888" t="s">
        <v>565</v>
      </c>
      <c r="R5888" s="8" t="s">
        <v>260</v>
      </c>
      <c r="S5888" t="str">
        <f t="shared" si="815"/>
        <v>PA</v>
      </c>
    </row>
    <row r="5889" spans="1:19" x14ac:dyDescent="0.3">
      <c r="A5889" t="s">
        <v>24</v>
      </c>
      <c r="B5889">
        <v>2016310009</v>
      </c>
      <c r="C5889" t="s">
        <v>323</v>
      </c>
      <c r="E5889" t="s">
        <v>224</v>
      </c>
      <c r="F5889" t="s">
        <v>225</v>
      </c>
      <c r="G5889">
        <v>4</v>
      </c>
      <c r="H5889" t="s">
        <v>535</v>
      </c>
      <c r="I5889" s="4">
        <f t="shared" si="816"/>
        <v>1</v>
      </c>
      <c r="J5889">
        <f t="shared" si="817"/>
        <v>4</v>
      </c>
      <c r="K5889">
        <v>58</v>
      </c>
      <c r="L5889">
        <v>20</v>
      </c>
      <c r="M5889" s="2">
        <v>2.9</v>
      </c>
      <c r="N5889">
        <v>3.14</v>
      </c>
      <c r="O5889">
        <v>0</v>
      </c>
      <c r="P5889">
        <v>1</v>
      </c>
      <c r="Q5889" t="s">
        <v>558</v>
      </c>
      <c r="R5889" s="8" t="s">
        <v>260</v>
      </c>
      <c r="S5889" t="str">
        <f t="shared" si="815"/>
        <v>FA</v>
      </c>
    </row>
    <row r="5890" spans="1:19" x14ac:dyDescent="0.3">
      <c r="A5890" t="s">
        <v>24</v>
      </c>
      <c r="B5890">
        <v>2016310009</v>
      </c>
      <c r="C5890" t="s">
        <v>323</v>
      </c>
      <c r="E5890" t="s">
        <v>215</v>
      </c>
      <c r="F5890" t="s">
        <v>583</v>
      </c>
      <c r="G5890">
        <v>4</v>
      </c>
      <c r="H5890" t="s">
        <v>438</v>
      </c>
      <c r="I5890" s="4">
        <f t="shared" si="816"/>
        <v>3</v>
      </c>
      <c r="J5890">
        <f t="shared" si="817"/>
        <v>12</v>
      </c>
      <c r="K5890">
        <v>50</v>
      </c>
      <c r="L5890">
        <v>18</v>
      </c>
      <c r="M5890">
        <v>2.78</v>
      </c>
      <c r="N5890">
        <v>3.14</v>
      </c>
      <c r="O5890">
        <v>0</v>
      </c>
      <c r="P5890">
        <v>7</v>
      </c>
      <c r="Q5890" t="s">
        <v>568</v>
      </c>
      <c r="R5890" s="8" t="s">
        <v>260</v>
      </c>
      <c r="S5890" t="str">
        <f t="shared" si="815"/>
        <v>PA</v>
      </c>
    </row>
    <row r="5891" spans="1:19" x14ac:dyDescent="0.3">
      <c r="A5891" t="s">
        <v>24</v>
      </c>
      <c r="B5891">
        <v>2016310010</v>
      </c>
      <c r="C5891" t="s">
        <v>339</v>
      </c>
      <c r="E5891" t="s">
        <v>252</v>
      </c>
      <c r="F5891" t="s">
        <v>78</v>
      </c>
      <c r="G5891">
        <v>2</v>
      </c>
      <c r="H5891" t="s">
        <v>260</v>
      </c>
      <c r="I5891" s="4">
        <f t="shared" si="816"/>
        <v>4</v>
      </c>
      <c r="J5891">
        <f t="shared" si="817"/>
        <v>8</v>
      </c>
      <c r="K5891">
        <v>90</v>
      </c>
      <c r="L5891">
        <v>26</v>
      </c>
      <c r="M5891">
        <v>3.46</v>
      </c>
      <c r="N5891">
        <v>3.15</v>
      </c>
      <c r="O5891">
        <v>0</v>
      </c>
      <c r="P5891">
        <v>3</v>
      </c>
      <c r="Q5891" t="s">
        <v>563</v>
      </c>
      <c r="R5891" s="8" t="s">
        <v>260</v>
      </c>
      <c r="S5891" t="str">
        <f t="shared" si="815"/>
        <v>PA</v>
      </c>
    </row>
    <row r="5892" spans="1:19" x14ac:dyDescent="0.3">
      <c r="A5892" t="s">
        <v>24</v>
      </c>
      <c r="B5892">
        <v>2016310010</v>
      </c>
      <c r="C5892" t="s">
        <v>339</v>
      </c>
      <c r="E5892" t="s">
        <v>351</v>
      </c>
      <c r="F5892" t="s">
        <v>243</v>
      </c>
      <c r="G5892">
        <v>2</v>
      </c>
      <c r="H5892" t="s">
        <v>260</v>
      </c>
      <c r="I5892" s="4">
        <f t="shared" si="816"/>
        <v>4</v>
      </c>
      <c r="J5892">
        <f t="shared" si="817"/>
        <v>8</v>
      </c>
      <c r="K5892">
        <v>90</v>
      </c>
      <c r="L5892">
        <v>26</v>
      </c>
      <c r="M5892">
        <v>3.46</v>
      </c>
      <c r="N5892">
        <v>3.15</v>
      </c>
      <c r="O5892">
        <v>0</v>
      </c>
      <c r="P5892">
        <v>3</v>
      </c>
      <c r="Q5892" t="s">
        <v>563</v>
      </c>
      <c r="R5892" s="8" t="s">
        <v>260</v>
      </c>
      <c r="S5892" t="str">
        <f t="shared" si="815"/>
        <v>PA</v>
      </c>
    </row>
    <row r="5893" spans="1:19" x14ac:dyDescent="0.3">
      <c r="A5893" t="s">
        <v>24</v>
      </c>
      <c r="B5893">
        <v>2016310010</v>
      </c>
      <c r="C5893" t="s">
        <v>339</v>
      </c>
      <c r="E5893" t="s">
        <v>289</v>
      </c>
      <c r="F5893" t="s">
        <v>129</v>
      </c>
      <c r="G5893">
        <v>4</v>
      </c>
      <c r="H5893" t="s">
        <v>260</v>
      </c>
      <c r="I5893" s="4">
        <f t="shared" si="816"/>
        <v>4</v>
      </c>
      <c r="J5893">
        <f t="shared" si="817"/>
        <v>16</v>
      </c>
      <c r="K5893">
        <v>72</v>
      </c>
      <c r="L5893">
        <v>20</v>
      </c>
      <c r="M5893" s="2">
        <v>3.6</v>
      </c>
      <c r="N5893">
        <v>3.15</v>
      </c>
      <c r="O5893">
        <v>0</v>
      </c>
      <c r="P5893">
        <v>2</v>
      </c>
      <c r="Q5893" t="s">
        <v>559</v>
      </c>
      <c r="R5893" s="8" t="s">
        <v>260</v>
      </c>
      <c r="S5893" t="str">
        <f t="shared" si="815"/>
        <v>PA</v>
      </c>
    </row>
    <row r="5894" spans="1:19" x14ac:dyDescent="0.3">
      <c r="A5894" t="s">
        <v>24</v>
      </c>
      <c r="B5894">
        <v>2016310010</v>
      </c>
      <c r="C5894" t="s">
        <v>339</v>
      </c>
      <c r="E5894" t="s">
        <v>168</v>
      </c>
      <c r="F5894" t="s">
        <v>169</v>
      </c>
      <c r="G5894">
        <v>4</v>
      </c>
      <c r="H5894" t="s">
        <v>260</v>
      </c>
      <c r="I5894" s="4">
        <f t="shared" si="816"/>
        <v>4</v>
      </c>
      <c r="J5894">
        <f t="shared" si="817"/>
        <v>16</v>
      </c>
      <c r="K5894">
        <v>70</v>
      </c>
      <c r="L5894">
        <v>20</v>
      </c>
      <c r="M5894" s="2">
        <v>3.5</v>
      </c>
      <c r="N5894">
        <v>3.15</v>
      </c>
      <c r="O5894">
        <v>0</v>
      </c>
      <c r="P5894">
        <v>1</v>
      </c>
      <c r="Q5894" t="s">
        <v>558</v>
      </c>
      <c r="R5894" s="8" t="s">
        <v>260</v>
      </c>
      <c r="S5894" t="str">
        <f t="shared" si="815"/>
        <v>PA</v>
      </c>
    </row>
    <row r="5895" spans="1:19" x14ac:dyDescent="0.3">
      <c r="A5895" t="s">
        <v>24</v>
      </c>
      <c r="B5895">
        <v>2016310010</v>
      </c>
      <c r="C5895" t="s">
        <v>339</v>
      </c>
      <c r="E5895" t="s">
        <v>128</v>
      </c>
      <c r="F5895" t="s">
        <v>129</v>
      </c>
      <c r="G5895">
        <v>4</v>
      </c>
      <c r="H5895" t="s">
        <v>260</v>
      </c>
      <c r="I5895" s="4">
        <f t="shared" si="816"/>
        <v>4</v>
      </c>
      <c r="J5895">
        <f t="shared" si="817"/>
        <v>16</v>
      </c>
      <c r="K5895">
        <v>70</v>
      </c>
      <c r="L5895">
        <v>20</v>
      </c>
      <c r="M5895" s="2">
        <v>3.5</v>
      </c>
      <c r="N5895">
        <v>3.15</v>
      </c>
      <c r="O5895">
        <v>0</v>
      </c>
      <c r="P5895">
        <v>1</v>
      </c>
      <c r="Q5895" t="s">
        <v>558</v>
      </c>
      <c r="R5895" s="8" t="s">
        <v>260</v>
      </c>
      <c r="S5895" t="str">
        <f t="shared" si="815"/>
        <v>PA</v>
      </c>
    </row>
    <row r="5896" spans="1:19" x14ac:dyDescent="0.3">
      <c r="A5896" t="s">
        <v>24</v>
      </c>
      <c r="B5896">
        <v>2016310010</v>
      </c>
      <c r="C5896" t="s">
        <v>339</v>
      </c>
      <c r="E5896" t="s">
        <v>195</v>
      </c>
      <c r="F5896" t="s">
        <v>196</v>
      </c>
      <c r="G5896">
        <v>4</v>
      </c>
      <c r="H5896" t="s">
        <v>260</v>
      </c>
      <c r="I5896" s="4">
        <f t="shared" si="816"/>
        <v>4</v>
      </c>
      <c r="J5896">
        <f t="shared" si="817"/>
        <v>16</v>
      </c>
      <c r="K5896">
        <v>72</v>
      </c>
      <c r="L5896">
        <v>20</v>
      </c>
      <c r="M5896" s="2">
        <v>3.6</v>
      </c>
      <c r="N5896">
        <v>3.15</v>
      </c>
      <c r="O5896">
        <v>0</v>
      </c>
      <c r="P5896">
        <v>2</v>
      </c>
      <c r="Q5896" t="s">
        <v>559</v>
      </c>
      <c r="R5896" s="8" t="s">
        <v>260</v>
      </c>
      <c r="S5896" t="str">
        <f t="shared" si="815"/>
        <v>PA</v>
      </c>
    </row>
    <row r="5897" spans="1:19" x14ac:dyDescent="0.3">
      <c r="A5897" t="s">
        <v>24</v>
      </c>
      <c r="B5897">
        <v>2016310010</v>
      </c>
      <c r="C5897" t="s">
        <v>339</v>
      </c>
      <c r="E5897" t="s">
        <v>380</v>
      </c>
      <c r="F5897" t="s">
        <v>381</v>
      </c>
      <c r="G5897">
        <v>2</v>
      </c>
      <c r="H5897" t="s">
        <v>260</v>
      </c>
      <c r="I5897" s="4">
        <f t="shared" si="816"/>
        <v>4</v>
      </c>
      <c r="J5897">
        <f t="shared" si="817"/>
        <v>8</v>
      </c>
      <c r="K5897">
        <v>90</v>
      </c>
      <c r="L5897">
        <v>26</v>
      </c>
      <c r="M5897">
        <v>3.46</v>
      </c>
      <c r="N5897">
        <v>3.15</v>
      </c>
      <c r="O5897">
        <v>0</v>
      </c>
      <c r="P5897">
        <v>3</v>
      </c>
      <c r="Q5897" t="s">
        <v>563</v>
      </c>
      <c r="R5897" s="8" t="s">
        <v>260</v>
      </c>
      <c r="S5897" t="str">
        <f t="shared" si="815"/>
        <v>PA</v>
      </c>
    </row>
    <row r="5898" spans="1:19" x14ac:dyDescent="0.3">
      <c r="A5898" t="s">
        <v>24</v>
      </c>
      <c r="B5898">
        <v>2016310010</v>
      </c>
      <c r="C5898" t="s">
        <v>339</v>
      </c>
      <c r="E5898" t="s">
        <v>426</v>
      </c>
      <c r="F5898" t="s">
        <v>307</v>
      </c>
      <c r="G5898">
        <v>2</v>
      </c>
      <c r="H5898" t="s">
        <v>260</v>
      </c>
      <c r="I5898" s="4">
        <f t="shared" si="816"/>
        <v>4</v>
      </c>
      <c r="J5898">
        <f t="shared" si="817"/>
        <v>8</v>
      </c>
      <c r="K5898">
        <v>90</v>
      </c>
      <c r="L5898">
        <v>26</v>
      </c>
      <c r="M5898">
        <v>3.46</v>
      </c>
      <c r="N5898">
        <v>3.15</v>
      </c>
      <c r="O5898">
        <v>0</v>
      </c>
      <c r="P5898">
        <v>3</v>
      </c>
      <c r="Q5898" t="s">
        <v>563</v>
      </c>
      <c r="R5898" s="8" t="s">
        <v>260</v>
      </c>
      <c r="S5898" t="str">
        <f t="shared" si="815"/>
        <v>PA</v>
      </c>
    </row>
    <row r="5899" spans="1:19" x14ac:dyDescent="0.3">
      <c r="A5899" t="s">
        <v>24</v>
      </c>
      <c r="B5899">
        <v>2016310010</v>
      </c>
      <c r="C5899" t="s">
        <v>339</v>
      </c>
      <c r="E5899" t="s">
        <v>145</v>
      </c>
      <c r="F5899" t="s">
        <v>146</v>
      </c>
      <c r="G5899">
        <v>2</v>
      </c>
      <c r="H5899" t="s">
        <v>260</v>
      </c>
      <c r="I5899" s="4">
        <f t="shared" si="816"/>
        <v>4</v>
      </c>
      <c r="J5899">
        <f t="shared" si="817"/>
        <v>8</v>
      </c>
      <c r="K5899">
        <v>70</v>
      </c>
      <c r="L5899">
        <v>20</v>
      </c>
      <c r="M5899" s="2">
        <v>3.5</v>
      </c>
      <c r="N5899">
        <v>3.15</v>
      </c>
      <c r="O5899">
        <v>0</v>
      </c>
      <c r="P5899">
        <v>1</v>
      </c>
      <c r="Q5899" t="s">
        <v>558</v>
      </c>
      <c r="R5899" s="8" t="s">
        <v>260</v>
      </c>
      <c r="S5899" t="str">
        <f t="shared" si="815"/>
        <v>PA</v>
      </c>
    </row>
    <row r="5900" spans="1:19" x14ac:dyDescent="0.3">
      <c r="A5900" t="s">
        <v>24</v>
      </c>
      <c r="B5900">
        <v>2016310010</v>
      </c>
      <c r="C5900" t="s">
        <v>339</v>
      </c>
      <c r="E5900" t="s">
        <v>399</v>
      </c>
      <c r="F5900" t="s">
        <v>400</v>
      </c>
      <c r="G5900">
        <v>4</v>
      </c>
      <c r="H5900" t="s">
        <v>260</v>
      </c>
      <c r="I5900" s="4">
        <f t="shared" si="816"/>
        <v>4</v>
      </c>
      <c r="J5900">
        <f t="shared" si="817"/>
        <v>16</v>
      </c>
      <c r="K5900">
        <v>64</v>
      </c>
      <c r="L5900">
        <v>20</v>
      </c>
      <c r="M5900" s="2">
        <v>3.2</v>
      </c>
      <c r="N5900">
        <v>3.15</v>
      </c>
      <c r="O5900">
        <v>0</v>
      </c>
      <c r="P5900">
        <v>5</v>
      </c>
      <c r="Q5900" t="s">
        <v>585</v>
      </c>
      <c r="R5900" s="8" t="s">
        <v>260</v>
      </c>
      <c r="S5900" t="str">
        <f t="shared" si="815"/>
        <v>PA</v>
      </c>
    </row>
    <row r="5901" spans="1:19" x14ac:dyDescent="0.3">
      <c r="A5901" t="s">
        <v>24</v>
      </c>
      <c r="B5901">
        <v>2016310010</v>
      </c>
      <c r="C5901" t="s">
        <v>339</v>
      </c>
      <c r="E5901" t="s">
        <v>397</v>
      </c>
      <c r="F5901" t="s">
        <v>398</v>
      </c>
      <c r="G5901">
        <v>4</v>
      </c>
      <c r="H5901" t="s">
        <v>260</v>
      </c>
      <c r="I5901" s="4">
        <f t="shared" si="816"/>
        <v>4</v>
      </c>
      <c r="J5901">
        <f t="shared" si="817"/>
        <v>16</v>
      </c>
      <c r="K5901">
        <v>90</v>
      </c>
      <c r="L5901">
        <v>26</v>
      </c>
      <c r="M5901">
        <v>3.46</v>
      </c>
      <c r="N5901">
        <v>3.15</v>
      </c>
      <c r="O5901">
        <v>0</v>
      </c>
      <c r="P5901">
        <v>3</v>
      </c>
      <c r="Q5901" t="s">
        <v>563</v>
      </c>
      <c r="R5901" s="8" t="s">
        <v>260</v>
      </c>
      <c r="S5901" t="str">
        <f t="shared" si="815"/>
        <v>PA</v>
      </c>
    </row>
    <row r="5902" spans="1:19" x14ac:dyDescent="0.3">
      <c r="A5902" t="s">
        <v>24</v>
      </c>
      <c r="B5902">
        <v>2016310010</v>
      </c>
      <c r="C5902" t="s">
        <v>339</v>
      </c>
      <c r="E5902" t="s">
        <v>377</v>
      </c>
      <c r="F5902" t="s">
        <v>378</v>
      </c>
      <c r="G5902">
        <v>2</v>
      </c>
      <c r="H5902" t="s">
        <v>260</v>
      </c>
      <c r="I5902" s="4">
        <f t="shared" si="816"/>
        <v>4</v>
      </c>
      <c r="J5902">
        <f t="shared" si="817"/>
        <v>8</v>
      </c>
      <c r="K5902">
        <v>72</v>
      </c>
      <c r="L5902">
        <v>20</v>
      </c>
      <c r="M5902" s="2">
        <v>3.6</v>
      </c>
      <c r="N5902">
        <v>3.15</v>
      </c>
      <c r="O5902">
        <v>0</v>
      </c>
      <c r="P5902">
        <v>2</v>
      </c>
      <c r="Q5902" t="s">
        <v>559</v>
      </c>
      <c r="R5902" s="8" t="s">
        <v>260</v>
      </c>
      <c r="S5902" t="str">
        <f t="shared" si="815"/>
        <v>PA</v>
      </c>
    </row>
    <row r="5903" spans="1:19" x14ac:dyDescent="0.3">
      <c r="A5903" t="s">
        <v>24</v>
      </c>
      <c r="B5903">
        <v>2016310010</v>
      </c>
      <c r="C5903" t="s">
        <v>339</v>
      </c>
      <c r="E5903" t="s">
        <v>417</v>
      </c>
      <c r="F5903" t="s">
        <v>418</v>
      </c>
      <c r="G5903">
        <v>4</v>
      </c>
      <c r="H5903" t="s">
        <v>260</v>
      </c>
      <c r="I5903" s="4">
        <f t="shared" si="816"/>
        <v>4</v>
      </c>
      <c r="J5903">
        <f t="shared" si="817"/>
        <v>16</v>
      </c>
      <c r="K5903">
        <v>66</v>
      </c>
      <c r="L5903">
        <v>22</v>
      </c>
      <c r="M5903" s="2">
        <v>3</v>
      </c>
      <c r="N5903">
        <v>3.15</v>
      </c>
      <c r="O5903">
        <v>0</v>
      </c>
      <c r="P5903">
        <v>4</v>
      </c>
      <c r="Q5903" t="s">
        <v>565</v>
      </c>
      <c r="R5903" s="8" t="s">
        <v>260</v>
      </c>
      <c r="S5903" t="str">
        <f t="shared" si="815"/>
        <v>PA</v>
      </c>
    </row>
    <row r="5904" spans="1:19" x14ac:dyDescent="0.3">
      <c r="A5904" t="s">
        <v>24</v>
      </c>
      <c r="B5904">
        <v>2016310010</v>
      </c>
      <c r="C5904" t="s">
        <v>339</v>
      </c>
      <c r="E5904" t="s">
        <v>389</v>
      </c>
      <c r="F5904" t="s">
        <v>390</v>
      </c>
      <c r="G5904">
        <v>2</v>
      </c>
      <c r="H5904" t="s">
        <v>260</v>
      </c>
      <c r="I5904" s="4">
        <f t="shared" si="816"/>
        <v>4</v>
      </c>
      <c r="J5904">
        <f t="shared" si="817"/>
        <v>8</v>
      </c>
      <c r="K5904">
        <v>72</v>
      </c>
      <c r="L5904">
        <v>20</v>
      </c>
      <c r="M5904" s="2">
        <v>3.6</v>
      </c>
      <c r="N5904">
        <v>3.15</v>
      </c>
      <c r="O5904">
        <v>0</v>
      </c>
      <c r="P5904">
        <v>2</v>
      </c>
      <c r="Q5904" t="s">
        <v>559</v>
      </c>
      <c r="R5904" s="8" t="s">
        <v>260</v>
      </c>
      <c r="S5904" t="str">
        <f t="shared" si="815"/>
        <v>PA</v>
      </c>
    </row>
    <row r="5905" spans="1:19" x14ac:dyDescent="0.3">
      <c r="A5905" t="s">
        <v>24</v>
      </c>
      <c r="B5905">
        <v>2016310010</v>
      </c>
      <c r="C5905" t="s">
        <v>339</v>
      </c>
      <c r="E5905" t="s">
        <v>444</v>
      </c>
      <c r="F5905" t="s">
        <v>445</v>
      </c>
      <c r="G5905">
        <v>2</v>
      </c>
      <c r="H5905" t="s">
        <v>438</v>
      </c>
      <c r="I5905" s="4">
        <f t="shared" si="816"/>
        <v>3</v>
      </c>
      <c r="J5905">
        <f t="shared" si="817"/>
        <v>6</v>
      </c>
      <c r="K5905">
        <v>66</v>
      </c>
      <c r="L5905">
        <v>22</v>
      </c>
      <c r="M5905" s="2">
        <v>3</v>
      </c>
      <c r="N5905">
        <v>3.15</v>
      </c>
      <c r="O5905">
        <v>0</v>
      </c>
      <c r="P5905">
        <v>4</v>
      </c>
      <c r="Q5905" t="s">
        <v>565</v>
      </c>
      <c r="R5905" s="8" t="s">
        <v>260</v>
      </c>
      <c r="S5905" t="str">
        <f t="shared" si="815"/>
        <v>PA</v>
      </c>
    </row>
    <row r="5906" spans="1:19" x14ac:dyDescent="0.3">
      <c r="A5906" t="s">
        <v>24</v>
      </c>
      <c r="B5906">
        <v>2016310010</v>
      </c>
      <c r="C5906" t="s">
        <v>339</v>
      </c>
      <c r="E5906" t="s">
        <v>455</v>
      </c>
      <c r="F5906" t="s">
        <v>280</v>
      </c>
      <c r="G5906">
        <v>2</v>
      </c>
      <c r="H5906" t="s">
        <v>438</v>
      </c>
      <c r="I5906" s="4">
        <f t="shared" si="816"/>
        <v>3</v>
      </c>
      <c r="J5906">
        <f t="shared" si="817"/>
        <v>6</v>
      </c>
      <c r="K5906">
        <v>72</v>
      </c>
      <c r="L5906">
        <v>20</v>
      </c>
      <c r="M5906" s="2">
        <v>3.6</v>
      </c>
      <c r="N5906">
        <v>3.15</v>
      </c>
      <c r="O5906">
        <v>0</v>
      </c>
      <c r="P5906">
        <v>2</v>
      </c>
      <c r="Q5906" t="s">
        <v>559</v>
      </c>
      <c r="R5906" s="8" t="s">
        <v>260</v>
      </c>
      <c r="S5906" t="str">
        <f t="shared" si="815"/>
        <v>PA</v>
      </c>
    </row>
    <row r="5907" spans="1:19" x14ac:dyDescent="0.3">
      <c r="A5907" t="s">
        <v>24</v>
      </c>
      <c r="B5907">
        <v>2016310010</v>
      </c>
      <c r="C5907" t="s">
        <v>339</v>
      </c>
      <c r="E5907" t="s">
        <v>26</v>
      </c>
      <c r="F5907" t="s">
        <v>11</v>
      </c>
      <c r="G5907">
        <v>2</v>
      </c>
      <c r="H5907" t="s">
        <v>438</v>
      </c>
      <c r="I5907" s="4">
        <f t="shared" si="816"/>
        <v>3</v>
      </c>
      <c r="J5907">
        <f t="shared" si="817"/>
        <v>6</v>
      </c>
      <c r="K5907">
        <v>54</v>
      </c>
      <c r="L5907">
        <v>18</v>
      </c>
      <c r="M5907" s="2">
        <v>3</v>
      </c>
      <c r="N5907">
        <v>3.15</v>
      </c>
      <c r="O5907">
        <v>0</v>
      </c>
      <c r="P5907">
        <v>6</v>
      </c>
      <c r="Q5907" t="s">
        <v>567</v>
      </c>
      <c r="R5907" s="8" t="s">
        <v>260</v>
      </c>
      <c r="S5907" t="str">
        <f t="shared" si="815"/>
        <v>PA</v>
      </c>
    </row>
    <row r="5908" spans="1:19" x14ac:dyDescent="0.3">
      <c r="A5908" t="s">
        <v>24</v>
      </c>
      <c r="B5908">
        <v>2016310010</v>
      </c>
      <c r="C5908" t="s">
        <v>339</v>
      </c>
      <c r="E5908" t="s">
        <v>461</v>
      </c>
      <c r="F5908" t="s">
        <v>452</v>
      </c>
      <c r="G5908">
        <v>2</v>
      </c>
      <c r="H5908" t="s">
        <v>438</v>
      </c>
      <c r="I5908" s="4">
        <f t="shared" si="816"/>
        <v>3</v>
      </c>
      <c r="J5908">
        <f t="shared" si="817"/>
        <v>6</v>
      </c>
      <c r="K5908">
        <v>66</v>
      </c>
      <c r="L5908">
        <v>22</v>
      </c>
      <c r="M5908" s="2">
        <v>3</v>
      </c>
      <c r="N5908">
        <v>3.15</v>
      </c>
      <c r="O5908">
        <v>0</v>
      </c>
      <c r="P5908">
        <v>4</v>
      </c>
      <c r="Q5908" t="s">
        <v>565</v>
      </c>
      <c r="R5908" s="8" t="s">
        <v>260</v>
      </c>
      <c r="S5908" t="str">
        <f t="shared" si="815"/>
        <v>PA</v>
      </c>
    </row>
    <row r="5909" spans="1:19" x14ac:dyDescent="0.3">
      <c r="A5909" t="s">
        <v>24</v>
      </c>
      <c r="B5909">
        <v>2016310010</v>
      </c>
      <c r="C5909" t="s">
        <v>339</v>
      </c>
      <c r="E5909" t="s">
        <v>453</v>
      </c>
      <c r="F5909" t="s">
        <v>454</v>
      </c>
      <c r="G5909">
        <v>4</v>
      </c>
      <c r="H5909" t="s">
        <v>438</v>
      </c>
      <c r="I5909" s="4">
        <f t="shared" si="816"/>
        <v>3</v>
      </c>
      <c r="J5909">
        <f t="shared" si="817"/>
        <v>12</v>
      </c>
      <c r="K5909">
        <v>46</v>
      </c>
      <c r="L5909">
        <v>18</v>
      </c>
      <c r="M5909" s="2">
        <v>2.56</v>
      </c>
      <c r="N5909">
        <v>3.15</v>
      </c>
      <c r="O5909">
        <v>0</v>
      </c>
      <c r="P5909">
        <v>7</v>
      </c>
      <c r="Q5909" s="4" t="str">
        <f>IF(P5909=1,"2016/2017-Ganjil",IF(P5909=2,"2016/2017-Genap",IF(P5909=3,"2017/2018-Ganjil",IF(P5909=4,"2017/2018-Genap",IF(P5909=5,"2018/2019-Ganjil",IF(P5909=6,"2018/2019-Genap",IF(P5909=7,"2019/2020-Ganjil",IF(P5909=8,"2019/2020-Genap",IF(P5909=9,"2020/2021-Ganjil",IF(P5909=10,"2020/2021-Genap",IF(P5909=11,"2021/2022-Ganjil",IF(P5909=12,"2021/2022-Genap",IF(P5909=13,"2022/2023-Ganjil","2022/2023-Genap")))))))))))))</f>
        <v>2019/2020-Ganjil</v>
      </c>
      <c r="R5909" s="8" t="s">
        <v>260</v>
      </c>
      <c r="S5909" t="str">
        <f t="shared" si="815"/>
        <v>PA</v>
      </c>
    </row>
    <row r="5910" spans="1:19" x14ac:dyDescent="0.3">
      <c r="A5910" t="s">
        <v>24</v>
      </c>
      <c r="B5910">
        <v>2016310010</v>
      </c>
      <c r="C5910" t="s">
        <v>339</v>
      </c>
      <c r="E5910" t="s">
        <v>434</v>
      </c>
      <c r="F5910" t="s">
        <v>435</v>
      </c>
      <c r="G5910">
        <v>2</v>
      </c>
      <c r="H5910" t="s">
        <v>438</v>
      </c>
      <c r="I5910" s="4">
        <f t="shared" si="816"/>
        <v>3</v>
      </c>
      <c r="J5910">
        <f t="shared" si="817"/>
        <v>6</v>
      </c>
      <c r="K5910">
        <v>70</v>
      </c>
      <c r="L5910">
        <v>20</v>
      </c>
      <c r="M5910" s="2">
        <v>3.5</v>
      </c>
      <c r="N5910">
        <v>3.15</v>
      </c>
      <c r="O5910">
        <v>0</v>
      </c>
      <c r="P5910">
        <v>1</v>
      </c>
      <c r="Q5910" t="s">
        <v>558</v>
      </c>
      <c r="R5910" s="8" t="s">
        <v>260</v>
      </c>
      <c r="S5910" t="str">
        <f t="shared" si="815"/>
        <v>PA</v>
      </c>
    </row>
    <row r="5911" spans="1:19" x14ac:dyDescent="0.3">
      <c r="A5911" t="s">
        <v>24</v>
      </c>
      <c r="B5911">
        <v>2016310010</v>
      </c>
      <c r="C5911" t="s">
        <v>339</v>
      </c>
      <c r="E5911" t="s">
        <v>464</v>
      </c>
      <c r="F5911" t="s">
        <v>108</v>
      </c>
      <c r="G5911">
        <v>2</v>
      </c>
      <c r="H5911" t="s">
        <v>438</v>
      </c>
      <c r="I5911" s="4">
        <f t="shared" si="816"/>
        <v>3</v>
      </c>
      <c r="J5911">
        <f t="shared" si="817"/>
        <v>6</v>
      </c>
      <c r="K5911">
        <v>64</v>
      </c>
      <c r="L5911">
        <v>20</v>
      </c>
      <c r="M5911" s="2">
        <v>3.2</v>
      </c>
      <c r="N5911">
        <v>3.15</v>
      </c>
      <c r="O5911">
        <v>0</v>
      </c>
      <c r="P5911">
        <v>5</v>
      </c>
      <c r="Q5911" t="s">
        <v>585</v>
      </c>
      <c r="R5911" s="8" t="s">
        <v>260</v>
      </c>
      <c r="S5911" t="str">
        <f t="shared" si="815"/>
        <v>PA</v>
      </c>
    </row>
    <row r="5912" spans="1:19" x14ac:dyDescent="0.3">
      <c r="A5912" t="s">
        <v>24</v>
      </c>
      <c r="B5912">
        <v>2016310010</v>
      </c>
      <c r="C5912" t="s">
        <v>339</v>
      </c>
      <c r="E5912" t="s">
        <v>469</v>
      </c>
      <c r="F5912" t="s">
        <v>470</v>
      </c>
      <c r="G5912">
        <v>2</v>
      </c>
      <c r="H5912" t="s">
        <v>438</v>
      </c>
      <c r="I5912" s="4">
        <f t="shared" si="816"/>
        <v>3</v>
      </c>
      <c r="J5912">
        <f t="shared" si="817"/>
        <v>6</v>
      </c>
      <c r="K5912">
        <v>46</v>
      </c>
      <c r="L5912">
        <v>18</v>
      </c>
      <c r="M5912" s="2">
        <v>2.56</v>
      </c>
      <c r="N5912">
        <v>3.15</v>
      </c>
      <c r="O5912">
        <v>0</v>
      </c>
      <c r="P5912">
        <v>7</v>
      </c>
      <c r="Q5912" s="4" t="str">
        <f>IF(P5912=1,"2016/2017-Ganjil",IF(P5912=2,"2016/2017-Genap",IF(P5912=3,"2017/2018-Ganjil",IF(P5912=4,"2017/2018-Genap",IF(P5912=5,"2018/2019-Ganjil",IF(P5912=6,"2018/2019-Genap",IF(P5912=7,"2019/2020-Ganjil",IF(P5912=8,"2019/2020-Genap",IF(P5912=9,"2020/2021-Ganjil",IF(P5912=10,"2020/2021-Genap",IF(P5912=11,"2021/2022-Ganjil",IF(P5912=12,"2021/2022-Genap",IF(P5912=13,"2022/2023-Ganjil","2022/2023-Genap")))))))))))))</f>
        <v>2019/2020-Ganjil</v>
      </c>
      <c r="R5912" s="8" t="s">
        <v>260</v>
      </c>
      <c r="S5912" t="str">
        <f t="shared" si="815"/>
        <v>PA</v>
      </c>
    </row>
    <row r="5913" spans="1:19" x14ac:dyDescent="0.3">
      <c r="A5913" t="s">
        <v>24</v>
      </c>
      <c r="B5913">
        <v>2016310010</v>
      </c>
      <c r="C5913" t="s">
        <v>339</v>
      </c>
      <c r="E5913" t="s">
        <v>478</v>
      </c>
      <c r="F5913" t="s">
        <v>375</v>
      </c>
      <c r="G5913">
        <v>2</v>
      </c>
      <c r="H5913" t="s">
        <v>438</v>
      </c>
      <c r="I5913" s="4">
        <f t="shared" si="816"/>
        <v>3</v>
      </c>
      <c r="J5913">
        <f t="shared" si="817"/>
        <v>6</v>
      </c>
      <c r="K5913">
        <v>64</v>
      </c>
      <c r="L5913">
        <v>20</v>
      </c>
      <c r="M5913" s="2">
        <v>3.2</v>
      </c>
      <c r="N5913">
        <v>3.15</v>
      </c>
      <c r="O5913">
        <v>0</v>
      </c>
      <c r="P5913">
        <v>5</v>
      </c>
      <c r="Q5913" t="s">
        <v>585</v>
      </c>
      <c r="R5913" s="8" t="s">
        <v>260</v>
      </c>
      <c r="S5913" t="str">
        <f t="shared" ref="S5913:S5944" si="818">IF(OR(H5913="A",H5913="B",H5913="C"),"PA","FA")</f>
        <v>PA</v>
      </c>
    </row>
    <row r="5914" spans="1:19" x14ac:dyDescent="0.3">
      <c r="A5914" t="s">
        <v>24</v>
      </c>
      <c r="B5914">
        <v>2016310010</v>
      </c>
      <c r="C5914" t="s">
        <v>339</v>
      </c>
      <c r="E5914" t="s">
        <v>441</v>
      </c>
      <c r="F5914" t="s">
        <v>442</v>
      </c>
      <c r="G5914">
        <v>4</v>
      </c>
      <c r="H5914" t="s">
        <v>438</v>
      </c>
      <c r="I5914" s="4">
        <f t="shared" ref="I5914:I5944" si="819">IF(H5914="A",4,IF(H5914="B",3,IF(H5914="C",2,IF(H5914="D",1,0))))</f>
        <v>3</v>
      </c>
      <c r="J5914">
        <f t="shared" ref="J5914:J5944" si="820">G5914*I5914</f>
        <v>12</v>
      </c>
      <c r="K5914">
        <v>90</v>
      </c>
      <c r="L5914">
        <v>26</v>
      </c>
      <c r="M5914" s="2">
        <v>3.46</v>
      </c>
      <c r="N5914">
        <v>3.15</v>
      </c>
      <c r="O5914">
        <v>0</v>
      </c>
      <c r="P5914">
        <v>3</v>
      </c>
      <c r="Q5914" s="4" t="str">
        <f>IF(P5914=1,"2016/2017-Ganjil",IF(P5914=2,"2016/2017-Genap",IF(P5914=3,"2017/2018-Ganjil",IF(P5914=4,"2017/2018-Genap",IF(P5914=5,"2018/2019-Ganjil",IF(P5914=6,"2018/2019-Genap",IF(P5914=7,"2019/2020-Ganjil",IF(P5914=8,"2019/2020-Genap",IF(P5914=9,"2020/2021-Ganjil",IF(P5914=10,"2020/2021-Genap",IF(P5914=11,"2021/2022-Ganjil",IF(P5914=12,"2021/2022-Genap",IF(P5914=13,"2022/2023-Ganjil","2022/2023-Genap")))))))))))))</f>
        <v>2017/2018-Ganjil</v>
      </c>
      <c r="R5914" s="8" t="s">
        <v>260</v>
      </c>
      <c r="S5914" t="str">
        <f t="shared" si="818"/>
        <v>PA</v>
      </c>
    </row>
    <row r="5915" spans="1:19" x14ac:dyDescent="0.3">
      <c r="A5915" t="s">
        <v>24</v>
      </c>
      <c r="B5915">
        <v>2016310010</v>
      </c>
      <c r="C5915" t="s">
        <v>339</v>
      </c>
      <c r="E5915" t="s">
        <v>84</v>
      </c>
      <c r="F5915" t="s">
        <v>85</v>
      </c>
      <c r="G5915">
        <v>2</v>
      </c>
      <c r="H5915" t="s">
        <v>438</v>
      </c>
      <c r="I5915" s="4">
        <f t="shared" si="819"/>
        <v>3</v>
      </c>
      <c r="J5915">
        <f t="shared" si="820"/>
        <v>6</v>
      </c>
      <c r="K5915">
        <v>70</v>
      </c>
      <c r="L5915">
        <v>20</v>
      </c>
      <c r="M5915" s="2">
        <v>3.5</v>
      </c>
      <c r="N5915">
        <v>3.15</v>
      </c>
      <c r="O5915">
        <v>0</v>
      </c>
      <c r="P5915">
        <v>1</v>
      </c>
      <c r="Q5915" t="s">
        <v>558</v>
      </c>
      <c r="R5915" s="8" t="s">
        <v>260</v>
      </c>
      <c r="S5915" t="str">
        <f t="shared" si="818"/>
        <v>PA</v>
      </c>
    </row>
    <row r="5916" spans="1:19" x14ac:dyDescent="0.3">
      <c r="A5916" t="s">
        <v>24</v>
      </c>
      <c r="B5916">
        <v>2016310010</v>
      </c>
      <c r="C5916" t="s">
        <v>339</v>
      </c>
      <c r="E5916" t="s">
        <v>149</v>
      </c>
      <c r="F5916" t="s">
        <v>150</v>
      </c>
      <c r="G5916">
        <v>2</v>
      </c>
      <c r="H5916" t="s">
        <v>438</v>
      </c>
      <c r="I5916" s="4">
        <f t="shared" si="819"/>
        <v>3</v>
      </c>
      <c r="J5916">
        <f t="shared" si="820"/>
        <v>6</v>
      </c>
      <c r="K5916">
        <v>64</v>
      </c>
      <c r="L5916">
        <v>20</v>
      </c>
      <c r="M5916" s="2">
        <v>3.2</v>
      </c>
      <c r="N5916">
        <v>3.15</v>
      </c>
      <c r="O5916">
        <v>0</v>
      </c>
      <c r="P5916">
        <v>5</v>
      </c>
      <c r="Q5916" t="s">
        <v>585</v>
      </c>
      <c r="R5916" s="8" t="s">
        <v>260</v>
      </c>
      <c r="S5916" t="str">
        <f t="shared" si="818"/>
        <v>PA</v>
      </c>
    </row>
    <row r="5917" spans="1:19" x14ac:dyDescent="0.3">
      <c r="A5917" t="s">
        <v>24</v>
      </c>
      <c r="B5917">
        <v>2016310010</v>
      </c>
      <c r="C5917" t="s">
        <v>339</v>
      </c>
      <c r="E5917" t="s">
        <v>480</v>
      </c>
      <c r="F5917" t="s">
        <v>481</v>
      </c>
      <c r="G5917">
        <v>2</v>
      </c>
      <c r="H5917" t="s">
        <v>438</v>
      </c>
      <c r="I5917" s="4">
        <f t="shared" si="819"/>
        <v>3</v>
      </c>
      <c r="J5917">
        <f t="shared" si="820"/>
        <v>6</v>
      </c>
      <c r="K5917">
        <v>90</v>
      </c>
      <c r="L5917">
        <v>26</v>
      </c>
      <c r="M5917">
        <v>3.46</v>
      </c>
      <c r="N5917">
        <v>3.15</v>
      </c>
      <c r="O5917">
        <v>0</v>
      </c>
      <c r="P5917">
        <v>3</v>
      </c>
      <c r="Q5917" t="s">
        <v>563</v>
      </c>
      <c r="R5917" s="8" t="s">
        <v>260</v>
      </c>
      <c r="S5917" t="str">
        <f t="shared" si="818"/>
        <v>PA</v>
      </c>
    </row>
    <row r="5918" spans="1:19" x14ac:dyDescent="0.3">
      <c r="A5918" t="s">
        <v>24</v>
      </c>
      <c r="B5918">
        <v>2016310010</v>
      </c>
      <c r="C5918" t="s">
        <v>339</v>
      </c>
      <c r="E5918" t="s">
        <v>365</v>
      </c>
      <c r="F5918" t="s">
        <v>366</v>
      </c>
      <c r="G5918">
        <v>2</v>
      </c>
      <c r="H5918" t="s">
        <v>438</v>
      </c>
      <c r="I5918" s="4">
        <f t="shared" si="819"/>
        <v>3</v>
      </c>
      <c r="J5918">
        <f t="shared" si="820"/>
        <v>6</v>
      </c>
      <c r="K5918">
        <v>64</v>
      </c>
      <c r="L5918">
        <v>20</v>
      </c>
      <c r="M5918" s="2">
        <v>3.2</v>
      </c>
      <c r="N5918">
        <v>3.15</v>
      </c>
      <c r="O5918">
        <v>0</v>
      </c>
      <c r="P5918">
        <v>5</v>
      </c>
      <c r="Q5918" t="s">
        <v>585</v>
      </c>
      <c r="R5918" s="8" t="s">
        <v>260</v>
      </c>
      <c r="S5918" t="str">
        <f t="shared" si="818"/>
        <v>PA</v>
      </c>
    </row>
    <row r="5919" spans="1:19" x14ac:dyDescent="0.3">
      <c r="A5919" t="s">
        <v>24</v>
      </c>
      <c r="B5919">
        <v>2016310010</v>
      </c>
      <c r="C5919" t="s">
        <v>339</v>
      </c>
      <c r="E5919" t="s">
        <v>411</v>
      </c>
      <c r="F5919" t="s">
        <v>498</v>
      </c>
      <c r="G5919">
        <v>4</v>
      </c>
      <c r="H5919" t="s">
        <v>438</v>
      </c>
      <c r="I5919" s="4">
        <f t="shared" si="819"/>
        <v>3</v>
      </c>
      <c r="J5919">
        <f t="shared" si="820"/>
        <v>12</v>
      </c>
      <c r="K5919">
        <v>90</v>
      </c>
      <c r="L5919">
        <v>26</v>
      </c>
      <c r="M5919">
        <v>3.46</v>
      </c>
      <c r="N5919">
        <v>3.15</v>
      </c>
      <c r="O5919">
        <v>0</v>
      </c>
      <c r="P5919">
        <v>3</v>
      </c>
      <c r="Q5919" t="s">
        <v>563</v>
      </c>
      <c r="R5919" s="8" t="s">
        <v>260</v>
      </c>
      <c r="S5919" t="str">
        <f t="shared" si="818"/>
        <v>PA</v>
      </c>
    </row>
    <row r="5920" spans="1:19" x14ac:dyDescent="0.3">
      <c r="A5920" t="s">
        <v>24</v>
      </c>
      <c r="B5920">
        <v>2016310010</v>
      </c>
      <c r="C5920" t="s">
        <v>339</v>
      </c>
      <c r="E5920" t="s">
        <v>462</v>
      </c>
      <c r="F5920" t="s">
        <v>291</v>
      </c>
      <c r="G5920">
        <v>2</v>
      </c>
      <c r="H5920" t="s">
        <v>438</v>
      </c>
      <c r="I5920" s="4">
        <f t="shared" si="819"/>
        <v>3</v>
      </c>
      <c r="J5920">
        <f t="shared" si="820"/>
        <v>6</v>
      </c>
      <c r="K5920">
        <v>72</v>
      </c>
      <c r="L5920">
        <v>20</v>
      </c>
      <c r="M5920" s="2">
        <v>3.6</v>
      </c>
      <c r="N5920">
        <v>3.15</v>
      </c>
      <c r="O5920">
        <v>0</v>
      </c>
      <c r="P5920">
        <v>2</v>
      </c>
      <c r="Q5920" t="s">
        <v>559</v>
      </c>
      <c r="R5920" s="8" t="s">
        <v>260</v>
      </c>
      <c r="S5920" t="str">
        <f t="shared" si="818"/>
        <v>PA</v>
      </c>
    </row>
    <row r="5921" spans="1:19" x14ac:dyDescent="0.3">
      <c r="A5921" t="s">
        <v>24</v>
      </c>
      <c r="B5921">
        <v>2016310010</v>
      </c>
      <c r="C5921" t="s">
        <v>339</v>
      </c>
      <c r="E5921" t="s">
        <v>430</v>
      </c>
      <c r="F5921" t="s">
        <v>431</v>
      </c>
      <c r="G5921">
        <v>2</v>
      </c>
      <c r="H5921" t="s">
        <v>438</v>
      </c>
      <c r="I5921" s="4">
        <f t="shared" si="819"/>
        <v>3</v>
      </c>
      <c r="J5921">
        <f t="shared" si="820"/>
        <v>6</v>
      </c>
      <c r="K5921">
        <v>54</v>
      </c>
      <c r="L5921">
        <v>18</v>
      </c>
      <c r="M5921" s="2">
        <v>3</v>
      </c>
      <c r="N5921">
        <v>3.15</v>
      </c>
      <c r="O5921">
        <v>0</v>
      </c>
      <c r="P5921">
        <v>6</v>
      </c>
      <c r="Q5921" t="s">
        <v>567</v>
      </c>
      <c r="R5921" s="8" t="s">
        <v>260</v>
      </c>
      <c r="S5921" t="str">
        <f t="shared" si="818"/>
        <v>PA</v>
      </c>
    </row>
    <row r="5922" spans="1:19" x14ac:dyDescent="0.3">
      <c r="A5922" t="s">
        <v>24</v>
      </c>
      <c r="B5922">
        <v>2016310010</v>
      </c>
      <c r="C5922" t="s">
        <v>339</v>
      </c>
      <c r="E5922" t="s">
        <v>379</v>
      </c>
      <c r="F5922" t="s">
        <v>137</v>
      </c>
      <c r="G5922">
        <v>4</v>
      </c>
      <c r="H5922" t="s">
        <v>438</v>
      </c>
      <c r="I5922" s="4">
        <f t="shared" si="819"/>
        <v>3</v>
      </c>
      <c r="J5922">
        <f t="shared" si="820"/>
        <v>12</v>
      </c>
      <c r="K5922">
        <v>66</v>
      </c>
      <c r="L5922">
        <v>22</v>
      </c>
      <c r="M5922" s="2">
        <v>3</v>
      </c>
      <c r="N5922">
        <v>3.15</v>
      </c>
      <c r="O5922">
        <v>0</v>
      </c>
      <c r="P5922">
        <v>4</v>
      </c>
      <c r="Q5922" t="s">
        <v>565</v>
      </c>
      <c r="R5922" s="8" t="s">
        <v>260</v>
      </c>
      <c r="S5922" t="str">
        <f t="shared" si="818"/>
        <v>PA</v>
      </c>
    </row>
    <row r="5923" spans="1:19" x14ac:dyDescent="0.3">
      <c r="A5923" t="s">
        <v>24</v>
      </c>
      <c r="B5923">
        <v>2016310010</v>
      </c>
      <c r="C5923" t="s">
        <v>339</v>
      </c>
      <c r="E5923" t="s">
        <v>456</v>
      </c>
      <c r="F5923" t="s">
        <v>457</v>
      </c>
      <c r="G5923">
        <v>2</v>
      </c>
      <c r="H5923" t="s">
        <v>438</v>
      </c>
      <c r="I5923" s="4">
        <f t="shared" si="819"/>
        <v>3</v>
      </c>
      <c r="J5923">
        <f t="shared" si="820"/>
        <v>6</v>
      </c>
      <c r="K5923">
        <v>72</v>
      </c>
      <c r="L5923">
        <v>20</v>
      </c>
      <c r="M5923" s="2">
        <v>3.6</v>
      </c>
      <c r="N5923">
        <v>3.15</v>
      </c>
      <c r="O5923">
        <v>0</v>
      </c>
      <c r="P5923">
        <v>2</v>
      </c>
      <c r="Q5923" t="s">
        <v>559</v>
      </c>
      <c r="R5923" s="8" t="s">
        <v>260</v>
      </c>
      <c r="S5923" t="str">
        <f t="shared" si="818"/>
        <v>PA</v>
      </c>
    </row>
    <row r="5924" spans="1:19" x14ac:dyDescent="0.3">
      <c r="A5924" t="s">
        <v>24</v>
      </c>
      <c r="B5924">
        <v>2016310010</v>
      </c>
      <c r="C5924" t="s">
        <v>339</v>
      </c>
      <c r="E5924" t="s">
        <v>458</v>
      </c>
      <c r="F5924" t="s">
        <v>459</v>
      </c>
      <c r="G5924">
        <v>2</v>
      </c>
      <c r="H5924" t="s">
        <v>438</v>
      </c>
      <c r="I5924" s="4">
        <f t="shared" si="819"/>
        <v>3</v>
      </c>
      <c r="J5924">
        <f t="shared" si="820"/>
        <v>6</v>
      </c>
      <c r="K5924">
        <v>54</v>
      </c>
      <c r="L5924">
        <v>18</v>
      </c>
      <c r="M5924" s="2">
        <v>3</v>
      </c>
      <c r="N5924">
        <v>3.15</v>
      </c>
      <c r="O5924">
        <v>0</v>
      </c>
      <c r="P5924">
        <v>6</v>
      </c>
      <c r="Q5924" t="s">
        <v>567</v>
      </c>
      <c r="R5924" s="8" t="s">
        <v>260</v>
      </c>
      <c r="S5924" t="str">
        <f t="shared" si="818"/>
        <v>PA</v>
      </c>
    </row>
    <row r="5925" spans="1:19" x14ac:dyDescent="0.3">
      <c r="A5925" t="s">
        <v>24</v>
      </c>
      <c r="B5925">
        <v>2016310010</v>
      </c>
      <c r="C5925" t="s">
        <v>339</v>
      </c>
      <c r="E5925" t="s">
        <v>484</v>
      </c>
      <c r="F5925" t="s">
        <v>485</v>
      </c>
      <c r="G5925">
        <v>2</v>
      </c>
      <c r="H5925" t="s">
        <v>438</v>
      </c>
      <c r="I5925" s="4">
        <f t="shared" si="819"/>
        <v>3</v>
      </c>
      <c r="J5925">
        <f t="shared" si="820"/>
        <v>6</v>
      </c>
      <c r="K5925">
        <v>54</v>
      </c>
      <c r="L5925">
        <v>18</v>
      </c>
      <c r="M5925" s="2">
        <v>3</v>
      </c>
      <c r="N5925">
        <v>3.15</v>
      </c>
      <c r="O5925">
        <v>0</v>
      </c>
      <c r="P5925">
        <v>6</v>
      </c>
      <c r="Q5925" t="s">
        <v>567</v>
      </c>
      <c r="R5925" s="8" t="s">
        <v>260</v>
      </c>
      <c r="S5925" t="str">
        <f t="shared" si="818"/>
        <v>PA</v>
      </c>
    </row>
    <row r="5926" spans="1:19" x14ac:dyDescent="0.3">
      <c r="A5926" t="s">
        <v>24</v>
      </c>
      <c r="B5926">
        <v>2016310010</v>
      </c>
      <c r="C5926" t="s">
        <v>339</v>
      </c>
      <c r="E5926" t="s">
        <v>405</v>
      </c>
      <c r="F5926" t="s">
        <v>406</v>
      </c>
      <c r="G5926">
        <v>2</v>
      </c>
      <c r="H5926" t="s">
        <v>438</v>
      </c>
      <c r="I5926" s="4">
        <f t="shared" si="819"/>
        <v>3</v>
      </c>
      <c r="J5926">
        <f t="shared" si="820"/>
        <v>6</v>
      </c>
      <c r="K5926">
        <v>66</v>
      </c>
      <c r="L5926">
        <v>22</v>
      </c>
      <c r="M5926" s="2">
        <v>3</v>
      </c>
      <c r="N5926">
        <v>3.15</v>
      </c>
      <c r="O5926">
        <v>0</v>
      </c>
      <c r="P5926">
        <v>4</v>
      </c>
      <c r="Q5926" t="s">
        <v>565</v>
      </c>
      <c r="R5926" s="8" t="s">
        <v>260</v>
      </c>
      <c r="S5926" t="str">
        <f t="shared" si="818"/>
        <v>PA</v>
      </c>
    </row>
    <row r="5927" spans="1:19" x14ac:dyDescent="0.3">
      <c r="A5927" t="s">
        <v>24</v>
      </c>
      <c r="B5927">
        <v>2016310010</v>
      </c>
      <c r="C5927" t="s">
        <v>339</v>
      </c>
      <c r="E5927" t="s">
        <v>154</v>
      </c>
      <c r="F5927" t="s">
        <v>155</v>
      </c>
      <c r="G5927">
        <v>4</v>
      </c>
      <c r="H5927" t="s">
        <v>438</v>
      </c>
      <c r="I5927" s="4">
        <f t="shared" si="819"/>
        <v>3</v>
      </c>
      <c r="J5927">
        <f t="shared" si="820"/>
        <v>12</v>
      </c>
      <c r="K5927">
        <v>64</v>
      </c>
      <c r="L5927">
        <v>20</v>
      </c>
      <c r="M5927" s="2">
        <v>3.2</v>
      </c>
      <c r="N5927">
        <v>3.15</v>
      </c>
      <c r="O5927">
        <v>0</v>
      </c>
      <c r="P5927">
        <v>5</v>
      </c>
      <c r="Q5927" t="s">
        <v>585</v>
      </c>
      <c r="R5927" s="8" t="s">
        <v>260</v>
      </c>
      <c r="S5927" t="str">
        <f t="shared" si="818"/>
        <v>PA</v>
      </c>
    </row>
    <row r="5928" spans="1:19" x14ac:dyDescent="0.3">
      <c r="A5928" t="s">
        <v>24</v>
      </c>
      <c r="B5928">
        <v>2016310010</v>
      </c>
      <c r="C5928" t="s">
        <v>339</v>
      </c>
      <c r="E5928" t="s">
        <v>443</v>
      </c>
      <c r="F5928" t="s">
        <v>140</v>
      </c>
      <c r="G5928">
        <v>2</v>
      </c>
      <c r="H5928" t="s">
        <v>438</v>
      </c>
      <c r="I5928" s="4">
        <f t="shared" si="819"/>
        <v>3</v>
      </c>
      <c r="J5928">
        <f t="shared" si="820"/>
        <v>6</v>
      </c>
      <c r="K5928">
        <v>46</v>
      </c>
      <c r="L5928">
        <v>18</v>
      </c>
      <c r="M5928" s="2">
        <v>2.56</v>
      </c>
      <c r="N5928">
        <v>3.15</v>
      </c>
      <c r="O5928">
        <v>0</v>
      </c>
      <c r="P5928">
        <v>7</v>
      </c>
      <c r="Q5928" t="s">
        <v>568</v>
      </c>
      <c r="R5928" s="8" t="s">
        <v>260</v>
      </c>
      <c r="S5928" t="str">
        <f t="shared" si="818"/>
        <v>PA</v>
      </c>
    </row>
    <row r="5929" spans="1:19" x14ac:dyDescent="0.3">
      <c r="A5929" t="s">
        <v>24</v>
      </c>
      <c r="B5929">
        <v>2016310010</v>
      </c>
      <c r="C5929" t="s">
        <v>339</v>
      </c>
      <c r="E5929" t="s">
        <v>131</v>
      </c>
      <c r="F5929" t="s">
        <v>132</v>
      </c>
      <c r="G5929">
        <v>2</v>
      </c>
      <c r="H5929" t="s">
        <v>438</v>
      </c>
      <c r="I5929" s="4">
        <f t="shared" si="819"/>
        <v>3</v>
      </c>
      <c r="J5929">
        <f t="shared" si="820"/>
        <v>6</v>
      </c>
      <c r="K5929">
        <v>70</v>
      </c>
      <c r="L5929">
        <v>20</v>
      </c>
      <c r="M5929" s="2">
        <v>3.5</v>
      </c>
      <c r="N5929">
        <v>3.15</v>
      </c>
      <c r="O5929">
        <v>0</v>
      </c>
      <c r="P5929">
        <v>1</v>
      </c>
      <c r="Q5929" t="s">
        <v>558</v>
      </c>
      <c r="R5929" s="8" t="s">
        <v>260</v>
      </c>
      <c r="S5929" t="str">
        <f t="shared" si="818"/>
        <v>PA</v>
      </c>
    </row>
    <row r="5930" spans="1:19" x14ac:dyDescent="0.3">
      <c r="A5930" t="s">
        <v>24</v>
      </c>
      <c r="B5930">
        <v>2016310010</v>
      </c>
      <c r="C5930" t="s">
        <v>339</v>
      </c>
      <c r="E5930" t="s">
        <v>384</v>
      </c>
      <c r="F5930" t="s">
        <v>385</v>
      </c>
      <c r="G5930">
        <v>2</v>
      </c>
      <c r="H5930" t="s">
        <v>438</v>
      </c>
      <c r="I5930" s="4">
        <f t="shared" si="819"/>
        <v>3</v>
      </c>
      <c r="J5930">
        <f t="shared" si="820"/>
        <v>6</v>
      </c>
      <c r="K5930">
        <v>64</v>
      </c>
      <c r="L5930">
        <v>20</v>
      </c>
      <c r="M5930" s="2">
        <v>3.2</v>
      </c>
      <c r="N5930">
        <v>3.15</v>
      </c>
      <c r="O5930">
        <v>0</v>
      </c>
      <c r="P5930">
        <v>5</v>
      </c>
      <c r="Q5930" t="s">
        <v>585</v>
      </c>
      <c r="R5930" s="8" t="s">
        <v>260</v>
      </c>
      <c r="S5930" t="str">
        <f t="shared" si="818"/>
        <v>PA</v>
      </c>
    </row>
    <row r="5931" spans="1:19" x14ac:dyDescent="0.3">
      <c r="A5931" t="s">
        <v>24</v>
      </c>
      <c r="B5931">
        <v>2016310010</v>
      </c>
      <c r="C5931" t="s">
        <v>339</v>
      </c>
      <c r="E5931" t="s">
        <v>482</v>
      </c>
      <c r="F5931" t="s">
        <v>483</v>
      </c>
      <c r="G5931">
        <v>2</v>
      </c>
      <c r="H5931" t="s">
        <v>438</v>
      </c>
      <c r="I5931" s="4">
        <f t="shared" si="819"/>
        <v>3</v>
      </c>
      <c r="J5931">
        <f t="shared" si="820"/>
        <v>6</v>
      </c>
      <c r="K5931">
        <v>46</v>
      </c>
      <c r="L5931">
        <v>18</v>
      </c>
      <c r="M5931" s="2">
        <v>2.56</v>
      </c>
      <c r="N5931">
        <v>3.15</v>
      </c>
      <c r="O5931">
        <v>0</v>
      </c>
      <c r="P5931">
        <v>7</v>
      </c>
      <c r="Q5931" t="s">
        <v>568</v>
      </c>
      <c r="R5931" s="8" t="s">
        <v>260</v>
      </c>
      <c r="S5931" t="str">
        <f t="shared" si="818"/>
        <v>PA</v>
      </c>
    </row>
    <row r="5932" spans="1:19" x14ac:dyDescent="0.3">
      <c r="A5932" t="s">
        <v>24</v>
      </c>
      <c r="B5932">
        <v>2016310010</v>
      </c>
      <c r="C5932" t="s">
        <v>339</v>
      </c>
      <c r="E5932" t="s">
        <v>505</v>
      </c>
      <c r="F5932" t="s">
        <v>506</v>
      </c>
      <c r="G5932">
        <v>2</v>
      </c>
      <c r="H5932" t="s">
        <v>438</v>
      </c>
      <c r="I5932" s="4">
        <f t="shared" si="819"/>
        <v>3</v>
      </c>
      <c r="J5932">
        <f t="shared" si="820"/>
        <v>6</v>
      </c>
      <c r="K5932">
        <v>14</v>
      </c>
      <c r="L5932">
        <v>6</v>
      </c>
      <c r="M5932" s="2">
        <v>2.33</v>
      </c>
      <c r="N5932">
        <v>3.15</v>
      </c>
      <c r="O5932">
        <v>0</v>
      </c>
      <c r="P5932">
        <v>8</v>
      </c>
      <c r="Q5932" t="s">
        <v>569</v>
      </c>
      <c r="R5932" s="8" t="s">
        <v>596</v>
      </c>
      <c r="S5932" t="str">
        <f t="shared" si="818"/>
        <v>PA</v>
      </c>
    </row>
    <row r="5933" spans="1:19" x14ac:dyDescent="0.3">
      <c r="A5933" t="s">
        <v>24</v>
      </c>
      <c r="B5933">
        <v>2016310010</v>
      </c>
      <c r="C5933" t="s">
        <v>339</v>
      </c>
      <c r="E5933" t="s">
        <v>224</v>
      </c>
      <c r="F5933" t="s">
        <v>225</v>
      </c>
      <c r="G5933">
        <v>4</v>
      </c>
      <c r="H5933" t="s">
        <v>438</v>
      </c>
      <c r="I5933" s="4">
        <f t="shared" si="819"/>
        <v>3</v>
      </c>
      <c r="J5933">
        <f t="shared" si="820"/>
        <v>12</v>
      </c>
      <c r="K5933">
        <v>70</v>
      </c>
      <c r="L5933">
        <v>20</v>
      </c>
      <c r="M5933" s="2">
        <v>3.5</v>
      </c>
      <c r="N5933">
        <v>3.15</v>
      </c>
      <c r="O5933">
        <v>0</v>
      </c>
      <c r="P5933">
        <v>1</v>
      </c>
      <c r="Q5933" s="4" t="str">
        <f>IF(P5933=1,"2016/2017-Ganjil",IF(P5933=2,"2016/2017-Genap",IF(P5933=3,"2017/2018-Ganjil",IF(P5933=4,"2017/2018-Genap",IF(P5933=5,"2018/2019-Ganjil",IF(P5933=6,"2018/2019-Genap",IF(P5933=7,"2019/2020-Ganjil",IF(P5933=8,"2019/2020-Genap",IF(P5933=9,"2020/2021-Ganjil",IF(P5933=10,"2020/2021-Genap",IF(P5933=11,"2021/2022-Ganjil",IF(P5933=12,"2021/2022-Genap",IF(P5933=13,"2022/2023-Ganjil","2022/2023-Genap")))))))))))))</f>
        <v>2016/2017-Ganjil</v>
      </c>
      <c r="R5933" s="8" t="s">
        <v>260</v>
      </c>
      <c r="S5933" t="str">
        <f t="shared" si="818"/>
        <v>PA</v>
      </c>
    </row>
    <row r="5934" spans="1:19" x14ac:dyDescent="0.3">
      <c r="A5934" t="s">
        <v>24</v>
      </c>
      <c r="B5934">
        <v>2016310010</v>
      </c>
      <c r="C5934" t="s">
        <v>339</v>
      </c>
      <c r="E5934" t="s">
        <v>476</v>
      </c>
      <c r="F5934" t="s">
        <v>477</v>
      </c>
      <c r="G5934">
        <v>2</v>
      </c>
      <c r="H5934" t="s">
        <v>438</v>
      </c>
      <c r="I5934" s="4">
        <f t="shared" si="819"/>
        <v>3</v>
      </c>
      <c r="J5934">
        <f t="shared" si="820"/>
        <v>6</v>
      </c>
      <c r="K5934">
        <v>64</v>
      </c>
      <c r="L5934">
        <v>20</v>
      </c>
      <c r="M5934" s="2">
        <v>3.2</v>
      </c>
      <c r="N5934">
        <v>3.15</v>
      </c>
      <c r="O5934">
        <v>0</v>
      </c>
      <c r="P5934">
        <v>5</v>
      </c>
      <c r="Q5934" t="s">
        <v>585</v>
      </c>
      <c r="R5934" s="8" t="s">
        <v>260</v>
      </c>
      <c r="S5934" t="str">
        <f t="shared" si="818"/>
        <v>PA</v>
      </c>
    </row>
    <row r="5935" spans="1:19" x14ac:dyDescent="0.3">
      <c r="A5935" t="s">
        <v>24</v>
      </c>
      <c r="B5935">
        <v>2016310010</v>
      </c>
      <c r="C5935" t="s">
        <v>339</v>
      </c>
      <c r="E5935" t="s">
        <v>215</v>
      </c>
      <c r="F5935" t="s">
        <v>186</v>
      </c>
      <c r="G5935">
        <v>4</v>
      </c>
      <c r="H5935" t="s">
        <v>438</v>
      </c>
      <c r="I5935" s="4">
        <f t="shared" si="819"/>
        <v>3</v>
      </c>
      <c r="J5935">
        <f t="shared" si="820"/>
        <v>12</v>
      </c>
      <c r="K5935">
        <v>90</v>
      </c>
      <c r="L5935">
        <v>26</v>
      </c>
      <c r="M5935">
        <v>3.46</v>
      </c>
      <c r="N5935">
        <v>3.15</v>
      </c>
      <c r="O5935">
        <v>0</v>
      </c>
      <c r="P5935">
        <v>3</v>
      </c>
      <c r="Q5935" t="s">
        <v>563</v>
      </c>
      <c r="R5935" s="8" t="s">
        <v>260</v>
      </c>
      <c r="S5935" t="str">
        <f t="shared" si="818"/>
        <v>PA</v>
      </c>
    </row>
    <row r="5936" spans="1:19" x14ac:dyDescent="0.3">
      <c r="A5936" t="s">
        <v>24</v>
      </c>
      <c r="B5936">
        <v>2016310010</v>
      </c>
      <c r="C5936" t="s">
        <v>339</v>
      </c>
      <c r="E5936" t="s">
        <v>486</v>
      </c>
      <c r="F5936" t="s">
        <v>428</v>
      </c>
      <c r="G5936">
        <v>4</v>
      </c>
      <c r="H5936" t="s">
        <v>438</v>
      </c>
      <c r="I5936" s="4">
        <f t="shared" si="819"/>
        <v>3</v>
      </c>
      <c r="J5936">
        <f t="shared" si="820"/>
        <v>12</v>
      </c>
      <c r="K5936">
        <v>54</v>
      </c>
      <c r="L5936">
        <v>18</v>
      </c>
      <c r="M5936" s="2">
        <v>3</v>
      </c>
      <c r="N5936">
        <v>3.15</v>
      </c>
      <c r="O5936">
        <v>0</v>
      </c>
      <c r="P5936">
        <v>6</v>
      </c>
      <c r="Q5936" t="s">
        <v>567</v>
      </c>
      <c r="R5936" s="8" t="s">
        <v>260</v>
      </c>
      <c r="S5936" t="str">
        <f t="shared" si="818"/>
        <v>PA</v>
      </c>
    </row>
    <row r="5937" spans="1:19" x14ac:dyDescent="0.3">
      <c r="A5937" t="s">
        <v>24</v>
      </c>
      <c r="B5937">
        <v>2016310010</v>
      </c>
      <c r="C5937" t="s">
        <v>339</v>
      </c>
      <c r="E5937" t="s">
        <v>490</v>
      </c>
      <c r="F5937" t="s">
        <v>239</v>
      </c>
      <c r="G5937">
        <v>4</v>
      </c>
      <c r="H5937" t="s">
        <v>438</v>
      </c>
      <c r="I5937" s="4">
        <f t="shared" si="819"/>
        <v>3</v>
      </c>
      <c r="J5937">
        <f t="shared" si="820"/>
        <v>12</v>
      </c>
      <c r="K5937">
        <v>54</v>
      </c>
      <c r="L5937">
        <v>18</v>
      </c>
      <c r="M5937" s="2">
        <v>3</v>
      </c>
      <c r="N5937">
        <v>3.15</v>
      </c>
      <c r="O5937">
        <v>0</v>
      </c>
      <c r="P5937">
        <v>6</v>
      </c>
      <c r="Q5937" t="s">
        <v>567</v>
      </c>
      <c r="R5937" s="8" t="s">
        <v>260</v>
      </c>
      <c r="S5937" t="str">
        <f t="shared" si="818"/>
        <v>PA</v>
      </c>
    </row>
    <row r="5938" spans="1:19" x14ac:dyDescent="0.3">
      <c r="A5938" t="s">
        <v>24</v>
      </c>
      <c r="B5938">
        <v>2016310010</v>
      </c>
      <c r="C5938" t="s">
        <v>339</v>
      </c>
      <c r="E5938" t="s">
        <v>494</v>
      </c>
      <c r="F5938" t="s">
        <v>495</v>
      </c>
      <c r="G5938">
        <v>4</v>
      </c>
      <c r="H5938" t="s">
        <v>438</v>
      </c>
      <c r="I5938" s="4">
        <f t="shared" si="819"/>
        <v>3</v>
      </c>
      <c r="J5938">
        <f t="shared" si="820"/>
        <v>12</v>
      </c>
      <c r="K5938">
        <v>66</v>
      </c>
      <c r="L5938">
        <v>22</v>
      </c>
      <c r="M5938" s="2">
        <v>3</v>
      </c>
      <c r="N5938">
        <v>3.15</v>
      </c>
      <c r="O5938">
        <v>0</v>
      </c>
      <c r="P5938">
        <v>4</v>
      </c>
      <c r="Q5938" t="s">
        <v>565</v>
      </c>
      <c r="R5938" s="8" t="s">
        <v>260</v>
      </c>
      <c r="S5938" t="str">
        <f t="shared" si="818"/>
        <v>PA</v>
      </c>
    </row>
    <row r="5939" spans="1:19" x14ac:dyDescent="0.3">
      <c r="A5939" t="s">
        <v>24</v>
      </c>
      <c r="B5939">
        <v>2016310010</v>
      </c>
      <c r="C5939" t="s">
        <v>339</v>
      </c>
      <c r="E5939" t="s">
        <v>422</v>
      </c>
      <c r="F5939" t="s">
        <v>45</v>
      </c>
      <c r="G5939">
        <v>2</v>
      </c>
      <c r="H5939" t="s">
        <v>438</v>
      </c>
      <c r="I5939" s="4">
        <f t="shared" si="819"/>
        <v>3</v>
      </c>
      <c r="J5939">
        <f t="shared" si="820"/>
        <v>6</v>
      </c>
      <c r="K5939">
        <v>72</v>
      </c>
      <c r="L5939">
        <v>20</v>
      </c>
      <c r="M5939" s="2">
        <v>3.6</v>
      </c>
      <c r="N5939">
        <v>3.15</v>
      </c>
      <c r="O5939">
        <v>0</v>
      </c>
      <c r="P5939">
        <v>2</v>
      </c>
      <c r="Q5939" t="s">
        <v>559</v>
      </c>
      <c r="R5939" s="8" t="s">
        <v>260</v>
      </c>
      <c r="S5939" t="str">
        <f t="shared" si="818"/>
        <v>PA</v>
      </c>
    </row>
    <row r="5940" spans="1:19" x14ac:dyDescent="0.3">
      <c r="A5940" t="s">
        <v>24</v>
      </c>
      <c r="B5940">
        <v>2016310010</v>
      </c>
      <c r="C5940" t="s">
        <v>339</v>
      </c>
      <c r="E5940" t="s">
        <v>346</v>
      </c>
      <c r="F5940" t="s">
        <v>347</v>
      </c>
      <c r="G5940">
        <v>2</v>
      </c>
      <c r="H5940" t="s">
        <v>438</v>
      </c>
      <c r="I5940" s="4">
        <f t="shared" si="819"/>
        <v>3</v>
      </c>
      <c r="J5940">
        <f t="shared" si="820"/>
        <v>6</v>
      </c>
      <c r="K5940">
        <v>54</v>
      </c>
      <c r="L5940">
        <v>18</v>
      </c>
      <c r="M5940" s="2">
        <v>3</v>
      </c>
      <c r="N5940">
        <v>3.15</v>
      </c>
      <c r="O5940">
        <v>0</v>
      </c>
      <c r="P5940">
        <v>6</v>
      </c>
      <c r="Q5940" t="s">
        <v>567</v>
      </c>
      <c r="R5940" s="8" t="s">
        <v>260</v>
      </c>
      <c r="S5940" t="str">
        <f t="shared" si="818"/>
        <v>PA</v>
      </c>
    </row>
    <row r="5941" spans="1:19" x14ac:dyDescent="0.3">
      <c r="A5941" t="s">
        <v>24</v>
      </c>
      <c r="B5941">
        <v>2016310010</v>
      </c>
      <c r="C5941" t="s">
        <v>339</v>
      </c>
      <c r="E5941" t="s">
        <v>525</v>
      </c>
      <c r="F5941" t="s">
        <v>20</v>
      </c>
      <c r="G5941">
        <v>4</v>
      </c>
      <c r="H5941" t="s">
        <v>524</v>
      </c>
      <c r="I5941" s="4">
        <f t="shared" si="819"/>
        <v>2</v>
      </c>
      <c r="J5941">
        <f t="shared" si="820"/>
        <v>8</v>
      </c>
      <c r="K5941">
        <v>14</v>
      </c>
      <c r="L5941">
        <v>6</v>
      </c>
      <c r="M5941" s="2">
        <v>2.33</v>
      </c>
      <c r="N5941">
        <v>3.15</v>
      </c>
      <c r="O5941">
        <v>0</v>
      </c>
      <c r="P5941">
        <v>8</v>
      </c>
      <c r="Q5941" t="s">
        <v>569</v>
      </c>
      <c r="R5941" s="8" t="s">
        <v>596</v>
      </c>
      <c r="S5941" t="str">
        <f t="shared" si="818"/>
        <v>PA</v>
      </c>
    </row>
    <row r="5942" spans="1:19" x14ac:dyDescent="0.3">
      <c r="A5942" t="s">
        <v>24</v>
      </c>
      <c r="B5942">
        <v>2016310010</v>
      </c>
      <c r="C5942" t="s">
        <v>339</v>
      </c>
      <c r="E5942" t="s">
        <v>526</v>
      </c>
      <c r="F5942" t="s">
        <v>258</v>
      </c>
      <c r="G5942">
        <v>4</v>
      </c>
      <c r="H5942" t="s">
        <v>524</v>
      </c>
      <c r="I5942" s="4">
        <f t="shared" si="819"/>
        <v>2</v>
      </c>
      <c r="J5942">
        <f t="shared" si="820"/>
        <v>8</v>
      </c>
      <c r="K5942">
        <v>66</v>
      </c>
      <c r="L5942">
        <v>22</v>
      </c>
      <c r="M5942" s="2">
        <v>3</v>
      </c>
      <c r="N5942">
        <v>3.15</v>
      </c>
      <c r="O5942">
        <v>0</v>
      </c>
      <c r="P5942">
        <v>4</v>
      </c>
      <c r="Q5942" t="s">
        <v>565</v>
      </c>
      <c r="R5942" s="8" t="s">
        <v>260</v>
      </c>
      <c r="S5942" t="str">
        <f t="shared" si="818"/>
        <v>PA</v>
      </c>
    </row>
    <row r="5943" spans="1:19" x14ac:dyDescent="0.3">
      <c r="A5943" t="s">
        <v>24</v>
      </c>
      <c r="B5943">
        <v>2016310010</v>
      </c>
      <c r="C5943" t="s">
        <v>339</v>
      </c>
      <c r="E5943" t="s">
        <v>215</v>
      </c>
      <c r="F5943" t="s">
        <v>583</v>
      </c>
      <c r="G5943">
        <v>4</v>
      </c>
      <c r="H5943" t="s">
        <v>524</v>
      </c>
      <c r="I5943" s="4">
        <f t="shared" si="819"/>
        <v>2</v>
      </c>
      <c r="J5943">
        <f t="shared" si="820"/>
        <v>8</v>
      </c>
      <c r="K5943">
        <v>46</v>
      </c>
      <c r="L5943">
        <v>18</v>
      </c>
      <c r="M5943" s="2">
        <v>2.56</v>
      </c>
      <c r="N5943">
        <v>3.15</v>
      </c>
      <c r="O5943">
        <v>0</v>
      </c>
      <c r="P5943">
        <v>7</v>
      </c>
      <c r="Q5943" t="s">
        <v>568</v>
      </c>
      <c r="R5943" s="8" t="s">
        <v>260</v>
      </c>
      <c r="S5943" t="str">
        <f t="shared" si="818"/>
        <v>PA</v>
      </c>
    </row>
    <row r="5944" spans="1:19" x14ac:dyDescent="0.3">
      <c r="A5944" t="s">
        <v>24</v>
      </c>
      <c r="B5944">
        <v>2016310010</v>
      </c>
      <c r="C5944" t="s">
        <v>339</v>
      </c>
      <c r="E5944" t="s">
        <v>516</v>
      </c>
      <c r="F5944" t="s">
        <v>106</v>
      </c>
      <c r="G5944">
        <v>4</v>
      </c>
      <c r="H5944" t="s">
        <v>524</v>
      </c>
      <c r="I5944" s="4">
        <f t="shared" si="819"/>
        <v>2</v>
      </c>
      <c r="J5944">
        <f t="shared" si="820"/>
        <v>8</v>
      </c>
      <c r="K5944">
        <v>46</v>
      </c>
      <c r="L5944">
        <v>18</v>
      </c>
      <c r="M5944" s="2">
        <v>2.56</v>
      </c>
      <c r="N5944">
        <v>3.15</v>
      </c>
      <c r="O5944">
        <v>0</v>
      </c>
      <c r="P5944">
        <v>7</v>
      </c>
      <c r="Q5944" t="s">
        <v>568</v>
      </c>
      <c r="R5944" s="8" t="s">
        <v>260</v>
      </c>
      <c r="S5944" t="str">
        <f t="shared" si="818"/>
        <v>PA</v>
      </c>
    </row>
    <row r="5945" spans="1:19" x14ac:dyDescent="0.3">
      <c r="A5945" t="s">
        <v>24</v>
      </c>
      <c r="B5945">
        <v>2016310011</v>
      </c>
      <c r="C5945" t="s">
        <v>206</v>
      </c>
      <c r="E5945" t="s">
        <v>128</v>
      </c>
      <c r="F5945" t="s">
        <v>129</v>
      </c>
      <c r="G5945">
        <v>4</v>
      </c>
      <c r="I5945" s="4"/>
      <c r="J5945">
        <f>G5945*I5945</f>
        <v>0</v>
      </c>
      <c r="K5945">
        <v>0</v>
      </c>
      <c r="L5945">
        <v>4</v>
      </c>
      <c r="M5945" s="2">
        <v>0</v>
      </c>
      <c r="N5945" s="2">
        <v>0</v>
      </c>
      <c r="O5945">
        <v>0</v>
      </c>
      <c r="P5945">
        <v>1</v>
      </c>
      <c r="Q5945" s="4" t="str">
        <f>IF(P5945=1,"2016/2017-Ganjil",IF(P5945=2,"2016/2017-Genap",IF(P5945=3,"2017/2018-Ganjil",IF(P5945=4,"2017/2018-Genap",IF(P5945=5,"2018/2019-Ganjil",IF(P5945=6,"2018/2019-Genap",IF(P5945=7,"2019/2020-Ganjil",IF(P5945=8,"2019/2020-Genap",IF(P5945=9,"2020/2021-Ganjil",IF(P5945=10,"2020/2021-Genap",IF(P5945=11,"2021/2022-Ganjil",IF(P5945=12,"2021/2022-Genap",IF(P5945=13,"2022/2023-Ganjil","2022/2023-Genap")))))))))))))</f>
        <v>2016/2017-Ganjil</v>
      </c>
      <c r="R5945" s="8" t="s">
        <v>535</v>
      </c>
      <c r="S5945" t="s">
        <v>595</v>
      </c>
    </row>
    <row r="5946" spans="1:19" x14ac:dyDescent="0.3">
      <c r="A5946" t="s">
        <v>24</v>
      </c>
      <c r="B5946">
        <v>2016310011</v>
      </c>
      <c r="C5946" t="s">
        <v>206</v>
      </c>
      <c r="E5946" t="s">
        <v>84</v>
      </c>
      <c r="F5946" t="s">
        <v>85</v>
      </c>
      <c r="G5946">
        <v>2</v>
      </c>
      <c r="I5946" s="4"/>
      <c r="J5946">
        <f t="shared" ref="J5946:J5951" si="821">G5946*I5946</f>
        <v>0</v>
      </c>
      <c r="K5946">
        <v>0</v>
      </c>
      <c r="L5946">
        <v>4</v>
      </c>
      <c r="M5946" s="2">
        <v>0</v>
      </c>
      <c r="N5946" s="2">
        <v>0</v>
      </c>
      <c r="O5946">
        <v>0</v>
      </c>
      <c r="P5946">
        <v>1</v>
      </c>
      <c r="Q5946" s="4" t="str">
        <f t="shared" ref="Q5946:Q5951" si="822">IF(P5946=1,"2016/2017-Ganjil",IF(P5946=2,"2016/2017-Genap",IF(P5946=3,"2017/2018-Ganjil",IF(P5946=4,"2017/2018-Genap",IF(P5946=5,"2018/2019-Ganjil",IF(P5946=6,"2018/2019-Genap",IF(P5946=7,"2019/2020-Ganjil",IF(P5946=8,"2019/2020-Genap",IF(P5946=9,"2020/2021-Ganjil",IF(P5946=10,"2020/2021-Genap",IF(P5946=11,"2021/2022-Ganjil",IF(P5946=12,"2021/2022-Genap",IF(P5946=13,"2022/2023-Ganjil","2022/2023-Genap")))))))))))))</f>
        <v>2016/2017-Ganjil</v>
      </c>
      <c r="R5946" s="8" t="s">
        <v>535</v>
      </c>
      <c r="S5946" t="s">
        <v>595</v>
      </c>
    </row>
    <row r="5947" spans="1:19" x14ac:dyDescent="0.3">
      <c r="A5947" t="s">
        <v>24</v>
      </c>
      <c r="B5947">
        <v>2016310011</v>
      </c>
      <c r="C5947" t="s">
        <v>206</v>
      </c>
      <c r="E5947" t="s">
        <v>168</v>
      </c>
      <c r="F5947" t="s">
        <v>169</v>
      </c>
      <c r="G5947">
        <v>4</v>
      </c>
      <c r="I5947" s="4"/>
      <c r="J5947">
        <f t="shared" si="821"/>
        <v>0</v>
      </c>
      <c r="K5947">
        <v>0</v>
      </c>
      <c r="L5947">
        <v>4</v>
      </c>
      <c r="M5947" s="2">
        <v>0</v>
      </c>
      <c r="N5947" s="2">
        <v>0</v>
      </c>
      <c r="O5947">
        <v>0</v>
      </c>
      <c r="P5947">
        <v>1</v>
      </c>
      <c r="Q5947" s="4" t="str">
        <f t="shared" si="822"/>
        <v>2016/2017-Ganjil</v>
      </c>
      <c r="R5947" s="8" t="s">
        <v>535</v>
      </c>
      <c r="S5947" t="s">
        <v>595</v>
      </c>
    </row>
    <row r="5948" spans="1:19" x14ac:dyDescent="0.3">
      <c r="A5948" t="s">
        <v>24</v>
      </c>
      <c r="B5948">
        <v>2016310011</v>
      </c>
      <c r="C5948" t="s">
        <v>206</v>
      </c>
      <c r="E5948" t="s">
        <v>145</v>
      </c>
      <c r="F5948" t="s">
        <v>146</v>
      </c>
      <c r="G5948">
        <v>2</v>
      </c>
      <c r="I5948" s="4"/>
      <c r="J5948">
        <f t="shared" si="821"/>
        <v>0</v>
      </c>
      <c r="K5948">
        <v>0</v>
      </c>
      <c r="L5948">
        <v>4</v>
      </c>
      <c r="M5948" s="2">
        <v>0</v>
      </c>
      <c r="N5948" s="2">
        <v>0</v>
      </c>
      <c r="O5948">
        <v>0</v>
      </c>
      <c r="P5948">
        <v>1</v>
      </c>
      <c r="Q5948" s="4" t="str">
        <f t="shared" si="822"/>
        <v>2016/2017-Ganjil</v>
      </c>
      <c r="R5948" s="8" t="s">
        <v>535</v>
      </c>
      <c r="S5948" t="s">
        <v>595</v>
      </c>
    </row>
    <row r="5949" spans="1:19" x14ac:dyDescent="0.3">
      <c r="A5949" t="s">
        <v>24</v>
      </c>
      <c r="B5949">
        <v>2016310011</v>
      </c>
      <c r="C5949" t="s">
        <v>206</v>
      </c>
      <c r="E5949" t="s">
        <v>224</v>
      </c>
      <c r="F5949" t="s">
        <v>225</v>
      </c>
      <c r="G5949">
        <v>4</v>
      </c>
      <c r="I5949" s="4"/>
      <c r="J5949">
        <f t="shared" si="821"/>
        <v>0</v>
      </c>
      <c r="K5949">
        <v>0</v>
      </c>
      <c r="L5949">
        <v>4</v>
      </c>
      <c r="M5949" s="2">
        <v>0</v>
      </c>
      <c r="N5949" s="2">
        <v>0</v>
      </c>
      <c r="O5949">
        <v>0</v>
      </c>
      <c r="P5949">
        <v>1</v>
      </c>
      <c r="Q5949" s="4" t="str">
        <f t="shared" si="822"/>
        <v>2016/2017-Ganjil</v>
      </c>
      <c r="R5949" s="8" t="s">
        <v>535</v>
      </c>
      <c r="S5949" t="s">
        <v>595</v>
      </c>
    </row>
    <row r="5950" spans="1:19" x14ac:dyDescent="0.3">
      <c r="A5950" t="s">
        <v>24</v>
      </c>
      <c r="B5950">
        <v>2016310011</v>
      </c>
      <c r="C5950" t="s">
        <v>206</v>
      </c>
      <c r="E5950" t="s">
        <v>434</v>
      </c>
      <c r="F5950" t="s">
        <v>435</v>
      </c>
      <c r="G5950">
        <v>2</v>
      </c>
      <c r="H5950" t="s">
        <v>539</v>
      </c>
      <c r="I5950" s="4">
        <f t="shared" ref="I5950:I5951" si="823">IF(H5950="A",4,IF(H5950="B",3,IF(H5950="C",2,IF(H5950="D",1,0))))</f>
        <v>0</v>
      </c>
      <c r="J5950">
        <f t="shared" si="821"/>
        <v>0</v>
      </c>
      <c r="K5950">
        <v>0</v>
      </c>
      <c r="L5950">
        <v>4</v>
      </c>
      <c r="M5950" s="2">
        <v>0</v>
      </c>
      <c r="N5950" s="2">
        <v>0</v>
      </c>
      <c r="O5950">
        <v>0</v>
      </c>
      <c r="P5950">
        <v>1</v>
      </c>
      <c r="Q5950" s="4" t="str">
        <f t="shared" si="822"/>
        <v>2016/2017-Ganjil</v>
      </c>
      <c r="R5950" s="8" t="s">
        <v>535</v>
      </c>
      <c r="S5950" t="str">
        <f t="shared" ref="S5950:S5951" si="824">IF(OR(H5950="A",H5950="B",H5950="C"),"PA","FA")</f>
        <v>FA</v>
      </c>
    </row>
    <row r="5951" spans="1:19" x14ac:dyDescent="0.3">
      <c r="A5951" t="s">
        <v>24</v>
      </c>
      <c r="B5951">
        <v>2016310011</v>
      </c>
      <c r="C5951" t="s">
        <v>206</v>
      </c>
      <c r="E5951" t="s">
        <v>131</v>
      </c>
      <c r="F5951" t="s">
        <v>132</v>
      </c>
      <c r="G5951">
        <v>2</v>
      </c>
      <c r="H5951" t="s">
        <v>539</v>
      </c>
      <c r="I5951" s="4">
        <f t="shared" si="823"/>
        <v>0</v>
      </c>
      <c r="J5951">
        <f t="shared" si="821"/>
        <v>0</v>
      </c>
      <c r="K5951">
        <v>0</v>
      </c>
      <c r="L5951">
        <v>4</v>
      </c>
      <c r="M5951" s="2">
        <v>0</v>
      </c>
      <c r="N5951" s="2">
        <v>0</v>
      </c>
      <c r="O5951">
        <v>0</v>
      </c>
      <c r="P5951">
        <v>1</v>
      </c>
      <c r="Q5951" s="4" t="str">
        <f t="shared" si="822"/>
        <v>2016/2017-Ganjil</v>
      </c>
      <c r="R5951" s="8" t="s">
        <v>535</v>
      </c>
      <c r="S5951" t="str">
        <f t="shared" si="824"/>
        <v>FA</v>
      </c>
    </row>
    <row r="5952" spans="1:19" x14ac:dyDescent="0.3">
      <c r="A5952" t="s">
        <v>24</v>
      </c>
      <c r="B5952">
        <v>2016310012</v>
      </c>
      <c r="C5952" t="s">
        <v>127</v>
      </c>
      <c r="E5952" t="s">
        <v>128</v>
      </c>
      <c r="F5952" t="s">
        <v>129</v>
      </c>
      <c r="G5952">
        <v>4</v>
      </c>
      <c r="I5952" s="4"/>
      <c r="J5952">
        <f>G5952*I5952</f>
        <v>0</v>
      </c>
      <c r="K5952">
        <v>0</v>
      </c>
      <c r="L5952">
        <v>4</v>
      </c>
      <c r="M5952" s="2">
        <v>0</v>
      </c>
      <c r="N5952" t="s">
        <v>586</v>
      </c>
      <c r="O5952">
        <v>0</v>
      </c>
      <c r="P5952">
        <v>1</v>
      </c>
      <c r="Q5952" s="4" t="str">
        <f>IF(P5952=1,"2016/2017-Ganjil",IF(P5952=2,"2016/2017-Genap",IF(P5952=3,"2017/2018-Ganjil",IF(P5952=4,"2017/2018-Genap",IF(P5952=5,"2018/2019-Ganjil",IF(P5952=6,"2018/2019-Genap",IF(P5952=7,"2019/2020-Ganjil",IF(P5952=8,"2019/2020-Genap",IF(P5952=9,"2020/2021-Ganjil",IF(P5952=10,"2020/2021-Genap",IF(P5952=11,"2021/2022-Ganjil",IF(P5952=12,"2021/2022-Genap",IF(P5952=13,"2022/2023-Ganjil","2022/2023-Genap")))))))))))))</f>
        <v>2016/2017-Ganjil</v>
      </c>
      <c r="R5952" s="8" t="s">
        <v>535</v>
      </c>
      <c r="S5952" t="s">
        <v>595</v>
      </c>
    </row>
    <row r="5953" spans="1:19" x14ac:dyDescent="0.3">
      <c r="A5953" t="s">
        <v>24</v>
      </c>
      <c r="B5953">
        <v>2016310012</v>
      </c>
      <c r="C5953" t="s">
        <v>127</v>
      </c>
      <c r="E5953" t="s">
        <v>84</v>
      </c>
      <c r="F5953" t="s">
        <v>85</v>
      </c>
      <c r="G5953">
        <v>2</v>
      </c>
      <c r="I5953" s="4"/>
      <c r="J5953">
        <f t="shared" ref="J5953:J5957" si="825">G5953*I5953</f>
        <v>0</v>
      </c>
      <c r="K5953">
        <v>0</v>
      </c>
      <c r="L5953">
        <v>4</v>
      </c>
      <c r="M5953" s="2">
        <v>0</v>
      </c>
      <c r="N5953" t="s">
        <v>586</v>
      </c>
      <c r="O5953">
        <v>0</v>
      </c>
      <c r="P5953">
        <v>1</v>
      </c>
      <c r="Q5953" s="4" t="str">
        <f t="shared" ref="Q5953:Q5958" si="826">IF(P5953=1,"2016/2017-Ganjil",IF(P5953=2,"2016/2017-Genap",IF(P5953=3,"2017/2018-Ganjil",IF(P5953=4,"2017/2018-Genap",IF(P5953=5,"2018/2019-Ganjil",IF(P5953=6,"2018/2019-Genap",IF(P5953=7,"2019/2020-Ganjil",IF(P5953=8,"2019/2020-Genap",IF(P5953=9,"2020/2021-Ganjil",IF(P5953=10,"2020/2021-Genap",IF(P5953=11,"2021/2022-Ganjil",IF(P5953=12,"2021/2022-Genap",IF(P5953=13,"2022/2023-Ganjil","2022/2023-Genap")))))))))))))</f>
        <v>2016/2017-Ganjil</v>
      </c>
      <c r="R5953" s="8" t="s">
        <v>535</v>
      </c>
      <c r="S5953" t="s">
        <v>595</v>
      </c>
    </row>
    <row r="5954" spans="1:19" x14ac:dyDescent="0.3">
      <c r="A5954" t="s">
        <v>24</v>
      </c>
      <c r="B5954">
        <v>2016310012</v>
      </c>
      <c r="C5954" t="s">
        <v>127</v>
      </c>
      <c r="E5954" t="s">
        <v>168</v>
      </c>
      <c r="F5954" t="s">
        <v>169</v>
      </c>
      <c r="G5954">
        <v>4</v>
      </c>
      <c r="I5954" s="4"/>
      <c r="J5954">
        <f t="shared" si="825"/>
        <v>0</v>
      </c>
      <c r="K5954">
        <v>0</v>
      </c>
      <c r="L5954">
        <v>4</v>
      </c>
      <c r="M5954" s="2">
        <v>0</v>
      </c>
      <c r="N5954" t="s">
        <v>586</v>
      </c>
      <c r="O5954">
        <v>0</v>
      </c>
      <c r="P5954">
        <v>1</v>
      </c>
      <c r="Q5954" s="4" t="str">
        <f t="shared" si="826"/>
        <v>2016/2017-Ganjil</v>
      </c>
      <c r="R5954" s="8" t="s">
        <v>535</v>
      </c>
      <c r="S5954" t="s">
        <v>595</v>
      </c>
    </row>
    <row r="5955" spans="1:19" x14ac:dyDescent="0.3">
      <c r="A5955" t="s">
        <v>24</v>
      </c>
      <c r="B5955">
        <v>2016310012</v>
      </c>
      <c r="C5955" t="s">
        <v>127</v>
      </c>
      <c r="E5955" t="s">
        <v>145</v>
      </c>
      <c r="F5955" t="s">
        <v>146</v>
      </c>
      <c r="G5955">
        <v>2</v>
      </c>
      <c r="I5955" s="4"/>
      <c r="J5955">
        <f t="shared" si="825"/>
        <v>0</v>
      </c>
      <c r="K5955">
        <v>0</v>
      </c>
      <c r="L5955">
        <v>4</v>
      </c>
      <c r="M5955" s="2">
        <v>0</v>
      </c>
      <c r="N5955" t="s">
        <v>586</v>
      </c>
      <c r="O5955">
        <v>0</v>
      </c>
      <c r="P5955">
        <v>1</v>
      </c>
      <c r="Q5955" s="4" t="str">
        <f t="shared" si="826"/>
        <v>2016/2017-Ganjil</v>
      </c>
      <c r="R5955" s="8" t="s">
        <v>535</v>
      </c>
      <c r="S5955" t="s">
        <v>595</v>
      </c>
    </row>
    <row r="5956" spans="1:19" x14ac:dyDescent="0.3">
      <c r="A5956" t="s">
        <v>24</v>
      </c>
      <c r="B5956">
        <v>2016310012</v>
      </c>
      <c r="C5956" t="s">
        <v>127</v>
      </c>
      <c r="E5956" t="s">
        <v>224</v>
      </c>
      <c r="F5956" t="s">
        <v>225</v>
      </c>
      <c r="G5956">
        <v>4</v>
      </c>
      <c r="I5956" s="4"/>
      <c r="J5956">
        <f t="shared" si="825"/>
        <v>0</v>
      </c>
      <c r="K5956">
        <v>0</v>
      </c>
      <c r="L5956">
        <v>4</v>
      </c>
      <c r="M5956" s="2">
        <v>0</v>
      </c>
      <c r="N5956" t="s">
        <v>586</v>
      </c>
      <c r="O5956">
        <v>0</v>
      </c>
      <c r="P5956">
        <v>1</v>
      </c>
      <c r="Q5956" s="4" t="str">
        <f t="shared" si="826"/>
        <v>2016/2017-Ganjil</v>
      </c>
      <c r="R5956" s="8" t="s">
        <v>535</v>
      </c>
      <c r="S5956" t="s">
        <v>595</v>
      </c>
    </row>
    <row r="5957" spans="1:19" x14ac:dyDescent="0.3">
      <c r="A5957" t="s">
        <v>24</v>
      </c>
      <c r="B5957">
        <v>2016310012</v>
      </c>
      <c r="C5957" t="s">
        <v>127</v>
      </c>
      <c r="E5957" t="s">
        <v>434</v>
      </c>
      <c r="F5957" t="s">
        <v>435</v>
      </c>
      <c r="G5957">
        <v>2</v>
      </c>
      <c r="H5957" t="s">
        <v>539</v>
      </c>
      <c r="I5957" s="4">
        <f t="shared" ref="I5957" si="827">IF(H5957="A",4,IF(H5957="B",3,IF(H5957="C",2,IF(H5957="D",1,0))))</f>
        <v>0</v>
      </c>
      <c r="J5957">
        <f t="shared" si="825"/>
        <v>0</v>
      </c>
      <c r="K5957">
        <v>0</v>
      </c>
      <c r="L5957">
        <v>4</v>
      </c>
      <c r="M5957" s="2">
        <v>0</v>
      </c>
      <c r="N5957" t="s">
        <v>586</v>
      </c>
      <c r="O5957">
        <v>0</v>
      </c>
      <c r="P5957">
        <v>1</v>
      </c>
      <c r="Q5957" s="4" t="str">
        <f t="shared" si="826"/>
        <v>2016/2017-Ganjil</v>
      </c>
      <c r="R5957" s="8" t="s">
        <v>535</v>
      </c>
      <c r="S5957" t="str">
        <f t="shared" ref="S5957:S6012" si="828">IF(OR(H5957="A",H5957="B",H5957="C"),"PA","FA")</f>
        <v>FA</v>
      </c>
    </row>
    <row r="5958" spans="1:19" x14ac:dyDescent="0.3">
      <c r="A5958" t="s">
        <v>24</v>
      </c>
      <c r="B5958">
        <v>2016310012</v>
      </c>
      <c r="C5958" t="s">
        <v>127</v>
      </c>
      <c r="E5958" t="s">
        <v>131</v>
      </c>
      <c r="F5958" t="s">
        <v>132</v>
      </c>
      <c r="G5958">
        <v>2</v>
      </c>
      <c r="H5958" t="s">
        <v>539</v>
      </c>
      <c r="I5958" s="4">
        <f t="shared" ref="I5958:I6012" si="829">IF(H5958="A",4,IF(H5958="B",3,IF(H5958="C",2,IF(H5958="D",1,0))))</f>
        <v>0</v>
      </c>
      <c r="J5958">
        <f t="shared" ref="J5958:J6012" si="830">G5958*I5958</f>
        <v>0</v>
      </c>
      <c r="K5958">
        <v>0</v>
      </c>
      <c r="L5958">
        <v>4</v>
      </c>
      <c r="M5958" s="2">
        <v>0</v>
      </c>
      <c r="N5958" t="s">
        <v>586</v>
      </c>
      <c r="O5958">
        <v>0</v>
      </c>
      <c r="P5958">
        <v>1</v>
      </c>
      <c r="Q5958" s="4" t="str">
        <f t="shared" si="826"/>
        <v>2016/2017-Ganjil</v>
      </c>
      <c r="R5958" s="8" t="s">
        <v>535</v>
      </c>
      <c r="S5958" t="str">
        <f t="shared" si="828"/>
        <v>FA</v>
      </c>
    </row>
    <row r="5959" spans="1:19" x14ac:dyDescent="0.3">
      <c r="A5959" t="s">
        <v>24</v>
      </c>
      <c r="B5959">
        <v>2016310013</v>
      </c>
      <c r="C5959" t="s">
        <v>343</v>
      </c>
      <c r="E5959" t="s">
        <v>486</v>
      </c>
      <c r="F5959" t="s">
        <v>428</v>
      </c>
      <c r="G5959">
        <v>4</v>
      </c>
      <c r="H5959" t="s">
        <v>438</v>
      </c>
      <c r="I5959" s="4">
        <f t="shared" si="829"/>
        <v>3</v>
      </c>
      <c r="J5959">
        <f t="shared" si="830"/>
        <v>12</v>
      </c>
      <c r="K5959">
        <v>58</v>
      </c>
      <c r="L5959">
        <v>18</v>
      </c>
      <c r="M5959" s="2">
        <v>3.22</v>
      </c>
      <c r="N5959">
        <v>3.21</v>
      </c>
      <c r="O5959">
        <v>0</v>
      </c>
      <c r="P5959">
        <v>6</v>
      </c>
      <c r="Q5959" s="4" t="str">
        <f>IF(P5959=1,"2016/2017-Ganjil",IF(P5959=2,"2016/2017-Genap",IF(P5959=3,"2017/2018-Ganjil",IF(P5959=4,"2017/2018-Genap",IF(P5959=5,"2018/2019-Ganjil",IF(P5959=6,"2018/2019-Genap",IF(P5959=7,"2019/2020-Ganjil",IF(P5959=8,"2019/2020-Genap",IF(P5959=9,"2020/2021-Ganjil",IF(P5959=10,"2020/2021-Genap",IF(P5959=11,"2021/2022-Ganjil",IF(P5959=12,"2021/2022-Genap",IF(P5959=13,"2022/2023-Ganjil","2022/2023-Genap")))))))))))))</f>
        <v>2018/2019-Genap</v>
      </c>
      <c r="R5959" s="8" t="s">
        <v>260</v>
      </c>
      <c r="S5959" t="str">
        <f t="shared" si="828"/>
        <v>PA</v>
      </c>
    </row>
    <row r="5960" spans="1:19" x14ac:dyDescent="0.3">
      <c r="A5960" t="s">
        <v>24</v>
      </c>
      <c r="B5960">
        <v>2016310013</v>
      </c>
      <c r="C5960" t="s">
        <v>343</v>
      </c>
      <c r="E5960" t="s">
        <v>490</v>
      </c>
      <c r="F5960" t="s">
        <v>239</v>
      </c>
      <c r="G5960">
        <v>4</v>
      </c>
      <c r="H5960" t="s">
        <v>438</v>
      </c>
      <c r="I5960" s="4">
        <f t="shared" si="829"/>
        <v>3</v>
      </c>
      <c r="J5960">
        <f t="shared" si="830"/>
        <v>12</v>
      </c>
      <c r="K5960">
        <v>58</v>
      </c>
      <c r="L5960">
        <v>18</v>
      </c>
      <c r="M5960" s="2">
        <v>3.22</v>
      </c>
      <c r="N5960">
        <v>3.21</v>
      </c>
      <c r="O5960">
        <v>0</v>
      </c>
      <c r="P5960">
        <v>6</v>
      </c>
      <c r="Q5960" s="4" t="str">
        <f t="shared" ref="Q5960:Q5965" si="831">IF(P5960=1,"2016/2017-Ganjil",IF(P5960=2,"2016/2017-Genap",IF(P5960=3,"2017/2018-Ganjil",IF(P5960=4,"2017/2018-Genap",IF(P5960=5,"2018/2019-Ganjil",IF(P5960=6,"2018/2019-Genap",IF(P5960=7,"2019/2020-Ganjil",IF(P5960=8,"2019/2020-Genap",IF(P5960=9,"2020/2021-Ganjil",IF(P5960=10,"2020/2021-Genap",IF(P5960=11,"2021/2022-Ganjil",IF(P5960=12,"2021/2022-Genap",IF(P5960=13,"2022/2023-Ganjil","2022/2023-Genap")))))))))))))</f>
        <v>2018/2019-Genap</v>
      </c>
      <c r="R5960" s="8" t="s">
        <v>260</v>
      </c>
      <c r="S5960" t="str">
        <f t="shared" si="828"/>
        <v>PA</v>
      </c>
    </row>
    <row r="5961" spans="1:19" x14ac:dyDescent="0.3">
      <c r="A5961" t="s">
        <v>24</v>
      </c>
      <c r="B5961">
        <v>2016310013</v>
      </c>
      <c r="C5961" t="s">
        <v>343</v>
      </c>
      <c r="E5961" t="s">
        <v>458</v>
      </c>
      <c r="F5961" t="s">
        <v>459</v>
      </c>
      <c r="G5961">
        <v>2</v>
      </c>
      <c r="H5961" t="s">
        <v>438</v>
      </c>
      <c r="I5961" s="4">
        <f t="shared" si="829"/>
        <v>3</v>
      </c>
      <c r="J5961">
        <f t="shared" si="830"/>
        <v>6</v>
      </c>
      <c r="K5961">
        <v>58</v>
      </c>
      <c r="L5961">
        <v>18</v>
      </c>
      <c r="M5961" s="2">
        <v>3.22</v>
      </c>
      <c r="N5961">
        <v>3.21</v>
      </c>
      <c r="O5961">
        <v>0</v>
      </c>
      <c r="P5961">
        <v>6</v>
      </c>
      <c r="Q5961" s="4" t="str">
        <f t="shared" si="831"/>
        <v>2018/2019-Genap</v>
      </c>
      <c r="R5961" s="8" t="s">
        <v>260</v>
      </c>
      <c r="S5961" t="str">
        <f t="shared" si="828"/>
        <v>PA</v>
      </c>
    </row>
    <row r="5962" spans="1:19" x14ac:dyDescent="0.3">
      <c r="A5962" t="s">
        <v>24</v>
      </c>
      <c r="B5962">
        <v>2016310013</v>
      </c>
      <c r="C5962" t="s">
        <v>343</v>
      </c>
      <c r="E5962" t="s">
        <v>484</v>
      </c>
      <c r="F5962" t="s">
        <v>485</v>
      </c>
      <c r="G5962">
        <v>2</v>
      </c>
      <c r="H5962" t="s">
        <v>438</v>
      </c>
      <c r="I5962" s="4">
        <f t="shared" si="829"/>
        <v>3</v>
      </c>
      <c r="J5962">
        <f t="shared" si="830"/>
        <v>6</v>
      </c>
      <c r="K5962">
        <v>58</v>
      </c>
      <c r="L5962">
        <v>18</v>
      </c>
      <c r="M5962" s="2">
        <v>3.22</v>
      </c>
      <c r="N5962">
        <v>3.21</v>
      </c>
      <c r="O5962">
        <v>0</v>
      </c>
      <c r="P5962">
        <v>6</v>
      </c>
      <c r="Q5962" s="4" t="str">
        <f t="shared" si="831"/>
        <v>2018/2019-Genap</v>
      </c>
      <c r="R5962" s="8" t="s">
        <v>260</v>
      </c>
      <c r="S5962" t="str">
        <f t="shared" si="828"/>
        <v>PA</v>
      </c>
    </row>
    <row r="5963" spans="1:19" x14ac:dyDescent="0.3">
      <c r="A5963" t="s">
        <v>24</v>
      </c>
      <c r="B5963">
        <v>2016310013</v>
      </c>
      <c r="C5963" t="s">
        <v>343</v>
      </c>
      <c r="E5963" t="s">
        <v>346</v>
      </c>
      <c r="F5963" t="s">
        <v>347</v>
      </c>
      <c r="G5963">
        <v>2</v>
      </c>
      <c r="H5963" t="s">
        <v>260</v>
      </c>
      <c r="I5963" s="4">
        <f t="shared" si="829"/>
        <v>4</v>
      </c>
      <c r="J5963">
        <f t="shared" si="830"/>
        <v>8</v>
      </c>
      <c r="K5963">
        <v>58</v>
      </c>
      <c r="L5963">
        <v>18</v>
      </c>
      <c r="M5963" s="2">
        <v>3.22</v>
      </c>
      <c r="N5963">
        <v>3.21</v>
      </c>
      <c r="O5963">
        <v>0</v>
      </c>
      <c r="P5963">
        <v>6</v>
      </c>
      <c r="Q5963" s="4" t="str">
        <f t="shared" si="831"/>
        <v>2018/2019-Genap</v>
      </c>
      <c r="R5963" s="8" t="s">
        <v>260</v>
      </c>
      <c r="S5963" t="str">
        <f t="shared" si="828"/>
        <v>PA</v>
      </c>
    </row>
    <row r="5964" spans="1:19" x14ac:dyDescent="0.3">
      <c r="A5964" t="s">
        <v>24</v>
      </c>
      <c r="B5964">
        <v>2016310013</v>
      </c>
      <c r="C5964" t="s">
        <v>343</v>
      </c>
      <c r="E5964" t="s">
        <v>26</v>
      </c>
      <c r="F5964" t="s">
        <v>11</v>
      </c>
      <c r="G5964">
        <v>2</v>
      </c>
      <c r="H5964" t="s">
        <v>438</v>
      </c>
      <c r="I5964" s="4">
        <f t="shared" si="829"/>
        <v>3</v>
      </c>
      <c r="J5964">
        <f t="shared" si="830"/>
        <v>6</v>
      </c>
      <c r="K5964">
        <v>58</v>
      </c>
      <c r="L5964">
        <v>18</v>
      </c>
      <c r="M5964" s="2">
        <v>3.22</v>
      </c>
      <c r="N5964">
        <v>3.21</v>
      </c>
      <c r="O5964">
        <v>0</v>
      </c>
      <c r="P5964">
        <v>6</v>
      </c>
      <c r="Q5964" s="4" t="str">
        <f t="shared" si="831"/>
        <v>2018/2019-Genap</v>
      </c>
      <c r="R5964" s="8" t="s">
        <v>260</v>
      </c>
      <c r="S5964" t="str">
        <f t="shared" si="828"/>
        <v>PA</v>
      </c>
    </row>
    <row r="5965" spans="1:19" x14ac:dyDescent="0.3">
      <c r="A5965" t="s">
        <v>24</v>
      </c>
      <c r="B5965">
        <v>2016310013</v>
      </c>
      <c r="C5965" t="s">
        <v>343</v>
      </c>
      <c r="E5965" t="s">
        <v>430</v>
      </c>
      <c r="F5965" t="s">
        <v>431</v>
      </c>
      <c r="G5965">
        <v>2</v>
      </c>
      <c r="H5965" t="s">
        <v>260</v>
      </c>
      <c r="I5965" s="4">
        <f t="shared" si="829"/>
        <v>4</v>
      </c>
      <c r="J5965">
        <f t="shared" si="830"/>
        <v>8</v>
      </c>
      <c r="K5965">
        <v>58</v>
      </c>
      <c r="L5965">
        <v>18</v>
      </c>
      <c r="M5965" s="2">
        <v>3.22</v>
      </c>
      <c r="N5965">
        <v>3.21</v>
      </c>
      <c r="O5965">
        <v>0</v>
      </c>
      <c r="P5965">
        <v>6</v>
      </c>
      <c r="Q5965" s="4" t="str">
        <f t="shared" si="831"/>
        <v>2018/2019-Genap</v>
      </c>
      <c r="R5965" s="8" t="s">
        <v>260</v>
      </c>
      <c r="S5965" t="str">
        <f t="shared" si="828"/>
        <v>PA</v>
      </c>
    </row>
    <row r="5966" spans="1:19" x14ac:dyDescent="0.3">
      <c r="A5966" t="s">
        <v>24</v>
      </c>
      <c r="B5966">
        <v>2016310013</v>
      </c>
      <c r="C5966" t="s">
        <v>343</v>
      </c>
      <c r="E5966" t="s">
        <v>128</v>
      </c>
      <c r="F5966" t="s">
        <v>129</v>
      </c>
      <c r="G5966">
        <v>4</v>
      </c>
      <c r="H5966" t="s">
        <v>260</v>
      </c>
      <c r="I5966" s="4">
        <f t="shared" si="829"/>
        <v>4</v>
      </c>
      <c r="J5966">
        <f t="shared" si="830"/>
        <v>16</v>
      </c>
      <c r="K5966">
        <v>68</v>
      </c>
      <c r="L5966">
        <v>20</v>
      </c>
      <c r="M5966" s="2">
        <v>3.4</v>
      </c>
      <c r="N5966">
        <v>3.21</v>
      </c>
      <c r="O5966">
        <v>0</v>
      </c>
      <c r="P5966">
        <v>1</v>
      </c>
      <c r="Q5966" t="s">
        <v>558</v>
      </c>
      <c r="R5966" s="8" t="s">
        <v>260</v>
      </c>
      <c r="S5966" t="str">
        <f t="shared" si="828"/>
        <v>PA</v>
      </c>
    </row>
    <row r="5967" spans="1:19" x14ac:dyDescent="0.3">
      <c r="A5967" t="s">
        <v>24</v>
      </c>
      <c r="B5967">
        <v>2016310013</v>
      </c>
      <c r="C5967" t="s">
        <v>343</v>
      </c>
      <c r="E5967" t="s">
        <v>195</v>
      </c>
      <c r="F5967" t="s">
        <v>196</v>
      </c>
      <c r="G5967">
        <v>4</v>
      </c>
      <c r="H5967" t="s">
        <v>260</v>
      </c>
      <c r="I5967" s="4">
        <f t="shared" si="829"/>
        <v>4</v>
      </c>
      <c r="J5967">
        <f t="shared" si="830"/>
        <v>16</v>
      </c>
      <c r="K5967">
        <v>74</v>
      </c>
      <c r="L5967">
        <v>20</v>
      </c>
      <c r="M5967" s="2">
        <v>3.7</v>
      </c>
      <c r="N5967">
        <v>3.21</v>
      </c>
      <c r="O5967">
        <v>0</v>
      </c>
      <c r="P5967">
        <v>2</v>
      </c>
      <c r="Q5967" t="s">
        <v>559</v>
      </c>
      <c r="R5967" s="8" t="s">
        <v>260</v>
      </c>
      <c r="S5967" t="str">
        <f t="shared" si="828"/>
        <v>PA</v>
      </c>
    </row>
    <row r="5968" spans="1:19" x14ac:dyDescent="0.3">
      <c r="A5968" t="s">
        <v>24</v>
      </c>
      <c r="B5968">
        <v>2016310013</v>
      </c>
      <c r="C5968" t="s">
        <v>343</v>
      </c>
      <c r="E5968" t="s">
        <v>384</v>
      </c>
      <c r="F5968" t="s">
        <v>385</v>
      </c>
      <c r="G5968">
        <v>2</v>
      </c>
      <c r="H5968" t="s">
        <v>260</v>
      </c>
      <c r="I5968" s="4">
        <f t="shared" si="829"/>
        <v>4</v>
      </c>
      <c r="J5968">
        <f t="shared" si="830"/>
        <v>8</v>
      </c>
      <c r="K5968">
        <v>68</v>
      </c>
      <c r="L5968">
        <v>20</v>
      </c>
      <c r="M5968" s="2">
        <v>3.4</v>
      </c>
      <c r="N5968">
        <v>3.21</v>
      </c>
      <c r="O5968">
        <v>0</v>
      </c>
      <c r="P5968">
        <v>5</v>
      </c>
      <c r="Q5968" s="4" t="str">
        <f>IF(P5968=1,"2016/2017-Ganjil",IF(P5968=2,"2016/2017-Genap",IF(P5968=3,"2017/2018-Ganjil",IF(P5968=4,"2017/2018-Genap",IF(P5968=5,"2018/2019-Ganjil",IF(P5968=6,"2018/2019-Genap",IF(P5968=7,"2019/2020-Ganjil",IF(P5968=8,"2019/2020-Genap",IF(P5968=9,"2020/2021-Ganjil",IF(P5968=10,"2020/2021-Genap",IF(P5968=11,"2021/2022-Ganjil",IF(P5968=12,"2021/2022-Genap",IF(P5968=13,"2022/2023-Ganjil","2022/2023-Genap")))))))))))))</f>
        <v>2018/2019-Ganjil</v>
      </c>
      <c r="R5968" s="8" t="s">
        <v>260</v>
      </c>
      <c r="S5968" t="str">
        <f t="shared" si="828"/>
        <v>PA</v>
      </c>
    </row>
    <row r="5969" spans="1:19" x14ac:dyDescent="0.3">
      <c r="A5969" t="s">
        <v>24</v>
      </c>
      <c r="B5969">
        <v>2016310013</v>
      </c>
      <c r="C5969" t="s">
        <v>343</v>
      </c>
      <c r="E5969" t="s">
        <v>289</v>
      </c>
      <c r="F5969" t="s">
        <v>129</v>
      </c>
      <c r="G5969">
        <v>4</v>
      </c>
      <c r="H5969" t="s">
        <v>260</v>
      </c>
      <c r="I5969" s="4">
        <f t="shared" si="829"/>
        <v>4</v>
      </c>
      <c r="J5969">
        <f t="shared" si="830"/>
        <v>16</v>
      </c>
      <c r="K5969">
        <v>74</v>
      </c>
      <c r="L5969">
        <v>20</v>
      </c>
      <c r="M5969" s="2">
        <v>3.7</v>
      </c>
      <c r="N5969">
        <v>3.21</v>
      </c>
      <c r="O5969">
        <v>0</v>
      </c>
      <c r="P5969">
        <v>2</v>
      </c>
      <c r="Q5969" t="s">
        <v>559</v>
      </c>
      <c r="R5969" s="8" t="s">
        <v>260</v>
      </c>
      <c r="S5969" t="str">
        <f t="shared" si="828"/>
        <v>PA</v>
      </c>
    </row>
    <row r="5970" spans="1:19" x14ac:dyDescent="0.3">
      <c r="A5970" t="s">
        <v>24</v>
      </c>
      <c r="B5970">
        <v>2016310013</v>
      </c>
      <c r="C5970" t="s">
        <v>343</v>
      </c>
      <c r="E5970" t="s">
        <v>399</v>
      </c>
      <c r="F5970" t="s">
        <v>400</v>
      </c>
      <c r="G5970">
        <v>4</v>
      </c>
      <c r="H5970" t="s">
        <v>260</v>
      </c>
      <c r="I5970" s="4">
        <f t="shared" si="829"/>
        <v>4</v>
      </c>
      <c r="J5970">
        <f t="shared" si="830"/>
        <v>16</v>
      </c>
      <c r="K5970">
        <v>68</v>
      </c>
      <c r="L5970">
        <v>20</v>
      </c>
      <c r="M5970" s="2">
        <v>3.4</v>
      </c>
      <c r="N5970">
        <v>3.21</v>
      </c>
      <c r="O5970">
        <v>0</v>
      </c>
      <c r="P5970">
        <v>5</v>
      </c>
      <c r="Q5970" t="s">
        <v>566</v>
      </c>
      <c r="R5970" s="8" t="s">
        <v>260</v>
      </c>
      <c r="S5970" t="str">
        <f t="shared" si="828"/>
        <v>PA</v>
      </c>
    </row>
    <row r="5971" spans="1:19" x14ac:dyDescent="0.3">
      <c r="A5971" t="s">
        <v>24</v>
      </c>
      <c r="B5971">
        <v>2016310013</v>
      </c>
      <c r="C5971" t="s">
        <v>343</v>
      </c>
      <c r="E5971" t="s">
        <v>351</v>
      </c>
      <c r="F5971" t="s">
        <v>243</v>
      </c>
      <c r="G5971">
        <v>2</v>
      </c>
      <c r="H5971" t="s">
        <v>260</v>
      </c>
      <c r="I5971" s="4">
        <f t="shared" si="829"/>
        <v>4</v>
      </c>
      <c r="J5971">
        <f t="shared" si="830"/>
        <v>8</v>
      </c>
      <c r="K5971">
        <v>84</v>
      </c>
      <c r="L5971">
        <v>26</v>
      </c>
      <c r="M5971">
        <v>3.23</v>
      </c>
      <c r="N5971">
        <v>3.21</v>
      </c>
      <c r="O5971">
        <v>0</v>
      </c>
      <c r="P5971">
        <v>3</v>
      </c>
      <c r="Q5971" t="s">
        <v>563</v>
      </c>
      <c r="R5971" s="8" t="s">
        <v>260</v>
      </c>
      <c r="S5971" t="str">
        <f t="shared" si="828"/>
        <v>PA</v>
      </c>
    </row>
    <row r="5972" spans="1:19" x14ac:dyDescent="0.3">
      <c r="A5972" t="s">
        <v>24</v>
      </c>
      <c r="B5972">
        <v>2016310013</v>
      </c>
      <c r="C5972" t="s">
        <v>343</v>
      </c>
      <c r="E5972" t="s">
        <v>377</v>
      </c>
      <c r="F5972" t="s">
        <v>378</v>
      </c>
      <c r="G5972">
        <v>2</v>
      </c>
      <c r="H5972" t="s">
        <v>260</v>
      </c>
      <c r="I5972" s="4">
        <f t="shared" si="829"/>
        <v>4</v>
      </c>
      <c r="J5972">
        <f t="shared" si="830"/>
        <v>8</v>
      </c>
      <c r="K5972">
        <v>74</v>
      </c>
      <c r="L5972">
        <v>20</v>
      </c>
      <c r="M5972" s="2">
        <v>3.7</v>
      </c>
      <c r="N5972">
        <v>3.21</v>
      </c>
      <c r="O5972">
        <v>0</v>
      </c>
      <c r="P5972">
        <v>2</v>
      </c>
      <c r="Q5972" t="s">
        <v>559</v>
      </c>
      <c r="R5972" s="8" t="s">
        <v>260</v>
      </c>
      <c r="S5972" t="str">
        <f t="shared" si="828"/>
        <v>PA</v>
      </c>
    </row>
    <row r="5973" spans="1:19" x14ac:dyDescent="0.3">
      <c r="A5973" t="s">
        <v>24</v>
      </c>
      <c r="B5973">
        <v>2016310013</v>
      </c>
      <c r="C5973" t="s">
        <v>343</v>
      </c>
      <c r="E5973" t="s">
        <v>417</v>
      </c>
      <c r="F5973" t="s">
        <v>418</v>
      </c>
      <c r="G5973">
        <v>4</v>
      </c>
      <c r="H5973" t="s">
        <v>260</v>
      </c>
      <c r="I5973" s="4">
        <f t="shared" si="829"/>
        <v>4</v>
      </c>
      <c r="J5973">
        <f t="shared" si="830"/>
        <v>16</v>
      </c>
      <c r="K5973">
        <v>66</v>
      </c>
      <c r="L5973">
        <v>22</v>
      </c>
      <c r="M5973" s="2">
        <v>3</v>
      </c>
      <c r="N5973">
        <v>3.21</v>
      </c>
      <c r="O5973">
        <v>0</v>
      </c>
      <c r="P5973">
        <v>4</v>
      </c>
      <c r="Q5973" t="s">
        <v>565</v>
      </c>
      <c r="R5973" s="8" t="s">
        <v>260</v>
      </c>
      <c r="S5973" t="str">
        <f t="shared" si="828"/>
        <v>PA</v>
      </c>
    </row>
    <row r="5974" spans="1:19" x14ac:dyDescent="0.3">
      <c r="A5974" t="s">
        <v>24</v>
      </c>
      <c r="B5974">
        <v>2016310013</v>
      </c>
      <c r="C5974" t="s">
        <v>343</v>
      </c>
      <c r="E5974" t="s">
        <v>389</v>
      </c>
      <c r="F5974" t="s">
        <v>390</v>
      </c>
      <c r="G5974">
        <v>2</v>
      </c>
      <c r="H5974" t="s">
        <v>260</v>
      </c>
      <c r="I5974" s="4">
        <f t="shared" si="829"/>
        <v>4</v>
      </c>
      <c r="J5974">
        <f t="shared" si="830"/>
        <v>8</v>
      </c>
      <c r="K5974">
        <v>74</v>
      </c>
      <c r="L5974">
        <v>20</v>
      </c>
      <c r="M5974" s="2">
        <v>3.7</v>
      </c>
      <c r="N5974">
        <v>3.21</v>
      </c>
      <c r="O5974">
        <v>0</v>
      </c>
      <c r="P5974">
        <v>2</v>
      </c>
      <c r="Q5974" t="s">
        <v>559</v>
      </c>
      <c r="R5974" s="8" t="s">
        <v>260</v>
      </c>
      <c r="S5974" t="str">
        <f t="shared" si="828"/>
        <v>PA</v>
      </c>
    </row>
    <row r="5975" spans="1:19" x14ac:dyDescent="0.3">
      <c r="A5975" t="s">
        <v>24</v>
      </c>
      <c r="B5975">
        <v>2016310013</v>
      </c>
      <c r="C5975" t="s">
        <v>343</v>
      </c>
      <c r="E5975" t="s">
        <v>422</v>
      </c>
      <c r="F5975" t="s">
        <v>45</v>
      </c>
      <c r="G5975">
        <v>2</v>
      </c>
      <c r="H5975" t="s">
        <v>260</v>
      </c>
      <c r="I5975" s="4">
        <f t="shared" si="829"/>
        <v>4</v>
      </c>
      <c r="J5975">
        <f t="shared" si="830"/>
        <v>8</v>
      </c>
      <c r="K5975">
        <v>74</v>
      </c>
      <c r="L5975">
        <v>20</v>
      </c>
      <c r="M5975" s="2">
        <v>3.7</v>
      </c>
      <c r="N5975">
        <v>3.21</v>
      </c>
      <c r="O5975">
        <v>0</v>
      </c>
      <c r="P5975">
        <v>2</v>
      </c>
      <c r="Q5975" t="s">
        <v>559</v>
      </c>
      <c r="R5975" s="8" t="s">
        <v>260</v>
      </c>
      <c r="S5975" t="str">
        <f t="shared" si="828"/>
        <v>PA</v>
      </c>
    </row>
    <row r="5976" spans="1:19" x14ac:dyDescent="0.3">
      <c r="A5976" t="s">
        <v>24</v>
      </c>
      <c r="B5976">
        <v>2016310013</v>
      </c>
      <c r="C5976" t="s">
        <v>343</v>
      </c>
      <c r="E5976" t="s">
        <v>426</v>
      </c>
      <c r="F5976" t="s">
        <v>307</v>
      </c>
      <c r="G5976">
        <v>2</v>
      </c>
      <c r="H5976" t="s">
        <v>260</v>
      </c>
      <c r="I5976" s="4">
        <f t="shared" si="829"/>
        <v>4</v>
      </c>
      <c r="J5976">
        <f t="shared" si="830"/>
        <v>8</v>
      </c>
      <c r="K5976">
        <v>84</v>
      </c>
      <c r="L5976">
        <v>26</v>
      </c>
      <c r="M5976">
        <v>3.23</v>
      </c>
      <c r="N5976">
        <v>3.21</v>
      </c>
      <c r="O5976">
        <v>0</v>
      </c>
      <c r="P5976">
        <v>3</v>
      </c>
      <c r="Q5976" t="s">
        <v>563</v>
      </c>
      <c r="R5976" s="8" t="s">
        <v>260</v>
      </c>
      <c r="S5976" t="str">
        <f t="shared" si="828"/>
        <v>PA</v>
      </c>
    </row>
    <row r="5977" spans="1:19" x14ac:dyDescent="0.3">
      <c r="A5977" t="s">
        <v>24</v>
      </c>
      <c r="B5977">
        <v>2016310013</v>
      </c>
      <c r="C5977" t="s">
        <v>343</v>
      </c>
      <c r="E5977" t="s">
        <v>397</v>
      </c>
      <c r="F5977" t="s">
        <v>398</v>
      </c>
      <c r="G5977">
        <v>4</v>
      </c>
      <c r="H5977" t="s">
        <v>260</v>
      </c>
      <c r="I5977" s="4">
        <f t="shared" si="829"/>
        <v>4</v>
      </c>
      <c r="J5977">
        <f t="shared" si="830"/>
        <v>16</v>
      </c>
      <c r="K5977">
        <v>84</v>
      </c>
      <c r="L5977">
        <v>26</v>
      </c>
      <c r="M5977">
        <v>3.23</v>
      </c>
      <c r="N5977">
        <v>3.21</v>
      </c>
      <c r="O5977">
        <v>0</v>
      </c>
      <c r="P5977">
        <v>3</v>
      </c>
      <c r="Q5977" t="s">
        <v>563</v>
      </c>
      <c r="R5977" s="8" t="s">
        <v>260</v>
      </c>
      <c r="S5977" t="str">
        <f t="shared" si="828"/>
        <v>PA</v>
      </c>
    </row>
    <row r="5978" spans="1:19" x14ac:dyDescent="0.3">
      <c r="A5978" t="s">
        <v>24</v>
      </c>
      <c r="B5978">
        <v>2016310013</v>
      </c>
      <c r="C5978" t="s">
        <v>343</v>
      </c>
      <c r="E5978" t="s">
        <v>145</v>
      </c>
      <c r="F5978" t="s">
        <v>146</v>
      </c>
      <c r="G5978">
        <v>2</v>
      </c>
      <c r="H5978" t="s">
        <v>260</v>
      </c>
      <c r="I5978" s="4">
        <f t="shared" si="829"/>
        <v>4</v>
      </c>
      <c r="J5978">
        <f t="shared" si="830"/>
        <v>8</v>
      </c>
      <c r="K5978">
        <v>68</v>
      </c>
      <c r="L5978">
        <v>20</v>
      </c>
      <c r="M5978" s="2">
        <v>3.4</v>
      </c>
      <c r="N5978">
        <v>3.21</v>
      </c>
      <c r="O5978">
        <v>0</v>
      </c>
      <c r="P5978">
        <v>1</v>
      </c>
      <c r="Q5978" t="s">
        <v>558</v>
      </c>
      <c r="R5978" s="8" t="s">
        <v>260</v>
      </c>
      <c r="S5978" t="str">
        <f t="shared" si="828"/>
        <v>PA</v>
      </c>
    </row>
    <row r="5979" spans="1:19" x14ac:dyDescent="0.3">
      <c r="A5979" t="s">
        <v>24</v>
      </c>
      <c r="B5979">
        <v>2016310013</v>
      </c>
      <c r="C5979" t="s">
        <v>343</v>
      </c>
      <c r="E5979" t="s">
        <v>149</v>
      </c>
      <c r="F5979" t="s">
        <v>150</v>
      </c>
      <c r="G5979">
        <v>2</v>
      </c>
      <c r="H5979" t="s">
        <v>260</v>
      </c>
      <c r="I5979" s="4">
        <f t="shared" si="829"/>
        <v>4</v>
      </c>
      <c r="J5979">
        <f t="shared" si="830"/>
        <v>8</v>
      </c>
      <c r="K5979">
        <v>68</v>
      </c>
      <c r="L5979">
        <v>20</v>
      </c>
      <c r="M5979" s="2">
        <v>3.4</v>
      </c>
      <c r="N5979">
        <v>3.21</v>
      </c>
      <c r="O5979">
        <v>0</v>
      </c>
      <c r="P5979">
        <v>5</v>
      </c>
      <c r="Q5979" t="s">
        <v>566</v>
      </c>
      <c r="R5979" s="8" t="s">
        <v>260</v>
      </c>
      <c r="S5979" t="str">
        <f t="shared" si="828"/>
        <v>PA</v>
      </c>
    </row>
    <row r="5980" spans="1:19" x14ac:dyDescent="0.3">
      <c r="A5980" t="s">
        <v>24</v>
      </c>
      <c r="B5980">
        <v>2016310013</v>
      </c>
      <c r="C5980" t="s">
        <v>343</v>
      </c>
      <c r="E5980" t="s">
        <v>380</v>
      </c>
      <c r="F5980" t="s">
        <v>381</v>
      </c>
      <c r="G5980">
        <v>2</v>
      </c>
      <c r="H5980" t="s">
        <v>260</v>
      </c>
      <c r="I5980" s="4">
        <f t="shared" si="829"/>
        <v>4</v>
      </c>
      <c r="J5980">
        <f t="shared" si="830"/>
        <v>8</v>
      </c>
      <c r="K5980">
        <v>84</v>
      </c>
      <c r="L5980">
        <v>26</v>
      </c>
      <c r="M5980">
        <v>3.23</v>
      </c>
      <c r="N5980">
        <v>3.21</v>
      </c>
      <c r="O5980">
        <v>0</v>
      </c>
      <c r="P5980">
        <v>3</v>
      </c>
      <c r="Q5980" t="s">
        <v>563</v>
      </c>
      <c r="R5980" s="8" t="s">
        <v>260</v>
      </c>
      <c r="S5980" t="str">
        <f t="shared" si="828"/>
        <v>PA</v>
      </c>
    </row>
    <row r="5981" spans="1:19" x14ac:dyDescent="0.3">
      <c r="A5981" t="s">
        <v>24</v>
      </c>
      <c r="B5981">
        <v>2016310013</v>
      </c>
      <c r="C5981" t="s">
        <v>343</v>
      </c>
      <c r="E5981" t="s">
        <v>434</v>
      </c>
      <c r="F5981" t="s">
        <v>435</v>
      </c>
      <c r="G5981">
        <v>2</v>
      </c>
      <c r="H5981" t="s">
        <v>260</v>
      </c>
      <c r="I5981" s="4">
        <f t="shared" si="829"/>
        <v>4</v>
      </c>
      <c r="J5981">
        <f t="shared" si="830"/>
        <v>8</v>
      </c>
      <c r="K5981">
        <v>68</v>
      </c>
      <c r="L5981">
        <v>20</v>
      </c>
      <c r="M5981" s="2">
        <v>3.4</v>
      </c>
      <c r="N5981">
        <v>3.21</v>
      </c>
      <c r="O5981">
        <v>0</v>
      </c>
      <c r="P5981">
        <v>1</v>
      </c>
      <c r="Q5981" t="s">
        <v>558</v>
      </c>
      <c r="R5981" s="8" t="s">
        <v>260</v>
      </c>
      <c r="S5981" t="str">
        <f t="shared" si="828"/>
        <v>PA</v>
      </c>
    </row>
    <row r="5982" spans="1:19" x14ac:dyDescent="0.3">
      <c r="A5982" t="s">
        <v>24</v>
      </c>
      <c r="B5982">
        <v>2016310013</v>
      </c>
      <c r="C5982" t="s">
        <v>343</v>
      </c>
      <c r="E5982" t="s">
        <v>379</v>
      </c>
      <c r="F5982" t="s">
        <v>137</v>
      </c>
      <c r="G5982">
        <v>4</v>
      </c>
      <c r="H5982" t="s">
        <v>438</v>
      </c>
      <c r="I5982" s="4">
        <f t="shared" si="829"/>
        <v>3</v>
      </c>
      <c r="J5982">
        <f t="shared" si="830"/>
        <v>12</v>
      </c>
      <c r="K5982">
        <v>66</v>
      </c>
      <c r="L5982">
        <v>22</v>
      </c>
      <c r="M5982" s="2">
        <v>3</v>
      </c>
      <c r="N5982">
        <v>3.21</v>
      </c>
      <c r="O5982">
        <v>0</v>
      </c>
      <c r="P5982">
        <v>4</v>
      </c>
      <c r="Q5982" t="s">
        <v>565</v>
      </c>
      <c r="R5982" s="8" t="s">
        <v>260</v>
      </c>
      <c r="S5982" t="str">
        <f t="shared" si="828"/>
        <v>PA</v>
      </c>
    </row>
    <row r="5983" spans="1:19" x14ac:dyDescent="0.3">
      <c r="A5983" t="s">
        <v>24</v>
      </c>
      <c r="B5983">
        <v>2016310013</v>
      </c>
      <c r="C5983" t="s">
        <v>343</v>
      </c>
      <c r="E5983" t="s">
        <v>456</v>
      </c>
      <c r="F5983" t="s">
        <v>457</v>
      </c>
      <c r="G5983">
        <v>2</v>
      </c>
      <c r="H5983" t="s">
        <v>438</v>
      </c>
      <c r="I5983" s="4">
        <f t="shared" si="829"/>
        <v>3</v>
      </c>
      <c r="J5983">
        <f t="shared" si="830"/>
        <v>6</v>
      </c>
      <c r="K5983">
        <v>74</v>
      </c>
      <c r="L5983">
        <v>20</v>
      </c>
      <c r="M5983" s="2">
        <v>3.7</v>
      </c>
      <c r="N5983">
        <v>3.21</v>
      </c>
      <c r="O5983">
        <v>0</v>
      </c>
      <c r="P5983">
        <v>2</v>
      </c>
      <c r="Q5983" t="s">
        <v>559</v>
      </c>
      <c r="R5983" s="8" t="s">
        <v>260</v>
      </c>
      <c r="S5983" t="str">
        <f t="shared" si="828"/>
        <v>PA</v>
      </c>
    </row>
    <row r="5984" spans="1:19" x14ac:dyDescent="0.3">
      <c r="A5984" t="s">
        <v>24</v>
      </c>
      <c r="B5984">
        <v>2016310013</v>
      </c>
      <c r="C5984" t="s">
        <v>343</v>
      </c>
      <c r="E5984" t="s">
        <v>405</v>
      </c>
      <c r="F5984" t="s">
        <v>406</v>
      </c>
      <c r="G5984">
        <v>2</v>
      </c>
      <c r="H5984" t="s">
        <v>438</v>
      </c>
      <c r="I5984" s="4">
        <f t="shared" si="829"/>
        <v>3</v>
      </c>
      <c r="J5984">
        <f t="shared" si="830"/>
        <v>6</v>
      </c>
      <c r="K5984">
        <v>66</v>
      </c>
      <c r="L5984">
        <v>22</v>
      </c>
      <c r="M5984" s="2">
        <v>3</v>
      </c>
      <c r="N5984">
        <v>3.21</v>
      </c>
      <c r="O5984">
        <v>0</v>
      </c>
      <c r="P5984">
        <v>4</v>
      </c>
      <c r="Q5984" t="s">
        <v>565</v>
      </c>
      <c r="R5984" s="8" t="s">
        <v>260</v>
      </c>
      <c r="S5984" t="str">
        <f t="shared" si="828"/>
        <v>PA</v>
      </c>
    </row>
    <row r="5985" spans="1:19" x14ac:dyDescent="0.3">
      <c r="A5985" t="s">
        <v>24</v>
      </c>
      <c r="B5985">
        <v>2016310013</v>
      </c>
      <c r="C5985" t="s">
        <v>343</v>
      </c>
      <c r="E5985" t="s">
        <v>453</v>
      </c>
      <c r="F5985" t="s">
        <v>454</v>
      </c>
      <c r="G5985">
        <v>4</v>
      </c>
      <c r="H5985" t="s">
        <v>438</v>
      </c>
      <c r="I5985" s="4">
        <f t="shared" si="829"/>
        <v>3</v>
      </c>
      <c r="J5985">
        <f t="shared" si="830"/>
        <v>12</v>
      </c>
      <c r="K5985">
        <v>54</v>
      </c>
      <c r="L5985">
        <v>18</v>
      </c>
      <c r="M5985" s="2">
        <v>3</v>
      </c>
      <c r="N5985">
        <v>3.21</v>
      </c>
      <c r="O5985">
        <v>0</v>
      </c>
      <c r="P5985">
        <v>7</v>
      </c>
      <c r="Q5985" t="s">
        <v>568</v>
      </c>
      <c r="R5985" s="8" t="s">
        <v>260</v>
      </c>
      <c r="S5985" t="str">
        <f t="shared" si="828"/>
        <v>PA</v>
      </c>
    </row>
    <row r="5986" spans="1:19" x14ac:dyDescent="0.3">
      <c r="A5986" t="s">
        <v>24</v>
      </c>
      <c r="B5986">
        <v>2016310013</v>
      </c>
      <c r="C5986" t="s">
        <v>343</v>
      </c>
      <c r="E5986" t="s">
        <v>154</v>
      </c>
      <c r="F5986" t="s">
        <v>155</v>
      </c>
      <c r="G5986">
        <v>4</v>
      </c>
      <c r="H5986" t="s">
        <v>438</v>
      </c>
      <c r="I5986" s="4">
        <f t="shared" si="829"/>
        <v>3</v>
      </c>
      <c r="J5986">
        <f t="shared" si="830"/>
        <v>12</v>
      </c>
      <c r="K5986">
        <v>68</v>
      </c>
      <c r="L5986">
        <v>20</v>
      </c>
      <c r="M5986" s="2">
        <v>3.4</v>
      </c>
      <c r="N5986">
        <v>3.21</v>
      </c>
      <c r="O5986">
        <v>0</v>
      </c>
      <c r="P5986">
        <v>5</v>
      </c>
      <c r="Q5986" t="s">
        <v>566</v>
      </c>
      <c r="R5986" s="8" t="s">
        <v>260</v>
      </c>
      <c r="S5986" t="str">
        <f t="shared" si="828"/>
        <v>PA</v>
      </c>
    </row>
    <row r="5987" spans="1:19" x14ac:dyDescent="0.3">
      <c r="A5987" t="s">
        <v>24</v>
      </c>
      <c r="B5987">
        <v>2016310013</v>
      </c>
      <c r="C5987" t="s">
        <v>343</v>
      </c>
      <c r="E5987" t="s">
        <v>441</v>
      </c>
      <c r="F5987" t="s">
        <v>442</v>
      </c>
      <c r="G5987">
        <v>4</v>
      </c>
      <c r="H5987" t="s">
        <v>438</v>
      </c>
      <c r="I5987" s="4">
        <f t="shared" si="829"/>
        <v>3</v>
      </c>
      <c r="J5987">
        <f t="shared" si="830"/>
        <v>12</v>
      </c>
      <c r="K5987">
        <v>84</v>
      </c>
      <c r="L5987">
        <v>26</v>
      </c>
      <c r="M5987">
        <v>3.23</v>
      </c>
      <c r="N5987">
        <v>3.21</v>
      </c>
      <c r="O5987">
        <v>0</v>
      </c>
      <c r="P5987">
        <v>3</v>
      </c>
      <c r="Q5987" t="s">
        <v>563</v>
      </c>
      <c r="R5987" s="8" t="s">
        <v>260</v>
      </c>
      <c r="S5987" t="str">
        <f t="shared" si="828"/>
        <v>PA</v>
      </c>
    </row>
    <row r="5988" spans="1:19" x14ac:dyDescent="0.3">
      <c r="A5988" t="s">
        <v>24</v>
      </c>
      <c r="B5988">
        <v>2016310013</v>
      </c>
      <c r="C5988" t="s">
        <v>343</v>
      </c>
      <c r="E5988" t="s">
        <v>469</v>
      </c>
      <c r="F5988" t="s">
        <v>470</v>
      </c>
      <c r="G5988">
        <v>2</v>
      </c>
      <c r="H5988" t="s">
        <v>438</v>
      </c>
      <c r="I5988" s="4">
        <f t="shared" si="829"/>
        <v>3</v>
      </c>
      <c r="J5988">
        <f t="shared" si="830"/>
        <v>6</v>
      </c>
      <c r="K5988">
        <v>54</v>
      </c>
      <c r="L5988">
        <v>18</v>
      </c>
      <c r="M5988" s="2">
        <v>3</v>
      </c>
      <c r="N5988">
        <v>3.21</v>
      </c>
      <c r="O5988">
        <v>0</v>
      </c>
      <c r="P5988">
        <v>7</v>
      </c>
      <c r="Q5988" t="s">
        <v>568</v>
      </c>
      <c r="R5988" s="8" t="s">
        <v>260</v>
      </c>
      <c r="S5988" t="str">
        <f t="shared" si="828"/>
        <v>PA</v>
      </c>
    </row>
    <row r="5989" spans="1:19" x14ac:dyDescent="0.3">
      <c r="A5989" t="s">
        <v>24</v>
      </c>
      <c r="B5989">
        <v>2016310013</v>
      </c>
      <c r="C5989" t="s">
        <v>343</v>
      </c>
      <c r="E5989" t="s">
        <v>84</v>
      </c>
      <c r="F5989" t="s">
        <v>85</v>
      </c>
      <c r="G5989">
        <v>2</v>
      </c>
      <c r="H5989" t="s">
        <v>438</v>
      </c>
      <c r="I5989" s="4">
        <f t="shared" si="829"/>
        <v>3</v>
      </c>
      <c r="J5989">
        <f t="shared" si="830"/>
        <v>6</v>
      </c>
      <c r="K5989">
        <v>68</v>
      </c>
      <c r="L5989">
        <v>20</v>
      </c>
      <c r="M5989" s="2">
        <v>3.4</v>
      </c>
      <c r="N5989">
        <v>3.21</v>
      </c>
      <c r="O5989">
        <v>0</v>
      </c>
      <c r="P5989">
        <v>1</v>
      </c>
      <c r="Q5989" t="s">
        <v>558</v>
      </c>
      <c r="R5989" s="8" t="s">
        <v>260</v>
      </c>
      <c r="S5989" t="str">
        <f t="shared" si="828"/>
        <v>PA</v>
      </c>
    </row>
    <row r="5990" spans="1:19" x14ac:dyDescent="0.3">
      <c r="A5990" t="s">
        <v>24</v>
      </c>
      <c r="B5990">
        <v>2016310013</v>
      </c>
      <c r="C5990" t="s">
        <v>343</v>
      </c>
      <c r="E5990" t="s">
        <v>480</v>
      </c>
      <c r="F5990" t="s">
        <v>481</v>
      </c>
      <c r="G5990">
        <v>2</v>
      </c>
      <c r="H5990" t="s">
        <v>438</v>
      </c>
      <c r="I5990" s="4">
        <f t="shared" si="829"/>
        <v>3</v>
      </c>
      <c r="J5990">
        <f t="shared" si="830"/>
        <v>6</v>
      </c>
      <c r="K5990">
        <v>84</v>
      </c>
      <c r="L5990">
        <v>26</v>
      </c>
      <c r="M5990">
        <v>3.23</v>
      </c>
      <c r="N5990">
        <v>3.21</v>
      </c>
      <c r="O5990">
        <v>0</v>
      </c>
      <c r="P5990">
        <v>3</v>
      </c>
      <c r="Q5990" t="s">
        <v>563</v>
      </c>
      <c r="R5990" s="8" t="s">
        <v>260</v>
      </c>
      <c r="S5990" t="str">
        <f t="shared" si="828"/>
        <v>PA</v>
      </c>
    </row>
    <row r="5991" spans="1:19" x14ac:dyDescent="0.3">
      <c r="A5991" t="s">
        <v>24</v>
      </c>
      <c r="B5991">
        <v>2016310013</v>
      </c>
      <c r="C5991" t="s">
        <v>343</v>
      </c>
      <c r="E5991" t="s">
        <v>482</v>
      </c>
      <c r="F5991" t="s">
        <v>483</v>
      </c>
      <c r="G5991">
        <v>2</v>
      </c>
      <c r="H5991" t="s">
        <v>438</v>
      </c>
      <c r="I5991" s="4">
        <f t="shared" si="829"/>
        <v>3</v>
      </c>
      <c r="J5991">
        <f t="shared" si="830"/>
        <v>6</v>
      </c>
      <c r="K5991">
        <v>54</v>
      </c>
      <c r="L5991">
        <v>18</v>
      </c>
      <c r="M5991" s="2">
        <v>3</v>
      </c>
      <c r="N5991">
        <v>3.21</v>
      </c>
      <c r="O5991">
        <v>0</v>
      </c>
      <c r="P5991">
        <v>7</v>
      </c>
      <c r="Q5991" t="s">
        <v>568</v>
      </c>
      <c r="R5991" s="8" t="s">
        <v>260</v>
      </c>
      <c r="S5991" t="str">
        <f t="shared" si="828"/>
        <v>PA</v>
      </c>
    </row>
    <row r="5992" spans="1:19" x14ac:dyDescent="0.3">
      <c r="A5992" t="s">
        <v>24</v>
      </c>
      <c r="B5992">
        <v>2016310013</v>
      </c>
      <c r="C5992" t="s">
        <v>343</v>
      </c>
      <c r="E5992" t="s">
        <v>131</v>
      </c>
      <c r="F5992" t="s">
        <v>132</v>
      </c>
      <c r="G5992">
        <v>2</v>
      </c>
      <c r="H5992" t="s">
        <v>438</v>
      </c>
      <c r="I5992" s="4">
        <f t="shared" si="829"/>
        <v>3</v>
      </c>
      <c r="J5992">
        <f t="shared" si="830"/>
        <v>6</v>
      </c>
      <c r="K5992">
        <v>68</v>
      </c>
      <c r="L5992">
        <v>20</v>
      </c>
      <c r="M5992" s="2">
        <v>3.4</v>
      </c>
      <c r="N5992">
        <v>3.21</v>
      </c>
      <c r="O5992">
        <v>0</v>
      </c>
      <c r="P5992">
        <v>1</v>
      </c>
      <c r="Q5992" t="s">
        <v>558</v>
      </c>
      <c r="R5992" s="8" t="s">
        <v>260</v>
      </c>
      <c r="S5992" t="str">
        <f t="shared" si="828"/>
        <v>PA</v>
      </c>
    </row>
    <row r="5993" spans="1:19" x14ac:dyDescent="0.3">
      <c r="A5993" t="s">
        <v>24</v>
      </c>
      <c r="B5993">
        <v>2016310013</v>
      </c>
      <c r="C5993" t="s">
        <v>343</v>
      </c>
      <c r="E5993" t="s">
        <v>476</v>
      </c>
      <c r="F5993" t="s">
        <v>477</v>
      </c>
      <c r="G5993">
        <v>2</v>
      </c>
      <c r="H5993" t="s">
        <v>438</v>
      </c>
      <c r="I5993" s="4">
        <f t="shared" si="829"/>
        <v>3</v>
      </c>
      <c r="J5993">
        <f t="shared" si="830"/>
        <v>6</v>
      </c>
      <c r="K5993">
        <v>68</v>
      </c>
      <c r="L5993">
        <v>20</v>
      </c>
      <c r="M5993" s="2">
        <v>3.4</v>
      </c>
      <c r="N5993">
        <v>3.21</v>
      </c>
      <c r="O5993">
        <v>0</v>
      </c>
      <c r="P5993">
        <v>5</v>
      </c>
      <c r="Q5993" t="s">
        <v>566</v>
      </c>
      <c r="R5993" s="8" t="s">
        <v>260</v>
      </c>
      <c r="S5993" t="str">
        <f t="shared" si="828"/>
        <v>PA</v>
      </c>
    </row>
    <row r="5994" spans="1:19" x14ac:dyDescent="0.3">
      <c r="A5994" t="s">
        <v>24</v>
      </c>
      <c r="B5994">
        <v>2016310013</v>
      </c>
      <c r="C5994" t="s">
        <v>343</v>
      </c>
      <c r="E5994" t="s">
        <v>494</v>
      </c>
      <c r="F5994" t="s">
        <v>495</v>
      </c>
      <c r="G5994">
        <v>4</v>
      </c>
      <c r="H5994" t="s">
        <v>438</v>
      </c>
      <c r="I5994" s="4">
        <f t="shared" si="829"/>
        <v>3</v>
      </c>
      <c r="J5994">
        <f t="shared" si="830"/>
        <v>12</v>
      </c>
      <c r="K5994">
        <v>66</v>
      </c>
      <c r="L5994">
        <v>22</v>
      </c>
      <c r="M5994" s="2">
        <v>3</v>
      </c>
      <c r="N5994">
        <v>3.21</v>
      </c>
      <c r="O5994">
        <v>0</v>
      </c>
      <c r="P5994">
        <v>4</v>
      </c>
      <c r="Q5994" t="s">
        <v>565</v>
      </c>
      <c r="R5994" s="8" t="s">
        <v>260</v>
      </c>
      <c r="S5994" t="str">
        <f t="shared" si="828"/>
        <v>PA</v>
      </c>
    </row>
    <row r="5995" spans="1:19" x14ac:dyDescent="0.3">
      <c r="A5995" t="s">
        <v>24</v>
      </c>
      <c r="B5995">
        <v>2016310013</v>
      </c>
      <c r="C5995" t="s">
        <v>343</v>
      </c>
      <c r="E5995" t="s">
        <v>444</v>
      </c>
      <c r="F5995" t="s">
        <v>445</v>
      </c>
      <c r="G5995">
        <v>2</v>
      </c>
      <c r="H5995" t="s">
        <v>438</v>
      </c>
      <c r="I5995" s="4">
        <f t="shared" si="829"/>
        <v>3</v>
      </c>
      <c r="J5995">
        <f t="shared" si="830"/>
        <v>6</v>
      </c>
      <c r="K5995">
        <v>66</v>
      </c>
      <c r="L5995">
        <v>22</v>
      </c>
      <c r="M5995" s="2">
        <v>3</v>
      </c>
      <c r="N5995">
        <v>3.21</v>
      </c>
      <c r="O5995">
        <v>0</v>
      </c>
      <c r="P5995">
        <v>4</v>
      </c>
      <c r="Q5995" t="s">
        <v>565</v>
      </c>
      <c r="R5995" s="8" t="s">
        <v>260</v>
      </c>
      <c r="S5995" t="str">
        <f t="shared" si="828"/>
        <v>PA</v>
      </c>
    </row>
    <row r="5996" spans="1:19" x14ac:dyDescent="0.3">
      <c r="A5996" t="s">
        <v>24</v>
      </c>
      <c r="B5996">
        <v>2016310013</v>
      </c>
      <c r="C5996" t="s">
        <v>343</v>
      </c>
      <c r="E5996" t="s">
        <v>455</v>
      </c>
      <c r="F5996" t="s">
        <v>280</v>
      </c>
      <c r="G5996">
        <v>2</v>
      </c>
      <c r="H5996" t="s">
        <v>438</v>
      </c>
      <c r="I5996" s="4">
        <f t="shared" si="829"/>
        <v>3</v>
      </c>
      <c r="J5996">
        <f t="shared" si="830"/>
        <v>6</v>
      </c>
      <c r="K5996">
        <v>74</v>
      </c>
      <c r="L5996">
        <v>20</v>
      </c>
      <c r="M5996" s="2">
        <v>3.7</v>
      </c>
      <c r="N5996">
        <v>3.21</v>
      </c>
      <c r="O5996">
        <v>0</v>
      </c>
      <c r="P5996">
        <v>2</v>
      </c>
      <c r="Q5996" t="s">
        <v>559</v>
      </c>
      <c r="R5996" s="8" t="s">
        <v>260</v>
      </c>
      <c r="S5996" t="str">
        <f t="shared" si="828"/>
        <v>PA</v>
      </c>
    </row>
    <row r="5997" spans="1:19" x14ac:dyDescent="0.3">
      <c r="A5997" t="s">
        <v>24</v>
      </c>
      <c r="B5997">
        <v>2016310013</v>
      </c>
      <c r="C5997" t="s">
        <v>343</v>
      </c>
      <c r="E5997" t="s">
        <v>461</v>
      </c>
      <c r="F5997" t="s">
        <v>452</v>
      </c>
      <c r="G5997">
        <v>2</v>
      </c>
      <c r="H5997" t="s">
        <v>438</v>
      </c>
      <c r="I5997" s="4">
        <f t="shared" si="829"/>
        <v>3</v>
      </c>
      <c r="J5997">
        <f t="shared" si="830"/>
        <v>6</v>
      </c>
      <c r="K5997">
        <v>66</v>
      </c>
      <c r="L5997">
        <v>22</v>
      </c>
      <c r="M5997" s="2">
        <v>3</v>
      </c>
      <c r="N5997">
        <v>3.21</v>
      </c>
      <c r="O5997">
        <v>0</v>
      </c>
      <c r="P5997">
        <v>4</v>
      </c>
      <c r="Q5997" t="s">
        <v>565</v>
      </c>
      <c r="R5997" s="8" t="s">
        <v>260</v>
      </c>
      <c r="S5997" t="str">
        <f t="shared" si="828"/>
        <v>PA</v>
      </c>
    </row>
    <row r="5998" spans="1:19" x14ac:dyDescent="0.3">
      <c r="A5998" t="s">
        <v>24</v>
      </c>
      <c r="B5998">
        <v>2016310013</v>
      </c>
      <c r="C5998" t="s">
        <v>343</v>
      </c>
      <c r="E5998" t="s">
        <v>516</v>
      </c>
      <c r="F5998" t="s">
        <v>106</v>
      </c>
      <c r="G5998">
        <v>4</v>
      </c>
      <c r="H5998" t="s">
        <v>438</v>
      </c>
      <c r="I5998" s="4">
        <f t="shared" si="829"/>
        <v>3</v>
      </c>
      <c r="J5998">
        <f t="shared" si="830"/>
        <v>12</v>
      </c>
      <c r="K5998">
        <v>54</v>
      </c>
      <c r="L5998">
        <v>18</v>
      </c>
      <c r="M5998" s="2">
        <v>3</v>
      </c>
      <c r="N5998">
        <v>3.21</v>
      </c>
      <c r="O5998">
        <v>0</v>
      </c>
      <c r="P5998">
        <v>7</v>
      </c>
      <c r="Q5998" t="s">
        <v>568</v>
      </c>
      <c r="R5998" s="8" t="s">
        <v>260</v>
      </c>
      <c r="S5998" t="str">
        <f t="shared" si="828"/>
        <v>PA</v>
      </c>
    </row>
    <row r="5999" spans="1:19" x14ac:dyDescent="0.3">
      <c r="A5999" t="s">
        <v>24</v>
      </c>
      <c r="B5999">
        <v>2016310013</v>
      </c>
      <c r="C5999" t="s">
        <v>343</v>
      </c>
      <c r="E5999" t="s">
        <v>224</v>
      </c>
      <c r="F5999" t="s">
        <v>225</v>
      </c>
      <c r="G5999">
        <v>4</v>
      </c>
      <c r="H5999" t="s">
        <v>438</v>
      </c>
      <c r="I5999" s="4">
        <f t="shared" si="829"/>
        <v>3</v>
      </c>
      <c r="J5999">
        <f t="shared" si="830"/>
        <v>12</v>
      </c>
      <c r="K5999">
        <v>68</v>
      </c>
      <c r="L5999">
        <v>20</v>
      </c>
      <c r="M5999" s="2">
        <v>3.4</v>
      </c>
      <c r="N5999">
        <v>3.21</v>
      </c>
      <c r="O5999">
        <v>0</v>
      </c>
      <c r="P5999">
        <v>1</v>
      </c>
      <c r="Q5999" t="s">
        <v>558</v>
      </c>
      <c r="R5999" s="8" t="s">
        <v>260</v>
      </c>
      <c r="S5999" t="str">
        <f t="shared" si="828"/>
        <v>PA</v>
      </c>
    </row>
    <row r="6000" spans="1:19" x14ac:dyDescent="0.3">
      <c r="A6000" t="s">
        <v>24</v>
      </c>
      <c r="B6000">
        <v>2016310013</v>
      </c>
      <c r="C6000" t="s">
        <v>343</v>
      </c>
      <c r="E6000" t="s">
        <v>464</v>
      </c>
      <c r="F6000" t="s">
        <v>108</v>
      </c>
      <c r="G6000">
        <v>2</v>
      </c>
      <c r="H6000" t="s">
        <v>438</v>
      </c>
      <c r="I6000" s="4">
        <f t="shared" si="829"/>
        <v>3</v>
      </c>
      <c r="J6000">
        <f t="shared" si="830"/>
        <v>6</v>
      </c>
      <c r="K6000">
        <v>68</v>
      </c>
      <c r="L6000">
        <v>20</v>
      </c>
      <c r="M6000" s="2">
        <v>3.4</v>
      </c>
      <c r="N6000">
        <v>3.21</v>
      </c>
      <c r="O6000">
        <v>0</v>
      </c>
      <c r="P6000">
        <v>5</v>
      </c>
      <c r="Q6000" t="s">
        <v>566</v>
      </c>
      <c r="R6000" s="8" t="s">
        <v>260</v>
      </c>
      <c r="S6000" t="str">
        <f t="shared" si="828"/>
        <v>PA</v>
      </c>
    </row>
    <row r="6001" spans="1:19" x14ac:dyDescent="0.3">
      <c r="A6001" t="s">
        <v>24</v>
      </c>
      <c r="B6001">
        <v>2016310013</v>
      </c>
      <c r="C6001" t="s">
        <v>343</v>
      </c>
      <c r="E6001" t="s">
        <v>443</v>
      </c>
      <c r="F6001" t="s">
        <v>140</v>
      </c>
      <c r="G6001">
        <v>2</v>
      </c>
      <c r="H6001" t="s">
        <v>438</v>
      </c>
      <c r="I6001" s="4">
        <f t="shared" si="829"/>
        <v>3</v>
      </c>
      <c r="J6001">
        <f t="shared" si="830"/>
        <v>6</v>
      </c>
      <c r="K6001">
        <v>54</v>
      </c>
      <c r="L6001">
        <v>18</v>
      </c>
      <c r="M6001" s="2">
        <v>3</v>
      </c>
      <c r="N6001">
        <v>3.21</v>
      </c>
      <c r="O6001">
        <v>0</v>
      </c>
      <c r="P6001">
        <v>7</v>
      </c>
      <c r="Q6001" s="4" t="str">
        <f>IF(P6001=1,"2016/2017-Ganjil",IF(P6001=2,"2016/2017-Genap",IF(P6001=3,"2017/2018-Ganjil",IF(P6001=4,"2017/2018-Genap",IF(P6001=5,"2018/2019-Ganjil",IF(P6001=6,"2018/2019-Genap",IF(P6001=7,"2019/2020-Ganjil",IF(P6001=8,"2019/2020-Genap",IF(P6001=9,"2020/2021-Ganjil",IF(P6001=10,"2020/2021-Genap",IF(P6001=11,"2021/2022-Ganjil",IF(P6001=12,"2021/2022-Genap",IF(P6001=13,"2022/2023-Ganjil","2022/2023-Genap")))))))))))))</f>
        <v>2019/2020-Ganjil</v>
      </c>
      <c r="R6001" s="8" t="s">
        <v>260</v>
      </c>
      <c r="S6001" t="str">
        <f t="shared" si="828"/>
        <v>PA</v>
      </c>
    </row>
    <row r="6002" spans="1:19" x14ac:dyDescent="0.3">
      <c r="A6002" t="s">
        <v>24</v>
      </c>
      <c r="B6002">
        <v>2016310013</v>
      </c>
      <c r="C6002" t="s">
        <v>343</v>
      </c>
      <c r="E6002" t="s">
        <v>478</v>
      </c>
      <c r="F6002" t="s">
        <v>375</v>
      </c>
      <c r="G6002">
        <v>2</v>
      </c>
      <c r="H6002" t="s">
        <v>438</v>
      </c>
      <c r="I6002" s="4">
        <f t="shared" si="829"/>
        <v>3</v>
      </c>
      <c r="J6002">
        <f t="shared" si="830"/>
        <v>6</v>
      </c>
      <c r="K6002">
        <v>68</v>
      </c>
      <c r="L6002">
        <v>20</v>
      </c>
      <c r="M6002" s="2">
        <v>3.4</v>
      </c>
      <c r="N6002">
        <v>3.21</v>
      </c>
      <c r="O6002">
        <v>0</v>
      </c>
      <c r="P6002">
        <v>5</v>
      </c>
      <c r="Q6002" t="s">
        <v>566</v>
      </c>
      <c r="R6002" s="8" t="s">
        <v>260</v>
      </c>
      <c r="S6002" t="str">
        <f t="shared" si="828"/>
        <v>PA</v>
      </c>
    </row>
    <row r="6003" spans="1:19" x14ac:dyDescent="0.3">
      <c r="A6003" t="s">
        <v>24</v>
      </c>
      <c r="B6003">
        <v>2016310013</v>
      </c>
      <c r="C6003" t="s">
        <v>343</v>
      </c>
      <c r="E6003" t="s">
        <v>252</v>
      </c>
      <c r="F6003" t="s">
        <v>78</v>
      </c>
      <c r="G6003">
        <v>2</v>
      </c>
      <c r="H6003" t="s">
        <v>438</v>
      </c>
      <c r="I6003" s="4">
        <f t="shared" si="829"/>
        <v>3</v>
      </c>
      <c r="J6003">
        <f t="shared" si="830"/>
        <v>6</v>
      </c>
      <c r="K6003">
        <v>84</v>
      </c>
      <c r="L6003">
        <v>26</v>
      </c>
      <c r="M6003">
        <v>3.23</v>
      </c>
      <c r="N6003">
        <v>3.21</v>
      </c>
      <c r="O6003">
        <v>0</v>
      </c>
      <c r="P6003">
        <v>3</v>
      </c>
      <c r="Q6003" t="s">
        <v>563</v>
      </c>
      <c r="R6003" s="8" t="s">
        <v>260</v>
      </c>
      <c r="S6003" t="str">
        <f t="shared" si="828"/>
        <v>PA</v>
      </c>
    </row>
    <row r="6004" spans="1:19" x14ac:dyDescent="0.3">
      <c r="A6004" t="s">
        <v>24</v>
      </c>
      <c r="B6004">
        <v>2016310013</v>
      </c>
      <c r="C6004" t="s">
        <v>343</v>
      </c>
      <c r="E6004" t="s">
        <v>168</v>
      </c>
      <c r="F6004" t="s">
        <v>169</v>
      </c>
      <c r="G6004">
        <v>4</v>
      </c>
      <c r="H6004" t="s">
        <v>438</v>
      </c>
      <c r="I6004" s="4">
        <f t="shared" si="829"/>
        <v>3</v>
      </c>
      <c r="J6004">
        <f t="shared" si="830"/>
        <v>12</v>
      </c>
      <c r="K6004">
        <v>68</v>
      </c>
      <c r="L6004">
        <v>20</v>
      </c>
      <c r="M6004" s="2">
        <v>3.4</v>
      </c>
      <c r="N6004">
        <v>3.21</v>
      </c>
      <c r="O6004">
        <v>0</v>
      </c>
      <c r="P6004">
        <v>1</v>
      </c>
      <c r="Q6004" t="s">
        <v>558</v>
      </c>
      <c r="R6004" s="8" t="s">
        <v>260</v>
      </c>
      <c r="S6004" t="str">
        <f t="shared" si="828"/>
        <v>PA</v>
      </c>
    </row>
    <row r="6005" spans="1:19" x14ac:dyDescent="0.3">
      <c r="A6005" t="s">
        <v>24</v>
      </c>
      <c r="B6005">
        <v>2016310013</v>
      </c>
      <c r="C6005" t="s">
        <v>343</v>
      </c>
      <c r="E6005" t="s">
        <v>365</v>
      </c>
      <c r="F6005" t="s">
        <v>366</v>
      </c>
      <c r="G6005">
        <v>2</v>
      </c>
      <c r="H6005" t="s">
        <v>438</v>
      </c>
      <c r="I6005" s="4">
        <f t="shared" si="829"/>
        <v>3</v>
      </c>
      <c r="J6005">
        <f t="shared" si="830"/>
        <v>6</v>
      </c>
      <c r="K6005">
        <v>68</v>
      </c>
      <c r="L6005">
        <v>20</v>
      </c>
      <c r="M6005" s="2">
        <v>3.4</v>
      </c>
      <c r="N6005">
        <v>3.21</v>
      </c>
      <c r="O6005">
        <v>0</v>
      </c>
      <c r="P6005">
        <v>5</v>
      </c>
      <c r="Q6005" t="s">
        <v>566</v>
      </c>
      <c r="R6005" s="8" t="s">
        <v>260</v>
      </c>
      <c r="S6005" t="str">
        <f t="shared" si="828"/>
        <v>PA</v>
      </c>
    </row>
    <row r="6006" spans="1:19" x14ac:dyDescent="0.3">
      <c r="A6006" t="s">
        <v>24</v>
      </c>
      <c r="B6006">
        <v>2016310013</v>
      </c>
      <c r="C6006" t="s">
        <v>343</v>
      </c>
      <c r="E6006" t="s">
        <v>215</v>
      </c>
      <c r="F6006" t="s">
        <v>186</v>
      </c>
      <c r="G6006">
        <v>4</v>
      </c>
      <c r="H6006" t="s">
        <v>438</v>
      </c>
      <c r="I6006" s="4">
        <f t="shared" si="829"/>
        <v>3</v>
      </c>
      <c r="J6006">
        <f t="shared" si="830"/>
        <v>12</v>
      </c>
      <c r="K6006">
        <v>84</v>
      </c>
      <c r="L6006">
        <v>26</v>
      </c>
      <c r="M6006">
        <v>3.23</v>
      </c>
      <c r="N6006">
        <v>3.21</v>
      </c>
      <c r="O6006">
        <v>0</v>
      </c>
      <c r="P6006">
        <v>3</v>
      </c>
      <c r="Q6006" t="s">
        <v>563</v>
      </c>
      <c r="R6006" s="8" t="s">
        <v>260</v>
      </c>
      <c r="S6006" t="str">
        <f t="shared" si="828"/>
        <v>PA</v>
      </c>
    </row>
    <row r="6007" spans="1:19" x14ac:dyDescent="0.3">
      <c r="A6007" t="s">
        <v>24</v>
      </c>
      <c r="B6007">
        <v>2016310013</v>
      </c>
      <c r="C6007" t="s">
        <v>343</v>
      </c>
      <c r="E6007" t="s">
        <v>462</v>
      </c>
      <c r="F6007" t="s">
        <v>291</v>
      </c>
      <c r="G6007">
        <v>2</v>
      </c>
      <c r="H6007" t="s">
        <v>438</v>
      </c>
      <c r="I6007" s="4">
        <f t="shared" si="829"/>
        <v>3</v>
      </c>
      <c r="J6007">
        <f t="shared" si="830"/>
        <v>6</v>
      </c>
      <c r="K6007">
        <v>74</v>
      </c>
      <c r="L6007">
        <v>20</v>
      </c>
      <c r="M6007" s="2">
        <v>3.7</v>
      </c>
      <c r="N6007">
        <v>3.21</v>
      </c>
      <c r="O6007">
        <v>0</v>
      </c>
      <c r="P6007">
        <v>2</v>
      </c>
      <c r="Q6007" t="s">
        <v>559</v>
      </c>
      <c r="R6007" s="8" t="s">
        <v>260</v>
      </c>
      <c r="S6007" t="str">
        <f t="shared" si="828"/>
        <v>PA</v>
      </c>
    </row>
    <row r="6008" spans="1:19" x14ac:dyDescent="0.3">
      <c r="A6008" t="s">
        <v>24</v>
      </c>
      <c r="B6008">
        <v>2016310013</v>
      </c>
      <c r="C6008" t="s">
        <v>343</v>
      </c>
      <c r="E6008" t="s">
        <v>526</v>
      </c>
      <c r="F6008" t="s">
        <v>258</v>
      </c>
      <c r="G6008">
        <v>4</v>
      </c>
      <c r="H6008" t="s">
        <v>524</v>
      </c>
      <c r="I6008" s="4">
        <f t="shared" si="829"/>
        <v>2</v>
      </c>
      <c r="J6008">
        <f t="shared" si="830"/>
        <v>8</v>
      </c>
      <c r="K6008">
        <v>66</v>
      </c>
      <c r="L6008">
        <v>22</v>
      </c>
      <c r="M6008" s="2">
        <v>3</v>
      </c>
      <c r="N6008">
        <v>3.21</v>
      </c>
      <c r="O6008">
        <v>0</v>
      </c>
      <c r="P6008">
        <v>4</v>
      </c>
      <c r="Q6008" t="s">
        <v>565</v>
      </c>
      <c r="R6008" s="8" t="s">
        <v>260</v>
      </c>
      <c r="S6008" t="str">
        <f t="shared" si="828"/>
        <v>PA</v>
      </c>
    </row>
    <row r="6009" spans="1:19" x14ac:dyDescent="0.3">
      <c r="A6009" t="s">
        <v>24</v>
      </c>
      <c r="B6009">
        <v>2016310013</v>
      </c>
      <c r="C6009" t="s">
        <v>343</v>
      </c>
      <c r="E6009" t="s">
        <v>505</v>
      </c>
      <c r="F6009" t="s">
        <v>506</v>
      </c>
      <c r="G6009">
        <v>2</v>
      </c>
      <c r="H6009" t="s">
        <v>524</v>
      </c>
      <c r="I6009" s="4">
        <f t="shared" si="829"/>
        <v>2</v>
      </c>
      <c r="J6009">
        <f t="shared" si="830"/>
        <v>4</v>
      </c>
      <c r="K6009">
        <v>12</v>
      </c>
      <c r="L6009">
        <v>6</v>
      </c>
      <c r="M6009" s="2">
        <v>2</v>
      </c>
      <c r="N6009">
        <v>3.21</v>
      </c>
      <c r="O6009">
        <v>0</v>
      </c>
      <c r="P6009">
        <v>8</v>
      </c>
      <c r="Q6009" t="s">
        <v>569</v>
      </c>
      <c r="R6009" s="8" t="s">
        <v>596</v>
      </c>
      <c r="S6009" t="str">
        <f t="shared" si="828"/>
        <v>PA</v>
      </c>
    </row>
    <row r="6010" spans="1:19" x14ac:dyDescent="0.3">
      <c r="A6010" t="s">
        <v>24</v>
      </c>
      <c r="B6010">
        <v>2016310013</v>
      </c>
      <c r="C6010" t="s">
        <v>343</v>
      </c>
      <c r="E6010" t="s">
        <v>411</v>
      </c>
      <c r="F6010" t="s">
        <v>498</v>
      </c>
      <c r="G6010">
        <v>4</v>
      </c>
      <c r="H6010" t="s">
        <v>524</v>
      </c>
      <c r="I6010" s="4">
        <f t="shared" si="829"/>
        <v>2</v>
      </c>
      <c r="J6010">
        <f t="shared" si="830"/>
        <v>8</v>
      </c>
      <c r="K6010">
        <v>84</v>
      </c>
      <c r="L6010">
        <v>26</v>
      </c>
      <c r="M6010">
        <v>3.23</v>
      </c>
      <c r="N6010">
        <v>3.21</v>
      </c>
      <c r="O6010">
        <v>0</v>
      </c>
      <c r="P6010">
        <v>3</v>
      </c>
      <c r="Q6010" t="s">
        <v>563</v>
      </c>
      <c r="R6010" s="8" t="s">
        <v>260</v>
      </c>
      <c r="S6010" t="str">
        <f t="shared" si="828"/>
        <v>PA</v>
      </c>
    </row>
    <row r="6011" spans="1:19" x14ac:dyDescent="0.3">
      <c r="A6011" t="s">
        <v>24</v>
      </c>
      <c r="B6011">
        <v>2016310013</v>
      </c>
      <c r="C6011" t="s">
        <v>343</v>
      </c>
      <c r="E6011" t="s">
        <v>525</v>
      </c>
      <c r="F6011" t="s">
        <v>20</v>
      </c>
      <c r="G6011">
        <v>4</v>
      </c>
      <c r="H6011" t="s">
        <v>524</v>
      </c>
      <c r="I6011" s="4">
        <f t="shared" si="829"/>
        <v>2</v>
      </c>
      <c r="J6011">
        <f t="shared" si="830"/>
        <v>8</v>
      </c>
      <c r="K6011">
        <v>12</v>
      </c>
      <c r="L6011">
        <v>6</v>
      </c>
      <c r="M6011" s="2">
        <v>2</v>
      </c>
      <c r="N6011">
        <v>3.21</v>
      </c>
      <c r="O6011">
        <v>0</v>
      </c>
      <c r="P6011">
        <v>8</v>
      </c>
      <c r="Q6011" t="s">
        <v>569</v>
      </c>
      <c r="R6011" s="8" t="s">
        <v>596</v>
      </c>
      <c r="S6011" t="str">
        <f t="shared" si="828"/>
        <v>PA</v>
      </c>
    </row>
    <row r="6012" spans="1:19" x14ac:dyDescent="0.3">
      <c r="A6012" t="s">
        <v>24</v>
      </c>
      <c r="B6012">
        <v>2016310013</v>
      </c>
      <c r="C6012" t="s">
        <v>343</v>
      </c>
      <c r="E6012" t="s">
        <v>215</v>
      </c>
      <c r="F6012" t="s">
        <v>583</v>
      </c>
      <c r="G6012">
        <v>4</v>
      </c>
      <c r="H6012" t="s">
        <v>438</v>
      </c>
      <c r="I6012" s="4">
        <f t="shared" si="829"/>
        <v>3</v>
      </c>
      <c r="J6012">
        <f t="shared" si="830"/>
        <v>12</v>
      </c>
      <c r="K6012">
        <v>54</v>
      </c>
      <c r="L6012">
        <v>18</v>
      </c>
      <c r="M6012" s="2">
        <v>3</v>
      </c>
      <c r="N6012">
        <v>3.21</v>
      </c>
      <c r="O6012">
        <v>0</v>
      </c>
      <c r="P6012">
        <v>7</v>
      </c>
      <c r="Q6012" t="s">
        <v>568</v>
      </c>
      <c r="R6012" s="8" t="s">
        <v>260</v>
      </c>
      <c r="S6012" t="str">
        <f t="shared" si="828"/>
        <v>PA</v>
      </c>
    </row>
    <row r="6013" spans="1:19" x14ac:dyDescent="0.3">
      <c r="A6013" t="s">
        <v>24</v>
      </c>
      <c r="B6013">
        <v>2016310014</v>
      </c>
      <c r="C6013" t="s">
        <v>83</v>
      </c>
      <c r="E6013" t="s">
        <v>84</v>
      </c>
      <c r="F6013" t="s">
        <v>85</v>
      </c>
      <c r="G6013">
        <v>2</v>
      </c>
      <c r="I6013" s="4"/>
      <c r="J6013">
        <f t="shared" ref="J6013:J6030" si="832">G6013*I6013</f>
        <v>0</v>
      </c>
      <c r="K6013">
        <v>40</v>
      </c>
      <c r="L6013">
        <v>14</v>
      </c>
      <c r="M6013">
        <v>2.86</v>
      </c>
      <c r="N6013" s="2">
        <v>2.5</v>
      </c>
      <c r="O6013">
        <v>0</v>
      </c>
      <c r="P6013">
        <v>1</v>
      </c>
      <c r="Q6013" s="4" t="str">
        <f t="shared" ref="Q6013:Q6030" si="833">IF(P6013=1,"2016/2017-Ganjil",IF(P6013=2,"2016/2017-Genap",IF(P6013=3,"2017/2018-Ganjil",IF(P6013=4,"2017/2018-Genap",IF(P6013=5,"2018/2019-Ganjil",IF(P6013=6,"2018/2019-Genap",IF(P6013=7,"2019/2020-Ganjil",IF(P6013=8,"2019/2020-Genap",IF(P6013=9,"2020/2021-Ganjil",IF(P6013=10,"2020/2021-Genap",IF(P6013=11,"2021/2022-Ganjil",IF(P6013=12,"2021/2022-Genap",IF(P6013=13,"2022/2023-Ganjil","2022/2023-Genap")))))))))))))</f>
        <v>2016/2017-Ganjil</v>
      </c>
      <c r="R6013" s="8" t="s">
        <v>260</v>
      </c>
      <c r="S6013" t="s">
        <v>595</v>
      </c>
    </row>
    <row r="6014" spans="1:19" x14ac:dyDescent="0.3">
      <c r="A6014" t="s">
        <v>24</v>
      </c>
      <c r="B6014">
        <v>2016310014</v>
      </c>
      <c r="C6014" t="s">
        <v>83</v>
      </c>
      <c r="E6014" t="s">
        <v>195</v>
      </c>
      <c r="F6014" t="s">
        <v>196</v>
      </c>
      <c r="G6014">
        <v>4</v>
      </c>
      <c r="I6014" s="4"/>
      <c r="J6014">
        <f t="shared" si="832"/>
        <v>0</v>
      </c>
      <c r="K6014">
        <v>32</v>
      </c>
      <c r="L6014">
        <v>14</v>
      </c>
      <c r="M6014">
        <v>2.29</v>
      </c>
      <c r="N6014" s="2">
        <v>2.5</v>
      </c>
      <c r="O6014">
        <v>0</v>
      </c>
      <c r="P6014">
        <v>2</v>
      </c>
      <c r="Q6014" s="4" t="str">
        <f t="shared" si="833"/>
        <v>2016/2017-Genap</v>
      </c>
      <c r="R6014" s="8" t="s">
        <v>535</v>
      </c>
      <c r="S6014" t="s">
        <v>595</v>
      </c>
    </row>
    <row r="6015" spans="1:19" x14ac:dyDescent="0.3">
      <c r="A6015" t="s">
        <v>24</v>
      </c>
      <c r="B6015">
        <v>2016310014</v>
      </c>
      <c r="C6015" t="s">
        <v>83</v>
      </c>
      <c r="E6015" t="s">
        <v>224</v>
      </c>
      <c r="F6015" t="s">
        <v>225</v>
      </c>
      <c r="G6015">
        <v>4</v>
      </c>
      <c r="I6015" s="4"/>
      <c r="J6015">
        <f t="shared" si="832"/>
        <v>0</v>
      </c>
      <c r="K6015">
        <v>40</v>
      </c>
      <c r="L6015">
        <v>14</v>
      </c>
      <c r="M6015">
        <v>2.86</v>
      </c>
      <c r="N6015" s="2">
        <v>2.5</v>
      </c>
      <c r="O6015">
        <v>0</v>
      </c>
      <c r="P6015">
        <v>1</v>
      </c>
      <c r="Q6015" s="4" t="str">
        <f t="shared" si="833"/>
        <v>2016/2017-Ganjil</v>
      </c>
      <c r="R6015" s="8" t="s">
        <v>260</v>
      </c>
      <c r="S6015" t="s">
        <v>595</v>
      </c>
    </row>
    <row r="6016" spans="1:19" x14ac:dyDescent="0.3">
      <c r="A6016" t="s">
        <v>24</v>
      </c>
      <c r="B6016">
        <v>2016310014</v>
      </c>
      <c r="C6016" t="s">
        <v>83</v>
      </c>
      <c r="E6016" t="s">
        <v>128</v>
      </c>
      <c r="F6016" t="s">
        <v>129</v>
      </c>
      <c r="G6016">
        <v>4</v>
      </c>
      <c r="H6016" t="s">
        <v>438</v>
      </c>
      <c r="I6016" s="4">
        <f t="shared" ref="I6016" si="834">IF(H6016="A",4,IF(H6016="B",3,IF(H6016="C",2,IF(H6016="D",1,0))))</f>
        <v>3</v>
      </c>
      <c r="J6016">
        <f t="shared" si="832"/>
        <v>12</v>
      </c>
      <c r="K6016">
        <v>40</v>
      </c>
      <c r="L6016">
        <v>14</v>
      </c>
      <c r="M6016">
        <v>2.86</v>
      </c>
      <c r="N6016" s="2">
        <v>2.5</v>
      </c>
      <c r="O6016">
        <v>0</v>
      </c>
      <c r="P6016">
        <v>1</v>
      </c>
      <c r="Q6016" s="4" t="str">
        <f t="shared" si="833"/>
        <v>2016/2017-Ganjil</v>
      </c>
      <c r="R6016" s="8" t="s">
        <v>260</v>
      </c>
      <c r="S6016" t="str">
        <f t="shared" ref="S6016:S6026" si="835">IF(OR(H6016="A",H6016="B",H6016="C"),"PA","FA")</f>
        <v>PA</v>
      </c>
    </row>
    <row r="6017" spans="1:19" x14ac:dyDescent="0.3">
      <c r="A6017" t="s">
        <v>24</v>
      </c>
      <c r="B6017">
        <v>2016310014</v>
      </c>
      <c r="C6017" t="s">
        <v>83</v>
      </c>
      <c r="E6017" t="s">
        <v>168</v>
      </c>
      <c r="F6017" t="s">
        <v>169</v>
      </c>
      <c r="G6017">
        <v>4</v>
      </c>
      <c r="H6017" t="s">
        <v>438</v>
      </c>
      <c r="I6017" s="4">
        <f t="shared" ref="I6017:I6026" si="836">IF(H6017="A",4,IF(H6017="B",3,IF(H6017="C",2,IF(H6017="D",1,0))))</f>
        <v>3</v>
      </c>
      <c r="J6017">
        <f t="shared" ref="J6017:J6026" si="837">G6017*I6017</f>
        <v>12</v>
      </c>
      <c r="K6017">
        <v>40</v>
      </c>
      <c r="L6017">
        <v>14</v>
      </c>
      <c r="M6017">
        <v>2.86</v>
      </c>
      <c r="N6017" s="2">
        <v>2.5</v>
      </c>
      <c r="O6017">
        <v>0</v>
      </c>
      <c r="P6017">
        <v>1</v>
      </c>
      <c r="Q6017" s="4" t="str">
        <f t="shared" si="833"/>
        <v>2016/2017-Ganjil</v>
      </c>
      <c r="R6017" s="8" t="s">
        <v>260</v>
      </c>
      <c r="S6017" t="str">
        <f t="shared" si="835"/>
        <v>PA</v>
      </c>
    </row>
    <row r="6018" spans="1:19" x14ac:dyDescent="0.3">
      <c r="A6018" t="s">
        <v>24</v>
      </c>
      <c r="B6018">
        <v>2016310014</v>
      </c>
      <c r="C6018" t="s">
        <v>83</v>
      </c>
      <c r="E6018" t="s">
        <v>377</v>
      </c>
      <c r="F6018" t="s">
        <v>378</v>
      </c>
      <c r="G6018">
        <v>2</v>
      </c>
      <c r="H6018" t="s">
        <v>438</v>
      </c>
      <c r="I6018" s="4">
        <f t="shared" si="836"/>
        <v>3</v>
      </c>
      <c r="J6018">
        <f t="shared" si="837"/>
        <v>6</v>
      </c>
      <c r="K6018">
        <v>32</v>
      </c>
      <c r="L6018">
        <v>14</v>
      </c>
      <c r="M6018">
        <v>2.29</v>
      </c>
      <c r="N6018" s="2">
        <v>2.5</v>
      </c>
      <c r="O6018">
        <v>0</v>
      </c>
      <c r="P6018">
        <v>2</v>
      </c>
      <c r="Q6018" s="4" t="str">
        <f t="shared" si="833"/>
        <v>2016/2017-Genap</v>
      </c>
      <c r="R6018" s="8" t="s">
        <v>535</v>
      </c>
      <c r="S6018" t="str">
        <f t="shared" si="835"/>
        <v>PA</v>
      </c>
    </row>
    <row r="6019" spans="1:19" x14ac:dyDescent="0.3">
      <c r="A6019" t="s">
        <v>24</v>
      </c>
      <c r="B6019">
        <v>2016310014</v>
      </c>
      <c r="C6019" t="s">
        <v>83</v>
      </c>
      <c r="E6019" t="s">
        <v>131</v>
      </c>
      <c r="F6019" t="s">
        <v>132</v>
      </c>
      <c r="G6019">
        <v>2</v>
      </c>
      <c r="H6019" t="s">
        <v>438</v>
      </c>
      <c r="I6019" s="4">
        <f t="shared" si="836"/>
        <v>3</v>
      </c>
      <c r="J6019">
        <f t="shared" si="837"/>
        <v>6</v>
      </c>
      <c r="K6019">
        <v>40</v>
      </c>
      <c r="L6019">
        <v>14</v>
      </c>
      <c r="M6019">
        <v>2.86</v>
      </c>
      <c r="N6019" s="2">
        <v>2.5</v>
      </c>
      <c r="O6019">
        <v>0</v>
      </c>
      <c r="P6019">
        <v>1</v>
      </c>
      <c r="Q6019" s="4" t="str">
        <f t="shared" si="833"/>
        <v>2016/2017-Ganjil</v>
      </c>
      <c r="R6019" s="8" t="s">
        <v>260</v>
      </c>
      <c r="S6019" t="str">
        <f t="shared" si="835"/>
        <v>PA</v>
      </c>
    </row>
    <row r="6020" spans="1:19" x14ac:dyDescent="0.3">
      <c r="A6020" t="s">
        <v>24</v>
      </c>
      <c r="B6020">
        <v>2016310014</v>
      </c>
      <c r="C6020" t="s">
        <v>83</v>
      </c>
      <c r="E6020" t="s">
        <v>145</v>
      </c>
      <c r="F6020" t="s">
        <v>146</v>
      </c>
      <c r="G6020">
        <v>2</v>
      </c>
      <c r="H6020" t="s">
        <v>438</v>
      </c>
      <c r="I6020" s="4">
        <f t="shared" si="836"/>
        <v>3</v>
      </c>
      <c r="J6020">
        <f t="shared" si="837"/>
        <v>6</v>
      </c>
      <c r="K6020">
        <v>40</v>
      </c>
      <c r="L6020">
        <v>14</v>
      </c>
      <c r="M6020">
        <v>2.86</v>
      </c>
      <c r="N6020" s="2">
        <v>2.5</v>
      </c>
      <c r="O6020">
        <v>0</v>
      </c>
      <c r="P6020">
        <v>1</v>
      </c>
      <c r="Q6020" s="4" t="str">
        <f t="shared" si="833"/>
        <v>2016/2017-Ganjil</v>
      </c>
      <c r="R6020" s="8" t="s">
        <v>260</v>
      </c>
      <c r="S6020" t="str">
        <f t="shared" si="835"/>
        <v>PA</v>
      </c>
    </row>
    <row r="6021" spans="1:19" x14ac:dyDescent="0.3">
      <c r="A6021" t="s">
        <v>24</v>
      </c>
      <c r="B6021">
        <v>2016310014</v>
      </c>
      <c r="C6021" t="s">
        <v>83</v>
      </c>
      <c r="E6021" t="s">
        <v>289</v>
      </c>
      <c r="F6021" t="s">
        <v>129</v>
      </c>
      <c r="G6021">
        <v>4</v>
      </c>
      <c r="H6021" t="s">
        <v>260</v>
      </c>
      <c r="I6021" s="4">
        <f t="shared" si="836"/>
        <v>4</v>
      </c>
      <c r="J6021">
        <f t="shared" si="837"/>
        <v>16</v>
      </c>
      <c r="K6021">
        <v>32</v>
      </c>
      <c r="L6021">
        <v>14</v>
      </c>
      <c r="M6021">
        <v>2.29</v>
      </c>
      <c r="N6021" s="2">
        <v>2.5</v>
      </c>
      <c r="O6021">
        <v>0</v>
      </c>
      <c r="P6021">
        <v>2</v>
      </c>
      <c r="Q6021" s="4" t="str">
        <f t="shared" si="833"/>
        <v>2016/2017-Genap</v>
      </c>
      <c r="R6021" s="8" t="s">
        <v>535</v>
      </c>
      <c r="S6021" t="str">
        <f t="shared" si="835"/>
        <v>PA</v>
      </c>
    </row>
    <row r="6022" spans="1:19" x14ac:dyDescent="0.3">
      <c r="A6022" t="s">
        <v>24</v>
      </c>
      <c r="B6022">
        <v>2016310014</v>
      </c>
      <c r="C6022" t="s">
        <v>83</v>
      </c>
      <c r="E6022" t="s">
        <v>389</v>
      </c>
      <c r="F6022" t="s">
        <v>390</v>
      </c>
      <c r="G6022">
        <v>2</v>
      </c>
      <c r="H6022" t="s">
        <v>524</v>
      </c>
      <c r="I6022" s="4">
        <f t="shared" si="836"/>
        <v>2</v>
      </c>
      <c r="J6022">
        <f t="shared" si="837"/>
        <v>4</v>
      </c>
      <c r="K6022">
        <v>32</v>
      </c>
      <c r="L6022">
        <v>14</v>
      </c>
      <c r="M6022">
        <v>2.29</v>
      </c>
      <c r="N6022" s="2">
        <v>2.5</v>
      </c>
      <c r="O6022">
        <v>0</v>
      </c>
      <c r="P6022">
        <v>2</v>
      </c>
      <c r="Q6022" s="4" t="str">
        <f t="shared" si="833"/>
        <v>2016/2017-Genap</v>
      </c>
      <c r="R6022" s="8" t="s">
        <v>535</v>
      </c>
      <c r="S6022" t="str">
        <f t="shared" si="835"/>
        <v>PA</v>
      </c>
    </row>
    <row r="6023" spans="1:19" x14ac:dyDescent="0.3">
      <c r="A6023" t="s">
        <v>24</v>
      </c>
      <c r="B6023">
        <v>2016310014</v>
      </c>
      <c r="C6023" t="s">
        <v>83</v>
      </c>
      <c r="E6023" t="s">
        <v>434</v>
      </c>
      <c r="F6023" t="s">
        <v>435</v>
      </c>
      <c r="G6023">
        <v>2</v>
      </c>
      <c r="H6023" t="s">
        <v>524</v>
      </c>
      <c r="I6023" s="4">
        <f t="shared" si="836"/>
        <v>2</v>
      </c>
      <c r="J6023">
        <f t="shared" si="837"/>
        <v>4</v>
      </c>
      <c r="K6023">
        <v>40</v>
      </c>
      <c r="L6023">
        <v>14</v>
      </c>
      <c r="M6023">
        <v>2.86</v>
      </c>
      <c r="N6023" s="2">
        <v>2.5</v>
      </c>
      <c r="O6023">
        <v>0</v>
      </c>
      <c r="P6023">
        <v>1</v>
      </c>
      <c r="Q6023" s="4" t="str">
        <f t="shared" si="833"/>
        <v>2016/2017-Ganjil</v>
      </c>
      <c r="R6023" s="8" t="s">
        <v>260</v>
      </c>
      <c r="S6023" t="str">
        <f t="shared" si="835"/>
        <v>PA</v>
      </c>
    </row>
    <row r="6024" spans="1:19" x14ac:dyDescent="0.3">
      <c r="A6024" t="s">
        <v>24</v>
      </c>
      <c r="B6024">
        <v>2016310014</v>
      </c>
      <c r="C6024" t="s">
        <v>83</v>
      </c>
      <c r="E6024" t="s">
        <v>456</v>
      </c>
      <c r="F6024" t="s">
        <v>457</v>
      </c>
      <c r="G6024">
        <v>2</v>
      </c>
      <c r="H6024" t="s">
        <v>535</v>
      </c>
      <c r="I6024" s="4">
        <f t="shared" si="836"/>
        <v>1</v>
      </c>
      <c r="J6024">
        <f t="shared" si="837"/>
        <v>2</v>
      </c>
      <c r="K6024">
        <v>32</v>
      </c>
      <c r="L6024">
        <v>14</v>
      </c>
      <c r="M6024">
        <v>2.29</v>
      </c>
      <c r="N6024" s="2">
        <v>2.5</v>
      </c>
      <c r="O6024">
        <v>0</v>
      </c>
      <c r="P6024">
        <v>2</v>
      </c>
      <c r="Q6024" s="4" t="str">
        <f t="shared" si="833"/>
        <v>2016/2017-Genap</v>
      </c>
      <c r="R6024" s="8" t="s">
        <v>535</v>
      </c>
      <c r="S6024" t="str">
        <f t="shared" si="835"/>
        <v>FA</v>
      </c>
    </row>
    <row r="6025" spans="1:19" x14ac:dyDescent="0.3">
      <c r="A6025" t="s">
        <v>24</v>
      </c>
      <c r="B6025">
        <v>2016310014</v>
      </c>
      <c r="C6025" t="s">
        <v>83</v>
      </c>
      <c r="E6025" t="s">
        <v>462</v>
      </c>
      <c r="F6025" t="s">
        <v>291</v>
      </c>
      <c r="G6025">
        <v>2</v>
      </c>
      <c r="H6025" t="s">
        <v>535</v>
      </c>
      <c r="I6025" s="4">
        <f t="shared" si="836"/>
        <v>1</v>
      </c>
      <c r="J6025">
        <f t="shared" si="837"/>
        <v>2</v>
      </c>
      <c r="K6025">
        <v>32</v>
      </c>
      <c r="L6025">
        <v>14</v>
      </c>
      <c r="M6025">
        <v>2.29</v>
      </c>
      <c r="N6025" s="2">
        <v>2.5</v>
      </c>
      <c r="O6025">
        <v>0</v>
      </c>
      <c r="P6025">
        <v>2</v>
      </c>
      <c r="Q6025" s="4" t="str">
        <f t="shared" si="833"/>
        <v>2016/2017-Genap</v>
      </c>
      <c r="R6025" s="8" t="s">
        <v>535</v>
      </c>
      <c r="S6025" t="str">
        <f t="shared" si="835"/>
        <v>FA</v>
      </c>
    </row>
    <row r="6026" spans="1:19" x14ac:dyDescent="0.3">
      <c r="A6026" t="s">
        <v>24</v>
      </c>
      <c r="B6026">
        <v>2016310014</v>
      </c>
      <c r="C6026" t="s">
        <v>83</v>
      </c>
      <c r="E6026" t="s">
        <v>455</v>
      </c>
      <c r="F6026" t="s">
        <v>280</v>
      </c>
      <c r="G6026">
        <v>2</v>
      </c>
      <c r="H6026" t="s">
        <v>535</v>
      </c>
      <c r="I6026" s="4">
        <f t="shared" si="836"/>
        <v>1</v>
      </c>
      <c r="J6026">
        <f t="shared" si="837"/>
        <v>2</v>
      </c>
      <c r="K6026">
        <v>32</v>
      </c>
      <c r="L6026">
        <v>14</v>
      </c>
      <c r="M6026">
        <v>2.29</v>
      </c>
      <c r="N6026" s="2">
        <v>2.5</v>
      </c>
      <c r="O6026">
        <v>0</v>
      </c>
      <c r="P6026">
        <v>2</v>
      </c>
      <c r="Q6026" s="4" t="str">
        <f t="shared" si="833"/>
        <v>2016/2017-Genap</v>
      </c>
      <c r="R6026" s="8" t="s">
        <v>535</v>
      </c>
      <c r="S6026" t="str">
        <f t="shared" si="835"/>
        <v>FA</v>
      </c>
    </row>
    <row r="6027" spans="1:19" x14ac:dyDescent="0.3">
      <c r="A6027" t="s">
        <v>24</v>
      </c>
      <c r="B6027">
        <v>2016310014</v>
      </c>
      <c r="C6027" t="s">
        <v>83</v>
      </c>
      <c r="E6027" t="s">
        <v>422</v>
      </c>
      <c r="F6027" t="s">
        <v>45</v>
      </c>
      <c r="G6027">
        <v>2</v>
      </c>
      <c r="I6027" s="4"/>
      <c r="J6027">
        <f t="shared" si="832"/>
        <v>0</v>
      </c>
      <c r="K6027">
        <v>32</v>
      </c>
      <c r="L6027">
        <v>14</v>
      </c>
      <c r="M6027">
        <v>2.29</v>
      </c>
      <c r="N6027" s="2">
        <v>2.5</v>
      </c>
      <c r="O6027">
        <v>0</v>
      </c>
      <c r="P6027">
        <v>2</v>
      </c>
      <c r="Q6027" s="4" t="str">
        <f t="shared" si="833"/>
        <v>2016/2017-Genap</v>
      </c>
      <c r="R6027" s="8" t="s">
        <v>535</v>
      </c>
      <c r="S6027" t="s">
        <v>595</v>
      </c>
    </row>
    <row r="6028" spans="1:19" x14ac:dyDescent="0.3">
      <c r="A6028" t="s">
        <v>24</v>
      </c>
      <c r="B6028" t="s">
        <v>183</v>
      </c>
      <c r="C6028" t="s">
        <v>184</v>
      </c>
      <c r="E6028" t="s">
        <v>168</v>
      </c>
      <c r="F6028" t="s">
        <v>169</v>
      </c>
      <c r="G6028">
        <v>4</v>
      </c>
      <c r="I6028" s="4"/>
      <c r="J6028">
        <f t="shared" si="832"/>
        <v>0</v>
      </c>
      <c r="K6028">
        <v>0</v>
      </c>
      <c r="L6028">
        <v>6</v>
      </c>
      <c r="M6028" s="2">
        <v>0</v>
      </c>
      <c r="N6028">
        <v>2.69</v>
      </c>
      <c r="O6028">
        <v>0</v>
      </c>
      <c r="P6028">
        <v>1</v>
      </c>
      <c r="Q6028" s="4" t="str">
        <f t="shared" si="833"/>
        <v>2016/2017-Ganjil</v>
      </c>
      <c r="R6028" s="8" t="s">
        <v>535</v>
      </c>
      <c r="S6028" t="s">
        <v>595</v>
      </c>
    </row>
    <row r="6029" spans="1:19" x14ac:dyDescent="0.3">
      <c r="A6029" t="s">
        <v>24</v>
      </c>
      <c r="B6029" t="s">
        <v>183</v>
      </c>
      <c r="C6029" t="s">
        <v>184</v>
      </c>
      <c r="E6029" t="s">
        <v>128</v>
      </c>
      <c r="F6029" t="s">
        <v>129</v>
      </c>
      <c r="G6029">
        <v>4</v>
      </c>
      <c r="I6029" s="4"/>
      <c r="J6029">
        <f t="shared" si="832"/>
        <v>0</v>
      </c>
      <c r="K6029">
        <v>0</v>
      </c>
      <c r="L6029">
        <v>6</v>
      </c>
      <c r="M6029" s="2">
        <v>0</v>
      </c>
      <c r="N6029">
        <v>2.69</v>
      </c>
      <c r="O6029">
        <v>0</v>
      </c>
      <c r="P6029">
        <v>1</v>
      </c>
      <c r="Q6029" s="4" t="str">
        <f t="shared" si="833"/>
        <v>2016/2017-Ganjil</v>
      </c>
      <c r="R6029" s="8" t="s">
        <v>535</v>
      </c>
      <c r="S6029" t="s">
        <v>595</v>
      </c>
    </row>
    <row r="6030" spans="1:19" x14ac:dyDescent="0.3">
      <c r="A6030" t="s">
        <v>24</v>
      </c>
      <c r="B6030" t="s">
        <v>183</v>
      </c>
      <c r="C6030" t="s">
        <v>184</v>
      </c>
      <c r="E6030" t="s">
        <v>242</v>
      </c>
      <c r="F6030" t="s">
        <v>243</v>
      </c>
      <c r="G6030">
        <v>2</v>
      </c>
      <c r="I6030" s="4"/>
      <c r="J6030">
        <f t="shared" si="832"/>
        <v>0</v>
      </c>
      <c r="K6030">
        <v>0</v>
      </c>
      <c r="L6030">
        <v>6</v>
      </c>
      <c r="M6030" s="2">
        <v>0</v>
      </c>
      <c r="N6030">
        <v>2.69</v>
      </c>
      <c r="O6030">
        <v>0</v>
      </c>
      <c r="P6030">
        <v>1</v>
      </c>
      <c r="Q6030" s="4" t="str">
        <f t="shared" si="833"/>
        <v>2016/2017-Ganjil</v>
      </c>
      <c r="R6030" s="8" t="s">
        <v>535</v>
      </c>
      <c r="S6030" t="s">
        <v>595</v>
      </c>
    </row>
    <row r="6031" spans="1:19" x14ac:dyDescent="0.3">
      <c r="A6031" t="s">
        <v>24</v>
      </c>
      <c r="B6031" t="s">
        <v>183</v>
      </c>
      <c r="C6031" t="s">
        <v>184</v>
      </c>
      <c r="E6031" t="s">
        <v>145</v>
      </c>
      <c r="F6031" s="1" t="s">
        <v>146</v>
      </c>
      <c r="G6031">
        <v>2</v>
      </c>
      <c r="H6031" t="s">
        <v>260</v>
      </c>
      <c r="I6031" s="4">
        <f t="shared" ref="I6031" si="838">IF(H6031="A",4,IF(H6031="B",3,IF(H6031="C",2,IF(H6031="D",1,0))))</f>
        <v>4</v>
      </c>
      <c r="J6031">
        <f t="shared" ref="J6031" si="839">G6031*I6031</f>
        <v>8</v>
      </c>
      <c r="K6031">
        <v>210</v>
      </c>
      <c r="L6031">
        <v>72</v>
      </c>
      <c r="M6031" s="2">
        <v>0</v>
      </c>
      <c r="N6031">
        <v>2.69</v>
      </c>
      <c r="O6031">
        <v>0</v>
      </c>
      <c r="P6031">
        <v>1</v>
      </c>
      <c r="Q6031" s="4" t="str">
        <f t="shared" ref="Q6031" si="840">IF(P6031=1,"2016/2017-Ganjil",IF(P6031=2,"2016/2017-Genap",IF(P6031=3,"2017/2018-Ganjil",IF(P6031=4,"2017/2018-Genap",IF(P6031=5,"2018/2019-Ganjil",IF(P6031=6,"2018/2019-Genap",IF(P6031=7,"2019/2020-Ganjil",IF(P6031=8,"2019/2020-Genap",IF(P6031=9,"2020/2021-Ganjil",IF(P6031=10,"2020/2021-Genap",IF(P6031=11,"2021/2022-Ganjil",IF(P6031=12,"2021/2022-Genap",IF(P6031=13,"2022/2023-Ganjil","2022/2023-Genap")))))))))))))</f>
        <v>2016/2017-Ganjil</v>
      </c>
      <c r="R6031" s="8" t="s">
        <v>535</v>
      </c>
      <c r="S6031" t="str">
        <f t="shared" ref="S6031:S6057" si="841">IF(OR(H6031="A",H6031="B",H6031="C"),"PA","FA")</f>
        <v>PA</v>
      </c>
    </row>
    <row r="6032" spans="1:19" x14ac:dyDescent="0.3">
      <c r="A6032" t="s">
        <v>24</v>
      </c>
      <c r="B6032" t="s">
        <v>183</v>
      </c>
      <c r="C6032" t="s">
        <v>184</v>
      </c>
      <c r="E6032" t="s">
        <v>77</v>
      </c>
      <c r="F6032" s="1" t="s">
        <v>78</v>
      </c>
      <c r="G6032">
        <v>2</v>
      </c>
      <c r="H6032" t="s">
        <v>260</v>
      </c>
      <c r="I6032" s="4">
        <f t="shared" ref="I6032:I6057" si="842">IF(H6032="A",4,IF(H6032="B",3,IF(H6032="C",2,IF(H6032="D",1,0))))</f>
        <v>4</v>
      </c>
      <c r="J6032">
        <f t="shared" ref="J6032:J6057" si="843">G6032*I6032</f>
        <v>8</v>
      </c>
      <c r="K6032">
        <v>210</v>
      </c>
      <c r="L6032">
        <v>72</v>
      </c>
      <c r="M6032" s="2">
        <v>0</v>
      </c>
      <c r="N6032">
        <v>2.69</v>
      </c>
      <c r="O6032">
        <v>0</v>
      </c>
      <c r="P6032">
        <v>1</v>
      </c>
      <c r="Q6032" s="4" t="str">
        <f t="shared" ref="Q6032:Q6055" si="844">IF(P6032=1,"2016/2017-Ganjil",IF(P6032=2,"2016/2017-Genap",IF(P6032=3,"2017/2018-Ganjil",IF(P6032=4,"2017/2018-Genap",IF(P6032=5,"2018/2019-Ganjil",IF(P6032=6,"2018/2019-Genap",IF(P6032=7,"2019/2020-Ganjil",IF(P6032=8,"2019/2020-Genap",IF(P6032=9,"2020/2021-Ganjil",IF(P6032=10,"2020/2021-Genap",IF(P6032=11,"2021/2022-Ganjil",IF(P6032=12,"2021/2022-Genap",IF(P6032=13,"2022/2023-Ganjil","2022/2023-Genap")))))))))))))</f>
        <v>2016/2017-Ganjil</v>
      </c>
      <c r="R6032" s="8" t="s">
        <v>535</v>
      </c>
      <c r="S6032" t="str">
        <f t="shared" si="841"/>
        <v>PA</v>
      </c>
    </row>
    <row r="6033" spans="1:19" x14ac:dyDescent="0.3">
      <c r="A6033" t="s">
        <v>24</v>
      </c>
      <c r="B6033" t="s">
        <v>183</v>
      </c>
      <c r="C6033" t="s">
        <v>184</v>
      </c>
      <c r="E6033" t="s">
        <v>421</v>
      </c>
      <c r="F6033" s="1" t="s">
        <v>108</v>
      </c>
      <c r="G6033">
        <v>2</v>
      </c>
      <c r="H6033" t="s">
        <v>260</v>
      </c>
      <c r="I6033" s="4">
        <f t="shared" si="842"/>
        <v>4</v>
      </c>
      <c r="J6033">
        <f t="shared" si="843"/>
        <v>8</v>
      </c>
      <c r="K6033">
        <v>210</v>
      </c>
      <c r="L6033">
        <v>72</v>
      </c>
      <c r="M6033" s="2">
        <v>0</v>
      </c>
      <c r="N6033">
        <v>2.69</v>
      </c>
      <c r="O6033">
        <v>0</v>
      </c>
      <c r="P6033">
        <v>1</v>
      </c>
      <c r="Q6033" s="4" t="str">
        <f t="shared" si="844"/>
        <v>2016/2017-Ganjil</v>
      </c>
      <c r="R6033" s="8" t="s">
        <v>535</v>
      </c>
      <c r="S6033" t="str">
        <f t="shared" si="841"/>
        <v>PA</v>
      </c>
    </row>
    <row r="6034" spans="1:19" x14ac:dyDescent="0.3">
      <c r="A6034" t="s">
        <v>24</v>
      </c>
      <c r="B6034" t="s">
        <v>183</v>
      </c>
      <c r="C6034" t="s">
        <v>184</v>
      </c>
      <c r="E6034" t="s">
        <v>425</v>
      </c>
      <c r="F6034" s="1" t="s">
        <v>11</v>
      </c>
      <c r="G6034">
        <v>2</v>
      </c>
      <c r="H6034" t="s">
        <v>260</v>
      </c>
      <c r="I6034" s="4">
        <f t="shared" si="842"/>
        <v>4</v>
      </c>
      <c r="J6034">
        <f t="shared" si="843"/>
        <v>8</v>
      </c>
      <c r="K6034">
        <v>210</v>
      </c>
      <c r="L6034">
        <v>72</v>
      </c>
      <c r="M6034" s="2">
        <v>0</v>
      </c>
      <c r="N6034">
        <v>2.69</v>
      </c>
      <c r="O6034">
        <v>0</v>
      </c>
      <c r="P6034">
        <v>1</v>
      </c>
      <c r="Q6034" s="4" t="str">
        <f t="shared" si="844"/>
        <v>2016/2017-Ganjil</v>
      </c>
      <c r="R6034" s="8" t="s">
        <v>535</v>
      </c>
      <c r="S6034" t="str">
        <f t="shared" si="841"/>
        <v>PA</v>
      </c>
    </row>
    <row r="6035" spans="1:19" x14ac:dyDescent="0.3">
      <c r="A6035" t="s">
        <v>24</v>
      </c>
      <c r="B6035" t="s">
        <v>183</v>
      </c>
      <c r="C6035" t="s">
        <v>184</v>
      </c>
      <c r="E6035" t="s">
        <v>424</v>
      </c>
      <c r="F6035" s="1" t="s">
        <v>166</v>
      </c>
      <c r="G6035">
        <v>2</v>
      </c>
      <c r="H6035" t="s">
        <v>260</v>
      </c>
      <c r="I6035" s="4">
        <f t="shared" si="842"/>
        <v>4</v>
      </c>
      <c r="J6035">
        <f t="shared" si="843"/>
        <v>8</v>
      </c>
      <c r="K6035">
        <v>210</v>
      </c>
      <c r="L6035">
        <v>72</v>
      </c>
      <c r="M6035" s="2">
        <v>0</v>
      </c>
      <c r="N6035">
        <v>2.69</v>
      </c>
      <c r="O6035">
        <v>0</v>
      </c>
      <c r="P6035">
        <v>1</v>
      </c>
      <c r="Q6035" s="4" t="str">
        <f t="shared" si="844"/>
        <v>2016/2017-Ganjil</v>
      </c>
      <c r="R6035" s="8" t="s">
        <v>535</v>
      </c>
      <c r="S6035" t="str">
        <f t="shared" si="841"/>
        <v>PA</v>
      </c>
    </row>
    <row r="6036" spans="1:19" x14ac:dyDescent="0.3">
      <c r="A6036" t="s">
        <v>24</v>
      </c>
      <c r="B6036" t="s">
        <v>183</v>
      </c>
      <c r="C6036" t="s">
        <v>184</v>
      </c>
      <c r="E6036" t="s">
        <v>451</v>
      </c>
      <c r="F6036" s="1" t="s">
        <v>452</v>
      </c>
      <c r="G6036">
        <v>4</v>
      </c>
      <c r="H6036" t="s">
        <v>438</v>
      </c>
      <c r="I6036" s="4">
        <f t="shared" si="842"/>
        <v>3</v>
      </c>
      <c r="J6036">
        <f t="shared" si="843"/>
        <v>12</v>
      </c>
      <c r="K6036">
        <v>210</v>
      </c>
      <c r="L6036">
        <v>72</v>
      </c>
      <c r="M6036" s="2">
        <v>0</v>
      </c>
      <c r="N6036">
        <v>2.69</v>
      </c>
      <c r="O6036">
        <v>0</v>
      </c>
      <c r="P6036">
        <v>1</v>
      </c>
      <c r="Q6036" s="4" t="str">
        <f t="shared" si="844"/>
        <v>2016/2017-Ganjil</v>
      </c>
      <c r="R6036" s="8" t="s">
        <v>535</v>
      </c>
      <c r="S6036" t="str">
        <f t="shared" si="841"/>
        <v>PA</v>
      </c>
    </row>
    <row r="6037" spans="1:19" x14ac:dyDescent="0.3">
      <c r="A6037" t="s">
        <v>24</v>
      </c>
      <c r="B6037" t="s">
        <v>183</v>
      </c>
      <c r="C6037" t="s">
        <v>184</v>
      </c>
      <c r="E6037" t="s">
        <v>426</v>
      </c>
      <c r="F6037" s="1" t="s">
        <v>307</v>
      </c>
      <c r="G6037">
        <v>2</v>
      </c>
      <c r="H6037" t="s">
        <v>438</v>
      </c>
      <c r="I6037" s="4">
        <f t="shared" si="842"/>
        <v>3</v>
      </c>
      <c r="J6037">
        <f t="shared" si="843"/>
        <v>6</v>
      </c>
      <c r="K6037">
        <v>210</v>
      </c>
      <c r="L6037">
        <v>72</v>
      </c>
      <c r="M6037" s="2">
        <v>0</v>
      </c>
      <c r="N6037">
        <v>2.69</v>
      </c>
      <c r="O6037">
        <v>0</v>
      </c>
      <c r="P6037">
        <v>1</v>
      </c>
      <c r="Q6037" s="4" t="str">
        <f t="shared" si="844"/>
        <v>2016/2017-Ganjil</v>
      </c>
      <c r="R6037" s="8" t="s">
        <v>535</v>
      </c>
      <c r="S6037" t="str">
        <f t="shared" si="841"/>
        <v>PA</v>
      </c>
    </row>
    <row r="6038" spans="1:19" x14ac:dyDescent="0.3">
      <c r="A6038" t="s">
        <v>24</v>
      </c>
      <c r="B6038" t="s">
        <v>183</v>
      </c>
      <c r="C6038" t="s">
        <v>184</v>
      </c>
      <c r="E6038" t="s">
        <v>466</v>
      </c>
      <c r="F6038" s="1" t="s">
        <v>467</v>
      </c>
      <c r="G6038">
        <v>4</v>
      </c>
      <c r="H6038" t="s">
        <v>438</v>
      </c>
      <c r="I6038" s="4">
        <f t="shared" si="842"/>
        <v>3</v>
      </c>
      <c r="J6038">
        <f t="shared" si="843"/>
        <v>12</v>
      </c>
      <c r="K6038">
        <v>210</v>
      </c>
      <c r="L6038">
        <v>72</v>
      </c>
      <c r="M6038" s="2">
        <v>0</v>
      </c>
      <c r="N6038">
        <v>2.69</v>
      </c>
      <c r="O6038">
        <v>0</v>
      </c>
      <c r="P6038">
        <v>1</v>
      </c>
      <c r="Q6038" s="4" t="str">
        <f t="shared" si="844"/>
        <v>2016/2017-Ganjil</v>
      </c>
      <c r="R6038" s="8" t="s">
        <v>535</v>
      </c>
      <c r="S6038" t="str">
        <f t="shared" si="841"/>
        <v>PA</v>
      </c>
    </row>
    <row r="6039" spans="1:19" x14ac:dyDescent="0.3">
      <c r="A6039" t="s">
        <v>24</v>
      </c>
      <c r="B6039" t="s">
        <v>183</v>
      </c>
      <c r="C6039" t="s">
        <v>184</v>
      </c>
      <c r="E6039" t="s">
        <v>475</v>
      </c>
      <c r="F6039" s="1" t="s">
        <v>101</v>
      </c>
      <c r="G6039">
        <v>4</v>
      </c>
      <c r="H6039" t="s">
        <v>438</v>
      </c>
      <c r="I6039" s="4">
        <f t="shared" si="842"/>
        <v>3</v>
      </c>
      <c r="J6039">
        <f t="shared" si="843"/>
        <v>12</v>
      </c>
      <c r="K6039">
        <v>210</v>
      </c>
      <c r="L6039">
        <v>72</v>
      </c>
      <c r="M6039" s="2">
        <v>0</v>
      </c>
      <c r="N6039">
        <v>2.69</v>
      </c>
      <c r="O6039">
        <v>0</v>
      </c>
      <c r="P6039">
        <v>1</v>
      </c>
      <c r="Q6039" s="4" t="str">
        <f t="shared" si="844"/>
        <v>2016/2017-Ganjil</v>
      </c>
      <c r="R6039" s="8" t="s">
        <v>535</v>
      </c>
      <c r="S6039" t="str">
        <f t="shared" si="841"/>
        <v>PA</v>
      </c>
    </row>
    <row r="6040" spans="1:19" x14ac:dyDescent="0.3">
      <c r="A6040" t="s">
        <v>24</v>
      </c>
      <c r="B6040" t="s">
        <v>183</v>
      </c>
      <c r="C6040" t="s">
        <v>184</v>
      </c>
      <c r="E6040" t="s">
        <v>279</v>
      </c>
      <c r="F6040" s="1" t="s">
        <v>280</v>
      </c>
      <c r="G6040">
        <v>2</v>
      </c>
      <c r="H6040" t="s">
        <v>438</v>
      </c>
      <c r="I6040" s="4">
        <f t="shared" si="842"/>
        <v>3</v>
      </c>
      <c r="J6040">
        <f t="shared" si="843"/>
        <v>6</v>
      </c>
      <c r="K6040">
        <v>210</v>
      </c>
      <c r="L6040">
        <v>72</v>
      </c>
      <c r="M6040" s="2">
        <v>0</v>
      </c>
      <c r="N6040">
        <v>2.69</v>
      </c>
      <c r="O6040">
        <v>0</v>
      </c>
      <c r="P6040">
        <v>1</v>
      </c>
      <c r="Q6040" s="4" t="str">
        <f t="shared" si="844"/>
        <v>2016/2017-Ganjil</v>
      </c>
      <c r="R6040" s="8" t="s">
        <v>535</v>
      </c>
      <c r="S6040" t="str">
        <f t="shared" si="841"/>
        <v>PA</v>
      </c>
    </row>
    <row r="6041" spans="1:19" x14ac:dyDescent="0.3">
      <c r="A6041" t="s">
        <v>24</v>
      </c>
      <c r="B6041" t="s">
        <v>183</v>
      </c>
      <c r="C6041" t="s">
        <v>184</v>
      </c>
      <c r="E6041" t="s">
        <v>500</v>
      </c>
      <c r="F6041" s="1" t="s">
        <v>418</v>
      </c>
      <c r="G6041">
        <v>4</v>
      </c>
      <c r="H6041" t="s">
        <v>438</v>
      </c>
      <c r="I6041" s="4">
        <f t="shared" si="842"/>
        <v>3</v>
      </c>
      <c r="J6041">
        <f t="shared" si="843"/>
        <v>12</v>
      </c>
      <c r="K6041">
        <v>210</v>
      </c>
      <c r="L6041">
        <v>72</v>
      </c>
      <c r="M6041" s="2">
        <v>0</v>
      </c>
      <c r="N6041">
        <v>2.69</v>
      </c>
      <c r="O6041">
        <v>0</v>
      </c>
      <c r="P6041">
        <v>1</v>
      </c>
      <c r="Q6041" s="4" t="str">
        <f t="shared" si="844"/>
        <v>2016/2017-Ganjil</v>
      </c>
      <c r="R6041" s="8" t="s">
        <v>535</v>
      </c>
      <c r="S6041" t="str">
        <f t="shared" si="841"/>
        <v>PA</v>
      </c>
    </row>
    <row r="6042" spans="1:19" x14ac:dyDescent="0.3">
      <c r="A6042" t="s">
        <v>24</v>
      </c>
      <c r="B6042" t="s">
        <v>183</v>
      </c>
      <c r="C6042" t="s">
        <v>184</v>
      </c>
      <c r="E6042" t="s">
        <v>502</v>
      </c>
      <c r="F6042" s="1" t="s">
        <v>503</v>
      </c>
      <c r="G6042">
        <v>4</v>
      </c>
      <c r="H6042" t="s">
        <v>438</v>
      </c>
      <c r="I6042" s="4">
        <f t="shared" si="842"/>
        <v>3</v>
      </c>
      <c r="J6042">
        <f t="shared" si="843"/>
        <v>12</v>
      </c>
      <c r="K6042">
        <v>210</v>
      </c>
      <c r="L6042">
        <v>72</v>
      </c>
      <c r="M6042" s="2">
        <v>0</v>
      </c>
      <c r="N6042">
        <v>2.69</v>
      </c>
      <c r="O6042">
        <v>0</v>
      </c>
      <c r="P6042">
        <v>1</v>
      </c>
      <c r="Q6042" s="4" t="str">
        <f t="shared" si="844"/>
        <v>2016/2017-Ganjil</v>
      </c>
      <c r="R6042" s="8" t="s">
        <v>535</v>
      </c>
      <c r="S6042" t="str">
        <f t="shared" si="841"/>
        <v>PA</v>
      </c>
    </row>
    <row r="6043" spans="1:19" x14ac:dyDescent="0.3">
      <c r="A6043" t="s">
        <v>24</v>
      </c>
      <c r="B6043" t="s">
        <v>183</v>
      </c>
      <c r="C6043" t="s">
        <v>184</v>
      </c>
      <c r="E6043" t="s">
        <v>434</v>
      </c>
      <c r="F6043" s="1" t="s">
        <v>435</v>
      </c>
      <c r="G6043">
        <v>2</v>
      </c>
      <c r="H6043" t="s">
        <v>438</v>
      </c>
      <c r="I6043" s="4">
        <f t="shared" si="842"/>
        <v>3</v>
      </c>
      <c r="J6043">
        <f t="shared" si="843"/>
        <v>6</v>
      </c>
      <c r="K6043">
        <v>210</v>
      </c>
      <c r="L6043">
        <v>72</v>
      </c>
      <c r="M6043" s="2">
        <v>0</v>
      </c>
      <c r="N6043">
        <v>2.69</v>
      </c>
      <c r="O6043">
        <v>0</v>
      </c>
      <c r="P6043">
        <v>1</v>
      </c>
      <c r="Q6043" s="4" t="str">
        <f t="shared" si="844"/>
        <v>2016/2017-Ganjil</v>
      </c>
      <c r="R6043" s="8" t="s">
        <v>535</v>
      </c>
      <c r="S6043" t="str">
        <f t="shared" si="841"/>
        <v>PA</v>
      </c>
    </row>
    <row r="6044" spans="1:19" x14ac:dyDescent="0.3">
      <c r="A6044" t="s">
        <v>24</v>
      </c>
      <c r="B6044" t="s">
        <v>183</v>
      </c>
      <c r="C6044" t="s">
        <v>184</v>
      </c>
      <c r="E6044" t="s">
        <v>224</v>
      </c>
      <c r="F6044" s="1" t="s">
        <v>225</v>
      </c>
      <c r="G6044">
        <v>4</v>
      </c>
      <c r="H6044" t="s">
        <v>438</v>
      </c>
      <c r="I6044" s="4">
        <f t="shared" si="842"/>
        <v>3</v>
      </c>
      <c r="J6044">
        <f t="shared" si="843"/>
        <v>12</v>
      </c>
      <c r="K6044">
        <v>210</v>
      </c>
      <c r="L6044">
        <v>72</v>
      </c>
      <c r="M6044" s="2">
        <v>0</v>
      </c>
      <c r="N6044">
        <v>2.69</v>
      </c>
      <c r="O6044">
        <v>0</v>
      </c>
      <c r="P6044">
        <v>1</v>
      </c>
      <c r="Q6044" s="4" t="str">
        <f t="shared" si="844"/>
        <v>2016/2017-Ganjil</v>
      </c>
      <c r="R6044" s="8" t="s">
        <v>535</v>
      </c>
      <c r="S6044" t="str">
        <f t="shared" si="841"/>
        <v>PA</v>
      </c>
    </row>
    <row r="6045" spans="1:19" x14ac:dyDescent="0.3">
      <c r="A6045" t="s">
        <v>24</v>
      </c>
      <c r="B6045" t="s">
        <v>183</v>
      </c>
      <c r="C6045" t="s">
        <v>184</v>
      </c>
      <c r="E6045" t="s">
        <v>512</v>
      </c>
      <c r="F6045" s="1" t="s">
        <v>498</v>
      </c>
      <c r="G6045">
        <v>2</v>
      </c>
      <c r="H6045" t="s">
        <v>438</v>
      </c>
      <c r="I6045" s="4">
        <f t="shared" si="842"/>
        <v>3</v>
      </c>
      <c r="J6045">
        <f t="shared" si="843"/>
        <v>6</v>
      </c>
      <c r="K6045">
        <v>210</v>
      </c>
      <c r="L6045">
        <v>72</v>
      </c>
      <c r="M6045" s="2">
        <v>0</v>
      </c>
      <c r="N6045">
        <v>2.69</v>
      </c>
      <c r="O6045">
        <v>0</v>
      </c>
      <c r="P6045">
        <v>1</v>
      </c>
      <c r="Q6045" s="4" t="str">
        <f t="shared" si="844"/>
        <v>2016/2017-Ganjil</v>
      </c>
      <c r="R6045" s="8" t="s">
        <v>535</v>
      </c>
      <c r="S6045" t="str">
        <f t="shared" si="841"/>
        <v>PA</v>
      </c>
    </row>
    <row r="6046" spans="1:19" x14ac:dyDescent="0.3">
      <c r="A6046" t="s">
        <v>24</v>
      </c>
      <c r="B6046" t="s">
        <v>183</v>
      </c>
      <c r="C6046" t="s">
        <v>184</v>
      </c>
      <c r="E6046" t="s">
        <v>513</v>
      </c>
      <c r="F6046" s="1" t="s">
        <v>106</v>
      </c>
      <c r="G6046">
        <v>2</v>
      </c>
      <c r="H6046" t="s">
        <v>438</v>
      </c>
      <c r="I6046" s="4">
        <f t="shared" si="842"/>
        <v>3</v>
      </c>
      <c r="J6046">
        <f t="shared" si="843"/>
        <v>6</v>
      </c>
      <c r="K6046">
        <v>210</v>
      </c>
      <c r="L6046">
        <v>72</v>
      </c>
      <c r="M6046" s="2">
        <v>0</v>
      </c>
      <c r="N6046">
        <v>2.69</v>
      </c>
      <c r="O6046">
        <v>0</v>
      </c>
      <c r="P6046">
        <v>1</v>
      </c>
      <c r="Q6046" s="4" t="str">
        <f t="shared" si="844"/>
        <v>2016/2017-Ganjil</v>
      </c>
      <c r="R6046" s="8" t="s">
        <v>535</v>
      </c>
      <c r="S6046" t="str">
        <f t="shared" si="841"/>
        <v>PA</v>
      </c>
    </row>
    <row r="6047" spans="1:19" x14ac:dyDescent="0.3">
      <c r="A6047" t="s">
        <v>24</v>
      </c>
      <c r="B6047" t="s">
        <v>183</v>
      </c>
      <c r="C6047" t="s">
        <v>184</v>
      </c>
      <c r="E6047" t="s">
        <v>517</v>
      </c>
      <c r="F6047" s="1" t="s">
        <v>137</v>
      </c>
      <c r="G6047">
        <v>4</v>
      </c>
      <c r="H6047" t="s">
        <v>438</v>
      </c>
      <c r="I6047" s="4">
        <f t="shared" si="842"/>
        <v>3</v>
      </c>
      <c r="J6047">
        <f t="shared" si="843"/>
        <v>12</v>
      </c>
      <c r="K6047">
        <v>210</v>
      </c>
      <c r="L6047">
        <v>72</v>
      </c>
      <c r="M6047" s="2">
        <v>0</v>
      </c>
      <c r="N6047">
        <v>2.69</v>
      </c>
      <c r="O6047">
        <v>0</v>
      </c>
      <c r="P6047">
        <v>1</v>
      </c>
      <c r="Q6047" s="4" t="str">
        <f t="shared" si="844"/>
        <v>2016/2017-Ganjil</v>
      </c>
      <c r="R6047" s="8" t="s">
        <v>535</v>
      </c>
      <c r="S6047" t="str">
        <f t="shared" si="841"/>
        <v>PA</v>
      </c>
    </row>
    <row r="6048" spans="1:19" x14ac:dyDescent="0.3">
      <c r="A6048" t="s">
        <v>24</v>
      </c>
      <c r="B6048" t="s">
        <v>183</v>
      </c>
      <c r="C6048" t="s">
        <v>184</v>
      </c>
      <c r="E6048" t="s">
        <v>522</v>
      </c>
      <c r="F6048" s="1" t="s">
        <v>258</v>
      </c>
      <c r="G6048">
        <v>4</v>
      </c>
      <c r="H6048" t="s">
        <v>438</v>
      </c>
      <c r="I6048" s="4">
        <f t="shared" si="842"/>
        <v>3</v>
      </c>
      <c r="J6048">
        <f t="shared" si="843"/>
        <v>12</v>
      </c>
      <c r="K6048">
        <v>210</v>
      </c>
      <c r="L6048">
        <v>72</v>
      </c>
      <c r="M6048" s="2">
        <v>0</v>
      </c>
      <c r="N6048">
        <v>2.69</v>
      </c>
      <c r="O6048">
        <v>0</v>
      </c>
      <c r="P6048">
        <v>1</v>
      </c>
      <c r="Q6048" s="4" t="str">
        <f t="shared" si="844"/>
        <v>2016/2017-Ganjil</v>
      </c>
      <c r="R6048" s="8" t="s">
        <v>535</v>
      </c>
      <c r="S6048" t="str">
        <f t="shared" si="841"/>
        <v>PA</v>
      </c>
    </row>
    <row r="6049" spans="1:19" x14ac:dyDescent="0.3">
      <c r="A6049" t="s">
        <v>24</v>
      </c>
      <c r="B6049" t="s">
        <v>183</v>
      </c>
      <c r="C6049" t="s">
        <v>184</v>
      </c>
      <c r="E6049" t="s">
        <v>131</v>
      </c>
      <c r="F6049" s="1" t="s">
        <v>132</v>
      </c>
      <c r="G6049">
        <v>2</v>
      </c>
      <c r="H6049" t="s">
        <v>438</v>
      </c>
      <c r="I6049" s="4">
        <f t="shared" si="842"/>
        <v>3</v>
      </c>
      <c r="J6049">
        <f t="shared" si="843"/>
        <v>6</v>
      </c>
      <c r="K6049">
        <v>210</v>
      </c>
      <c r="L6049">
        <v>72</v>
      </c>
      <c r="M6049" s="2">
        <v>0</v>
      </c>
      <c r="N6049">
        <v>2.69</v>
      </c>
      <c r="O6049">
        <v>0</v>
      </c>
      <c r="P6049">
        <v>1</v>
      </c>
      <c r="Q6049" s="4" t="str">
        <f t="shared" si="844"/>
        <v>2016/2017-Ganjil</v>
      </c>
      <c r="R6049" s="8" t="s">
        <v>535</v>
      </c>
      <c r="S6049" t="str">
        <f t="shared" si="841"/>
        <v>PA</v>
      </c>
    </row>
    <row r="6050" spans="1:19" x14ac:dyDescent="0.3">
      <c r="A6050" t="s">
        <v>24</v>
      </c>
      <c r="B6050" t="s">
        <v>183</v>
      </c>
      <c r="C6050" t="s">
        <v>184</v>
      </c>
      <c r="E6050" t="s">
        <v>523</v>
      </c>
      <c r="F6050" s="1" t="s">
        <v>171</v>
      </c>
      <c r="G6050">
        <v>4</v>
      </c>
      <c r="H6050" t="s">
        <v>438</v>
      </c>
      <c r="I6050" s="4">
        <f t="shared" si="842"/>
        <v>3</v>
      </c>
      <c r="J6050">
        <f t="shared" si="843"/>
        <v>12</v>
      </c>
      <c r="K6050">
        <v>210</v>
      </c>
      <c r="L6050">
        <v>72</v>
      </c>
      <c r="M6050" s="2">
        <v>0</v>
      </c>
      <c r="N6050">
        <v>2.69</v>
      </c>
      <c r="O6050">
        <v>0</v>
      </c>
      <c r="P6050">
        <v>1</v>
      </c>
      <c r="Q6050" s="4" t="str">
        <f t="shared" si="844"/>
        <v>2016/2017-Ganjil</v>
      </c>
      <c r="R6050" s="8" t="s">
        <v>535</v>
      </c>
      <c r="S6050" t="str">
        <f t="shared" si="841"/>
        <v>PA</v>
      </c>
    </row>
    <row r="6051" spans="1:19" x14ac:dyDescent="0.3">
      <c r="A6051" t="s">
        <v>24</v>
      </c>
      <c r="B6051" t="s">
        <v>183</v>
      </c>
      <c r="C6051" t="s">
        <v>184</v>
      </c>
      <c r="E6051" t="s">
        <v>84</v>
      </c>
      <c r="F6051" s="1" t="s">
        <v>85</v>
      </c>
      <c r="G6051">
        <v>2</v>
      </c>
      <c r="H6051" t="s">
        <v>524</v>
      </c>
      <c r="I6051" s="4">
        <f t="shared" si="842"/>
        <v>2</v>
      </c>
      <c r="J6051">
        <f t="shared" si="843"/>
        <v>4</v>
      </c>
      <c r="K6051">
        <v>210</v>
      </c>
      <c r="L6051">
        <v>72</v>
      </c>
      <c r="M6051" s="2">
        <v>0</v>
      </c>
      <c r="N6051">
        <v>2.69</v>
      </c>
      <c r="O6051">
        <v>0</v>
      </c>
      <c r="P6051">
        <v>1</v>
      </c>
      <c r="Q6051" s="4" t="str">
        <f t="shared" si="844"/>
        <v>2016/2017-Ganjil</v>
      </c>
      <c r="R6051" s="8" t="s">
        <v>535</v>
      </c>
      <c r="S6051" t="str">
        <f t="shared" si="841"/>
        <v>PA</v>
      </c>
    </row>
    <row r="6052" spans="1:19" x14ac:dyDescent="0.3">
      <c r="A6052" t="s">
        <v>24</v>
      </c>
      <c r="B6052" t="s">
        <v>183</v>
      </c>
      <c r="C6052" t="s">
        <v>184</v>
      </c>
      <c r="E6052" t="s">
        <v>527</v>
      </c>
      <c r="F6052" s="1" t="s">
        <v>528</v>
      </c>
      <c r="G6052">
        <v>2</v>
      </c>
      <c r="H6052" t="s">
        <v>524</v>
      </c>
      <c r="I6052" s="4">
        <f t="shared" si="842"/>
        <v>2</v>
      </c>
      <c r="J6052">
        <f t="shared" si="843"/>
        <v>4</v>
      </c>
      <c r="K6052">
        <v>210</v>
      </c>
      <c r="L6052">
        <v>72</v>
      </c>
      <c r="M6052" s="2">
        <v>0</v>
      </c>
      <c r="N6052">
        <v>2.69</v>
      </c>
      <c r="O6052">
        <v>0</v>
      </c>
      <c r="P6052">
        <v>1</v>
      </c>
      <c r="Q6052" s="4" t="str">
        <f t="shared" si="844"/>
        <v>2016/2017-Ganjil</v>
      </c>
      <c r="R6052" s="8" t="s">
        <v>535</v>
      </c>
      <c r="S6052" t="str">
        <f t="shared" si="841"/>
        <v>PA</v>
      </c>
    </row>
    <row r="6053" spans="1:19" x14ac:dyDescent="0.3">
      <c r="A6053" t="s">
        <v>24</v>
      </c>
      <c r="B6053" t="s">
        <v>183</v>
      </c>
      <c r="C6053" t="s">
        <v>184</v>
      </c>
      <c r="E6053" t="s">
        <v>529</v>
      </c>
      <c r="F6053" s="1" t="s">
        <v>398</v>
      </c>
      <c r="G6053">
        <v>4</v>
      </c>
      <c r="H6053" t="s">
        <v>524</v>
      </c>
      <c r="I6053" s="4">
        <f t="shared" si="842"/>
        <v>2</v>
      </c>
      <c r="J6053">
        <f t="shared" si="843"/>
        <v>8</v>
      </c>
      <c r="K6053">
        <v>210</v>
      </c>
      <c r="L6053">
        <v>72</v>
      </c>
      <c r="M6053" s="2">
        <v>0</v>
      </c>
      <c r="N6053">
        <v>2.69</v>
      </c>
      <c r="O6053">
        <v>0</v>
      </c>
      <c r="P6053">
        <v>1</v>
      </c>
      <c r="Q6053" s="4" t="str">
        <f t="shared" si="844"/>
        <v>2016/2017-Ganjil</v>
      </c>
      <c r="R6053" s="8" t="s">
        <v>535</v>
      </c>
      <c r="S6053" t="str">
        <f t="shared" si="841"/>
        <v>PA</v>
      </c>
    </row>
    <row r="6054" spans="1:19" x14ac:dyDescent="0.3">
      <c r="A6054" t="s">
        <v>24</v>
      </c>
      <c r="B6054" t="s">
        <v>183</v>
      </c>
      <c r="C6054" t="s">
        <v>184</v>
      </c>
      <c r="E6054" t="s">
        <v>533</v>
      </c>
      <c r="F6054" s="1" t="s">
        <v>534</v>
      </c>
      <c r="G6054">
        <v>4</v>
      </c>
      <c r="H6054" t="s">
        <v>524</v>
      </c>
      <c r="I6054" s="4">
        <f t="shared" si="842"/>
        <v>2</v>
      </c>
      <c r="J6054">
        <f t="shared" si="843"/>
        <v>8</v>
      </c>
      <c r="K6054">
        <v>210</v>
      </c>
      <c r="L6054">
        <v>72</v>
      </c>
      <c r="M6054" s="2">
        <v>0</v>
      </c>
      <c r="N6054">
        <v>2.69</v>
      </c>
      <c r="O6054">
        <v>0</v>
      </c>
      <c r="P6054">
        <v>1</v>
      </c>
      <c r="Q6054" s="4" t="str">
        <f t="shared" si="844"/>
        <v>2016/2017-Ganjil</v>
      </c>
      <c r="R6054" s="8" t="s">
        <v>535</v>
      </c>
      <c r="S6054" t="str">
        <f t="shared" si="841"/>
        <v>PA</v>
      </c>
    </row>
    <row r="6055" spans="1:19" x14ac:dyDescent="0.3">
      <c r="A6055" t="s">
        <v>24</v>
      </c>
      <c r="B6055" t="s">
        <v>183</v>
      </c>
      <c r="C6055" t="s">
        <v>184</v>
      </c>
      <c r="E6055" t="s">
        <v>537</v>
      </c>
      <c r="F6055" s="1" t="s">
        <v>538</v>
      </c>
      <c r="G6055">
        <v>2</v>
      </c>
      <c r="H6055" t="s">
        <v>535</v>
      </c>
      <c r="I6055" s="4">
        <f t="shared" si="842"/>
        <v>1</v>
      </c>
      <c r="J6055">
        <f t="shared" si="843"/>
        <v>2</v>
      </c>
      <c r="K6055">
        <v>210</v>
      </c>
      <c r="L6055">
        <v>72</v>
      </c>
      <c r="M6055" s="2">
        <v>0</v>
      </c>
      <c r="N6055">
        <v>2.69</v>
      </c>
      <c r="O6055">
        <v>0</v>
      </c>
      <c r="P6055">
        <v>1</v>
      </c>
      <c r="Q6055" s="4" t="str">
        <f t="shared" si="844"/>
        <v>2016/2017-Ganjil</v>
      </c>
      <c r="R6055" s="8" t="s">
        <v>535</v>
      </c>
      <c r="S6055" t="str">
        <f t="shared" si="841"/>
        <v>FA</v>
      </c>
    </row>
    <row r="6056" spans="1:19" x14ac:dyDescent="0.3">
      <c r="A6056" t="s">
        <v>24</v>
      </c>
      <c r="B6056" t="s">
        <v>183</v>
      </c>
      <c r="C6056" t="s">
        <v>184</v>
      </c>
      <c r="E6056" t="s">
        <v>543</v>
      </c>
      <c r="F6056" t="s">
        <v>544</v>
      </c>
      <c r="G6056">
        <v>2</v>
      </c>
      <c r="H6056" t="s">
        <v>539</v>
      </c>
      <c r="I6056" s="4">
        <f t="shared" si="842"/>
        <v>0</v>
      </c>
      <c r="J6056">
        <f t="shared" si="843"/>
        <v>0</v>
      </c>
      <c r="K6056">
        <v>0</v>
      </c>
      <c r="L6056">
        <v>6</v>
      </c>
      <c r="M6056" s="2">
        <v>0</v>
      </c>
      <c r="N6056">
        <v>2.69</v>
      </c>
      <c r="O6056">
        <v>0</v>
      </c>
      <c r="P6056">
        <v>1</v>
      </c>
      <c r="Q6056" s="4" t="str">
        <f>IF(P6056=1,"2016/2017-Ganjil",IF(P6056=2,"2016/2017-Genap",IF(P6056=3,"2017/2018-Ganjil",IF(P6056=4,"2017/2018-Genap",IF(P6056=5,"2018/2019-Ganjil",IF(P6056=6,"2018/2019-Genap",IF(P6056=7,"2019/2020-Ganjil",IF(P6056=8,"2019/2020-Genap",IF(P6056=9,"2020/2021-Ganjil",IF(P6056=10,"2020/2021-Genap",IF(P6056=11,"2021/2022-Ganjil",IF(P6056=12,"2021/2022-Genap",IF(P6056=13,"2022/2023-Ganjil","2022/2023-Genap")))))))))))))</f>
        <v>2016/2017-Ganjil</v>
      </c>
      <c r="R6056" s="8" t="s">
        <v>535</v>
      </c>
      <c r="S6056" t="str">
        <f t="shared" si="841"/>
        <v>FA</v>
      </c>
    </row>
    <row r="6057" spans="1:19" x14ac:dyDescent="0.3">
      <c r="A6057" t="s">
        <v>24</v>
      </c>
      <c r="B6057" t="s">
        <v>183</v>
      </c>
      <c r="C6057" t="s">
        <v>184</v>
      </c>
      <c r="E6057" t="s">
        <v>545</v>
      </c>
      <c r="F6057" t="s">
        <v>239</v>
      </c>
      <c r="G6057">
        <v>4</v>
      </c>
      <c r="H6057" t="s">
        <v>539</v>
      </c>
      <c r="I6057" s="4">
        <f t="shared" si="842"/>
        <v>0</v>
      </c>
      <c r="J6057">
        <f t="shared" si="843"/>
        <v>0</v>
      </c>
      <c r="K6057">
        <v>0</v>
      </c>
      <c r="L6057">
        <v>6</v>
      </c>
      <c r="M6057" s="2">
        <v>0</v>
      </c>
      <c r="N6057">
        <v>2.69</v>
      </c>
      <c r="O6057">
        <v>0</v>
      </c>
      <c r="P6057">
        <v>1</v>
      </c>
      <c r="Q6057" s="4" t="str">
        <f>IF(P6057=1,"2016/2017-Ganjil",IF(P6057=2,"2016/2017-Genap",IF(P6057=3,"2017/2018-Ganjil",IF(P6057=4,"2017/2018-Genap",IF(P6057=5,"2018/2019-Ganjil",IF(P6057=6,"2018/2019-Genap",IF(P6057=7,"2019/2020-Ganjil",IF(P6057=8,"2019/2020-Genap",IF(P6057=9,"2020/2021-Ganjil",IF(P6057=10,"2020/2021-Genap",IF(P6057=11,"2021/2022-Ganjil",IF(P6057=12,"2021/2022-Genap",IF(P6057=13,"2022/2023-Ganjil","2022/2023-Genap")))))))))))))</f>
        <v>2016/2017-Ganjil</v>
      </c>
      <c r="R6057" s="8" t="s">
        <v>535</v>
      </c>
      <c r="S6057" t="str">
        <f t="shared" si="841"/>
        <v>FA</v>
      </c>
    </row>
    <row r="6058" spans="1:19" x14ac:dyDescent="0.3">
      <c r="A6058" t="s">
        <v>24</v>
      </c>
      <c r="B6058" t="s">
        <v>183</v>
      </c>
      <c r="C6058" t="s">
        <v>184</v>
      </c>
      <c r="E6058" t="s">
        <v>546</v>
      </c>
      <c r="F6058" t="s">
        <v>186</v>
      </c>
      <c r="G6058">
        <v>4</v>
      </c>
      <c r="I6058" s="4"/>
      <c r="J6058">
        <f>G6058*I6058</f>
        <v>0</v>
      </c>
      <c r="K6058">
        <v>0</v>
      </c>
      <c r="L6058">
        <v>6</v>
      </c>
      <c r="M6058" s="2">
        <v>0</v>
      </c>
      <c r="N6058">
        <v>2.69</v>
      </c>
      <c r="O6058">
        <v>0</v>
      </c>
      <c r="P6058">
        <v>1</v>
      </c>
      <c r="Q6058" s="4" t="str">
        <f>IF(P6058=1,"2016/2017-Ganjil",IF(P6058=2,"2016/2017-Genap",IF(P6058=3,"2017/2018-Ganjil",IF(P6058=4,"2017/2018-Genap",IF(P6058=5,"2018/2019-Ganjil",IF(P6058=6,"2018/2019-Genap",IF(P6058=7,"2019/2020-Ganjil",IF(P6058=8,"2019/2020-Genap",IF(P6058=9,"2020/2021-Ganjil",IF(P6058=10,"2020/2021-Genap",IF(P6058=11,"2021/2022-Ganjil",IF(P6058=12,"2021/2022-Genap",IF(P6058=13,"2022/2023-Ganjil","2022/2023-Genap")))))))))))))</f>
        <v>2016/2017-Ganjil</v>
      </c>
      <c r="R6058" s="8" t="s">
        <v>535</v>
      </c>
      <c r="S6058" t="s">
        <v>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 Agustri</dc:creator>
  <cp:lastModifiedBy>Suzan Agustri</cp:lastModifiedBy>
  <dcterms:created xsi:type="dcterms:W3CDTF">2024-01-31T02:31:51Z</dcterms:created>
  <dcterms:modified xsi:type="dcterms:W3CDTF">2025-03-11T01:49:29Z</dcterms:modified>
</cp:coreProperties>
</file>